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5/"/>
    </mc:Choice>
  </mc:AlternateContent>
  <xr:revisionPtr revIDLastSave="0" documentId="13_ncr:1_{D60ED8EB-67BE-7E44-A846-091D030F8752}" xr6:coauthVersionLast="45" xr6:coauthVersionMax="47" xr10:uidLastSave="{00000000-0000-0000-0000-000000000000}"/>
  <bookViews>
    <workbookView xWindow="0" yWindow="500" windowWidth="28800" windowHeight="17500" tabRatio="615" firstSheet="1" activeTab="5" xr2:uid="{00000000-000D-0000-FFFF-FFFF00000000}"/>
  </bookViews>
  <sheets>
    <sheet name="Fondo de reservas" sheetId="1" r:id="rId1"/>
    <sheet name="Caja Chica-Cta.Bco" sheetId="2" r:id="rId2"/>
    <sheet name="Gastos detallados" sheetId="3" r:id="rId3"/>
    <sheet name="A1" sheetId="19" r:id="rId4"/>
    <sheet name="A2" sheetId="20" r:id="rId5"/>
    <sheet name="A3" sheetId="21" r:id="rId6"/>
    <sheet name="A4" sheetId="22" r:id="rId7"/>
    <sheet name="A5" sheetId="23" r:id="rId8"/>
    <sheet name="A6" sheetId="24" r:id="rId9"/>
    <sheet name="A7" sheetId="25" r:id="rId10"/>
    <sheet name="Pedido Exceptional - ENERO2025" sheetId="18" r:id="rId11"/>
    <sheet name="Cuota Extraordinaria Privilegio" sheetId="26" r:id="rId12"/>
    <sheet name="Presupuesto 2025 Aprobado" sheetId="7" r:id="rId13"/>
    <sheet name="Distribución" sheetId="15" r:id="rId14"/>
  </sheets>
  <definedNames>
    <definedName name="_xlnm._FilterDatabase" localSheetId="1" hidden="1">'Caja Chica-Cta.Bco'!$B$9:$F$37</definedName>
  </definedNames>
  <calcPr calcId="191029"/>
  <extLst>
    <ext uri="GoogleSheetsCustomDataVersion2">
      <go:sheetsCustomData xmlns:go="http://customooxmlschemas.google.com/" r:id="rId20" roundtripDataChecksum="mHj54pfwGa34Mk9W644cwQvW0Qj3i47x6KjAp6OnHzo="/>
    </ext>
  </extLst>
</workbook>
</file>

<file path=xl/calcChain.xml><?xml version="1.0" encoding="utf-8"?>
<calcChain xmlns="http://schemas.openxmlformats.org/spreadsheetml/2006/main">
  <c r="H28" i="21" l="1"/>
  <c r="F29" i="25" l="1"/>
  <c r="F26" i="24"/>
  <c r="F27" i="23"/>
  <c r="F26" i="22"/>
  <c r="F28" i="21"/>
  <c r="F28" i="20"/>
  <c r="E30" i="25" l="1"/>
  <c r="D30" i="25"/>
  <c r="E27" i="24"/>
  <c r="D27" i="24"/>
  <c r="E28" i="23"/>
  <c r="D28" i="23"/>
  <c r="E27" i="22"/>
  <c r="D27" i="22"/>
  <c r="E29" i="21"/>
  <c r="D29" i="21"/>
  <c r="E29" i="20"/>
  <c r="D29" i="20"/>
  <c r="E28" i="26"/>
  <c r="E27" i="26"/>
  <c r="E26" i="26"/>
  <c r="E25" i="26"/>
  <c r="E24" i="26"/>
  <c r="E23" i="26"/>
  <c r="D29" i="26"/>
  <c r="D42" i="26"/>
  <c r="F36" i="26" s="1"/>
  <c r="C41" i="26"/>
  <c r="E11" i="26"/>
  <c r="F38" i="26" l="1"/>
  <c r="F40" i="26"/>
  <c r="F42" i="26" s="1"/>
  <c r="F41" i="26"/>
  <c r="F37" i="26"/>
  <c r="C40" i="26"/>
  <c r="C38" i="26"/>
  <c r="C35" i="26"/>
  <c r="C37" i="26"/>
  <c r="C39" i="26"/>
  <c r="C36" i="26"/>
  <c r="F39" i="26"/>
  <c r="L27" i="7"/>
  <c r="C37" i="7"/>
  <c r="E26" i="7"/>
  <c r="E27" i="7"/>
  <c r="E28" i="7"/>
  <c r="E29" i="7"/>
  <c r="E30" i="7"/>
  <c r="E31" i="7"/>
  <c r="E25" i="7"/>
  <c r="E12" i="7"/>
  <c r="E13" i="7"/>
  <c r="F13" i="25"/>
  <c r="F14" i="25" s="1"/>
  <c r="F15" i="25" s="1"/>
  <c r="F16" i="25" s="1"/>
  <c r="F17" i="25" s="1"/>
  <c r="F18" i="25" s="1"/>
  <c r="F13" i="24"/>
  <c r="F14" i="24" s="1"/>
  <c r="F15" i="24" s="1"/>
  <c r="F16" i="24" s="1"/>
  <c r="F17" i="24" s="1"/>
  <c r="F18" i="24" s="1"/>
  <c r="F19" i="24" s="1"/>
  <c r="F21" i="24" s="1"/>
  <c r="F22" i="24" s="1"/>
  <c r="F23" i="24" s="1"/>
  <c r="F24" i="24" s="1"/>
  <c r="F25" i="24" s="1"/>
  <c r="F13" i="23"/>
  <c r="F14" i="23" s="1"/>
  <c r="F15" i="23" s="1"/>
  <c r="F16" i="23" s="1"/>
  <c r="F17" i="23" s="1"/>
  <c r="F18" i="23" s="1"/>
  <c r="F19" i="23" s="1"/>
  <c r="F20" i="23" s="1"/>
  <c r="F22" i="23" s="1"/>
  <c r="F23" i="23" s="1"/>
  <c r="F24" i="23" s="1"/>
  <c r="F25" i="23" s="1"/>
  <c r="F26" i="23" s="1"/>
  <c r="F13" i="22"/>
  <c r="F14" i="22" s="1"/>
  <c r="F15" i="22" s="1"/>
  <c r="F16" i="22" s="1"/>
  <c r="F17" i="22" s="1"/>
  <c r="F18" i="22" s="1"/>
  <c r="F19" i="22" s="1"/>
  <c r="F21" i="22" s="1"/>
  <c r="F22" i="22" s="1"/>
  <c r="F23" i="22" s="1"/>
  <c r="F24" i="22" s="1"/>
  <c r="F25" i="22" s="1"/>
  <c r="F13" i="21"/>
  <c r="F14" i="21" s="1"/>
  <c r="F15" i="21" s="1"/>
  <c r="F16" i="21" s="1"/>
  <c r="F17" i="21" s="1"/>
  <c r="F18" i="21" s="1"/>
  <c r="F19" i="21" s="1"/>
  <c r="F20" i="21" s="1"/>
  <c r="F21" i="21" s="1"/>
  <c r="F23" i="21" s="1"/>
  <c r="F24" i="21" s="1"/>
  <c r="F25" i="21" s="1"/>
  <c r="F26" i="21" s="1"/>
  <c r="F27" i="21" s="1"/>
  <c r="F13" i="20"/>
  <c r="F14" i="20" s="1"/>
  <c r="F15" i="20" s="1"/>
  <c r="F16" i="20" s="1"/>
  <c r="F17" i="20" s="1"/>
  <c r="F18" i="20" s="1"/>
  <c r="F13" i="19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F47" i="19" s="1"/>
  <c r="F48" i="19" s="1"/>
  <c r="F49" i="19" s="1"/>
  <c r="F50" i="19" s="1"/>
  <c r="D57" i="19"/>
  <c r="E57" i="19"/>
  <c r="D64" i="19"/>
  <c r="D63" i="3"/>
  <c r="H36" i="26" l="1"/>
  <c r="H38" i="26"/>
  <c r="H40" i="26"/>
  <c r="H39" i="26"/>
  <c r="H37" i="26"/>
  <c r="F30" i="25"/>
  <c r="F55" i="2" s="1"/>
  <c r="F19" i="25"/>
  <c r="F20" i="25" s="1"/>
  <c r="F21" i="25" s="1"/>
  <c r="F22" i="25" s="1"/>
  <c r="F20" i="24"/>
  <c r="F21" i="23"/>
  <c r="F20" i="22"/>
  <c r="F22" i="21"/>
  <c r="F29" i="20"/>
  <c r="F50" i="2" s="1"/>
  <c r="F19" i="20"/>
  <c r="F20" i="20" s="1"/>
  <c r="F21" i="20" s="1"/>
  <c r="F52" i="19"/>
  <c r="F53" i="19" s="1"/>
  <c r="F54" i="19" s="1"/>
  <c r="F55" i="19" s="1"/>
  <c r="F56" i="19" s="1"/>
  <c r="F51" i="19"/>
  <c r="F57" i="19"/>
  <c r="F66" i="19" s="1"/>
  <c r="F49" i="2" s="1"/>
  <c r="F27" i="22"/>
  <c r="F52" i="2" s="1"/>
  <c r="F28" i="23"/>
  <c r="F53" i="2" s="1"/>
  <c r="F29" i="21"/>
  <c r="F51" i="2" s="1"/>
  <c r="F27" i="24"/>
  <c r="F54" i="2" s="1"/>
  <c r="D35" i="3"/>
  <c r="D19" i="3"/>
  <c r="D13" i="3"/>
  <c r="E37" i="2"/>
  <c r="F37" i="2"/>
  <c r="G42" i="26" l="1"/>
  <c r="H41" i="26"/>
  <c r="H42" i="26"/>
  <c r="E29" i="26"/>
  <c r="F24" i="25"/>
  <c r="F25" i="25" s="1"/>
  <c r="F26" i="25" s="1"/>
  <c r="F27" i="25" s="1"/>
  <c r="F28" i="25" s="1"/>
  <c r="F23" i="25"/>
  <c r="F22" i="20"/>
  <c r="F23" i="20"/>
  <c r="F24" i="20" s="1"/>
  <c r="F25" i="20" s="1"/>
  <c r="F26" i="20" s="1"/>
  <c r="F27" i="20" s="1"/>
  <c r="L37" i="2"/>
  <c r="M37" i="2"/>
  <c r="D55" i="3" l="1"/>
  <c r="D43" i="3"/>
  <c r="L39" i="2" l="1"/>
  <c r="D32" i="18" l="1"/>
  <c r="J31" i="18"/>
  <c r="L30" i="18" s="1"/>
  <c r="L29" i="18"/>
  <c r="E14" i="18"/>
  <c r="E23" i="18" s="1"/>
  <c r="L26" i="18" l="1"/>
  <c r="L24" i="18"/>
  <c r="L27" i="18"/>
  <c r="I27" i="18"/>
  <c r="M27" i="18" s="1"/>
  <c r="I30" i="18"/>
  <c r="M30" i="18" s="1"/>
  <c r="I28" i="18"/>
  <c r="M28" i="18" s="1"/>
  <c r="I29" i="18"/>
  <c r="M29" i="18" s="1"/>
  <c r="I25" i="18"/>
  <c r="M25" i="18" s="1"/>
  <c r="I26" i="18"/>
  <c r="M26" i="18" s="1"/>
  <c r="I24" i="18"/>
  <c r="M24" i="18" s="1"/>
  <c r="L28" i="18"/>
  <c r="L25" i="18"/>
  <c r="L31" i="18" l="1"/>
  <c r="E28" i="18"/>
  <c r="N27" i="18"/>
  <c r="E30" i="18"/>
  <c r="N29" i="18"/>
  <c r="E31" i="18"/>
  <c r="N30" i="18"/>
  <c r="M31" i="18"/>
  <c r="E25" i="18"/>
  <c r="N24" i="18"/>
  <c r="E27" i="18"/>
  <c r="N26" i="18"/>
  <c r="E26" i="18"/>
  <c r="N25" i="18"/>
  <c r="N28" i="18"/>
  <c r="E29" i="18"/>
  <c r="G44" i="15"/>
  <c r="E42" i="15"/>
  <c r="E37" i="15"/>
  <c r="J30" i="15"/>
  <c r="L29" i="15"/>
  <c r="N29" i="15" s="1"/>
  <c r="L28" i="15"/>
  <c r="N28" i="15" s="1"/>
  <c r="E28" i="15"/>
  <c r="N27" i="15"/>
  <c r="L27" i="15"/>
  <c r="L26" i="15"/>
  <c r="N26" i="15" s="1"/>
  <c r="L25" i="15"/>
  <c r="N24" i="15"/>
  <c r="N23" i="15"/>
  <c r="E23" i="15"/>
  <c r="M20" i="15"/>
  <c r="L20" i="15"/>
  <c r="K20" i="15"/>
  <c r="J20" i="15"/>
  <c r="K6" i="15" s="1"/>
  <c r="N19" i="15"/>
  <c r="N18" i="15"/>
  <c r="E18" i="15"/>
  <c r="N17" i="15"/>
  <c r="N16" i="15"/>
  <c r="N15" i="15"/>
  <c r="N14" i="15"/>
  <c r="N13" i="15"/>
  <c r="E12" i="15"/>
  <c r="M10" i="15"/>
  <c r="L10" i="15"/>
  <c r="N9" i="15"/>
  <c r="N8" i="15"/>
  <c r="N7" i="15"/>
  <c r="E7" i="15"/>
  <c r="N6" i="15"/>
  <c r="N5" i="15"/>
  <c r="N4" i="15"/>
  <c r="N3" i="15"/>
  <c r="C43" i="7"/>
  <c r="C42" i="7"/>
  <c r="C41" i="7"/>
  <c r="C40" i="7"/>
  <c r="C39" i="7"/>
  <c r="C38" i="7"/>
  <c r="E32" i="7"/>
  <c r="D32" i="7"/>
  <c r="J31" i="7"/>
  <c r="L29" i="7" s="1"/>
  <c r="C18" i="7"/>
  <c r="E16" i="7"/>
  <c r="E15" i="7"/>
  <c r="E14" i="7"/>
  <c r="E11" i="7"/>
  <c r="E10" i="7"/>
  <c r="E9" i="7"/>
  <c r="D81" i="3"/>
  <c r="D85" i="3" s="1"/>
  <c r="D74" i="3"/>
  <c r="D70" i="3"/>
  <c r="D47" i="3"/>
  <c r="M40" i="2"/>
  <c r="F40" i="2"/>
  <c r="G22" i="1"/>
  <c r="G25" i="1" s="1"/>
  <c r="F22" i="1"/>
  <c r="F24" i="1" s="1"/>
  <c r="L24" i="7" l="1"/>
  <c r="L30" i="7"/>
  <c r="L26" i="7"/>
  <c r="E43" i="7"/>
  <c r="L25" i="7"/>
  <c r="E41" i="7"/>
  <c r="E38" i="7"/>
  <c r="L28" i="7"/>
  <c r="D83" i="3"/>
  <c r="E39" i="2"/>
  <c r="F41" i="2" s="1"/>
  <c r="F44" i="2" s="1"/>
  <c r="N31" i="18"/>
  <c r="E32" i="18"/>
  <c r="M41" i="2"/>
  <c r="F43" i="2" s="1"/>
  <c r="F37" i="15"/>
  <c r="F28" i="15"/>
  <c r="E44" i="15"/>
  <c r="F7" i="15" s="1"/>
  <c r="L30" i="15"/>
  <c r="N25" i="15"/>
  <c r="N30" i="15" s="1"/>
  <c r="E42" i="7"/>
  <c r="E40" i="7"/>
  <c r="N20" i="15"/>
  <c r="K8" i="15"/>
  <c r="K5" i="15"/>
  <c r="K7" i="15"/>
  <c r="K4" i="15"/>
  <c r="K3" i="15"/>
  <c r="E18" i="7"/>
  <c r="C44" i="7"/>
  <c r="N10" i="15"/>
  <c r="K9" i="15"/>
  <c r="D44" i="7"/>
  <c r="E39" i="7"/>
  <c r="F42" i="15"/>
  <c r="G26" i="1"/>
  <c r="F46" i="2" s="1"/>
  <c r="E37" i="7"/>
  <c r="L31" i="7" l="1"/>
  <c r="F45" i="2"/>
  <c r="F47" i="2" s="1"/>
  <c r="E23" i="7"/>
  <c r="K10" i="15"/>
  <c r="E44" i="7"/>
  <c r="F23" i="15"/>
  <c r="F12" i="15"/>
  <c r="F18" i="15"/>
  <c r="F44" i="15" l="1"/>
  <c r="I24" i="7"/>
  <c r="M24" i="7" s="1"/>
  <c r="I29" i="7"/>
  <c r="M29" i="7" s="1"/>
  <c r="I26" i="7"/>
  <c r="M26" i="7" s="1"/>
  <c r="I28" i="7"/>
  <c r="M28" i="7" s="1"/>
  <c r="I27" i="7"/>
  <c r="M27" i="7" s="1"/>
  <c r="I30" i="7"/>
  <c r="M30" i="7" s="1"/>
  <c r="I25" i="7"/>
  <c r="M25" i="7" s="1"/>
  <c r="F56" i="2" l="1"/>
  <c r="M31" i="7"/>
</calcChain>
</file>

<file path=xl/sharedStrings.xml><?xml version="1.0" encoding="utf-8"?>
<sst xmlns="http://schemas.openxmlformats.org/spreadsheetml/2006/main" count="710" uniqueCount="271">
  <si>
    <t>CONDOMINIO EL FRAMBOYANT</t>
  </si>
  <si>
    <t>Calle 30 de Marzo, Las Terrenas, Samaná, República Dominicana 32200</t>
  </si>
  <si>
    <t>FONDO DE RESERVAS</t>
  </si>
  <si>
    <t>Descripción</t>
  </si>
  <si>
    <t>Fecha</t>
  </si>
  <si>
    <t>Tipo</t>
  </si>
  <si>
    <t>Debito</t>
  </si>
  <si>
    <t>Credito</t>
  </si>
  <si>
    <t>BQ</t>
  </si>
  <si>
    <t>TOTAL</t>
  </si>
  <si>
    <t>TOTAL DÉBITO</t>
  </si>
  <si>
    <t>TOTAL CRÉDITO</t>
  </si>
  <si>
    <t>BALANCE AL DÍA</t>
  </si>
  <si>
    <t>Estado CAJA CHICA</t>
  </si>
  <si>
    <t>Estado Cuenta Bancaria/ Banco Popular</t>
  </si>
  <si>
    <t>CA</t>
  </si>
  <si>
    <t>Impuesto 0.15% DGII</t>
  </si>
  <si>
    <t>Pago ENGEL – A5</t>
  </si>
  <si>
    <t>Pago FACQUET – A4</t>
  </si>
  <si>
    <t>Pago ONDELLA – A3</t>
  </si>
  <si>
    <t>Pago SANTOS – A6</t>
  </si>
  <si>
    <t>Pago HAZELTINE – A7</t>
  </si>
  <si>
    <t>Pago GUERIN – A1</t>
  </si>
  <si>
    <t>Pago METAYER-JEAN- A2</t>
  </si>
  <si>
    <t xml:space="preserve">Cargo administrador recordatorio pago 15 dias despues venc.Pedido de fondo – cuota extraordinaria Voto electronico del 09-04-2024 $10,082.01 </t>
  </si>
  <si>
    <t>Cargo administrador recordatorio pago 15 dias despues venc Cuota diff presupuesto gastos reales 12.01.24 - Orden6)</t>
  </si>
  <si>
    <t>CARGO MENSual TD clasica</t>
  </si>
  <si>
    <t>Cargo por servicio Generado</t>
  </si>
  <si>
    <t>Pago Cuota poliza seguro 01CO-185</t>
  </si>
  <si>
    <t xml:space="preserve">Saldo banco </t>
  </si>
  <si>
    <t>Saldo efectivo</t>
  </si>
  <si>
    <t>TOTAL BALANCE AL DÍA</t>
  </si>
  <si>
    <t>Fondo de Reservas</t>
  </si>
  <si>
    <t>BALANCE DISPONIBLE PARA GASTOS:</t>
  </si>
  <si>
    <t>Serge GUERRIN</t>
  </si>
  <si>
    <t>A-1</t>
  </si>
  <si>
    <t>En debito</t>
  </si>
  <si>
    <t>Hervé METAYER</t>
  </si>
  <si>
    <t>A-2</t>
  </si>
  <si>
    <t>Frédéric ONDELLA</t>
  </si>
  <si>
    <t>A-3</t>
  </si>
  <si>
    <t>Patricia FACQUET</t>
  </si>
  <si>
    <t>A-4</t>
  </si>
  <si>
    <t>Gernot ENGEL</t>
  </si>
  <si>
    <t>A-5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</si>
  <si>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</si>
  <si>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A-6</t>
  </si>
  <si>
    <t>Jonathan HAZELTINE</t>
  </si>
  <si>
    <t>A-7</t>
  </si>
  <si>
    <t>Estado detallados de gastos</t>
  </si>
  <si>
    <t>INAPA (Contrato 321528) / Agua</t>
  </si>
  <si>
    <t>Monto</t>
  </si>
  <si>
    <t>Total</t>
  </si>
  <si>
    <t>LUZ Y FUERZA / Electricidad</t>
  </si>
  <si>
    <t>Cargos Bancario / Banco Popular</t>
  </si>
  <si>
    <t>Reparaciones / Mantenimientos</t>
  </si>
  <si>
    <t>Seguro Incendio y R.C.</t>
  </si>
  <si>
    <t>Seguro Incendio + RC (Universal)</t>
  </si>
  <si>
    <t>Basura / Recogida mensual</t>
  </si>
  <si>
    <t>Honorarios del Administrador</t>
  </si>
  <si>
    <t>Honorarios del Administrador (Extras)</t>
  </si>
  <si>
    <t>Honorarios por servicios profesionales</t>
  </si>
  <si>
    <t>Otros gastos diversos</t>
  </si>
  <si>
    <t>TOTAL GENERAL GASTOS COMUNES</t>
  </si>
  <si>
    <t>TOTAL GENERAL GASTOS PERSONALES</t>
  </si>
  <si>
    <t xml:space="preserve">Monto total </t>
  </si>
  <si>
    <t>Notas;</t>
  </si>
  <si>
    <t>Esta cuota extraordinaria es la manera provisional (presupuestos).</t>
  </si>
  <si>
    <t xml:space="preserve">La cierre contable del ejercicio 2024 concluirá una vez que se apruebe en la Asamblea General </t>
  </si>
  <si>
    <t>Ordinaria del principio 2025.</t>
  </si>
  <si>
    <t xml:space="preserve">Les pedimos de realizar su pago lo antes posible.  </t>
  </si>
  <si>
    <t xml:space="preserve">Les recordamos que tiene 15 días de pagar, en contrario 2% de mora será aplicado.  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</si>
  <si>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</si>
  <si>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</si>
  <si>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</si>
  <si>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</si>
  <si>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</si>
  <si>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</si>
  <si>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</si>
  <si>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</si>
  <si>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</si>
  <si>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</si>
  <si>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Gernot ENGER</t>
  </si>
  <si>
    <t>Por mes</t>
  </si>
  <si>
    <t>Meses</t>
  </si>
  <si>
    <t>Anual</t>
  </si>
  <si>
    <t xml:space="preserve">INAPA/Agua </t>
  </si>
  <si>
    <t>Agua (camión de agua)</t>
  </si>
  <si>
    <t>Honorario Administrador</t>
  </si>
  <si>
    <t>Gastos bancario</t>
  </si>
  <si>
    <t>Seguro Incendio y R.C. (20/11/2024-2025)</t>
  </si>
  <si>
    <t>por año</t>
  </si>
  <si>
    <t>Herve METAYER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</si>
  <si>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</si>
  <si>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Gastos</t>
  </si>
  <si>
    <t>Apartamento A-1</t>
  </si>
  <si>
    <t>Serge GUERIN</t>
  </si>
  <si>
    <t xml:space="preserve">serge47.guerin@gmail.com </t>
  </si>
  <si>
    <t xml:space="preserve">Estado de cuenta </t>
  </si>
  <si>
    <t>Débito</t>
  </si>
  <si>
    <t>Crédito</t>
  </si>
  <si>
    <t>Saldo</t>
  </si>
  <si>
    <t>Pago Serge GUERIN</t>
  </si>
  <si>
    <t>Cargo 2% del $26 548.93 (Reglamento Art.33-d)</t>
  </si>
  <si>
    <t>Honorario del Alguacil LT para la Notificación de deudas</t>
  </si>
  <si>
    <t xml:space="preserve">Rectificación error del 09/02/2024 </t>
  </si>
  <si>
    <t>Cargo 2% del $10,082.01 (Reglamento Art.33-d)</t>
  </si>
  <si>
    <t>Cargo 2% de $24,574 (Reglamento Art.33-d)Age 12.01.24 orden 6</t>
  </si>
  <si>
    <t>Cargo 2% del $10,082.01 (Reglamento Art.33-d) voto del 09.04.24</t>
  </si>
  <si>
    <t>Cargo 2% del $16,108.65+1,290.66 Tercer trimestre (Reglamento Art.33-d)</t>
  </si>
  <si>
    <t>Cargo 2% de $24,574 (Reglamento Art.33-d)Diff Presupuesto pared cerca</t>
  </si>
  <si>
    <t>Cargo 2% del $10,082.01 (Reglamento Art.33-d), pedido de fondo cuota extraordinaria del 09.04.34</t>
  </si>
  <si>
    <t>Cargo 2% del $9,252.88(Reglamento Art.33-d) Pedido de fondo cuota excepcional Agosto-2024</t>
  </si>
  <si>
    <t>Cargo 2% de 1,290.66 4To trimestre (Reglamento Art.33-d)</t>
  </si>
  <si>
    <t xml:space="preserve">TOTAL A1-GUERRIN </t>
  </si>
  <si>
    <t>GASTOS PRIVADO - Aparte de los gastos comunes</t>
  </si>
  <si>
    <t>Cargo administrador segundo recordatorio pago 45 dias despues venc. (Pedido 2do Trimiestre Abril-Junio 2024</t>
  </si>
  <si>
    <t>Cargo administrador segundo recordatorio pago 45 dias despues venc. (Cuota diff presupuesto gastos reales 12.01.24 - Orden6)</t>
  </si>
  <si>
    <t>Honorarios Alguacil-Notificacion de pago</t>
  </si>
  <si>
    <t>Cargo administrador recordatorio Pedido Excepcional Agosto-24</t>
  </si>
  <si>
    <t>total</t>
  </si>
  <si>
    <t xml:space="preserve">Nota Importante: </t>
  </si>
  <si>
    <t>TOTAL en debito</t>
  </si>
  <si>
    <t>Banco POPULAR</t>
  </si>
  <si>
    <t>Cuenta Corriente - Sra YUNAIRY ENCARNACION - Cedula 134-0005411-3</t>
  </si>
  <si>
    <t>Cuenta : 0839787280</t>
  </si>
  <si>
    <t>Pesos</t>
  </si>
  <si>
    <t>Apartamento A-2</t>
  </si>
  <si>
    <t>Hervé METAYER / Corine JEAN</t>
  </si>
  <si>
    <t>hmetayer.business@gmail.com; corine.2021@outlook.fr</t>
  </si>
  <si>
    <t>Pago METAYER-JEAN</t>
  </si>
  <si>
    <t>Cargo MoneyGram/Deposito Banco-Gasto Personal-A2</t>
  </si>
  <si>
    <t xml:space="preserve">TOTAL A2-METAYER </t>
  </si>
  <si>
    <t>Cargo MoneyGram/Deposito Banco</t>
  </si>
  <si>
    <t>Apartamento A3</t>
  </si>
  <si>
    <t>ondellaf@yahoo.fr</t>
  </si>
  <si>
    <t>Pago Frédéric ONDELLA</t>
  </si>
  <si>
    <t>COMPRA DE 3 CAMION DE AGUA, fuga de agua flotador tinaco A-3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</si>
  <si>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</si>
  <si>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</si>
  <si>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</si>
  <si>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</si>
  <si>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</si>
  <si>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</si>
  <si>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</si>
  <si>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</si>
  <si>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</si>
  <si>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</si>
  <si>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</si>
  <si>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</si>
  <si>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</si>
  <si>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</si>
  <si>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</si>
  <si>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</si>
  <si>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</si>
  <si>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</si>
  <si>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</si>
  <si>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TOTAL A7-HAZELTINE</t>
  </si>
  <si>
    <t>COMPRA DE 1 CAMION DE AGUA, fuga de agua lavamano segundo piso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</si>
  <si>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</si>
  <si>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</si>
  <si>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</si>
  <si>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</si>
  <si>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</si>
  <si>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</si>
  <si>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</si>
  <si>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</si>
  <si>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</si>
  <si>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</si>
  <si>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</si>
  <si>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</si>
  <si>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</si>
  <si>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</si>
  <si>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</si>
  <si>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</si>
  <si>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</si>
  <si>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</si>
  <si>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</si>
  <si>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</si>
  <si>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</si>
  <si>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</si>
  <si>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</si>
  <si>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</si>
  <si>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</si>
  <si>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</si>
  <si>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</si>
  <si>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</si>
  <si>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</si>
  <si>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</si>
  <si>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</si>
  <si>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</si>
  <si>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</si>
  <si>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</si>
  <si>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</si>
  <si>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>SP-01-03-001</t>
  </si>
  <si>
    <t>SE-01-03-001</t>
  </si>
  <si>
    <t>SE-00-01-001</t>
  </si>
  <si>
    <t>TOTAL METRO CUADRADOS</t>
  </si>
  <si>
    <t>COMPRA DE 1 CAMION DE AGUA, fuga de agua</t>
  </si>
  <si>
    <t>Compra de Bomba de agua  sumergible+ Materiales</t>
  </si>
  <si>
    <t>Compra de 6 Camiones de agua (Averia inapa)</t>
  </si>
  <si>
    <t>Pedido de fondo para trabajos emergencia  2025</t>
  </si>
  <si>
    <t>Mano de obra y chequeo bomba sumergible</t>
  </si>
  <si>
    <t>Yile-Limpieza profunda de locales de basura y safacones</t>
  </si>
  <si>
    <t>Pedido de fondo – cuota extraordinaria Voto electronico del 11-10-2024</t>
  </si>
  <si>
    <t>Pedido de fondo – cuota extraordinaria Voto electronico del 09-12-2024</t>
  </si>
  <si>
    <t>Pedido Excepcional- Enero 2025</t>
  </si>
  <si>
    <t>JEAN-METAYER</t>
  </si>
  <si>
    <t>COMPRA DE MEDIO CAMION DE AGUA, fuga de agua flotador tinaco A-3</t>
  </si>
  <si>
    <t>Yile- Limpieza de Zafacones</t>
  </si>
  <si>
    <t>Reparacion tubo septico,materiales y mano de obra</t>
  </si>
  <si>
    <t>Yile jardinero-limpieza de casitas basura, bomba,parqueo,desagues y escalera</t>
  </si>
  <si>
    <t xml:space="preserve">TOTAL en Debito: </t>
  </si>
  <si>
    <t>Cargo administrador recordatorio pago 15 dias despues venc.Pedido de fondo – cuota extraordinaria Voto electronico del 11-10-2024. y 09.12.24 + pedido excepional enero-25</t>
  </si>
  <si>
    <t>Cargo administrador recordatorio pago 15 dias despues venc.Pedido de fondo – cuota extraordinaria Voto electronico del 11-10-2024. y 09.12.24 + pedido excepional enero-25( cargo A1 y A4)</t>
  </si>
  <si>
    <t>Luz Diciembre 2024 (95 kwh)</t>
  </si>
  <si>
    <t>Luz y Fuerza-Diciembre 2024</t>
  </si>
  <si>
    <t>Inapa Diciembre y Enero</t>
  </si>
  <si>
    <t>Andre Lora- Recogida basura Diciembre y enero</t>
  </si>
  <si>
    <t>INAPA Diciembre 2024 y Enero 2025</t>
  </si>
  <si>
    <t>Recogida basura Diciembre 2024 y Enero 2025</t>
  </si>
  <si>
    <t>Deposito a Cuenta Banco</t>
  </si>
  <si>
    <t>Deposito desde Caja chica</t>
  </si>
  <si>
    <t>Adelanto 60% inscripcion al RNC condominio Framboyant</t>
  </si>
  <si>
    <t>Cargo administrador recordatorio pago 15 dias despues venc.Pedido de fondo – cuota extraordinaria Voto electronico del 11-10-2024. y 09.12.24 + pedido excepional enero-25( cargo A1 )</t>
  </si>
  <si>
    <t>Completivo Honorarios Administrador (Enero-2025)</t>
  </si>
  <si>
    <t>Pago final 40% inscripcion al Rnc Condominio</t>
  </si>
  <si>
    <t>Saldo balance al 31/12/2024</t>
  </si>
  <si>
    <t>Honorario administrador Enero 2025</t>
  </si>
  <si>
    <t>Periodo de 01/01 hasta 31/12/2025</t>
  </si>
  <si>
    <t>Deposito- Compra bomba sumergible</t>
  </si>
  <si>
    <t>Elias Batista- Limpieza Mata de palma y recogida de basura</t>
  </si>
  <si>
    <t>Elias Batista- Limpieza y recogida de basura en el framboyan y el canal</t>
  </si>
  <si>
    <t>Elias Batista- Limpieza De porton</t>
  </si>
  <si>
    <t>Elia-Limpieza caños de entrada A1/2/#3</t>
  </si>
  <si>
    <t>Luz y Fuerza-Enero 2025</t>
  </si>
  <si>
    <t>Inapa Febrero</t>
  </si>
  <si>
    <t>Andre Lora- Recogida basura Febrero 2025</t>
  </si>
  <si>
    <t>INAPA Febrero 2025</t>
  </si>
  <si>
    <t>Luz Enero 2025 (86 kwh)</t>
  </si>
  <si>
    <t>Recogida basura Febrero 2025</t>
  </si>
  <si>
    <t>Honorario administrador Diciembre 2025</t>
  </si>
  <si>
    <t>Su estado de cuenta está en manera provisional hasta que se cierran las contabilidades del 2025.</t>
  </si>
  <si>
    <t>1er Trimestre 2025 (Enero – Marzo) / Gastos común provisional</t>
  </si>
  <si>
    <t>Gastos Total año 2024 (Aprobado en AGO del 01 de marzo)</t>
  </si>
  <si>
    <t>Periodo de 01/01/2025 hasta 06/03/2025</t>
  </si>
  <si>
    <t>Su estado de cuenta está en manera provisional hasta que se cierran las contabilidades del 2025</t>
  </si>
  <si>
    <t>Gastos Total año 2024 (Aprobado en AGO DEL 01 de marzo)</t>
  </si>
  <si>
    <t>Periodo de 01/01/202 hasta 06/03/2025</t>
  </si>
  <si>
    <t>Gastos Total año 2024 (Aprobado en AGO)</t>
  </si>
  <si>
    <t>Jardinero-Limpieza casitas basuras+ casita bomba</t>
  </si>
  <si>
    <t>Total Anual Gastos Provisional 2025</t>
  </si>
  <si>
    <t>Se pedirá trimestralmente (4 veces) :                                                                          136,960.00</t>
  </si>
  <si>
    <t>Repartición de gasto común provisional 2025:</t>
  </si>
  <si>
    <t>MONTO TRIMESTRE 2025</t>
  </si>
  <si>
    <t>Calculo presupuesto 2025</t>
  </si>
  <si>
    <t xml:space="preserve">Presupuesto Provisional 2025 </t>
  </si>
  <si>
    <t>SALDO ANTERIOR BALANCE AL 31/12/2024</t>
  </si>
  <si>
    <t>TOTAL A-3 FREDERIC ONDELLA</t>
  </si>
  <si>
    <t>Repartición de Cuota Extraordianaria - Enero 2025</t>
  </si>
  <si>
    <t>BALANCE AL 31/12/2024</t>
  </si>
  <si>
    <t>Cuota Extraordinaria - Inscripcion de privilegio contra unidad A1</t>
  </si>
  <si>
    <t>Repartición de Cuota Extraordinaria - Inscripcion de privilegio contra unidad A1</t>
  </si>
  <si>
    <t xml:space="preserve">La cierre contable del ejercicio 2025 concluirá una vez que se apruebe en la Asamblea General </t>
  </si>
  <si>
    <t>Ordinaria del principio 2026.</t>
  </si>
  <si>
    <t>Reparticion sin A1</t>
  </si>
  <si>
    <t>Inscripcion de Privilegio en el Registro de Titulo de Samana</t>
  </si>
  <si>
    <t>Esta cuota extraordinaria es la manera provisional (presupuestos). Esta al cargo unico del copropietario moroso, y los otros copropietarios estaran reembolsado en cuando se cobra la deuda de unidad A1</t>
  </si>
  <si>
    <t>% sin A1</t>
  </si>
  <si>
    <t>Cargo administrador segundo recordatorio pago 45 dias despues venc. ( cuota extraordinaria Voto electronico del 11-10-2024. y 09.12.24 + pedido excepional enero-25)</t>
  </si>
  <si>
    <t>Fecha limite de pago : 28 de marzo a las 4.00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</si>
</sst>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[$-1C0A]dd/mm/yyyy"/>
    <numFmt numFmtId="165" formatCode="[$-409]#,##0.00"/>
    <numFmt numFmtId="166" formatCode="[$-1C0A]#,##0.00"/>
    <numFmt numFmtId="167" formatCode="[$]@"/>
    <numFmt numFmtId="168" formatCode="[$-1C0A]#,##0.00;[Red]\-#,##0.00"/>
    <numFmt numFmtId="169" formatCode="[$-1C0A]0.00%"/>
    <numFmt numFmtId="170" formatCode="[$-1C0A]0%"/>
    <numFmt numFmtId="171" formatCode="[$-409]#,##0"/>
    <numFmt numFmtId="172" formatCode="#,##0.0000"/>
    <numFmt numFmtId="173" formatCode="#,##0.000"/>
    <numFmt numFmtId="174" formatCode="[$-409]#,##0.00;[Red]\-#,##0.00"/>
    <numFmt numFmtId="175" formatCode="[$RD$-1C0A]\ #,##0.00;[Red]\-[$RD$-1C0A]\ #,##0.00"/>
    <numFmt numFmtId="176" formatCode="&quot;$&quot;#,##0.00;[Red]&quot;$&quot;#,##0.00"/>
    <numFmt numFmtId="177" formatCode="0.0000"/>
    <numFmt numFmtId="178" formatCode="#,##0.000000"/>
  </numFmts>
  <fonts count="4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i/>
      <sz val="11"/>
      <color rgb="FF800080"/>
      <name val="Arial"/>
      <family val="2"/>
    </font>
    <font>
      <i/>
      <sz val="11"/>
      <color rgb="FF800080"/>
      <name val="Arial"/>
      <family val="2"/>
    </font>
    <font>
      <b/>
      <sz val="12"/>
      <color theme="1"/>
      <name val="Arial"/>
      <family val="2"/>
    </font>
    <font>
      <b/>
      <i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color rgb="FFFF0000"/>
      <name val="Arial"/>
      <family val="2"/>
    </font>
    <font>
      <i/>
      <sz val="11"/>
      <color theme="1"/>
      <name val="Helvetica Neue"/>
      <family val="2"/>
    </font>
    <font>
      <b/>
      <i/>
      <sz val="10"/>
      <color rgb="FFFF0000"/>
      <name val="Arial"/>
      <family val="2"/>
    </font>
    <font>
      <b/>
      <i/>
      <u/>
      <sz val="10"/>
      <color rgb="FFFF0000"/>
      <name val="Arial"/>
      <family val="2"/>
    </font>
    <font>
      <sz val="10"/>
      <color rgb="FF000000"/>
      <name val="Arial"/>
      <family val="2"/>
    </font>
    <font>
      <i/>
      <sz val="10"/>
      <color theme="1"/>
      <name val="Helvetica Neue"/>
      <family val="2"/>
    </font>
    <font>
      <u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355269"/>
      <name val="Arial"/>
      <family val="2"/>
    </font>
    <font>
      <b/>
      <i/>
      <sz val="10"/>
      <color rgb="FF355269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7D1D5"/>
        <bgColor rgb="FFF7D1D5"/>
      </patternFill>
    </fill>
    <fill>
      <patternFill patternType="solid">
        <fgColor theme="0"/>
        <bgColor theme="0"/>
      </patternFill>
    </fill>
    <fill>
      <patternFill patternType="solid">
        <fgColor rgb="FFDDE8CB"/>
        <bgColor rgb="FFDDE8CB"/>
      </patternFill>
    </fill>
    <fill>
      <patternFill patternType="solid">
        <fgColor rgb="FFFFF5CE"/>
        <bgColor rgb="FFFFF5CE"/>
      </patternFill>
    </fill>
    <fill>
      <patternFill patternType="solid">
        <fgColor rgb="FFCCCCCC"/>
        <bgColor rgb="FFCCCCCC"/>
      </patternFill>
    </fill>
    <fill>
      <patternFill patternType="solid">
        <fgColor rgb="FFF6F9D4"/>
        <bgColor rgb="FFF6F9D4"/>
      </patternFill>
    </fill>
    <fill>
      <patternFill patternType="solid">
        <fgColor rgb="FFDDDDDD"/>
        <bgColor rgb="FFDDDDD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38" fillId="0" borderId="9"/>
    <xf numFmtId="9" fontId="39" fillId="0" borderId="0" applyFont="0" applyFill="0" applyBorder="0" applyAlignment="0" applyProtection="0"/>
  </cellStyleXfs>
  <cellXfs count="417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vertical="center"/>
    </xf>
    <xf numFmtId="49" fontId="4" fillId="0" borderId="4" xfId="0" applyNumberFormat="1" applyFont="1" applyBorder="1"/>
    <xf numFmtId="164" fontId="4" fillId="0" borderId="4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49" fontId="1" fillId="0" borderId="5" xfId="0" applyNumberFormat="1" applyFont="1" applyBorder="1"/>
    <xf numFmtId="164" fontId="1" fillId="0" borderId="6" xfId="0" applyNumberFormat="1" applyFont="1" applyBorder="1" applyAlignment="1">
      <alignment horizontal="center"/>
    </xf>
    <xf numFmtId="166" fontId="1" fillId="0" borderId="6" xfId="0" applyNumberFormat="1" applyFont="1" applyBorder="1"/>
    <xf numFmtId="167" fontId="1" fillId="0" borderId="5" xfId="0" applyNumberFormat="1" applyFont="1" applyBorder="1"/>
    <xf numFmtId="164" fontId="1" fillId="0" borderId="5" xfId="0" applyNumberFormat="1" applyFont="1" applyBorder="1" applyAlignment="1">
      <alignment horizontal="center"/>
    </xf>
    <xf numFmtId="166" fontId="1" fillId="0" borderId="5" xfId="0" applyNumberFormat="1" applyFont="1" applyBorder="1"/>
    <xf numFmtId="166" fontId="1" fillId="0" borderId="0" xfId="0" applyNumberFormat="1" applyFont="1"/>
    <xf numFmtId="166" fontId="1" fillId="3" borderId="10" xfId="0" applyNumberFormat="1" applyFont="1" applyFill="1" applyBorder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/>
    </xf>
    <xf numFmtId="166" fontId="5" fillId="0" borderId="0" xfId="0" applyNumberFormat="1" applyFont="1"/>
    <xf numFmtId="49" fontId="5" fillId="2" borderId="9" xfId="0" applyNumberFormat="1" applyFon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left"/>
    </xf>
    <xf numFmtId="164" fontId="1" fillId="2" borderId="9" xfId="0" applyNumberFormat="1" applyFont="1" applyFill="1" applyBorder="1" applyAlignment="1">
      <alignment horizontal="center"/>
    </xf>
    <xf numFmtId="166" fontId="5" fillId="2" borderId="9" xfId="0" applyNumberFormat="1" applyFont="1" applyFill="1" applyBorder="1"/>
    <xf numFmtId="49" fontId="3" fillId="4" borderId="1" xfId="0" applyNumberFormat="1" applyFont="1" applyFill="1" applyBorder="1" applyAlignment="1">
      <alignment horizontal="left" vertical="center"/>
    </xf>
    <xf numFmtId="164" fontId="1" fillId="4" borderId="2" xfId="0" applyNumberFormat="1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vertical="center"/>
    </xf>
    <xf numFmtId="165" fontId="1" fillId="0" borderId="5" xfId="0" applyNumberFormat="1" applyFont="1" applyBorder="1"/>
    <xf numFmtId="167" fontId="7" fillId="3" borderId="4" xfId="0" applyNumberFormat="1" applyFont="1" applyFill="1" applyBorder="1" applyAlignment="1">
      <alignment vertical="center" wrapText="1"/>
    </xf>
    <xf numFmtId="167" fontId="1" fillId="0" borderId="7" xfId="0" applyNumberFormat="1" applyFont="1" applyBorder="1"/>
    <xf numFmtId="167" fontId="1" fillId="0" borderId="0" xfId="0" applyNumberFormat="1" applyFont="1"/>
    <xf numFmtId="49" fontId="5" fillId="4" borderId="9" xfId="0" applyNumberFormat="1" applyFont="1" applyFill="1" applyBorder="1" applyAlignment="1">
      <alignment horizontal="right"/>
    </xf>
    <xf numFmtId="164" fontId="1" fillId="4" borderId="9" xfId="0" applyNumberFormat="1" applyFont="1" applyFill="1" applyBorder="1" applyAlignment="1">
      <alignment horizontal="left"/>
    </xf>
    <xf numFmtId="164" fontId="1" fillId="4" borderId="9" xfId="0" applyNumberFormat="1" applyFont="1" applyFill="1" applyBorder="1" applyAlignment="1">
      <alignment horizontal="center"/>
    </xf>
    <xf numFmtId="166" fontId="5" fillId="4" borderId="9" xfId="0" applyNumberFormat="1" applyFont="1" applyFill="1" applyBorder="1"/>
    <xf numFmtId="165" fontId="5" fillId="0" borderId="0" xfId="0" applyNumberFormat="1" applyFont="1"/>
    <xf numFmtId="49" fontId="5" fillId="0" borderId="17" xfId="0" applyNumberFormat="1" applyFont="1" applyBorder="1" applyAlignment="1">
      <alignment horizontal="right"/>
    </xf>
    <xf numFmtId="164" fontId="1" fillId="0" borderId="18" xfId="0" applyNumberFormat="1" applyFont="1" applyBorder="1" applyAlignment="1">
      <alignment horizontal="center"/>
    </xf>
    <xf numFmtId="165" fontId="5" fillId="0" borderId="18" xfId="0" applyNumberFormat="1" applyFont="1" applyBorder="1"/>
    <xf numFmtId="165" fontId="5" fillId="0" borderId="19" xfId="0" applyNumberFormat="1" applyFont="1" applyBorder="1"/>
    <xf numFmtId="49" fontId="5" fillId="0" borderId="20" xfId="0" applyNumberFormat="1" applyFont="1" applyBorder="1" applyAlignment="1">
      <alignment horizontal="right"/>
    </xf>
    <xf numFmtId="165" fontId="5" fillId="0" borderId="21" xfId="0" applyNumberFormat="1" applyFont="1" applyBorder="1"/>
    <xf numFmtId="0" fontId="10" fillId="0" borderId="0" xfId="0" applyFont="1"/>
    <xf numFmtId="49" fontId="5" fillId="0" borderId="22" xfId="0" applyNumberFormat="1" applyFont="1" applyBorder="1" applyAlignment="1">
      <alignment horizontal="right"/>
    </xf>
    <xf numFmtId="164" fontId="6" fillId="0" borderId="23" xfId="0" applyNumberFormat="1" applyFont="1" applyBorder="1" applyAlignment="1">
      <alignment horizontal="right"/>
    </xf>
    <xf numFmtId="164" fontId="6" fillId="0" borderId="23" xfId="0" applyNumberFormat="1" applyFont="1" applyBorder="1" applyAlignment="1">
      <alignment horizontal="center"/>
    </xf>
    <xf numFmtId="165" fontId="5" fillId="0" borderId="23" xfId="0" applyNumberFormat="1" applyFont="1" applyBorder="1"/>
    <xf numFmtId="165" fontId="6" fillId="0" borderId="24" xfId="0" applyNumberFormat="1" applyFont="1" applyBorder="1"/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/>
    <xf numFmtId="165" fontId="11" fillId="0" borderId="0" xfId="0" applyNumberFormat="1" applyFont="1" applyAlignment="1">
      <alignment horizontal="right"/>
    </xf>
    <xf numFmtId="165" fontId="11" fillId="0" borderId="0" xfId="0" applyNumberFormat="1" applyFont="1"/>
    <xf numFmtId="165" fontId="12" fillId="0" borderId="0" xfId="0" applyNumberFormat="1" applyFont="1" applyAlignment="1">
      <alignment horizontal="right"/>
    </xf>
    <xf numFmtId="165" fontId="12" fillId="0" borderId="0" xfId="0" applyNumberFormat="1" applyFont="1"/>
    <xf numFmtId="165" fontId="6" fillId="0" borderId="0" xfId="0" applyNumberFormat="1" applyFont="1" applyAlignment="1">
      <alignment horizontal="right"/>
    </xf>
    <xf numFmtId="165" fontId="13" fillId="0" borderId="0" xfId="0" applyNumberFormat="1" applyFont="1"/>
    <xf numFmtId="164" fontId="1" fillId="5" borderId="9" xfId="0" applyNumberFormat="1" applyFont="1" applyFill="1" applyBorder="1" applyAlignment="1">
      <alignment horizontal="center"/>
    </xf>
    <xf numFmtId="49" fontId="5" fillId="5" borderId="9" xfId="0" applyNumberFormat="1" applyFont="1" applyFill="1" applyBorder="1" applyAlignment="1">
      <alignment horizontal="right"/>
    </xf>
    <xf numFmtId="165" fontId="5" fillId="5" borderId="9" xfId="0" applyNumberFormat="1" applyFont="1" applyFill="1" applyBorder="1" applyAlignment="1">
      <alignment horizontal="center"/>
    </xf>
    <xf numFmtId="168" fontId="5" fillId="5" borderId="9" xfId="0" applyNumberFormat="1" applyFont="1" applyFill="1" applyBorder="1"/>
    <xf numFmtId="0" fontId="15" fillId="0" borderId="0" xfId="0" applyFont="1"/>
    <xf numFmtId="165" fontId="4" fillId="5" borderId="9" xfId="0" applyNumberFormat="1" applyFont="1" applyFill="1" applyBorder="1" applyAlignment="1">
      <alignment horizontal="right"/>
    </xf>
    <xf numFmtId="168" fontId="6" fillId="5" borderId="9" xfId="0" applyNumberFormat="1" applyFont="1" applyFill="1" applyBorder="1"/>
    <xf numFmtId="0" fontId="16" fillId="0" borderId="0" xfId="0" applyFont="1"/>
    <xf numFmtId="49" fontId="3" fillId="6" borderId="1" xfId="0" applyNumberFormat="1" applyFont="1" applyFill="1" applyBorder="1" applyAlignment="1">
      <alignment horizontal="left" vertical="center"/>
    </xf>
    <xf numFmtId="164" fontId="1" fillId="6" borderId="2" xfId="0" applyNumberFormat="1" applyFont="1" applyFill="1" applyBorder="1" applyAlignment="1">
      <alignment horizontal="center" vertical="center"/>
    </xf>
    <xf numFmtId="165" fontId="1" fillId="6" borderId="3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6" xfId="0" applyNumberFormat="1" applyFont="1" applyBorder="1"/>
    <xf numFmtId="167" fontId="1" fillId="0" borderId="4" xfId="0" applyNumberFormat="1" applyFont="1" applyBorder="1"/>
    <xf numFmtId="165" fontId="4" fillId="0" borderId="4" xfId="0" applyNumberFormat="1" applyFont="1" applyBorder="1"/>
    <xf numFmtId="49" fontId="1" fillId="0" borderId="6" xfId="0" applyNumberFormat="1" applyFont="1" applyBorder="1"/>
    <xf numFmtId="165" fontId="1" fillId="0" borderId="8" xfId="0" applyNumberFormat="1" applyFont="1" applyBorder="1"/>
    <xf numFmtId="4" fontId="1" fillId="0" borderId="0" xfId="0" applyNumberFormat="1" applyFont="1"/>
    <xf numFmtId="165" fontId="1" fillId="3" borderId="25" xfId="0" applyNumberFormat="1" applyFont="1" applyFill="1" applyBorder="1"/>
    <xf numFmtId="49" fontId="1" fillId="0" borderId="4" xfId="0" applyNumberFormat="1" applyFont="1" applyBorder="1"/>
    <xf numFmtId="164" fontId="1" fillId="3" borderId="4" xfId="0" applyNumberFormat="1" applyFont="1" applyFill="1" applyBorder="1" applyAlignment="1">
      <alignment horizontal="center"/>
    </xf>
    <xf numFmtId="165" fontId="1" fillId="0" borderId="4" xfId="0" applyNumberFormat="1" applyFont="1" applyBorder="1"/>
    <xf numFmtId="49" fontId="1" fillId="0" borderId="26" xfId="0" applyNumberFormat="1" applyFont="1" applyBorder="1"/>
    <xf numFmtId="165" fontId="1" fillId="0" borderId="27" xfId="0" applyNumberFormat="1" applyFont="1" applyBorder="1"/>
    <xf numFmtId="165" fontId="4" fillId="0" borderId="0" xfId="0" applyNumberFormat="1" applyFont="1"/>
    <xf numFmtId="167" fontId="4" fillId="0" borderId="4" xfId="0" applyNumberFormat="1" applyFont="1" applyBorder="1"/>
    <xf numFmtId="165" fontId="17" fillId="0" borderId="27" xfId="0" applyNumberFormat="1" applyFont="1" applyBorder="1"/>
    <xf numFmtId="167" fontId="17" fillId="0" borderId="4" xfId="0" applyNumberFormat="1" applyFont="1" applyBorder="1"/>
    <xf numFmtId="164" fontId="17" fillId="0" borderId="4" xfId="0" applyNumberFormat="1" applyFont="1" applyBorder="1" applyAlignment="1">
      <alignment horizontal="center"/>
    </xf>
    <xf numFmtId="165" fontId="18" fillId="0" borderId="4" xfId="0" applyNumberFormat="1" applyFont="1" applyBorder="1"/>
    <xf numFmtId="49" fontId="5" fillId="0" borderId="0" xfId="0" applyNumberFormat="1" applyFont="1"/>
    <xf numFmtId="0" fontId="19" fillId="0" borderId="0" xfId="0" applyFont="1" applyAlignment="1">
      <alignment horizontal="right" vertical="top"/>
    </xf>
    <xf numFmtId="49" fontId="3" fillId="6" borderId="28" xfId="0" applyNumberFormat="1" applyFont="1" applyFill="1" applyBorder="1" applyAlignment="1">
      <alignment horizontal="left" vertical="center"/>
    </xf>
    <xf numFmtId="165" fontId="1" fillId="6" borderId="14" xfId="0" applyNumberFormat="1" applyFont="1" applyFill="1" applyBorder="1" applyAlignment="1">
      <alignment vertical="center"/>
    </xf>
    <xf numFmtId="165" fontId="1" fillId="6" borderId="13" xfId="0" applyNumberFormat="1" applyFont="1" applyFill="1" applyBorder="1" applyAlignment="1">
      <alignment vertical="center"/>
    </xf>
    <xf numFmtId="4" fontId="1" fillId="0" borderId="0" xfId="0" applyNumberFormat="1" applyFont="1" applyAlignment="1">
      <alignment vertical="center"/>
    </xf>
    <xf numFmtId="49" fontId="4" fillId="0" borderId="29" xfId="0" applyNumberFormat="1" applyFont="1" applyBorder="1"/>
    <xf numFmtId="167" fontId="4" fillId="0" borderId="30" xfId="0" applyNumberFormat="1" applyFont="1" applyBorder="1" applyAlignment="1">
      <alignment horizontal="center" vertical="center"/>
    </xf>
    <xf numFmtId="167" fontId="4" fillId="0" borderId="15" xfId="0" applyNumberFormat="1" applyFont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165" fontId="1" fillId="0" borderId="31" xfId="0" applyNumberFormat="1" applyFont="1" applyBorder="1"/>
    <xf numFmtId="167" fontId="1" fillId="0" borderId="32" xfId="0" applyNumberFormat="1" applyFont="1" applyBorder="1"/>
    <xf numFmtId="165" fontId="1" fillId="0" borderId="33" xfId="0" applyNumberFormat="1" applyFont="1" applyBorder="1"/>
    <xf numFmtId="165" fontId="1" fillId="0" borderId="34" xfId="0" applyNumberFormat="1" applyFont="1" applyBorder="1"/>
    <xf numFmtId="167" fontId="5" fillId="6" borderId="28" xfId="0" applyNumberFormat="1" applyFont="1" applyFill="1" applyBorder="1" applyAlignment="1">
      <alignment horizontal="center"/>
    </xf>
    <xf numFmtId="165" fontId="20" fillId="6" borderId="14" xfId="0" applyNumberFormat="1" applyFont="1" applyFill="1" applyBorder="1"/>
    <xf numFmtId="165" fontId="5" fillId="6" borderId="13" xfId="0" applyNumberFormat="1" applyFont="1" applyFill="1" applyBorder="1" applyAlignment="1">
      <alignment horizontal="right"/>
    </xf>
    <xf numFmtId="165" fontId="6" fillId="6" borderId="4" xfId="0" applyNumberFormat="1" applyFont="1" applyFill="1" applyBorder="1"/>
    <xf numFmtId="167" fontId="4" fillId="0" borderId="0" xfId="0" applyNumberFormat="1" applyFont="1" applyAlignment="1">
      <alignment horizontal="left"/>
    </xf>
    <xf numFmtId="165" fontId="20" fillId="0" borderId="0" xfId="0" applyNumberFormat="1" applyFont="1"/>
    <xf numFmtId="167" fontId="4" fillId="0" borderId="0" xfId="0" applyNumberFormat="1" applyFont="1"/>
    <xf numFmtId="167" fontId="14" fillId="0" borderId="0" xfId="0" applyNumberFormat="1" applyFont="1"/>
    <xf numFmtId="49" fontId="21" fillId="7" borderId="28" xfId="0" applyNumberFormat="1" applyFont="1" applyFill="1" applyBorder="1" applyAlignment="1">
      <alignment horizontal="left" vertical="center"/>
    </xf>
    <xf numFmtId="165" fontId="1" fillId="7" borderId="14" xfId="0" applyNumberFormat="1" applyFont="1" applyFill="1" applyBorder="1"/>
    <xf numFmtId="165" fontId="1" fillId="7" borderId="14" xfId="0" applyNumberFormat="1" applyFont="1" applyFill="1" applyBorder="1" applyAlignment="1">
      <alignment horizontal="right"/>
    </xf>
    <xf numFmtId="165" fontId="19" fillId="7" borderId="13" xfId="0" applyNumberFormat="1" applyFont="1" applyFill="1" applyBorder="1"/>
    <xf numFmtId="0" fontId="1" fillId="0" borderId="26" xfId="0" applyFont="1" applyBorder="1"/>
    <xf numFmtId="4" fontId="1" fillId="0" borderId="31" xfId="0" applyNumberFormat="1" applyFont="1" applyBorder="1" applyAlignment="1">
      <alignment horizontal="center"/>
    </xf>
    <xf numFmtId="4" fontId="1" fillId="0" borderId="31" xfId="0" applyNumberFormat="1" applyFont="1" applyBorder="1"/>
    <xf numFmtId="4" fontId="15" fillId="0" borderId="31" xfId="0" applyNumberFormat="1" applyFont="1" applyBorder="1" applyAlignment="1">
      <alignment horizontal="center"/>
    </xf>
    <xf numFmtId="0" fontId="1" fillId="0" borderId="31" xfId="0" applyFont="1" applyBorder="1"/>
    <xf numFmtId="0" fontId="1" fillId="0" borderId="27" xfId="0" applyFont="1" applyBorder="1"/>
    <xf numFmtId="10" fontId="1" fillId="0" borderId="0" xfId="0" applyNumberFormat="1" applyFont="1"/>
    <xf numFmtId="49" fontId="5" fillId="0" borderId="4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center"/>
    </xf>
    <xf numFmtId="169" fontId="5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" fontId="1" fillId="0" borderId="8" xfId="0" applyNumberFormat="1" applyFont="1" applyBorder="1"/>
    <xf numFmtId="49" fontId="5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center"/>
    </xf>
    <xf numFmtId="169" fontId="5" fillId="0" borderId="6" xfId="0" applyNumberFormat="1" applyFont="1" applyBorder="1"/>
    <xf numFmtId="165" fontId="5" fillId="0" borderId="6" xfId="0" applyNumberFormat="1" applyFont="1" applyBorder="1"/>
    <xf numFmtId="49" fontId="5" fillId="0" borderId="5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center"/>
    </xf>
    <xf numFmtId="169" fontId="5" fillId="0" borderId="5" xfId="0" applyNumberFormat="1" applyFont="1" applyBorder="1"/>
    <xf numFmtId="165" fontId="5" fillId="0" borderId="5" xfId="0" applyNumberFormat="1" applyFont="1" applyBorder="1"/>
    <xf numFmtId="0" fontId="1" fillId="0" borderId="32" xfId="0" applyFont="1" applyBorder="1"/>
    <xf numFmtId="4" fontId="1" fillId="0" borderId="33" xfId="0" applyNumberFormat="1" applyFont="1" applyBorder="1"/>
    <xf numFmtId="4" fontId="8" fillId="6" borderId="35" xfId="0" applyNumberFormat="1" applyFont="1" applyFill="1" applyBorder="1"/>
    <xf numFmtId="4" fontId="1" fillId="6" borderId="36" xfId="0" applyNumberFormat="1" applyFont="1" applyFill="1" applyBorder="1"/>
    <xf numFmtId="49" fontId="5" fillId="6" borderId="28" xfId="0" applyNumberFormat="1" applyFont="1" applyFill="1" applyBorder="1" applyAlignment="1">
      <alignment horizontal="center"/>
    </xf>
    <xf numFmtId="165" fontId="5" fillId="6" borderId="13" xfId="0" applyNumberFormat="1" applyFont="1" applyFill="1" applyBorder="1"/>
    <xf numFmtId="170" fontId="20" fillId="6" borderId="4" xfId="0" applyNumberFormat="1" applyFont="1" applyFill="1" applyBorder="1"/>
    <xf numFmtId="165" fontId="22" fillId="6" borderId="4" xfId="0" applyNumberFormat="1" applyFont="1" applyFill="1" applyBorder="1"/>
    <xf numFmtId="2" fontId="5" fillId="0" borderId="6" xfId="0" applyNumberFormat="1" applyFont="1" applyBorder="1"/>
    <xf numFmtId="2" fontId="5" fillId="0" borderId="5" xfId="0" applyNumberFormat="1" applyFont="1" applyBorder="1"/>
    <xf numFmtId="0" fontId="1" fillId="0" borderId="0" xfId="0" applyFont="1"/>
    <xf numFmtId="0" fontId="4" fillId="0" borderId="0" xfId="0" applyFont="1" applyAlignment="1">
      <alignment horizontal="right" vertical="top"/>
    </xf>
    <xf numFmtId="167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vertical="center"/>
    </xf>
    <xf numFmtId="171" fontId="1" fillId="0" borderId="6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71" fontId="1" fillId="0" borderId="5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vertical="center"/>
    </xf>
    <xf numFmtId="165" fontId="1" fillId="0" borderId="11" xfId="0" applyNumberFormat="1" applyFont="1" applyBorder="1" applyAlignment="1">
      <alignment vertical="center"/>
    </xf>
    <xf numFmtId="171" fontId="1" fillId="0" borderId="11" xfId="0" applyNumberFormat="1" applyFont="1" applyBorder="1" applyAlignment="1">
      <alignment horizontal="center" vertical="center"/>
    </xf>
    <xf numFmtId="167" fontId="22" fillId="6" borderId="4" xfId="0" applyNumberFormat="1" applyFont="1" applyFill="1" applyBorder="1" applyAlignment="1">
      <alignment horizontal="center"/>
    </xf>
    <xf numFmtId="165" fontId="14" fillId="6" borderId="4" xfId="0" applyNumberFormat="1" applyFont="1" applyFill="1" applyBorder="1"/>
    <xf numFmtId="165" fontId="20" fillId="6" borderId="4" xfId="0" applyNumberFormat="1" applyFont="1" applyFill="1" applyBorder="1"/>
    <xf numFmtId="167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vertical="top"/>
    </xf>
    <xf numFmtId="167" fontId="8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4" fillId="0" borderId="0" xfId="0" applyFont="1"/>
    <xf numFmtId="49" fontId="21" fillId="6" borderId="28" xfId="0" applyNumberFormat="1" applyFont="1" applyFill="1" applyBorder="1" applyAlignment="1">
      <alignment horizontal="left" vertical="center"/>
    </xf>
    <xf numFmtId="165" fontId="1" fillId="6" borderId="14" xfId="0" applyNumberFormat="1" applyFont="1" applyFill="1" applyBorder="1"/>
    <xf numFmtId="165" fontId="1" fillId="6" borderId="14" xfId="0" applyNumberFormat="1" applyFont="1" applyFill="1" applyBorder="1" applyAlignment="1">
      <alignment horizontal="right" vertical="center"/>
    </xf>
    <xf numFmtId="165" fontId="13" fillId="6" borderId="13" xfId="0" applyNumberFormat="1" applyFont="1" applyFill="1" applyBorder="1"/>
    <xf numFmtId="4" fontId="1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2" fontId="1" fillId="0" borderId="0" xfId="0" applyNumberFormat="1" applyFont="1"/>
    <xf numFmtId="173" fontId="1" fillId="0" borderId="0" xfId="0" applyNumberFormat="1" applyFont="1"/>
    <xf numFmtId="4" fontId="5" fillId="0" borderId="6" xfId="0" applyNumberFormat="1" applyFont="1" applyBorder="1"/>
    <xf numFmtId="4" fontId="8" fillId="6" borderId="9" xfId="0" applyNumberFormat="1" applyFont="1" applyFill="1" applyBorder="1"/>
    <xf numFmtId="172" fontId="8" fillId="6" borderId="9" xfId="0" applyNumberFormat="1" applyFont="1" applyFill="1" applyBorder="1"/>
    <xf numFmtId="0" fontId="4" fillId="8" borderId="28" xfId="0" applyFont="1" applyFill="1" applyBorder="1" applyAlignment="1">
      <alignment horizontal="right"/>
    </xf>
    <xf numFmtId="0" fontId="4" fillId="8" borderId="14" xfId="0" applyFont="1" applyFill="1" applyBorder="1" applyAlignment="1">
      <alignment horizontal="right"/>
    </xf>
    <xf numFmtId="165" fontId="1" fillId="8" borderId="14" xfId="0" applyNumberFormat="1" applyFont="1" applyFill="1" applyBorder="1" applyAlignment="1">
      <alignment horizontal="center" vertical="center"/>
    </xf>
    <xf numFmtId="0" fontId="1" fillId="8" borderId="13" xfId="0" applyFont="1" applyFill="1" applyBorder="1"/>
    <xf numFmtId="0" fontId="1" fillId="0" borderId="6" xfId="0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165" fontId="1" fillId="0" borderId="5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165" fontId="1" fillId="0" borderId="11" xfId="0" applyNumberFormat="1" applyFont="1" applyBorder="1"/>
    <xf numFmtId="0" fontId="6" fillId="0" borderId="0" xfId="0" applyFont="1" applyAlignment="1">
      <alignment horizontal="right"/>
    </xf>
    <xf numFmtId="43" fontId="4" fillId="0" borderId="0" xfId="0" applyNumberFormat="1" applyFont="1"/>
    <xf numFmtId="49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center"/>
    </xf>
    <xf numFmtId="4" fontId="6" fillId="0" borderId="0" xfId="0" applyNumberFormat="1" applyFont="1"/>
    <xf numFmtId="10" fontId="6" fillId="0" borderId="0" xfId="0" applyNumberFormat="1" applyFont="1"/>
    <xf numFmtId="4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172" fontId="4" fillId="0" borderId="0" xfId="0" applyNumberFormat="1" applyFont="1"/>
    <xf numFmtId="3" fontId="31" fillId="0" borderId="0" xfId="0" applyNumberFormat="1" applyFont="1"/>
    <xf numFmtId="0" fontId="8" fillId="0" borderId="0" xfId="0" applyFont="1"/>
    <xf numFmtId="165" fontId="8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4" fontId="4" fillId="0" borderId="0" xfId="0" applyNumberFormat="1" applyFont="1"/>
    <xf numFmtId="10" fontId="4" fillId="0" borderId="0" xfId="0" applyNumberFormat="1" applyFont="1"/>
    <xf numFmtId="172" fontId="14" fillId="6" borderId="9" xfId="0" applyNumberFormat="1" applyFont="1" applyFill="1" applyBorder="1"/>
    <xf numFmtId="3" fontId="32" fillId="6" borderId="9" xfId="0" applyNumberFormat="1" applyFont="1" applyFill="1" applyBorder="1"/>
    <xf numFmtId="4" fontId="1" fillId="0" borderId="0" xfId="0" applyNumberFormat="1" applyFont="1" applyAlignment="1">
      <alignment horizontal="center" vertical="center"/>
    </xf>
    <xf numFmtId="173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1" fillId="8" borderId="9" xfId="0" applyNumberFormat="1" applyFont="1" applyFill="1" applyBorder="1" applyAlignment="1">
      <alignment horizontal="center"/>
    </xf>
    <xf numFmtId="4" fontId="1" fillId="8" borderId="9" xfId="0" applyNumberFormat="1" applyFont="1" applyFill="1" applyBorder="1"/>
    <xf numFmtId="173" fontId="1" fillId="8" borderId="9" xfId="0" applyNumberFormat="1" applyFont="1" applyFill="1" applyBorder="1"/>
    <xf numFmtId="177" fontId="4" fillId="8" borderId="9" xfId="0" applyNumberFormat="1" applyFont="1" applyFill="1" applyBorder="1"/>
    <xf numFmtId="4" fontId="23" fillId="0" borderId="0" xfId="0" applyNumberFormat="1" applyFont="1"/>
    <xf numFmtId="178" fontId="1" fillId="0" borderId="0" xfId="0" applyNumberFormat="1" applyFont="1"/>
    <xf numFmtId="177" fontId="1" fillId="0" borderId="0" xfId="0" applyNumberFormat="1" applyFont="1"/>
    <xf numFmtId="164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7" fontId="1" fillId="0" borderId="37" xfId="0" applyNumberFormat="1" applyFont="1" applyBorder="1"/>
    <xf numFmtId="166" fontId="1" fillId="0" borderId="38" xfId="0" applyNumberFormat="1" applyFont="1" applyBorder="1"/>
    <xf numFmtId="164" fontId="1" fillId="0" borderId="39" xfId="0" applyNumberFormat="1" applyFont="1" applyBorder="1" applyAlignment="1">
      <alignment horizontal="center"/>
    </xf>
    <xf numFmtId="166" fontId="1" fillId="0" borderId="40" xfId="0" applyNumberFormat="1" applyFont="1" applyBorder="1"/>
    <xf numFmtId="164" fontId="1" fillId="0" borderId="41" xfId="0" applyNumberFormat="1" applyFont="1" applyBorder="1" applyAlignment="1">
      <alignment horizontal="center"/>
    </xf>
    <xf numFmtId="164" fontId="1" fillId="0" borderId="42" xfId="0" applyNumberFormat="1" applyFont="1" applyBorder="1" applyAlignment="1">
      <alignment horizontal="center"/>
    </xf>
    <xf numFmtId="166" fontId="1" fillId="0" borderId="41" xfId="0" applyNumberFormat="1" applyFont="1" applyBorder="1"/>
    <xf numFmtId="166" fontId="1" fillId="0" borderId="42" xfId="0" applyNumberFormat="1" applyFont="1" applyBorder="1"/>
    <xf numFmtId="167" fontId="33" fillId="0" borderId="5" xfId="0" applyNumberFormat="1" applyFont="1" applyBorder="1"/>
    <xf numFmtId="164" fontId="33" fillId="0" borderId="5" xfId="0" applyNumberFormat="1" applyFont="1" applyBorder="1" applyAlignment="1">
      <alignment horizontal="center"/>
    </xf>
    <xf numFmtId="167" fontId="1" fillId="0" borderId="10" xfId="0" applyNumberFormat="1" applyFont="1" applyBorder="1"/>
    <xf numFmtId="164" fontId="1" fillId="0" borderId="10" xfId="0" applyNumberFormat="1" applyFont="1" applyBorder="1" applyAlignment="1">
      <alignment horizontal="center"/>
    </xf>
    <xf numFmtId="165" fontId="1" fillId="0" borderId="10" xfId="0" applyNumberFormat="1" applyFont="1" applyBorder="1"/>
    <xf numFmtId="167" fontId="1" fillId="0" borderId="16" xfId="0" applyNumberFormat="1" applyFont="1" applyBorder="1"/>
    <xf numFmtId="166" fontId="1" fillId="0" borderId="10" xfId="0" applyNumberFormat="1" applyFont="1" applyBorder="1"/>
    <xf numFmtId="49" fontId="34" fillId="6" borderId="28" xfId="0" applyNumberFormat="1" applyFont="1" applyFill="1" applyBorder="1" applyAlignment="1">
      <alignment horizontal="left" vertical="center"/>
    </xf>
    <xf numFmtId="0" fontId="35" fillId="0" borderId="0" xfId="0" applyFont="1"/>
    <xf numFmtId="166" fontId="1" fillId="9" borderId="41" xfId="0" applyNumberFormat="1" applyFont="1" applyFill="1" applyBorder="1"/>
    <xf numFmtId="164" fontId="33" fillId="0" borderId="10" xfId="0" applyNumberFormat="1" applyFont="1" applyBorder="1" applyAlignment="1">
      <alignment horizontal="center"/>
    </xf>
    <xf numFmtId="167" fontId="1" fillId="0" borderId="9" xfId="0" applyNumberFormat="1" applyFont="1" applyBorder="1"/>
    <xf numFmtId="164" fontId="1" fillId="10" borderId="10" xfId="0" applyNumberFormat="1" applyFont="1" applyFill="1" applyBorder="1" applyAlignment="1">
      <alignment horizontal="center"/>
    </xf>
    <xf numFmtId="167" fontId="1" fillId="10" borderId="16" xfId="0" applyNumberFormat="1" applyFont="1" applyFill="1" applyBorder="1"/>
    <xf numFmtId="167" fontId="1" fillId="10" borderId="37" xfId="0" applyNumberFormat="1" applyFont="1" applyFill="1" applyBorder="1"/>
    <xf numFmtId="164" fontId="1" fillId="10" borderId="41" xfId="0" applyNumberFormat="1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166" fontId="1" fillId="10" borderId="41" xfId="0" applyNumberFormat="1" applyFont="1" applyFill="1" applyBorder="1"/>
    <xf numFmtId="164" fontId="1" fillId="9" borderId="41" xfId="0" applyNumberFormat="1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33" fillId="0" borderId="44" xfId="0" applyNumberFormat="1" applyFont="1" applyBorder="1" applyAlignment="1">
      <alignment horizontal="center"/>
    </xf>
    <xf numFmtId="166" fontId="1" fillId="3" borderId="44" xfId="0" applyNumberFormat="1" applyFont="1" applyFill="1" applyBorder="1"/>
    <xf numFmtId="166" fontId="1" fillId="0" borderId="44" xfId="0" applyNumberFormat="1" applyFont="1" applyBorder="1"/>
    <xf numFmtId="167" fontId="1" fillId="0" borderId="44" xfId="0" applyNumberFormat="1" applyFont="1" applyBorder="1"/>
    <xf numFmtId="168" fontId="36" fillId="5" borderId="9" xfId="0" applyNumberFormat="1" applyFont="1" applyFill="1" applyBorder="1"/>
    <xf numFmtId="167" fontId="1" fillId="0" borderId="42" xfId="0" applyNumberFormat="1" applyFont="1" applyBorder="1"/>
    <xf numFmtId="167" fontId="1" fillId="10" borderId="37" xfId="0" applyNumberFormat="1" applyFont="1" applyFill="1" applyBorder="1" applyAlignment="1">
      <alignment wrapText="1"/>
    </xf>
    <xf numFmtId="167" fontId="33" fillId="0" borderId="37" xfId="0" applyNumberFormat="1" applyFont="1" applyBorder="1"/>
    <xf numFmtId="0" fontId="33" fillId="0" borderId="0" xfId="0" applyFont="1" applyAlignment="1">
      <alignment horizontal="right"/>
    </xf>
    <xf numFmtId="49" fontId="33" fillId="0" borderId="5" xfId="0" applyNumberFormat="1" applyFont="1" applyBorder="1"/>
    <xf numFmtId="167" fontId="33" fillId="0" borderId="42" xfId="0" applyNumberFormat="1" applyFont="1" applyBorder="1"/>
    <xf numFmtId="164" fontId="33" fillId="0" borderId="39" xfId="0" applyNumberFormat="1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167" fontId="37" fillId="11" borderId="4" xfId="0" applyNumberFormat="1" applyFont="1" applyFill="1" applyBorder="1" applyAlignment="1">
      <alignment vertical="center" wrapText="1"/>
    </xf>
    <xf numFmtId="167" fontId="33" fillId="0" borderId="16" xfId="0" applyNumberFormat="1" applyFont="1" applyBorder="1"/>
    <xf numFmtId="167" fontId="33" fillId="10" borderId="16" xfId="0" applyNumberFormat="1" applyFont="1" applyFill="1" applyBorder="1"/>
    <xf numFmtId="167" fontId="33" fillId="0" borderId="10" xfId="0" applyNumberFormat="1" applyFont="1" applyBorder="1"/>
    <xf numFmtId="0" fontId="38" fillId="0" borderId="9" xfId="1"/>
    <xf numFmtId="165" fontId="1" fillId="0" borderId="9" xfId="1" applyNumberFormat="1" applyFont="1"/>
    <xf numFmtId="164" fontId="1" fillId="0" borderId="9" xfId="1" applyNumberFormat="1" applyFont="1" applyAlignment="1">
      <alignment horizontal="center"/>
    </xf>
    <xf numFmtId="49" fontId="1" fillId="0" borderId="9" xfId="1" applyNumberFormat="1" applyFont="1"/>
    <xf numFmtId="43" fontId="1" fillId="0" borderId="9" xfId="1" applyNumberFormat="1" applyFont="1"/>
    <xf numFmtId="164" fontId="1" fillId="0" borderId="36" xfId="1" applyNumberFormat="1" applyFont="1" applyBorder="1" applyAlignment="1">
      <alignment horizontal="center"/>
    </xf>
    <xf numFmtId="164" fontId="1" fillId="0" borderId="35" xfId="1" applyNumberFormat="1" applyFont="1" applyBorder="1" applyAlignment="1">
      <alignment horizontal="center"/>
    </xf>
    <xf numFmtId="0" fontId="28" fillId="0" borderId="32" xfId="1" applyFont="1" applyBorder="1"/>
    <xf numFmtId="164" fontId="1" fillId="0" borderId="12" xfId="1" applyNumberFormat="1" applyFont="1" applyBorder="1" applyAlignment="1">
      <alignment horizontal="center"/>
    </xf>
    <xf numFmtId="0" fontId="28" fillId="0" borderId="16" xfId="1" applyFont="1" applyBorder="1"/>
    <xf numFmtId="164" fontId="1" fillId="0" borderId="27" xfId="1" applyNumberFormat="1" applyFont="1" applyBorder="1" applyAlignment="1">
      <alignment horizontal="center"/>
    </xf>
    <xf numFmtId="164" fontId="1" fillId="0" borderId="31" xfId="1" applyNumberFormat="1" applyFont="1" applyBorder="1" applyAlignment="1">
      <alignment horizontal="center"/>
    </xf>
    <xf numFmtId="0" fontId="28" fillId="0" borderId="26" xfId="1" applyFont="1" applyBorder="1"/>
    <xf numFmtId="0" fontId="28" fillId="0" borderId="9" xfId="1" applyFont="1"/>
    <xf numFmtId="165" fontId="6" fillId="0" borderId="9" xfId="1" applyNumberFormat="1" applyFont="1"/>
    <xf numFmtId="49" fontId="4" fillId="0" borderId="9" xfId="1" applyNumberFormat="1" applyFont="1"/>
    <xf numFmtId="176" fontId="22" fillId="0" borderId="4" xfId="1" applyNumberFormat="1" applyFont="1" applyBorder="1" applyAlignment="1">
      <alignment vertical="center"/>
    </xf>
    <xf numFmtId="0" fontId="27" fillId="0" borderId="16" xfId="1" applyFont="1" applyBorder="1"/>
    <xf numFmtId="175" fontId="25" fillId="0" borderId="12" xfId="1" applyNumberFormat="1" applyFont="1" applyBorder="1" applyAlignment="1">
      <alignment vertical="center"/>
    </xf>
    <xf numFmtId="164" fontId="8" fillId="0" borderId="9" xfId="1" applyNumberFormat="1" applyFont="1" applyAlignment="1">
      <alignment horizontal="center" vertical="center"/>
    </xf>
    <xf numFmtId="167" fontId="7" fillId="0" borderId="16" xfId="1" applyNumberFormat="1" applyFont="1" applyBorder="1" applyAlignment="1">
      <alignment vertical="center" wrapText="1"/>
    </xf>
    <xf numFmtId="175" fontId="26" fillId="0" borderId="12" xfId="1" applyNumberFormat="1" applyFont="1" applyBorder="1" applyAlignment="1">
      <alignment vertical="center"/>
    </xf>
    <xf numFmtId="167" fontId="21" fillId="0" borderId="16" xfId="1" applyNumberFormat="1" applyFont="1" applyBorder="1" applyAlignment="1">
      <alignment vertical="center" wrapText="1"/>
    </xf>
    <xf numFmtId="0" fontId="6" fillId="0" borderId="9" xfId="1" applyFont="1" applyAlignment="1">
      <alignment horizontal="right"/>
    </xf>
    <xf numFmtId="175" fontId="25" fillId="3" borderId="4" xfId="1" applyNumberFormat="1" applyFont="1" applyFill="1" applyBorder="1" applyAlignment="1">
      <alignment vertical="center"/>
    </xf>
    <xf numFmtId="164" fontId="8" fillId="3" borderId="30" xfId="1" applyNumberFormat="1" applyFont="1" applyFill="1" applyBorder="1" applyAlignment="1">
      <alignment horizontal="center" vertical="center"/>
    </xf>
    <xf numFmtId="167" fontId="7" fillId="3" borderId="4" xfId="1" applyNumberFormat="1" applyFont="1" applyFill="1" applyBorder="1" applyAlignment="1">
      <alignment vertical="center" wrapText="1"/>
    </xf>
    <xf numFmtId="174" fontId="22" fillId="0" borderId="9" xfId="1" applyNumberFormat="1" applyFont="1" applyAlignment="1">
      <alignment vertical="center"/>
    </xf>
    <xf numFmtId="175" fontId="1" fillId="0" borderId="9" xfId="1" applyNumberFormat="1" applyFont="1" applyAlignment="1">
      <alignment vertical="center"/>
    </xf>
    <xf numFmtId="175" fontId="25" fillId="0" borderId="4" xfId="1" applyNumberFormat="1" applyFont="1" applyBorder="1" applyAlignment="1">
      <alignment vertical="center"/>
    </xf>
    <xf numFmtId="164" fontId="8" fillId="0" borderId="4" xfId="1" applyNumberFormat="1" applyFont="1" applyBorder="1" applyAlignment="1">
      <alignment horizontal="center" vertical="center"/>
    </xf>
    <xf numFmtId="0" fontId="1" fillId="0" borderId="9" xfId="1" applyFont="1" applyAlignment="1">
      <alignment vertical="center"/>
    </xf>
    <xf numFmtId="0" fontId="1" fillId="3" borderId="9" xfId="1" applyFont="1" applyFill="1" applyAlignment="1">
      <alignment vertical="center"/>
    </xf>
    <xf numFmtId="0" fontId="4" fillId="0" borderId="4" xfId="1" applyFont="1" applyBorder="1" applyAlignment="1">
      <alignment vertical="center"/>
    </xf>
    <xf numFmtId="0" fontId="8" fillId="0" borderId="9" xfId="1" applyFont="1" applyAlignment="1">
      <alignment horizontal="right"/>
    </xf>
    <xf numFmtId="0" fontId="1" fillId="3" borderId="9" xfId="1" applyFont="1" applyFill="1"/>
    <xf numFmtId="174" fontId="9" fillId="0" borderId="4" xfId="1" applyNumberFormat="1" applyFont="1" applyBorder="1" applyAlignment="1">
      <alignment vertical="center"/>
    </xf>
    <xf numFmtId="165" fontId="8" fillId="0" borderId="4" xfId="1" applyNumberFormat="1" applyFont="1" applyBorder="1" applyAlignment="1">
      <alignment vertical="center"/>
    </xf>
    <xf numFmtId="165" fontId="8" fillId="3" borderId="4" xfId="1" applyNumberFormat="1" applyFont="1" applyFill="1" applyBorder="1" applyAlignment="1">
      <alignment vertical="center"/>
    </xf>
    <xf numFmtId="174" fontId="1" fillId="0" borderId="4" xfId="1" applyNumberFormat="1" applyFont="1" applyBorder="1" applyAlignment="1">
      <alignment vertical="center"/>
    </xf>
    <xf numFmtId="165" fontId="1" fillId="0" borderId="4" xfId="1" applyNumberFormat="1" applyFont="1" applyBorder="1" applyAlignment="1">
      <alignment vertical="center"/>
    </xf>
    <xf numFmtId="165" fontId="5" fillId="3" borderId="25" xfId="1" applyNumberFormat="1" applyFont="1" applyFill="1" applyBorder="1"/>
    <xf numFmtId="164" fontId="8" fillId="3" borderId="43" xfId="1" applyNumberFormat="1" applyFont="1" applyFill="1" applyBorder="1" applyAlignment="1">
      <alignment horizontal="center" vertical="center"/>
    </xf>
    <xf numFmtId="167" fontId="1" fillId="0" borderId="29" xfId="1" applyNumberFormat="1" applyFont="1" applyBorder="1" applyAlignment="1">
      <alignment vertical="center" wrapText="1"/>
    </xf>
    <xf numFmtId="167" fontId="1" fillId="3" borderId="4" xfId="1" applyNumberFormat="1" applyFont="1" applyFill="1" applyBorder="1" applyAlignment="1">
      <alignment vertical="center" wrapText="1"/>
    </xf>
    <xf numFmtId="167" fontId="7" fillId="3" borderId="29" xfId="1" applyNumberFormat="1" applyFont="1" applyFill="1" applyBorder="1" applyAlignment="1">
      <alignment vertical="center" wrapText="1"/>
    </xf>
    <xf numFmtId="164" fontId="8" fillId="3" borderId="15" xfId="1" applyNumberFormat="1" applyFont="1" applyFill="1" applyBorder="1" applyAlignment="1">
      <alignment horizontal="center" vertical="center"/>
    </xf>
    <xf numFmtId="165" fontId="8" fillId="0" borderId="25" xfId="1" applyNumberFormat="1" applyFont="1" applyBorder="1" applyAlignment="1">
      <alignment vertical="center"/>
    </xf>
    <xf numFmtId="167" fontId="7" fillId="0" borderId="4" xfId="1" applyNumberFormat="1" applyFont="1" applyBorder="1" applyAlignment="1">
      <alignment vertical="center" wrapText="1"/>
    </xf>
    <xf numFmtId="164" fontId="8" fillId="3" borderId="4" xfId="1" applyNumberFormat="1" applyFont="1" applyFill="1" applyBorder="1" applyAlignment="1">
      <alignment horizontal="center" vertical="center"/>
    </xf>
    <xf numFmtId="167" fontId="7" fillId="3" borderId="4" xfId="1" applyNumberFormat="1" applyFont="1" applyFill="1" applyBorder="1" applyAlignment="1">
      <alignment horizontal="center" vertical="center" wrapText="1"/>
    </xf>
    <xf numFmtId="164" fontId="1" fillId="0" borderId="4" xfId="1" applyNumberFormat="1" applyFont="1" applyBorder="1" applyAlignment="1">
      <alignment horizontal="center" vertical="center"/>
    </xf>
    <xf numFmtId="167" fontId="1" fillId="0" borderId="4" xfId="1" applyNumberFormat="1" applyFont="1" applyBorder="1" applyAlignment="1">
      <alignment vertical="center" wrapText="1"/>
    </xf>
    <xf numFmtId="174" fontId="4" fillId="0" borderId="4" xfId="1" applyNumberFormat="1" applyFont="1" applyBorder="1" applyAlignment="1">
      <alignment vertical="center"/>
    </xf>
    <xf numFmtId="165" fontId="4" fillId="0" borderId="4" xfId="1" applyNumberFormat="1" applyFont="1" applyBorder="1" applyAlignment="1">
      <alignment vertical="center"/>
    </xf>
    <xf numFmtId="165" fontId="14" fillId="0" borderId="4" xfId="1" applyNumberFormat="1" applyFont="1" applyBorder="1" applyAlignment="1">
      <alignment vertical="center"/>
    </xf>
    <xf numFmtId="164" fontId="14" fillId="0" borderId="4" xfId="1" applyNumberFormat="1" applyFont="1" applyBorder="1" applyAlignment="1">
      <alignment horizontal="center" vertical="center"/>
    </xf>
    <xf numFmtId="167" fontId="4" fillId="0" borderId="4" xfId="1" applyNumberFormat="1" applyFont="1" applyBorder="1" applyAlignment="1">
      <alignment vertical="center"/>
    </xf>
    <xf numFmtId="167" fontId="1" fillId="0" borderId="4" xfId="1" applyNumberFormat="1" applyFont="1" applyBorder="1" applyAlignment="1">
      <alignment vertical="center"/>
    </xf>
    <xf numFmtId="165" fontId="7" fillId="0" borderId="4" xfId="1" applyNumberFormat="1" applyFont="1" applyBorder="1" applyAlignment="1">
      <alignment vertical="center"/>
    </xf>
    <xf numFmtId="164" fontId="7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vertical="center"/>
    </xf>
    <xf numFmtId="165" fontId="1" fillId="6" borderId="3" xfId="1" applyNumberFormat="1" applyFont="1" applyFill="1" applyBorder="1" applyAlignment="1">
      <alignment vertical="center"/>
    </xf>
    <xf numFmtId="164" fontId="1" fillId="6" borderId="2" xfId="1" applyNumberFormat="1" applyFont="1" applyFill="1" applyBorder="1" applyAlignment="1">
      <alignment horizontal="center" vertical="center"/>
    </xf>
    <xf numFmtId="49" fontId="3" fillId="6" borderId="1" xfId="1" applyNumberFormat="1" applyFont="1" applyFill="1" applyBorder="1" applyAlignment="1">
      <alignment horizontal="left" vertical="center"/>
    </xf>
    <xf numFmtId="0" fontId="4" fillId="0" borderId="9" xfId="1" applyFont="1" applyAlignment="1">
      <alignment horizontal="right"/>
    </xf>
    <xf numFmtId="49" fontId="1" fillId="0" borderId="9" xfId="1" applyNumberFormat="1" applyFont="1" applyAlignment="1">
      <alignment horizontal="left"/>
    </xf>
    <xf numFmtId="0" fontId="16" fillId="0" borderId="9" xfId="1" applyFont="1"/>
    <xf numFmtId="0" fontId="24" fillId="0" borderId="9" xfId="1" applyFont="1"/>
    <xf numFmtId="0" fontId="1" fillId="0" borderId="9" xfId="1" applyFont="1" applyAlignment="1">
      <alignment horizontal="left"/>
    </xf>
    <xf numFmtId="0" fontId="4" fillId="0" borderId="9" xfId="1" applyFont="1" applyAlignment="1">
      <alignment horizontal="left"/>
    </xf>
    <xf numFmtId="49" fontId="2" fillId="0" borderId="9" xfId="1" applyNumberFormat="1" applyFont="1"/>
    <xf numFmtId="164" fontId="8" fillId="0" borderId="43" xfId="1" applyNumberFormat="1" applyFont="1" applyBorder="1" applyAlignment="1">
      <alignment horizontal="center" vertical="center"/>
    </xf>
    <xf numFmtId="164" fontId="8" fillId="0" borderId="15" xfId="1" applyNumberFormat="1" applyFont="1" applyBorder="1" applyAlignment="1">
      <alignment horizontal="center" vertical="center"/>
    </xf>
    <xf numFmtId="43" fontId="7" fillId="0" borderId="4" xfId="1" applyNumberFormat="1" applyFont="1" applyBorder="1" applyAlignment="1">
      <alignment vertical="center" wrapText="1"/>
    </xf>
    <xf numFmtId="174" fontId="14" fillId="0" borderId="9" xfId="1" applyNumberFormat="1" applyFont="1"/>
    <xf numFmtId="165" fontId="8" fillId="0" borderId="9" xfId="1" applyNumberFormat="1" applyFont="1"/>
    <xf numFmtId="164" fontId="8" fillId="0" borderId="9" xfId="1" applyNumberFormat="1" applyFont="1" applyAlignment="1">
      <alignment horizontal="right"/>
    </xf>
    <xf numFmtId="167" fontId="1" fillId="0" borderId="9" xfId="1" applyNumberFormat="1" applyFont="1" applyAlignment="1">
      <alignment horizontal="center"/>
    </xf>
    <xf numFmtId="164" fontId="1" fillId="0" borderId="4" xfId="1" applyNumberFormat="1" applyFont="1" applyBorder="1" applyAlignment="1">
      <alignment horizontal="center" vertical="center" wrapText="1"/>
    </xf>
    <xf numFmtId="174" fontId="14" fillId="0" borderId="9" xfId="1" applyNumberFormat="1" applyFont="1" applyAlignment="1">
      <alignment vertical="center"/>
    </xf>
    <xf numFmtId="165" fontId="8" fillId="0" borderId="9" xfId="1" applyNumberFormat="1" applyFont="1" applyAlignment="1">
      <alignment vertical="center"/>
    </xf>
    <xf numFmtId="164" fontId="8" fillId="0" borderId="9" xfId="1" applyNumberFormat="1" applyFont="1" applyAlignment="1">
      <alignment horizontal="right" vertical="center"/>
    </xf>
    <xf numFmtId="167" fontId="1" fillId="0" borderId="9" xfId="1" applyNumberFormat="1" applyFont="1" applyAlignment="1">
      <alignment horizontal="center" vertical="center"/>
    </xf>
    <xf numFmtId="164" fontId="14" fillId="0" borderId="15" xfId="1" applyNumberFormat="1" applyFont="1" applyBorder="1" applyAlignment="1">
      <alignment horizontal="center" vertical="center"/>
    </xf>
    <xf numFmtId="174" fontId="1" fillId="0" borderId="4" xfId="1" applyNumberFormat="1" applyFont="1" applyBorder="1"/>
    <xf numFmtId="165" fontId="1" fillId="0" borderId="4" xfId="1" applyNumberFormat="1" applyFont="1" applyBorder="1"/>
    <xf numFmtId="165" fontId="5" fillId="0" borderId="11" xfId="1" applyNumberFormat="1" applyFont="1" applyBorder="1"/>
    <xf numFmtId="165" fontId="4" fillId="0" borderId="4" xfId="1" applyNumberFormat="1" applyFont="1" applyBorder="1"/>
    <xf numFmtId="165" fontId="6" fillId="0" borderId="4" xfId="1" applyNumberFormat="1" applyFont="1" applyBorder="1"/>
    <xf numFmtId="167" fontId="4" fillId="0" borderId="4" xfId="1" applyNumberFormat="1" applyFont="1" applyBorder="1"/>
    <xf numFmtId="167" fontId="1" fillId="0" borderId="4" xfId="1" applyNumberFormat="1" applyFont="1" applyBorder="1"/>
    <xf numFmtId="165" fontId="5" fillId="0" borderId="4" xfId="1" applyNumberFormat="1" applyFont="1" applyBorder="1"/>
    <xf numFmtId="165" fontId="29" fillId="0" borderId="11" xfId="1" applyNumberFormat="1" applyFont="1" applyBorder="1"/>
    <xf numFmtId="164" fontId="1" fillId="0" borderId="4" xfId="1" applyNumberFormat="1" applyFont="1" applyBorder="1" applyAlignment="1">
      <alignment horizontal="center" wrapText="1"/>
    </xf>
    <xf numFmtId="165" fontId="4" fillId="0" borderId="4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49" fontId="4" fillId="0" borderId="4" xfId="1" applyNumberFormat="1" applyFont="1" applyBorder="1"/>
    <xf numFmtId="0" fontId="27" fillId="0" borderId="32" xfId="1" applyFont="1" applyBorder="1"/>
    <xf numFmtId="165" fontId="1" fillId="0" borderId="11" xfId="1" applyNumberFormat="1" applyFont="1" applyBorder="1" applyAlignment="1">
      <alignment vertical="center"/>
    </xf>
    <xf numFmtId="165" fontId="4" fillId="0" borderId="11" xfId="1" applyNumberFormat="1" applyFont="1" applyBorder="1" applyAlignment="1">
      <alignment vertical="center"/>
    </xf>
    <xf numFmtId="167" fontId="1" fillId="0" borderId="10" xfId="0" applyNumberFormat="1" applyFont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171" fontId="1" fillId="0" borderId="10" xfId="0" applyNumberFormat="1" applyFont="1" applyBorder="1" applyAlignment="1">
      <alignment horizontal="center" vertical="center"/>
    </xf>
    <xf numFmtId="0" fontId="0" fillId="0" borderId="0" xfId="0"/>
    <xf numFmtId="0" fontId="38" fillId="0" borderId="9" xfId="1"/>
    <xf numFmtId="164" fontId="14" fillId="12" borderId="15" xfId="1" applyNumberFormat="1" applyFont="1" applyFill="1" applyBorder="1" applyAlignment="1">
      <alignment horizontal="center" vertical="center"/>
    </xf>
    <xf numFmtId="165" fontId="14" fillId="12" borderId="25" xfId="1" applyNumberFormat="1" applyFont="1" applyFill="1" applyBorder="1" applyAlignment="1">
      <alignment vertical="center"/>
    </xf>
    <xf numFmtId="165" fontId="1" fillId="12" borderId="4" xfId="1" applyNumberFormat="1" applyFont="1" applyFill="1" applyBorder="1" applyAlignment="1">
      <alignment vertical="center"/>
    </xf>
    <xf numFmtId="174" fontId="1" fillId="12" borderId="4" xfId="1" applyNumberFormat="1" applyFont="1" applyFill="1" applyBorder="1" applyAlignment="1">
      <alignment vertical="center"/>
    </xf>
    <xf numFmtId="167" fontId="30" fillId="12" borderId="4" xfId="1" applyNumberFormat="1" applyFont="1" applyFill="1" applyBorder="1" applyAlignment="1">
      <alignment vertical="center"/>
    </xf>
    <xf numFmtId="165" fontId="4" fillId="12" borderId="4" xfId="1" applyNumberFormat="1" applyFont="1" applyFill="1" applyBorder="1" applyAlignment="1">
      <alignment vertical="center"/>
    </xf>
    <xf numFmtId="165" fontId="14" fillId="0" borderId="4" xfId="1" applyNumberFormat="1" applyFont="1" applyBorder="1"/>
    <xf numFmtId="167" fontId="4" fillId="0" borderId="29" xfId="1" applyNumberFormat="1" applyFont="1" applyBorder="1" applyAlignment="1">
      <alignment horizontal="center" vertical="center"/>
    </xf>
    <xf numFmtId="164" fontId="14" fillId="0" borderId="15" xfId="1" applyNumberFormat="1" applyFont="1" applyBorder="1" applyAlignment="1">
      <alignment horizontal="right" vertical="center"/>
    </xf>
    <xf numFmtId="167" fontId="4" fillId="0" borderId="29" xfId="1" applyNumberFormat="1" applyFont="1" applyBorder="1" applyAlignment="1">
      <alignment horizontal="center"/>
    </xf>
    <xf numFmtId="165" fontId="14" fillId="3" borderId="4" xfId="1" applyNumberFormat="1" applyFont="1" applyFill="1" applyBorder="1" applyAlignment="1">
      <alignment vertical="center"/>
    </xf>
    <xf numFmtId="165" fontId="6" fillId="12" borderId="11" xfId="1" applyNumberFormat="1" applyFont="1" applyFill="1" applyBorder="1"/>
    <xf numFmtId="165" fontId="4" fillId="12" borderId="4" xfId="1" applyNumberFormat="1" applyFont="1" applyFill="1" applyBorder="1"/>
    <xf numFmtId="174" fontId="1" fillId="12" borderId="4" xfId="1" applyNumberFormat="1" applyFont="1" applyFill="1" applyBorder="1"/>
    <xf numFmtId="164" fontId="14" fillId="0" borderId="15" xfId="1" applyNumberFormat="1" applyFont="1" applyBorder="1" applyAlignment="1">
      <alignment horizontal="right"/>
    </xf>
    <xf numFmtId="165" fontId="4" fillId="12" borderId="11" xfId="1" applyNumberFormat="1" applyFont="1" applyFill="1" applyBorder="1" applyAlignment="1">
      <alignment vertical="center"/>
    </xf>
    <xf numFmtId="174" fontId="4" fillId="0" borderId="4" xfId="1" applyNumberFormat="1" applyFont="1" applyBorder="1"/>
    <xf numFmtId="49" fontId="4" fillId="0" borderId="45" xfId="0" applyNumberFormat="1" applyFont="1" applyBorder="1"/>
    <xf numFmtId="0" fontId="16" fillId="0" borderId="37" xfId="0" applyFont="1" applyBorder="1"/>
    <xf numFmtId="9" fontId="1" fillId="0" borderId="0" xfId="2" applyFont="1"/>
    <xf numFmtId="9" fontId="8" fillId="6" borderId="35" xfId="2" applyFont="1" applyFill="1" applyBorder="1"/>
    <xf numFmtId="167" fontId="33" fillId="0" borderId="44" xfId="0" applyNumberFormat="1" applyFont="1" applyBorder="1"/>
    <xf numFmtId="166" fontId="33" fillId="0" borderId="44" xfId="0" applyNumberFormat="1" applyFont="1" applyBorder="1"/>
    <xf numFmtId="164" fontId="8" fillId="0" borderId="47" xfId="1" applyNumberFormat="1" applyFont="1" applyBorder="1" applyAlignment="1">
      <alignment horizontal="center" vertical="center"/>
    </xf>
    <xf numFmtId="164" fontId="14" fillId="0" borderId="36" xfId="1" applyNumberFormat="1" applyFont="1" applyBorder="1" applyAlignment="1">
      <alignment horizontal="right" vertical="center"/>
    </xf>
    <xf numFmtId="164" fontId="8" fillId="0" borderId="46" xfId="1" applyNumberFormat="1" applyFont="1" applyBorder="1" applyAlignment="1">
      <alignment horizontal="center" vertical="center"/>
    </xf>
    <xf numFmtId="167" fontId="20" fillId="3" borderId="29" xfId="1" applyNumberFormat="1" applyFont="1" applyFill="1" applyBorder="1" applyAlignment="1">
      <alignment vertical="center" wrapText="1"/>
    </xf>
    <xf numFmtId="167" fontId="20" fillId="3" borderId="4" xfId="1" applyNumberFormat="1" applyFont="1" applyFill="1" applyBorder="1" applyAlignment="1">
      <alignment vertical="center" wrapText="1"/>
    </xf>
    <xf numFmtId="165" fontId="1" fillId="0" borderId="36" xfId="1" applyNumberFormat="1" applyFont="1" applyBorder="1" applyAlignment="1">
      <alignment vertical="center"/>
    </xf>
    <xf numFmtId="164" fontId="8" fillId="0" borderId="27" xfId="1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4" fontId="4" fillId="0" borderId="9" xfId="1" applyNumberFormat="1" applyFont="1" applyAlignment="1"/>
    <xf numFmtId="0" fontId="38" fillId="0" borderId="9" xfId="1" applyAlignment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9" xfId="1" applyFont="1" applyAlignment="1">
      <alignment horizontal="center" vertical="center"/>
    </xf>
    <xf numFmtId="0" fontId="38" fillId="0" borderId="9" xfId="1"/>
    <xf numFmtId="4" fontId="38" fillId="0" borderId="9" xfId="1" applyNumberFormat="1"/>
  </cellXfs>
  <cellStyles count="3">
    <cellStyle name="Normal" xfId="0" builtinId="0"/>
    <cellStyle name="Normal 2" xfId="1" xr:uid="{58F5B4EC-3E1C-4392-953A-3C95FAED26F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81200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0</xdr:row>
      <xdr:rowOff>12700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94825" y="1270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2212FAD8-D97C-42CE-BA7A-A436528D46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787400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7168D06F-018F-4A93-AB48-FE4A062AC4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0"/>
          <a:ext cx="7874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787400" cy="666750"/>
    <xdr:pic>
      <xdr:nvPicPr>
        <xdr:cNvPr id="4" name="Picture 2">
          <a:extLst>
            <a:ext uri="{FF2B5EF4-FFF2-40B4-BE49-F238E27FC236}">
              <a16:creationId xmlns:a16="http://schemas.microsoft.com/office/drawing/2014/main" id="{F1A35EC9-335A-4E8E-86DB-D63619E2872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0"/>
          <a:ext cx="78740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95DF74F7-C704-43FF-8C50-81568C852E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67B943EA-7295-451E-B882-D0C39CD610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E9B8F42B-6F74-40E7-AE6E-40EB6D0255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51A05AC0-649F-4EAC-9A19-422B30E16EB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93FBBA5E-86B9-4670-AC1A-265B250169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B729B20F-B65F-46EE-9DCE-9FD432D3F9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8F38CB98-A03E-4141-AE0D-850D66B037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CDAB6603-B935-4194-839B-85DA5CDCF2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AC46F904-64B3-4523-B97A-12AF79E25A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691B6D7D-BA31-407F-BA8E-7927FD76B8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73A67777-E6D8-466D-8673-EE8B3FDDF3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CE82724A-B1E9-4F8B-8BA1-E30E7C7183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740D3ADE-A608-4AD6-9F2E-FA6014B897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FC576F6D-88E7-4390-BA96-08EDB2186B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431C8328-1C35-42B5-A7F4-F5F1CBD5B9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BA06463B-2822-4DF1-9B56-1404AA6113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8C156DC1-88DD-4670-B563-4651FC71D3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32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975" y="0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302779</xdr:colOff>
      <xdr:row>0</xdr:row>
      <xdr:rowOff>57728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8ACD41F-6990-804E-A936-2FF44324AA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9143" y="57728"/>
          <a:ext cx="790575" cy="66675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0</xdr:row>
      <xdr:rowOff>9525</xdr:rowOff>
    </xdr:from>
    <xdr:ext cx="933450" cy="647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DD6EE"/>
  </sheetPr>
  <dimension ref="B1:G26"/>
  <sheetViews>
    <sheetView workbookViewId="0">
      <selection activeCell="K20" sqref="K20"/>
    </sheetView>
  </sheetViews>
  <sheetFormatPr baseColWidth="10" defaultColWidth="12.6640625" defaultRowHeight="15" customHeight="1" x14ac:dyDescent="0.15"/>
  <cols>
    <col min="1" max="1" width="1.6640625" customWidth="1"/>
    <col min="2" max="2" width="10.83203125" hidden="1" customWidth="1"/>
    <col min="3" max="3" width="34.33203125" customWidth="1"/>
    <col min="4" max="4" width="14.1640625" customWidth="1"/>
    <col min="5" max="5" width="10.6640625" customWidth="1"/>
    <col min="6" max="6" width="13.83203125" customWidth="1"/>
    <col min="7" max="7" width="15.1640625" customWidth="1"/>
    <col min="8" max="26" width="10.6640625" customWidth="1"/>
  </cols>
  <sheetData>
    <row r="1" spans="2:7" ht="12" customHeight="1" x14ac:dyDescent="0.15">
      <c r="B1" s="412"/>
      <c r="C1" s="413"/>
      <c r="D1" s="413"/>
      <c r="E1" s="413"/>
      <c r="F1" s="413"/>
    </row>
    <row r="2" spans="2:7" ht="41.25" customHeight="1" x14ac:dyDescent="0.15">
      <c r="C2" s="2"/>
      <c r="D2" s="3"/>
      <c r="E2" s="3"/>
      <c r="F2" s="4"/>
    </row>
    <row r="3" spans="2:7" ht="12" customHeight="1" x14ac:dyDescent="0.2">
      <c r="B3" s="5" t="s">
        <v>0</v>
      </c>
      <c r="D3" s="3"/>
      <c r="E3" s="3"/>
      <c r="F3" s="4"/>
    </row>
    <row r="4" spans="2:7" ht="12" customHeight="1" x14ac:dyDescent="0.15">
      <c r="B4" s="2" t="s">
        <v>1</v>
      </c>
      <c r="D4" s="3"/>
      <c r="E4" s="3"/>
      <c r="F4" s="4"/>
    </row>
    <row r="5" spans="2:7" ht="12" customHeight="1" x14ac:dyDescent="0.15">
      <c r="C5" s="2"/>
      <c r="D5" s="3"/>
      <c r="E5" s="3"/>
      <c r="F5" s="4"/>
    </row>
    <row r="6" spans="2:7" ht="12" customHeight="1" x14ac:dyDescent="0.15">
      <c r="C6" s="6"/>
      <c r="D6" s="3"/>
      <c r="E6" s="3"/>
      <c r="F6" s="4"/>
      <c r="G6" s="262" t="s">
        <v>229</v>
      </c>
    </row>
    <row r="7" spans="2:7" ht="12" customHeight="1" x14ac:dyDescent="0.15">
      <c r="B7" s="8"/>
      <c r="C7" s="9" t="s">
        <v>2</v>
      </c>
      <c r="D7" s="10"/>
      <c r="E7" s="10"/>
      <c r="F7" s="11"/>
      <c r="G7" s="11"/>
    </row>
    <row r="8" spans="2:7" ht="12" customHeight="1" x14ac:dyDescent="0.15">
      <c r="C8" s="2"/>
      <c r="D8" s="3"/>
      <c r="E8" s="3"/>
      <c r="F8" s="4"/>
    </row>
    <row r="9" spans="2:7" ht="12" customHeight="1" x14ac:dyDescent="0.15">
      <c r="C9" s="12" t="s">
        <v>3</v>
      </c>
      <c r="D9" s="13" t="s">
        <v>4</v>
      </c>
      <c r="E9" s="13" t="s">
        <v>5</v>
      </c>
      <c r="F9" s="14" t="s">
        <v>6</v>
      </c>
      <c r="G9" s="14" t="s">
        <v>7</v>
      </c>
    </row>
    <row r="10" spans="2:7" ht="12" customHeight="1" x14ac:dyDescent="0.15">
      <c r="C10" s="263" t="s">
        <v>227</v>
      </c>
      <c r="D10" s="16">
        <v>45658</v>
      </c>
      <c r="E10" s="16" t="s">
        <v>8</v>
      </c>
      <c r="F10" s="17"/>
      <c r="G10" s="17">
        <v>19751.87</v>
      </c>
    </row>
    <row r="11" spans="2:7" ht="12" customHeight="1" x14ac:dyDescent="0.15">
      <c r="C11" s="400" t="s">
        <v>230</v>
      </c>
      <c r="D11" s="253">
        <v>45678</v>
      </c>
      <c r="E11" s="253" t="s">
        <v>8</v>
      </c>
      <c r="F11" s="401"/>
      <c r="G11" s="256">
        <v>36205.11</v>
      </c>
    </row>
    <row r="22" spans="3:7" ht="12" customHeight="1" x14ac:dyDescent="0.15">
      <c r="C22" s="24"/>
      <c r="D22" s="25"/>
      <c r="E22" s="26" t="s">
        <v>9</v>
      </c>
      <c r="F22" s="27">
        <f t="shared" ref="F22:G22" si="0">SUBTOTAL(109,F10:F21)</f>
        <v>0</v>
      </c>
      <c r="G22" s="27">
        <f t="shared" si="0"/>
        <v>55956.979999999996</v>
      </c>
    </row>
    <row r="23" spans="3:7" ht="12" customHeight="1" x14ac:dyDescent="0.15">
      <c r="C23" s="2"/>
      <c r="D23" s="3"/>
      <c r="E23" s="3"/>
      <c r="F23" s="21"/>
      <c r="G23" s="21"/>
    </row>
    <row r="24" spans="3:7" ht="12" customHeight="1" x14ac:dyDescent="0.15">
      <c r="C24" s="24" t="s">
        <v>10</v>
      </c>
      <c r="D24" s="3"/>
      <c r="E24" s="3"/>
      <c r="F24" s="28">
        <f>F22</f>
        <v>0</v>
      </c>
      <c r="G24" s="21"/>
    </row>
    <row r="25" spans="3:7" ht="12" customHeight="1" x14ac:dyDescent="0.15">
      <c r="C25" s="24" t="s">
        <v>11</v>
      </c>
      <c r="D25" s="3"/>
      <c r="E25" s="3"/>
      <c r="F25" s="28"/>
      <c r="G25" s="28">
        <f>G22</f>
        <v>55956.979999999996</v>
      </c>
    </row>
    <row r="26" spans="3:7" ht="12" customHeight="1" x14ac:dyDescent="0.15">
      <c r="C26" s="29" t="s">
        <v>12</v>
      </c>
      <c r="D26" s="30"/>
      <c r="E26" s="31"/>
      <c r="F26" s="32"/>
      <c r="G26" s="32">
        <f>G25+F24</f>
        <v>55956.979999999996</v>
      </c>
    </row>
  </sheetData>
  <mergeCells count="1">
    <mergeCell ref="B1:F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M56"/>
  <sheetViews>
    <sheetView topLeftCell="A10" workbookViewId="0">
      <selection activeCell="I48" sqref="I48"/>
    </sheetView>
  </sheetViews>
  <sheetFormatPr baseColWidth="10" defaultColWidth="12.6640625" defaultRowHeight="15" customHeight="1" x14ac:dyDescent="0.15"/>
  <cols>
    <col min="1" max="1" width="4.5" customWidth="1"/>
    <col min="2" max="2" width="66.6640625" customWidth="1"/>
    <col min="3" max="3" width="13" customWidth="1"/>
    <col min="4" max="4" width="6.5" customWidth="1"/>
    <col min="5" max="5" width="15.5" customWidth="1"/>
    <col min="6" max="6" width="20.5" customWidth="1"/>
    <col min="8" max="8" width="4.5" customWidth="1"/>
    <col min="9" max="9" width="55.33203125" customWidth="1"/>
    <col min="10" max="10" width="13" customWidth="1"/>
    <col min="11" max="11" width="6.5" customWidth="1"/>
    <col min="12" max="13" width="15.5" customWidth="1"/>
  </cols>
  <sheetData>
    <row r="1" spans="1:13" ht="54" customHeight="1" x14ac:dyDescent="0.15">
      <c r="A1" s="412"/>
      <c r="B1" s="413"/>
      <c r="C1" s="413"/>
      <c r="D1" s="413"/>
      <c r="E1" s="413"/>
      <c r="H1" s="412"/>
      <c r="I1" s="413"/>
      <c r="J1" s="413"/>
      <c r="K1" s="413"/>
      <c r="L1" s="413"/>
    </row>
    <row r="2" spans="1:13" ht="12" customHeight="1" x14ac:dyDescent="0.15">
      <c r="B2" s="2"/>
      <c r="C2" s="3"/>
      <c r="D2" s="3"/>
      <c r="E2" s="4"/>
      <c r="I2" s="2"/>
      <c r="J2" s="3"/>
      <c r="K2" s="3"/>
      <c r="L2" s="4"/>
    </row>
    <row r="3" spans="1:13" ht="18.75" customHeight="1" x14ac:dyDescent="0.2">
      <c r="A3" s="5" t="s">
        <v>0</v>
      </c>
      <c r="C3" s="3"/>
      <c r="D3" s="3"/>
      <c r="E3" s="4"/>
      <c r="H3" s="5" t="s">
        <v>0</v>
      </c>
      <c r="J3" s="3"/>
      <c r="K3" s="3"/>
      <c r="L3" s="4"/>
    </row>
    <row r="4" spans="1:13" ht="12" customHeight="1" x14ac:dyDescent="0.15">
      <c r="A4" s="2" t="s">
        <v>1</v>
      </c>
      <c r="C4" s="3"/>
      <c r="D4" s="3"/>
      <c r="E4" s="4"/>
      <c r="H4" s="2" t="s">
        <v>1</v>
      </c>
      <c r="J4" s="3"/>
      <c r="K4" s="3"/>
      <c r="L4" s="4"/>
    </row>
    <row r="5" spans="1:13" ht="12" customHeight="1" x14ac:dyDescent="0.15">
      <c r="B5" s="2"/>
      <c r="C5" s="3"/>
      <c r="D5" s="3"/>
      <c r="E5" s="4"/>
      <c r="I5" s="2"/>
      <c r="J5" s="3"/>
      <c r="K5" s="3"/>
      <c r="L5" s="4"/>
    </row>
    <row r="6" spans="1:13" ht="12" customHeight="1" x14ac:dyDescent="0.15">
      <c r="B6" s="6"/>
      <c r="C6" s="3"/>
      <c r="D6" s="3"/>
      <c r="E6" s="4"/>
      <c r="F6" s="262" t="s">
        <v>229</v>
      </c>
      <c r="I6" s="6"/>
      <c r="J6" s="3"/>
      <c r="K6" s="3"/>
      <c r="L6" s="4"/>
      <c r="M6" s="262" t="s">
        <v>229</v>
      </c>
    </row>
    <row r="7" spans="1:13" ht="17.25" customHeight="1" x14ac:dyDescent="0.15">
      <c r="A7" s="8"/>
      <c r="B7" s="9" t="s">
        <v>13</v>
      </c>
      <c r="C7" s="10"/>
      <c r="D7" s="10"/>
      <c r="E7" s="11"/>
      <c r="F7" s="11"/>
      <c r="G7" s="8"/>
      <c r="H7" s="8"/>
      <c r="I7" s="33" t="s">
        <v>14</v>
      </c>
      <c r="J7" s="34"/>
      <c r="K7" s="34"/>
      <c r="L7" s="35"/>
      <c r="M7" s="35"/>
    </row>
    <row r="8" spans="1:13" ht="12" customHeight="1" x14ac:dyDescent="0.15">
      <c r="B8" s="2"/>
      <c r="C8" s="3"/>
      <c r="D8" s="3"/>
      <c r="E8" s="4"/>
      <c r="I8" s="2"/>
      <c r="J8" s="3"/>
      <c r="K8" s="3"/>
      <c r="L8" s="4"/>
    </row>
    <row r="9" spans="1:13" ht="15" customHeight="1" x14ac:dyDescent="0.15">
      <c r="B9" s="12" t="s">
        <v>3</v>
      </c>
      <c r="C9" s="13" t="s">
        <v>4</v>
      </c>
      <c r="D9" s="13" t="s">
        <v>5</v>
      </c>
      <c r="E9" s="14" t="s">
        <v>6</v>
      </c>
      <c r="F9" s="14" t="s">
        <v>7</v>
      </c>
      <c r="I9" s="12" t="s">
        <v>3</v>
      </c>
      <c r="J9" s="13" t="s">
        <v>4</v>
      </c>
      <c r="K9" s="13" t="s">
        <v>5</v>
      </c>
      <c r="L9" s="14" t="s">
        <v>6</v>
      </c>
      <c r="M9" s="14" t="s">
        <v>7</v>
      </c>
    </row>
    <row r="10" spans="1:13" ht="15" customHeight="1" x14ac:dyDescent="0.15">
      <c r="B10" s="15" t="s">
        <v>227</v>
      </c>
      <c r="C10" s="16">
        <v>45658</v>
      </c>
      <c r="D10" s="16" t="s">
        <v>15</v>
      </c>
      <c r="E10" s="17"/>
      <c r="F10" s="17">
        <v>14920</v>
      </c>
      <c r="I10" s="15" t="s">
        <v>227</v>
      </c>
      <c r="J10" s="19">
        <v>45658</v>
      </c>
      <c r="K10" s="19" t="s">
        <v>8</v>
      </c>
      <c r="L10" s="20"/>
      <c r="M10" s="20">
        <v>6280.94</v>
      </c>
    </row>
    <row r="11" spans="1:13" ht="15" customHeight="1" x14ac:dyDescent="0.15">
      <c r="B11" s="247" t="s">
        <v>202</v>
      </c>
      <c r="C11" s="248">
        <v>45660</v>
      </c>
      <c r="D11" s="249" t="s">
        <v>15</v>
      </c>
      <c r="E11" s="250">
        <v>-6700</v>
      </c>
      <c r="F11" s="226"/>
      <c r="I11" s="18" t="s">
        <v>26</v>
      </c>
      <c r="J11" s="236">
        <v>45659</v>
      </c>
      <c r="K11" s="236" t="s">
        <v>8</v>
      </c>
      <c r="L11" s="22">
        <v>-65</v>
      </c>
      <c r="M11" s="239"/>
    </row>
    <row r="12" spans="1:13" ht="15" customHeight="1" x14ac:dyDescent="0.15">
      <c r="B12" s="225" t="s">
        <v>203</v>
      </c>
      <c r="C12" s="229">
        <v>45660</v>
      </c>
      <c r="D12" s="224" t="s">
        <v>15</v>
      </c>
      <c r="E12" s="242">
        <v>-1150</v>
      </c>
      <c r="F12" s="226"/>
      <c r="I12" s="18" t="s">
        <v>20</v>
      </c>
      <c r="J12" s="19">
        <v>45677</v>
      </c>
      <c r="K12" s="234" t="s">
        <v>8</v>
      </c>
      <c r="L12" s="22"/>
      <c r="M12" s="20">
        <v>31999.57</v>
      </c>
    </row>
    <row r="13" spans="1:13" ht="15" customHeight="1" x14ac:dyDescent="0.15">
      <c r="B13" s="225" t="s">
        <v>209</v>
      </c>
      <c r="C13" s="229">
        <v>45666</v>
      </c>
      <c r="D13" s="224" t="s">
        <v>15</v>
      </c>
      <c r="E13" s="242">
        <v>-700</v>
      </c>
      <c r="F13" s="226"/>
      <c r="I13" s="18" t="s">
        <v>22</v>
      </c>
      <c r="J13" s="236">
        <v>45680</v>
      </c>
      <c r="K13" s="243" t="s">
        <v>8</v>
      </c>
      <c r="L13" s="22"/>
      <c r="M13" s="239">
        <v>16108.65</v>
      </c>
    </row>
    <row r="14" spans="1:13" ht="15" customHeight="1" x14ac:dyDescent="0.15">
      <c r="B14" s="264" t="s">
        <v>232</v>
      </c>
      <c r="C14" s="229">
        <v>45672</v>
      </c>
      <c r="D14" s="266" t="s">
        <v>15</v>
      </c>
      <c r="E14" s="242">
        <v>-4000</v>
      </c>
      <c r="F14" s="226"/>
      <c r="I14" s="238"/>
      <c r="J14" s="236"/>
      <c r="K14" s="243"/>
      <c r="L14" s="22"/>
      <c r="M14" s="239"/>
    </row>
    <row r="15" spans="1:13" ht="15" customHeight="1" x14ac:dyDescent="0.15">
      <c r="B15" s="225" t="s">
        <v>210</v>
      </c>
      <c r="C15" s="229">
        <v>45675</v>
      </c>
      <c r="D15" s="224" t="s">
        <v>15</v>
      </c>
      <c r="E15" s="242">
        <v>-1200</v>
      </c>
      <c r="F15" s="226"/>
      <c r="I15" s="238" t="s">
        <v>27</v>
      </c>
      <c r="J15" s="236">
        <v>45680</v>
      </c>
      <c r="K15" s="243" t="s">
        <v>8</v>
      </c>
      <c r="L15" s="22">
        <v>-65</v>
      </c>
      <c r="M15" s="239"/>
    </row>
    <row r="16" spans="1:13" ht="15" customHeight="1" x14ac:dyDescent="0.15">
      <c r="B16" s="247" t="s">
        <v>17</v>
      </c>
      <c r="C16" s="229">
        <v>45678</v>
      </c>
      <c r="D16" s="224"/>
      <c r="E16" s="242"/>
      <c r="F16" s="226">
        <v>19500</v>
      </c>
      <c r="I16" s="238" t="s">
        <v>211</v>
      </c>
      <c r="J16" s="236">
        <v>45681</v>
      </c>
      <c r="K16" s="243" t="s">
        <v>8</v>
      </c>
      <c r="L16" s="22">
        <v>-2500</v>
      </c>
      <c r="M16" s="239"/>
    </row>
    <row r="17" spans="2:13" ht="15" customHeight="1" x14ac:dyDescent="0.15">
      <c r="B17" s="225" t="s">
        <v>21</v>
      </c>
      <c r="C17" s="248">
        <v>45678</v>
      </c>
      <c r="D17" s="247"/>
      <c r="E17" s="248"/>
      <c r="F17" s="226">
        <v>53300</v>
      </c>
      <c r="I17" s="238" t="s">
        <v>216</v>
      </c>
      <c r="J17" s="236">
        <v>45685</v>
      </c>
      <c r="K17" s="243" t="s">
        <v>8</v>
      </c>
      <c r="L17" s="22">
        <v>-822.82</v>
      </c>
      <c r="M17" s="239"/>
    </row>
    <row r="18" spans="2:13" ht="15" customHeight="1" x14ac:dyDescent="0.15">
      <c r="B18" s="260" t="s">
        <v>23</v>
      </c>
      <c r="C18" s="229">
        <v>45679</v>
      </c>
      <c r="D18" s="225" t="s">
        <v>15</v>
      </c>
      <c r="E18" s="229"/>
      <c r="F18" s="226">
        <v>16200</v>
      </c>
      <c r="I18" s="238" t="s">
        <v>217</v>
      </c>
      <c r="J18" s="236">
        <v>45685</v>
      </c>
      <c r="K18" s="243" t="s">
        <v>8</v>
      </c>
      <c r="L18" s="22">
        <v>-7200</v>
      </c>
      <c r="M18" s="239"/>
    </row>
    <row r="19" spans="2:13" ht="15" customHeight="1" x14ac:dyDescent="0.15">
      <c r="B19" s="225" t="s">
        <v>19</v>
      </c>
      <c r="C19" s="229">
        <v>45680</v>
      </c>
      <c r="D19" s="225" t="s">
        <v>15</v>
      </c>
      <c r="E19" s="229"/>
      <c r="F19" s="231">
        <v>34510</v>
      </c>
      <c r="I19" s="238" t="s">
        <v>218</v>
      </c>
      <c r="J19" s="236">
        <v>45685</v>
      </c>
      <c r="K19" s="243" t="s">
        <v>8</v>
      </c>
      <c r="L19" s="22">
        <v>-2000</v>
      </c>
      <c r="M19" s="239"/>
    </row>
    <row r="20" spans="2:13" ht="16" customHeight="1" x14ac:dyDescent="0.15">
      <c r="B20" s="267" t="s">
        <v>234</v>
      </c>
      <c r="C20" s="251">
        <v>45685</v>
      </c>
      <c r="D20" s="252" t="s">
        <v>15</v>
      </c>
      <c r="E20" s="242">
        <v>-4000</v>
      </c>
      <c r="F20" s="226"/>
      <c r="I20" s="238" t="s">
        <v>225</v>
      </c>
      <c r="J20" s="236">
        <v>45687</v>
      </c>
      <c r="K20" s="243"/>
      <c r="L20" s="22">
        <v>-6000</v>
      </c>
      <c r="M20" s="239"/>
    </row>
    <row r="21" spans="2:13" ht="33.5" customHeight="1" x14ac:dyDescent="0.15">
      <c r="B21" s="37" t="s">
        <v>224</v>
      </c>
      <c r="C21" s="229">
        <v>45685</v>
      </c>
      <c r="D21" s="224" t="s">
        <v>15</v>
      </c>
      <c r="E21" s="231">
        <v>-1000</v>
      </c>
      <c r="F21" s="226"/>
      <c r="I21" s="38" t="s">
        <v>16</v>
      </c>
      <c r="J21" s="236">
        <v>45688</v>
      </c>
      <c r="K21" s="243" t="s">
        <v>8</v>
      </c>
      <c r="L21" s="22">
        <v>-13.8</v>
      </c>
      <c r="M21" s="239"/>
    </row>
    <row r="22" spans="2:13" ht="16" customHeight="1" x14ac:dyDescent="0.15">
      <c r="B22" s="261" t="s">
        <v>228</v>
      </c>
      <c r="C22" s="229">
        <v>45687</v>
      </c>
      <c r="D22" s="224" t="s">
        <v>15</v>
      </c>
      <c r="E22" s="231">
        <v>-9000</v>
      </c>
      <c r="F22" s="226"/>
      <c r="I22" s="18" t="s">
        <v>26</v>
      </c>
      <c r="J22" s="236">
        <v>45691</v>
      </c>
      <c r="K22" s="243" t="s">
        <v>8</v>
      </c>
      <c r="L22" s="22">
        <v>-65</v>
      </c>
      <c r="M22" s="239"/>
    </row>
    <row r="23" spans="2:13" ht="15" customHeight="1" x14ac:dyDescent="0.15">
      <c r="B23" s="259" t="s">
        <v>221</v>
      </c>
      <c r="C23" s="230">
        <v>45694</v>
      </c>
      <c r="D23" s="227" t="s">
        <v>15</v>
      </c>
      <c r="E23" s="232">
        <v>-66000</v>
      </c>
      <c r="F23" s="228"/>
      <c r="I23" s="38" t="s">
        <v>28</v>
      </c>
      <c r="J23" s="236">
        <v>45693</v>
      </c>
      <c r="K23" s="243" t="s">
        <v>8</v>
      </c>
      <c r="L23" s="22">
        <v>-39598.89</v>
      </c>
      <c r="M23" s="239"/>
    </row>
    <row r="24" spans="2:13" ht="15" customHeight="1" x14ac:dyDescent="0.15">
      <c r="B24" s="264" t="s">
        <v>231</v>
      </c>
      <c r="C24" s="230">
        <v>45700</v>
      </c>
      <c r="D24" s="265" t="s">
        <v>15</v>
      </c>
      <c r="E24" s="232">
        <v>-2000</v>
      </c>
      <c r="F24" s="228"/>
      <c r="I24" s="38" t="s">
        <v>222</v>
      </c>
      <c r="J24" s="19">
        <v>45694</v>
      </c>
      <c r="K24" s="19" t="s">
        <v>8</v>
      </c>
      <c r="L24" s="22"/>
      <c r="M24" s="20">
        <v>66000</v>
      </c>
    </row>
    <row r="25" spans="2:13" ht="15" customHeight="1" x14ac:dyDescent="0.15">
      <c r="B25" s="264" t="s">
        <v>233</v>
      </c>
      <c r="C25" s="230">
        <v>45702</v>
      </c>
      <c r="D25" s="265" t="s">
        <v>15</v>
      </c>
      <c r="E25" s="232">
        <v>-800</v>
      </c>
      <c r="F25" s="228"/>
      <c r="I25" s="38" t="s">
        <v>223</v>
      </c>
      <c r="J25" s="243">
        <v>45695</v>
      </c>
      <c r="K25" s="19" t="s">
        <v>8</v>
      </c>
      <c r="L25" s="22">
        <v>-18600</v>
      </c>
      <c r="M25" s="20"/>
    </row>
    <row r="26" spans="2:13" ht="15" customHeight="1" x14ac:dyDescent="0.15">
      <c r="B26" s="259"/>
      <c r="C26" s="230"/>
      <c r="D26" s="227"/>
      <c r="E26" s="232"/>
      <c r="F26" s="228"/>
      <c r="I26" s="38" t="s">
        <v>16</v>
      </c>
      <c r="J26" s="243">
        <v>45695</v>
      </c>
      <c r="K26" s="236" t="s">
        <v>8</v>
      </c>
      <c r="L26" s="22">
        <v>-59.4</v>
      </c>
      <c r="M26" s="239"/>
    </row>
    <row r="27" spans="2:13" ht="15" customHeight="1" x14ac:dyDescent="0.15">
      <c r="B27" s="259"/>
      <c r="C27" s="230"/>
      <c r="D27" s="227"/>
      <c r="E27" s="232"/>
      <c r="F27" s="228"/>
      <c r="I27" s="38" t="s">
        <v>16</v>
      </c>
      <c r="J27" s="243">
        <v>45702</v>
      </c>
      <c r="K27" s="236" t="s">
        <v>8</v>
      </c>
      <c r="L27" s="22">
        <v>-27.9</v>
      </c>
      <c r="M27" s="239"/>
    </row>
    <row r="28" spans="2:13" ht="15" customHeight="1" x14ac:dyDescent="0.15">
      <c r="B28" s="259"/>
      <c r="C28" s="230"/>
      <c r="D28" s="227"/>
      <c r="E28" s="232"/>
      <c r="F28" s="228"/>
      <c r="I28" s="18" t="s">
        <v>18</v>
      </c>
      <c r="J28" s="243">
        <v>45706</v>
      </c>
      <c r="K28" s="236" t="s">
        <v>8</v>
      </c>
      <c r="L28" s="22"/>
      <c r="M28" s="239">
        <v>15862.34</v>
      </c>
    </row>
    <row r="29" spans="2:13" ht="15" customHeight="1" x14ac:dyDescent="0.15">
      <c r="B29" s="259"/>
      <c r="C29" s="230"/>
      <c r="D29" s="227"/>
      <c r="E29" s="232"/>
      <c r="F29" s="228"/>
      <c r="I29" s="38" t="s">
        <v>16</v>
      </c>
      <c r="J29" s="243">
        <v>45706</v>
      </c>
      <c r="K29" s="236" t="s">
        <v>8</v>
      </c>
      <c r="L29" s="22">
        <v>-65</v>
      </c>
      <c r="M29" s="239"/>
    </row>
    <row r="30" spans="2:13" ht="15" customHeight="1" x14ac:dyDescent="0.15">
      <c r="B30" s="259"/>
      <c r="C30" s="230"/>
      <c r="D30" s="227"/>
      <c r="E30" s="232"/>
      <c r="F30" s="228"/>
      <c r="I30" s="38" t="s">
        <v>226</v>
      </c>
      <c r="J30" s="243">
        <v>45713</v>
      </c>
      <c r="K30" s="19" t="s">
        <v>8</v>
      </c>
      <c r="L30" s="22">
        <v>-12400</v>
      </c>
      <c r="M30" s="20"/>
    </row>
    <row r="31" spans="2:13" ht="15" customHeight="1" x14ac:dyDescent="0.15">
      <c r="B31" s="259"/>
      <c r="C31" s="230"/>
      <c r="D31" s="227"/>
      <c r="E31" s="232"/>
      <c r="F31" s="228"/>
      <c r="I31" s="38" t="s">
        <v>16</v>
      </c>
      <c r="J31" s="243">
        <v>45716</v>
      </c>
      <c r="K31" s="243" t="s">
        <v>8</v>
      </c>
      <c r="L31" s="22">
        <v>-18.600000000000001</v>
      </c>
      <c r="M31" s="239"/>
    </row>
    <row r="32" spans="2:13" ht="15" customHeight="1" x14ac:dyDescent="0.15">
      <c r="B32" s="259"/>
      <c r="C32" s="230"/>
      <c r="D32" s="227"/>
      <c r="E32" s="232"/>
      <c r="F32" s="228"/>
      <c r="I32" s="268" t="s">
        <v>235</v>
      </c>
      <c r="J32" s="243">
        <v>45716</v>
      </c>
      <c r="K32" s="243" t="s">
        <v>8</v>
      </c>
      <c r="L32" s="22">
        <v>-755.55</v>
      </c>
      <c r="M32" s="239"/>
    </row>
    <row r="33" spans="2:13" ht="15" customHeight="1" x14ac:dyDescent="0.15">
      <c r="B33" s="259"/>
      <c r="C33" s="230"/>
      <c r="D33" s="227"/>
      <c r="E33" s="232"/>
      <c r="F33" s="228"/>
      <c r="I33" s="268" t="s">
        <v>236</v>
      </c>
      <c r="J33" s="243">
        <v>45716</v>
      </c>
      <c r="K33" s="243" t="s">
        <v>8</v>
      </c>
      <c r="L33" s="22">
        <v>-3600</v>
      </c>
      <c r="M33" s="239"/>
    </row>
    <row r="34" spans="2:13" ht="15" customHeight="1" x14ac:dyDescent="0.15">
      <c r="B34" s="259"/>
      <c r="C34" s="230"/>
      <c r="D34" s="227"/>
      <c r="E34" s="232"/>
      <c r="F34" s="228"/>
      <c r="I34" s="268" t="s">
        <v>237</v>
      </c>
      <c r="J34" s="243">
        <v>45716</v>
      </c>
      <c r="K34" s="243" t="s">
        <v>8</v>
      </c>
      <c r="L34" s="22">
        <v>-1000</v>
      </c>
      <c r="M34" s="239"/>
    </row>
    <row r="35" spans="2:13" ht="15" customHeight="1" x14ac:dyDescent="0.15">
      <c r="B35" s="259"/>
      <c r="C35" s="230"/>
      <c r="D35" s="227"/>
      <c r="E35" s="232"/>
      <c r="F35" s="228"/>
      <c r="I35" s="238"/>
      <c r="J35" s="243"/>
      <c r="K35" s="236"/>
      <c r="L35" s="22"/>
      <c r="M35" s="239"/>
    </row>
    <row r="36" spans="2:13" ht="15" customHeight="1" x14ac:dyDescent="0.15">
      <c r="B36" s="259"/>
      <c r="C36" s="230"/>
      <c r="D36" s="227"/>
      <c r="E36" s="232"/>
      <c r="F36" s="228"/>
      <c r="I36" s="257"/>
      <c r="J36" s="254"/>
      <c r="K36" s="255"/>
      <c r="L36" s="256"/>
      <c r="M36" s="253"/>
    </row>
    <row r="37" spans="2:13" ht="15" customHeight="1" x14ac:dyDescent="0.15">
      <c r="B37" s="24"/>
      <c r="C37" s="25"/>
      <c r="D37" s="26" t="s">
        <v>9</v>
      </c>
      <c r="E37" s="27">
        <f>SUBTOTAL(109,E10:E25)</f>
        <v>-96550</v>
      </c>
      <c r="F37" s="27">
        <f>SUBTOTAL(109,F10:F23)</f>
        <v>138430</v>
      </c>
      <c r="G37" s="23"/>
      <c r="H37" s="23"/>
      <c r="I37" s="24"/>
      <c r="J37" s="25"/>
      <c r="K37" s="26" t="s">
        <v>9</v>
      </c>
      <c r="L37" s="27">
        <f>SUM(L10:L36)</f>
        <v>-94856.959999999992</v>
      </c>
      <c r="M37" s="27">
        <f>SUM(M10:M36)</f>
        <v>136251.5</v>
      </c>
    </row>
    <row r="38" spans="2:13" ht="15" customHeight="1" x14ac:dyDescent="0.15">
      <c r="B38" s="2"/>
      <c r="C38" s="3"/>
      <c r="D38" s="3"/>
      <c r="E38" s="21"/>
      <c r="F38" s="21"/>
      <c r="I38" s="2"/>
      <c r="J38" s="3"/>
      <c r="K38" s="3"/>
      <c r="L38" s="21"/>
      <c r="M38" s="21"/>
    </row>
    <row r="39" spans="2:13" ht="15" customHeight="1" x14ac:dyDescent="0.15">
      <c r="B39" s="24" t="s">
        <v>10</v>
      </c>
      <c r="C39" s="3"/>
      <c r="D39" s="3"/>
      <c r="E39" s="28">
        <f>E37</f>
        <v>-96550</v>
      </c>
      <c r="F39" s="21"/>
      <c r="I39" s="24" t="s">
        <v>10</v>
      </c>
      <c r="J39" s="3"/>
      <c r="K39" s="3"/>
      <c r="L39" s="28">
        <f>L37</f>
        <v>-94856.959999999992</v>
      </c>
      <c r="M39" s="21"/>
    </row>
    <row r="40" spans="2:13" ht="15" customHeight="1" x14ac:dyDescent="0.15">
      <c r="B40" s="24" t="s">
        <v>11</v>
      </c>
      <c r="C40" s="3"/>
      <c r="D40" s="3"/>
      <c r="E40" s="28"/>
      <c r="F40" s="28">
        <f>F37</f>
        <v>138430</v>
      </c>
      <c r="I40" s="24" t="s">
        <v>11</v>
      </c>
      <c r="J40" s="3"/>
      <c r="K40" s="3"/>
      <c r="L40" s="28"/>
      <c r="M40" s="28">
        <f>M37</f>
        <v>136251.5</v>
      </c>
    </row>
    <row r="41" spans="2:13" ht="12" customHeight="1" x14ac:dyDescent="0.15">
      <c r="B41" s="29" t="s">
        <v>12</v>
      </c>
      <c r="C41" s="30"/>
      <c r="D41" s="31"/>
      <c r="E41" s="32"/>
      <c r="F41" s="32">
        <f>F40+E39</f>
        <v>41880</v>
      </c>
      <c r="I41" s="40" t="s">
        <v>12</v>
      </c>
      <c r="J41" s="41"/>
      <c r="K41" s="42"/>
      <c r="L41" s="43"/>
      <c r="M41" s="43">
        <f>M40+L39</f>
        <v>41394.540000000008</v>
      </c>
    </row>
    <row r="42" spans="2:13" ht="12" customHeight="1" x14ac:dyDescent="0.15">
      <c r="B42" s="24"/>
      <c r="C42" s="3"/>
      <c r="D42" s="3"/>
      <c r="E42" s="44"/>
      <c r="F42" s="44"/>
      <c r="I42" s="24"/>
      <c r="J42" s="3"/>
      <c r="K42" s="3"/>
      <c r="L42" s="44"/>
      <c r="M42" s="44"/>
    </row>
    <row r="43" spans="2:13" ht="12" customHeight="1" x14ac:dyDescent="0.15">
      <c r="B43" s="45" t="s">
        <v>29</v>
      </c>
      <c r="C43" s="46">
        <v>45747</v>
      </c>
      <c r="D43" s="46"/>
      <c r="E43" s="47"/>
      <c r="F43" s="48">
        <f>M41</f>
        <v>41394.540000000008</v>
      </c>
      <c r="I43" s="24"/>
      <c r="J43" s="3"/>
      <c r="K43" s="3"/>
      <c r="L43" s="44"/>
      <c r="M43" s="44"/>
    </row>
    <row r="44" spans="2:13" ht="12" customHeight="1" x14ac:dyDescent="0.15">
      <c r="B44" s="49" t="s">
        <v>30</v>
      </c>
      <c r="C44" s="3">
        <v>45747</v>
      </c>
      <c r="D44" s="3"/>
      <c r="E44" s="44"/>
      <c r="F44" s="50">
        <f>F41</f>
        <v>41880</v>
      </c>
      <c r="G44" s="51"/>
      <c r="I44" s="24"/>
      <c r="J44" s="3"/>
      <c r="K44" s="3"/>
      <c r="L44" s="44"/>
      <c r="M44" s="44"/>
    </row>
    <row r="45" spans="2:13" ht="12" customHeight="1" x14ac:dyDescent="0.15">
      <c r="B45" s="52"/>
      <c r="C45" s="53" t="s">
        <v>31</v>
      </c>
      <c r="D45" s="54"/>
      <c r="E45" s="55"/>
      <c r="F45" s="56">
        <f>SUM(F43:F44)</f>
        <v>83274.540000000008</v>
      </c>
      <c r="I45" s="24"/>
      <c r="J45" s="57"/>
      <c r="K45" s="58"/>
      <c r="L45" s="44"/>
      <c r="M45" s="59"/>
    </row>
    <row r="46" spans="2:13" ht="15" customHeight="1" x14ac:dyDescent="0.15">
      <c r="B46" s="24"/>
      <c r="C46" s="3"/>
      <c r="D46" s="3"/>
      <c r="E46" s="60" t="s">
        <v>32</v>
      </c>
      <c r="F46" s="61">
        <f>'Fondo de reservas'!G26</f>
        <v>55956.979999999996</v>
      </c>
      <c r="I46" s="24"/>
      <c r="J46" s="3"/>
      <c r="K46" s="3"/>
      <c r="L46" s="62"/>
      <c r="M46" s="63"/>
    </row>
    <row r="47" spans="2:13" ht="14" customHeight="1" x14ac:dyDescent="0.2">
      <c r="B47" s="24"/>
      <c r="C47" s="3"/>
      <c r="D47" s="3"/>
      <c r="E47" s="64" t="s">
        <v>33</v>
      </c>
      <c r="F47" s="65">
        <f>F45-F46</f>
        <v>27317.560000000012</v>
      </c>
      <c r="I47" s="24"/>
      <c r="J47" s="3"/>
      <c r="K47" s="3"/>
      <c r="L47" s="64"/>
      <c r="M47" s="65"/>
    </row>
    <row r="49" spans="4:7" ht="12" customHeight="1" x14ac:dyDescent="0.15">
      <c r="D49" s="67" t="s">
        <v>34</v>
      </c>
      <c r="E49" s="68" t="s">
        <v>35</v>
      </c>
      <c r="F49" s="69">
        <f>'A1'!F66</f>
        <v>-51847.85328997302</v>
      </c>
      <c r="G49" s="70" t="s">
        <v>36</v>
      </c>
    </row>
    <row r="50" spans="4:7" ht="12" customHeight="1" x14ac:dyDescent="0.15">
      <c r="D50" s="67" t="s">
        <v>37</v>
      </c>
      <c r="E50" s="68" t="s">
        <v>38</v>
      </c>
      <c r="F50" s="69">
        <f>'A2'!F29</f>
        <v>-38279.756118833146</v>
      </c>
      <c r="G50" s="70" t="s">
        <v>36</v>
      </c>
    </row>
    <row r="51" spans="4:7" ht="12" customHeight="1" x14ac:dyDescent="0.15">
      <c r="D51" s="67" t="s">
        <v>39</v>
      </c>
      <c r="E51" s="68" t="s">
        <v>40</v>
      </c>
      <c r="F51" s="69">
        <f>'A3'!F29</f>
        <v>-44021.137073750637</v>
      </c>
      <c r="G51" s="70" t="s">
        <v>36</v>
      </c>
    </row>
    <row r="52" spans="4:7" ht="12" customHeight="1" x14ac:dyDescent="0.15">
      <c r="D52" s="67" t="s">
        <v>41</v>
      </c>
      <c r="E52" s="68" t="s">
        <v>42</v>
      </c>
      <c r="F52" s="69">
        <f>'A4'!F27</f>
        <v>-25468.189817566643</v>
      </c>
      <c r="G52" s="70" t="s">
        <v>36</v>
      </c>
    </row>
    <row r="53" spans="4:7" ht="12" customHeight="1" x14ac:dyDescent="0.15">
      <c r="D53" s="67" t="s">
        <v>43</v>
      </c>
      <c r="E53" s="68" t="s">
        <v>44</v>
      </c>
      <c r="F53" s="69">
        <f>'A5'!F28</f>
        <v>-29522.651805130081</v>
      </c>
      <c r="G53" s="70" t="s">
        <v>36</v>
      </c>
    </row>
    <row r="54" spans="4:7" ht="12" customHeight="1" x14ac:dyDescent="0.15">
      <c r="D54" s="67" t="s">
        <v>45</v>
      </c>
      <c r="E54" s="68" t="s">
        <v>46</v>
      </c>
      <c r="F54" s="258">
        <f>'A6'!F27</f>
        <v>-44617.29604956336</v>
      </c>
      <c r="G54" s="70" t="s">
        <v>36</v>
      </c>
    </row>
    <row r="55" spans="4:7" ht="12" customHeight="1" x14ac:dyDescent="0.15">
      <c r="D55" s="67" t="s">
        <v>47</v>
      </c>
      <c r="E55" s="68" t="s">
        <v>48</v>
      </c>
      <c r="F55" s="69">
        <f>'A7'!F30</f>
        <v>-67445.975845183071</v>
      </c>
      <c r="G55" s="70" t="s">
        <v>36</v>
      </c>
    </row>
    <row r="56" spans="4:7" ht="12" customHeight="1" x14ac:dyDescent="0.15">
      <c r="D56" s="66"/>
      <c r="E56" s="71" t="s">
        <v>212</v>
      </c>
      <c r="F56" s="72">
        <f>SUM(F49:F55)</f>
        <v>-301202.86</v>
      </c>
      <c r="G56" s="73"/>
    </row>
  </sheetData>
  <autoFilter ref="B9:F37" xr:uid="{00000000-0009-0000-0000-000001000000}"/>
  <mergeCells count="2">
    <mergeCell ref="A1:E1"/>
    <mergeCell ref="H1:L1"/>
  </mergeCells>
  <pageMargins left="0.78749999999999998" right="0.78749999999999998" top="1.05277777777778" bottom="1.05277777777778" header="0" footer="0"/>
  <pageSetup paperSize="5" scale="36" fitToHeight="0" orientation="portrait" r:id="rId1"/>
  <headerFooter>
    <oddHeader>&amp;C&amp;A</oddHead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E85"/>
  <sheetViews>
    <sheetView topLeftCell="A36" workbookViewId="0">
      <selection activeCell="I70" sqref="I70"/>
    </sheetView>
  </sheetViews>
  <sheetFormatPr baseColWidth="10" defaultColWidth="12.6640625" defaultRowHeight="15" customHeight="1" x14ac:dyDescent="0.15"/>
  <cols>
    <col min="1" max="1" width="4.5" customWidth="1"/>
    <col min="2" max="2" width="69" customWidth="1"/>
    <col min="3" max="3" width="14.33203125" customWidth="1"/>
    <col min="4" max="4" width="15.5" customWidth="1"/>
    <col min="5" max="5" width="4.5" customWidth="1"/>
    <col min="6" max="6" width="12.6640625" customWidth="1"/>
  </cols>
  <sheetData>
    <row r="1" spans="1:5" ht="54" customHeight="1" x14ac:dyDescent="0.15">
      <c r="A1" s="412"/>
      <c r="B1" s="413"/>
      <c r="C1" s="413"/>
      <c r="D1" s="413"/>
    </row>
    <row r="2" spans="1:5" ht="12" customHeight="1" x14ac:dyDescent="0.15">
      <c r="B2" s="2"/>
      <c r="C2" s="3"/>
      <c r="D2" s="4"/>
    </row>
    <row r="3" spans="1:5" ht="18.75" customHeight="1" x14ac:dyDescent="0.2">
      <c r="A3" s="5" t="s">
        <v>0</v>
      </c>
      <c r="C3" s="3"/>
      <c r="D3" s="4"/>
    </row>
    <row r="4" spans="1:5" ht="12" customHeight="1" x14ac:dyDescent="0.15">
      <c r="A4" s="2" t="s">
        <v>1</v>
      </c>
      <c r="C4" s="3"/>
      <c r="D4" s="4"/>
    </row>
    <row r="5" spans="1:5" ht="12" customHeight="1" x14ac:dyDescent="0.15">
      <c r="B5" s="2"/>
      <c r="C5" s="3"/>
      <c r="D5" s="4"/>
    </row>
    <row r="6" spans="1:5" ht="12" customHeight="1" x14ac:dyDescent="0.15">
      <c r="B6" s="6"/>
      <c r="C6" s="3"/>
      <c r="D6" s="4"/>
      <c r="E6" s="262" t="s">
        <v>229</v>
      </c>
    </row>
    <row r="7" spans="1:5" ht="17.25" customHeight="1" x14ac:dyDescent="0.15">
      <c r="A7" s="8"/>
      <c r="B7" s="74" t="s">
        <v>49</v>
      </c>
      <c r="C7" s="75"/>
      <c r="D7" s="76"/>
      <c r="E7" s="8"/>
    </row>
    <row r="8" spans="1:5" ht="12" customHeight="1" x14ac:dyDescent="0.15">
      <c r="B8" s="2"/>
      <c r="C8" s="3"/>
      <c r="D8" s="4"/>
    </row>
    <row r="9" spans="1:5" ht="15" customHeight="1" x14ac:dyDescent="0.15">
      <c r="B9" s="12" t="s">
        <v>50</v>
      </c>
      <c r="C9" s="77" t="s">
        <v>4</v>
      </c>
      <c r="D9" s="78" t="s">
        <v>51</v>
      </c>
    </row>
    <row r="10" spans="1:5" ht="15" customHeight="1" x14ac:dyDescent="0.15">
      <c r="B10" s="246" t="s">
        <v>219</v>
      </c>
      <c r="C10" s="245">
        <v>45685</v>
      </c>
      <c r="D10" s="237">
        <v>7200</v>
      </c>
    </row>
    <row r="11" spans="1:5" ht="15" customHeight="1" x14ac:dyDescent="0.15">
      <c r="B11" s="269" t="s">
        <v>238</v>
      </c>
      <c r="C11" s="245">
        <v>45716</v>
      </c>
      <c r="D11" s="237">
        <v>3600</v>
      </c>
    </row>
    <row r="12" spans="1:5" ht="15" customHeight="1" x14ac:dyDescent="0.15">
      <c r="B12" s="246"/>
      <c r="C12" s="245"/>
      <c r="D12" s="237"/>
    </row>
    <row r="13" spans="1:5" ht="15" customHeight="1" x14ac:dyDescent="0.15">
      <c r="B13" s="80" t="s">
        <v>52</v>
      </c>
      <c r="C13" s="77"/>
      <c r="D13" s="81">
        <f>SUM(D10:D12)</f>
        <v>10800</v>
      </c>
    </row>
    <row r="14" spans="1:5" ht="15" customHeight="1" x14ac:dyDescent="0.15">
      <c r="B14" s="39"/>
      <c r="C14" s="3"/>
      <c r="D14" s="4"/>
    </row>
    <row r="15" spans="1:5" ht="15" customHeight="1" x14ac:dyDescent="0.15">
      <c r="B15" s="12" t="s">
        <v>53</v>
      </c>
      <c r="C15" s="77" t="s">
        <v>4</v>
      </c>
      <c r="D15" s="78" t="s">
        <v>51</v>
      </c>
    </row>
    <row r="16" spans="1:5" ht="15" customHeight="1" x14ac:dyDescent="0.15">
      <c r="B16" s="235" t="s">
        <v>215</v>
      </c>
      <c r="C16" s="236">
        <v>45685</v>
      </c>
      <c r="D16" s="237">
        <v>822.82</v>
      </c>
    </row>
    <row r="17" spans="2:4" ht="15" customHeight="1" x14ac:dyDescent="0.15">
      <c r="B17" s="270" t="s">
        <v>239</v>
      </c>
      <c r="C17" s="236">
        <v>45716</v>
      </c>
      <c r="D17" s="237">
        <v>755.55</v>
      </c>
    </row>
    <row r="18" spans="2:4" ht="15" customHeight="1" x14ac:dyDescent="0.15">
      <c r="B18" s="235"/>
      <c r="C18" s="236"/>
      <c r="D18" s="237"/>
    </row>
    <row r="19" spans="2:4" ht="15" customHeight="1" x14ac:dyDescent="0.15">
      <c r="B19" s="80" t="s">
        <v>52</v>
      </c>
      <c r="C19" s="77"/>
      <c r="D19" s="81">
        <f>SUM(D16:D18)</f>
        <v>1578.37</v>
      </c>
    </row>
    <row r="20" spans="2:4" ht="15" customHeight="1" x14ac:dyDescent="0.15">
      <c r="B20" s="39"/>
      <c r="C20" s="3"/>
      <c r="D20" s="4"/>
    </row>
    <row r="21" spans="2:4" ht="15" customHeight="1" x14ac:dyDescent="0.15">
      <c r="B21" s="12" t="s">
        <v>54</v>
      </c>
      <c r="C21" s="77" t="s">
        <v>4</v>
      </c>
      <c r="D21" s="78" t="s">
        <v>51</v>
      </c>
    </row>
    <row r="22" spans="2:4" ht="15" customHeight="1" x14ac:dyDescent="0.15">
      <c r="B22" s="18" t="s">
        <v>26</v>
      </c>
      <c r="C22" s="236">
        <v>45659</v>
      </c>
      <c r="D22" s="36">
        <v>65</v>
      </c>
    </row>
    <row r="23" spans="2:4" ht="15" customHeight="1" x14ac:dyDescent="0.15">
      <c r="B23" s="238" t="s">
        <v>27</v>
      </c>
      <c r="C23" s="236">
        <v>45680</v>
      </c>
      <c r="D23" s="36">
        <v>65</v>
      </c>
    </row>
    <row r="24" spans="2:4" ht="15" customHeight="1" x14ac:dyDescent="0.15">
      <c r="B24" s="38" t="s">
        <v>16</v>
      </c>
      <c r="C24" s="236">
        <v>45688</v>
      </c>
      <c r="D24" s="36">
        <v>13.8</v>
      </c>
    </row>
    <row r="25" spans="2:4" ht="15" customHeight="1" x14ac:dyDescent="0.15">
      <c r="B25" s="18" t="s">
        <v>26</v>
      </c>
      <c r="C25" s="236">
        <v>45691</v>
      </c>
      <c r="D25" s="83">
        <v>65</v>
      </c>
    </row>
    <row r="26" spans="2:4" ht="15" customHeight="1" x14ac:dyDescent="0.15">
      <c r="B26" s="38" t="s">
        <v>16</v>
      </c>
      <c r="C26" s="243">
        <v>45695</v>
      </c>
      <c r="D26" s="83">
        <v>59.4</v>
      </c>
    </row>
    <row r="27" spans="2:4" ht="15" customHeight="1" x14ac:dyDescent="0.15">
      <c r="B27" s="38" t="s">
        <v>16</v>
      </c>
      <c r="C27" s="243">
        <v>45702</v>
      </c>
      <c r="D27" s="83">
        <v>27.9</v>
      </c>
    </row>
    <row r="28" spans="2:4" ht="15" customHeight="1" x14ac:dyDescent="0.15">
      <c r="B28" s="38" t="s">
        <v>16</v>
      </c>
      <c r="C28" s="243">
        <v>45706</v>
      </c>
      <c r="D28" s="83">
        <v>65</v>
      </c>
    </row>
    <row r="29" spans="2:4" ht="15" customHeight="1" x14ac:dyDescent="0.15">
      <c r="B29" s="38" t="s">
        <v>16</v>
      </c>
      <c r="C29" s="243">
        <v>45716</v>
      </c>
      <c r="D29" s="83">
        <v>18.600000000000001</v>
      </c>
    </row>
    <row r="35" spans="2:4" ht="15" customHeight="1" x14ac:dyDescent="0.15">
      <c r="B35" s="80" t="s">
        <v>52</v>
      </c>
      <c r="C35" s="77"/>
      <c r="D35" s="81">
        <f>SUM(D22:D34)</f>
        <v>379.7</v>
      </c>
    </row>
    <row r="36" spans="2:4" ht="15" customHeight="1" x14ac:dyDescent="0.15">
      <c r="B36" s="39"/>
      <c r="C36" s="3"/>
      <c r="D36" s="4"/>
    </row>
    <row r="37" spans="2:4" ht="15" customHeight="1" x14ac:dyDescent="0.15">
      <c r="B37" s="12" t="s">
        <v>55</v>
      </c>
      <c r="C37" s="77" t="s">
        <v>4</v>
      </c>
      <c r="D37" s="78" t="s">
        <v>51</v>
      </c>
    </row>
    <row r="38" spans="2:4" ht="12" customHeight="1" x14ac:dyDescent="0.15">
      <c r="B38" s="225" t="s">
        <v>202</v>
      </c>
      <c r="C38" s="229">
        <v>45660</v>
      </c>
      <c r="D38" s="237">
        <v>6700</v>
      </c>
    </row>
    <row r="39" spans="2:4" ht="12" customHeight="1" x14ac:dyDescent="0.15">
      <c r="B39" s="238" t="s">
        <v>211</v>
      </c>
      <c r="C39" s="236">
        <v>45681</v>
      </c>
      <c r="D39" s="237">
        <v>2500</v>
      </c>
    </row>
    <row r="40" spans="2:4" ht="12" customHeight="1" x14ac:dyDescent="0.15">
      <c r="B40" s="244"/>
      <c r="C40" s="223"/>
      <c r="D40" s="237"/>
    </row>
    <row r="41" spans="2:4" ht="12" customHeight="1" x14ac:dyDescent="0.15">
      <c r="B41" s="244"/>
      <c r="C41" s="223"/>
      <c r="D41" s="237"/>
    </row>
    <row r="42" spans="2:4" ht="12" customHeight="1" x14ac:dyDescent="0.15">
      <c r="B42" s="244"/>
      <c r="C42" s="223"/>
      <c r="D42" s="237"/>
    </row>
    <row r="43" spans="2:4" ht="15" customHeight="1" x14ac:dyDescent="0.15">
      <c r="B43" s="80" t="s">
        <v>52</v>
      </c>
      <c r="C43" s="77"/>
      <c r="D43" s="81">
        <f>SUM(D38:D39)</f>
        <v>9200</v>
      </c>
    </row>
    <row r="44" spans="2:4" ht="15" hidden="1" customHeight="1" x14ac:dyDescent="0.15">
      <c r="B44" s="39"/>
      <c r="C44" s="3"/>
      <c r="D44" s="4"/>
    </row>
    <row r="45" spans="2:4" ht="15" hidden="1" customHeight="1" x14ac:dyDescent="0.15">
      <c r="B45" s="12" t="s">
        <v>56</v>
      </c>
      <c r="C45" s="77" t="s">
        <v>4</v>
      </c>
      <c r="D45" s="78" t="s">
        <v>51</v>
      </c>
    </row>
    <row r="46" spans="2:4" ht="15" hidden="1" customHeight="1" x14ac:dyDescent="0.15">
      <c r="B46" s="82" t="s">
        <v>57</v>
      </c>
      <c r="C46" s="16"/>
      <c r="D46" s="79"/>
    </row>
    <row r="47" spans="2:4" ht="15" hidden="1" customHeight="1" x14ac:dyDescent="0.15">
      <c r="B47" s="80" t="s">
        <v>52</v>
      </c>
      <c r="C47" s="77"/>
      <c r="D47" s="81">
        <f>SUM(D46)</f>
        <v>0</v>
      </c>
    </row>
    <row r="49" spans="2:4" ht="15" customHeight="1" x14ac:dyDescent="0.15">
      <c r="B49" s="12" t="s">
        <v>58</v>
      </c>
      <c r="C49" s="77" t="s">
        <v>4</v>
      </c>
      <c r="D49" s="78" t="s">
        <v>51</v>
      </c>
    </row>
    <row r="50" spans="2:4" ht="15" customHeight="1" x14ac:dyDescent="0.15">
      <c r="B50" s="235" t="s">
        <v>220</v>
      </c>
      <c r="C50" s="236">
        <v>45685</v>
      </c>
      <c r="D50" s="237">
        <v>2000</v>
      </c>
    </row>
    <row r="51" spans="2:4" ht="15" customHeight="1" x14ac:dyDescent="0.15">
      <c r="B51" s="263" t="s">
        <v>240</v>
      </c>
      <c r="C51" s="19">
        <v>45716</v>
      </c>
      <c r="D51" s="36">
        <v>1000</v>
      </c>
    </row>
    <row r="52" spans="2:4" ht="15" customHeight="1" x14ac:dyDescent="0.15">
      <c r="B52" s="18"/>
      <c r="C52" s="19"/>
      <c r="D52" s="36"/>
    </row>
    <row r="53" spans="2:4" ht="15" customHeight="1" x14ac:dyDescent="0.15">
      <c r="B53" s="18"/>
      <c r="C53" s="19"/>
      <c r="D53" s="36"/>
    </row>
    <row r="54" spans="2:4" ht="15" customHeight="1" x14ac:dyDescent="0.15">
      <c r="B54" s="235"/>
      <c r="C54" s="236"/>
      <c r="D54" s="237"/>
    </row>
    <row r="55" spans="2:4" ht="15" customHeight="1" x14ac:dyDescent="0.15">
      <c r="B55" s="80" t="s">
        <v>52</v>
      </c>
      <c r="C55" s="77"/>
      <c r="D55" s="81">
        <f>SUM(D50:D54)</f>
        <v>3000</v>
      </c>
    </row>
    <row r="56" spans="2:4" ht="15" customHeight="1" x14ac:dyDescent="0.15">
      <c r="B56" s="39"/>
      <c r="C56" s="3"/>
      <c r="D56" s="4"/>
    </row>
    <row r="57" spans="2:4" ht="15" customHeight="1" x14ac:dyDescent="0.15">
      <c r="B57" s="12" t="s">
        <v>59</v>
      </c>
      <c r="C57" s="77" t="s">
        <v>4</v>
      </c>
      <c r="D57" s="78" t="s">
        <v>51</v>
      </c>
    </row>
    <row r="58" spans="2:4" ht="15" customHeight="1" x14ac:dyDescent="0.15">
      <c r="B58" s="261" t="s">
        <v>241</v>
      </c>
      <c r="C58" s="229">
        <v>45658</v>
      </c>
      <c r="D58" s="85">
        <v>15000</v>
      </c>
    </row>
    <row r="59" spans="2:4" ht="15" customHeight="1" x14ac:dyDescent="0.15">
      <c r="B59" s="261" t="s">
        <v>228</v>
      </c>
      <c r="C59" s="229">
        <v>45687</v>
      </c>
      <c r="D59" s="85">
        <v>15000</v>
      </c>
    </row>
    <row r="60" spans="2:4" ht="15" customHeight="1" x14ac:dyDescent="0.15">
      <c r="B60" s="18"/>
      <c r="C60" s="19"/>
      <c r="D60" s="36"/>
    </row>
    <row r="61" spans="2:4" ht="15" customHeight="1" x14ac:dyDescent="0.15">
      <c r="B61" s="18"/>
      <c r="C61" s="19"/>
      <c r="D61" s="36"/>
    </row>
    <row r="62" spans="2:4" ht="15" customHeight="1" x14ac:dyDescent="0.15">
      <c r="B62" s="233"/>
      <c r="C62" s="236"/>
      <c r="D62" s="237"/>
    </row>
    <row r="63" spans="2:4" ht="15" customHeight="1" x14ac:dyDescent="0.15">
      <c r="B63" s="80" t="s">
        <v>52</v>
      </c>
      <c r="C63" s="77"/>
      <c r="D63" s="81">
        <f>SUM(D58:D62)</f>
        <v>30000</v>
      </c>
    </row>
    <row r="65" spans="2:4" ht="15" customHeight="1" x14ac:dyDescent="0.15">
      <c r="B65" s="12" t="s">
        <v>60</v>
      </c>
      <c r="C65" s="77" t="s">
        <v>4</v>
      </c>
      <c r="D65" s="78" t="s">
        <v>51</v>
      </c>
    </row>
    <row r="66" spans="2:4" ht="15" customHeight="1" x14ac:dyDescent="0.15">
      <c r="B66" s="86"/>
      <c r="C66" s="87"/>
      <c r="D66" s="88"/>
    </row>
    <row r="67" spans="2:4" ht="15" customHeight="1" x14ac:dyDescent="0.15">
      <c r="B67" s="86"/>
      <c r="C67" s="87"/>
      <c r="D67" s="88"/>
    </row>
    <row r="68" spans="2:4" ht="15" customHeight="1" x14ac:dyDescent="0.15">
      <c r="B68" s="86"/>
      <c r="C68" s="87"/>
      <c r="D68" s="88"/>
    </row>
    <row r="69" spans="2:4" ht="15" customHeight="1" x14ac:dyDescent="0.15">
      <c r="B69" s="86"/>
      <c r="C69" s="19"/>
      <c r="D69" s="88"/>
    </row>
    <row r="70" spans="2:4" ht="15" customHeight="1" x14ac:dyDescent="0.15">
      <c r="B70" s="80" t="s">
        <v>52</v>
      </c>
      <c r="C70" s="77"/>
      <c r="D70" s="81">
        <f>SUM(D66:D69)</f>
        <v>0</v>
      </c>
    </row>
    <row r="71" spans="2:4" ht="15" hidden="1" customHeight="1" x14ac:dyDescent="0.15">
      <c r="B71" s="2"/>
      <c r="C71" s="3"/>
      <c r="D71" s="4"/>
    </row>
    <row r="72" spans="2:4" ht="15" hidden="1" customHeight="1" x14ac:dyDescent="0.15">
      <c r="B72" s="12" t="s">
        <v>61</v>
      </c>
      <c r="C72" s="77" t="s">
        <v>4</v>
      </c>
      <c r="D72" s="78" t="s">
        <v>51</v>
      </c>
    </row>
    <row r="73" spans="2:4" ht="15" hidden="1" customHeight="1" x14ac:dyDescent="0.15">
      <c r="B73" s="89"/>
      <c r="C73" s="16"/>
      <c r="D73" s="90"/>
    </row>
    <row r="74" spans="2:4" ht="15" hidden="1" customHeight="1" x14ac:dyDescent="0.15">
      <c r="B74" s="80" t="s">
        <v>52</v>
      </c>
      <c r="C74" s="77"/>
      <c r="D74" s="81">
        <f>SUM(D73)</f>
        <v>0</v>
      </c>
    </row>
    <row r="75" spans="2:4" ht="15" customHeight="1" x14ac:dyDescent="0.15">
      <c r="B75" s="2"/>
      <c r="C75" s="3"/>
      <c r="D75" s="4"/>
    </row>
    <row r="76" spans="2:4" ht="15" customHeight="1" x14ac:dyDescent="0.15">
      <c r="B76" s="39"/>
      <c r="C76" s="3"/>
      <c r="D76" s="91"/>
    </row>
    <row r="77" spans="2:4" ht="15" customHeight="1" x14ac:dyDescent="0.15">
      <c r="B77" s="39"/>
      <c r="C77" s="3"/>
      <c r="D77" s="4"/>
    </row>
    <row r="78" spans="2:4" ht="15" customHeight="1" x14ac:dyDescent="0.15">
      <c r="B78" s="92" t="s">
        <v>62</v>
      </c>
      <c r="C78" s="13" t="s">
        <v>4</v>
      </c>
      <c r="D78" s="81" t="s">
        <v>51</v>
      </c>
    </row>
    <row r="79" spans="2:4" ht="65" customHeight="1" x14ac:dyDescent="0.2">
      <c r="B79" s="37" t="s">
        <v>214</v>
      </c>
      <c r="C79" s="19">
        <v>45685</v>
      </c>
      <c r="D79" s="93">
        <v>1000</v>
      </c>
    </row>
    <row r="81" spans="2:4" ht="15" customHeight="1" x14ac:dyDescent="0.2">
      <c r="B81" s="94" t="s">
        <v>52</v>
      </c>
      <c r="C81" s="95"/>
      <c r="D81" s="96">
        <f>SUM(D79:D80)</f>
        <v>1000</v>
      </c>
    </row>
    <row r="82" spans="2:4" ht="15" customHeight="1" x14ac:dyDescent="0.15">
      <c r="B82" s="39"/>
      <c r="C82" s="3"/>
      <c r="D82" s="4"/>
    </row>
    <row r="83" spans="2:4" ht="15" customHeight="1" x14ac:dyDescent="0.15">
      <c r="B83" s="97" t="s">
        <v>63</v>
      </c>
      <c r="C83" s="3"/>
      <c r="D83" s="59">
        <f>D13+D19+D35+D43+D47+D55+D63+D70+D74+D74</f>
        <v>54958.07</v>
      </c>
    </row>
    <row r="84" spans="2:4" ht="12" customHeight="1" x14ac:dyDescent="0.15">
      <c r="B84" s="2"/>
      <c r="C84" s="3"/>
      <c r="D84" s="4"/>
    </row>
    <row r="85" spans="2:4" ht="15" customHeight="1" x14ac:dyDescent="0.15">
      <c r="B85" s="97" t="s">
        <v>64</v>
      </c>
      <c r="C85" s="3"/>
      <c r="D85" s="59">
        <f>D81</f>
        <v>1000</v>
      </c>
    </row>
  </sheetData>
  <mergeCells count="1">
    <mergeCell ref="A1:D1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  <rowBreaks count="1" manualBreakCount="1">
    <brk id="35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03DC-FE90-4F91-A110-C68191BA323E}">
  <sheetPr>
    <tabColor theme="7"/>
    <pageSetUpPr fitToPage="1"/>
  </sheetPr>
  <dimension ref="A1:Z995"/>
  <sheetViews>
    <sheetView zoomScaleNormal="100" workbookViewId="0">
      <selection sqref="A1:G76"/>
    </sheetView>
  </sheetViews>
  <sheetFormatPr baseColWidth="10" defaultColWidth="12.5" defaultRowHeight="15" customHeight="1" x14ac:dyDescent="0.15"/>
  <cols>
    <col min="1" max="1" width="4.5" style="271" customWidth="1"/>
    <col min="2" max="2" width="49.1640625" style="271" customWidth="1"/>
    <col min="3" max="3" width="13.1640625" style="271" customWidth="1"/>
    <col min="4" max="4" width="12.83203125" style="271" customWidth="1"/>
    <col min="5" max="5" width="13" style="271" customWidth="1"/>
    <col min="6" max="6" width="18.5" style="271" customWidth="1"/>
    <col min="7" max="7" width="4.5" style="271" customWidth="1"/>
    <col min="8" max="16384" width="12.5" style="271"/>
  </cols>
  <sheetData>
    <row r="1" spans="1:26" ht="54" customHeight="1" x14ac:dyDescent="0.15">
      <c r="A1" s="414"/>
      <c r="B1" s="415"/>
      <c r="C1" s="415"/>
      <c r="D1" s="415"/>
      <c r="E1" s="415"/>
      <c r="F1" s="415"/>
    </row>
    <row r="2" spans="1:26" ht="12" customHeight="1" x14ac:dyDescent="0.15">
      <c r="B2" s="274"/>
      <c r="C2" s="273"/>
      <c r="D2" s="273"/>
      <c r="E2" s="273"/>
      <c r="F2" s="272"/>
    </row>
    <row r="3" spans="1:26" ht="18.75" customHeight="1" x14ac:dyDescent="0.2">
      <c r="A3" s="344" t="s">
        <v>0</v>
      </c>
      <c r="C3" s="273"/>
      <c r="D3" s="273"/>
      <c r="E3" s="273"/>
      <c r="F3" s="272"/>
    </row>
    <row r="4" spans="1:26" ht="12" customHeight="1" x14ac:dyDescent="0.15">
      <c r="A4" s="274" t="s">
        <v>1</v>
      </c>
      <c r="C4" s="273"/>
      <c r="D4" s="273"/>
      <c r="E4" s="273"/>
      <c r="F4" s="272"/>
    </row>
    <row r="5" spans="1:26" ht="12" customHeight="1" x14ac:dyDescent="0.15">
      <c r="A5" s="274"/>
      <c r="B5" s="343" t="s">
        <v>95</v>
      </c>
      <c r="C5" s="273"/>
      <c r="D5" s="273"/>
      <c r="E5" s="273"/>
      <c r="F5" s="272"/>
    </row>
    <row r="6" spans="1:26" ht="12" customHeight="1" x14ac:dyDescent="0.15">
      <c r="A6" s="274"/>
      <c r="B6" s="342" t="s">
        <v>96</v>
      </c>
      <c r="C6" s="410" t="s">
        <v>270</v>
      </c>
      <c r="D6" s="411"/>
      <c r="E6" s="341"/>
      <c r="F6" s="272"/>
    </row>
    <row r="7" spans="1:26" ht="12" customHeight="1" x14ac:dyDescent="0.15">
      <c r="A7" s="274"/>
      <c r="B7" s="340" t="s">
        <v>97</v>
      </c>
      <c r="C7" s="273"/>
      <c r="D7" s="273"/>
      <c r="E7" s="273"/>
      <c r="F7" s="272"/>
    </row>
    <row r="8" spans="1:26" ht="12" customHeight="1" x14ac:dyDescent="0.15">
      <c r="B8" s="274"/>
      <c r="C8" s="273"/>
      <c r="D8" s="273"/>
      <c r="E8" s="273"/>
      <c r="F8" s="272"/>
    </row>
    <row r="9" spans="1:26" ht="12" customHeight="1" x14ac:dyDescent="0.15">
      <c r="B9" s="339"/>
      <c r="C9" s="273"/>
      <c r="D9" s="273"/>
      <c r="E9" s="273"/>
      <c r="F9" s="272"/>
      <c r="G9" s="338" t="s">
        <v>245</v>
      </c>
    </row>
    <row r="10" spans="1:26" ht="17.25" customHeight="1" x14ac:dyDescent="0.15">
      <c r="A10" s="302"/>
      <c r="B10" s="337" t="s">
        <v>98</v>
      </c>
      <c r="C10" s="336"/>
      <c r="D10" s="336"/>
      <c r="E10" s="336"/>
      <c r="F10" s="335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</row>
    <row r="11" spans="1:26" ht="12" customHeight="1" x14ac:dyDescent="0.15">
      <c r="B11" s="274"/>
      <c r="C11" s="273"/>
      <c r="D11" s="273"/>
      <c r="E11" s="273"/>
      <c r="F11" s="272"/>
    </row>
    <row r="12" spans="1:26" ht="16.5" customHeight="1" x14ac:dyDescent="0.15">
      <c r="B12" s="334" t="s">
        <v>3</v>
      </c>
      <c r="C12" s="333" t="s">
        <v>4</v>
      </c>
      <c r="D12" s="333" t="s">
        <v>99</v>
      </c>
      <c r="E12" s="332" t="s">
        <v>100</v>
      </c>
      <c r="F12" s="332" t="s">
        <v>101</v>
      </c>
    </row>
    <row r="13" spans="1:26" ht="15.75" customHeight="1" x14ac:dyDescent="0.15">
      <c r="B13" s="329" t="s">
        <v>102</v>
      </c>
      <c r="C13" s="322">
        <v>45331</v>
      </c>
      <c r="D13" s="311"/>
      <c r="E13" s="311">
        <v>47720.9</v>
      </c>
      <c r="F13" s="310">
        <f>E13</f>
        <v>47720.9</v>
      </c>
    </row>
    <row r="14" spans="1:26" ht="15.75" customHeight="1" x14ac:dyDescent="0.15">
      <c r="B14" s="323" t="s">
        <v>102</v>
      </c>
      <c r="C14" s="322">
        <v>45339</v>
      </c>
      <c r="D14" s="311"/>
      <c r="E14" s="311">
        <v>35005.599999999999</v>
      </c>
      <c r="F14" s="310">
        <f t="shared" ref="F14:F56" si="0">F13-D14+E14</f>
        <v>82726.5</v>
      </c>
    </row>
    <row r="15" spans="1:26" ht="19.5" customHeight="1" x14ac:dyDescent="0.15">
      <c r="B15" s="319" t="s">
        <v>105</v>
      </c>
      <c r="C15" s="331">
        <v>45343</v>
      </c>
      <c r="D15" s="330"/>
      <c r="E15" s="330">
        <v>72.56</v>
      </c>
      <c r="F15" s="310">
        <f t="shared" si="0"/>
        <v>82799.06</v>
      </c>
    </row>
    <row r="16" spans="1:26" ht="13.5" customHeight="1" x14ac:dyDescent="0.15">
      <c r="B16" s="329" t="s">
        <v>102</v>
      </c>
      <c r="C16" s="317">
        <v>45510</v>
      </c>
      <c r="D16" s="312"/>
      <c r="E16" s="311">
        <v>17400</v>
      </c>
      <c r="F16" s="310">
        <f t="shared" si="0"/>
        <v>100199.06</v>
      </c>
    </row>
    <row r="17" spans="2:6" ht="19.5" customHeight="1" x14ac:dyDescent="0.15">
      <c r="B17" s="329" t="s">
        <v>102</v>
      </c>
      <c r="C17" s="317">
        <v>45572</v>
      </c>
      <c r="D17" s="312"/>
      <c r="E17" s="311">
        <v>16108.65</v>
      </c>
      <c r="F17" s="310">
        <f t="shared" si="0"/>
        <v>116307.70999999999</v>
      </c>
    </row>
    <row r="18" spans="2:6" ht="24.75" customHeight="1" x14ac:dyDescent="0.15">
      <c r="B18" s="319" t="s">
        <v>103</v>
      </c>
      <c r="C18" s="301">
        <v>45297</v>
      </c>
      <c r="D18" s="308">
        <v>530.98</v>
      </c>
      <c r="E18" s="311"/>
      <c r="F18" s="310">
        <f t="shared" si="0"/>
        <v>115776.73</v>
      </c>
    </row>
    <row r="19" spans="2:6" ht="24.75" customHeight="1" x14ac:dyDescent="0.15">
      <c r="B19" s="323" t="s">
        <v>104</v>
      </c>
      <c r="C19" s="322">
        <v>45330</v>
      </c>
      <c r="D19" s="311">
        <v>4000</v>
      </c>
      <c r="E19" s="311"/>
      <c r="F19" s="310">
        <f t="shared" si="0"/>
        <v>111776.73</v>
      </c>
    </row>
    <row r="20" spans="2:6" ht="24.75" customHeight="1" x14ac:dyDescent="0.15">
      <c r="B20" s="297" t="s">
        <v>106</v>
      </c>
      <c r="C20" s="317">
        <v>45418</v>
      </c>
      <c r="D20" s="309">
        <v>201.64</v>
      </c>
      <c r="E20" s="311"/>
      <c r="F20" s="310">
        <f t="shared" si="0"/>
        <v>111575.09</v>
      </c>
    </row>
    <row r="21" spans="2:6" ht="34" customHeight="1" x14ac:dyDescent="0.15">
      <c r="B21" s="297" t="s">
        <v>24</v>
      </c>
      <c r="C21" s="317">
        <v>45418</v>
      </c>
      <c r="D21" s="318">
        <v>1000</v>
      </c>
      <c r="E21" s="311"/>
      <c r="F21" s="310">
        <f t="shared" si="0"/>
        <v>110575.09</v>
      </c>
    </row>
    <row r="22" spans="2:6" ht="24.75" customHeight="1" x14ac:dyDescent="0.15">
      <c r="B22" s="321" t="s">
        <v>107</v>
      </c>
      <c r="C22" s="296">
        <v>45443</v>
      </c>
      <c r="D22" s="309">
        <v>491.48</v>
      </c>
      <c r="E22" s="311"/>
      <c r="F22" s="310">
        <f t="shared" si="0"/>
        <v>110083.61</v>
      </c>
    </row>
    <row r="23" spans="2:6" ht="28" customHeight="1" x14ac:dyDescent="0.15">
      <c r="B23" s="297" t="s">
        <v>25</v>
      </c>
      <c r="C23" s="296">
        <v>45443</v>
      </c>
      <c r="D23" s="318">
        <v>1000</v>
      </c>
      <c r="E23" s="311"/>
      <c r="F23" s="310">
        <f t="shared" si="0"/>
        <v>109083.61</v>
      </c>
    </row>
    <row r="24" spans="2:6" ht="24.75" customHeight="1" x14ac:dyDescent="0.15">
      <c r="B24" s="297" t="s">
        <v>108</v>
      </c>
      <c r="C24" s="317">
        <v>45449</v>
      </c>
      <c r="D24" s="309">
        <v>201.64</v>
      </c>
      <c r="E24" s="311"/>
      <c r="F24" s="310">
        <f t="shared" si="0"/>
        <v>108881.97</v>
      </c>
    </row>
    <row r="25" spans="2:6" ht="24.75" customHeight="1" x14ac:dyDescent="0.15">
      <c r="B25" s="297" t="s">
        <v>107</v>
      </c>
      <c r="C25" s="320">
        <v>45473</v>
      </c>
      <c r="D25" s="309">
        <v>491.48</v>
      </c>
      <c r="E25" s="311"/>
      <c r="F25" s="310">
        <f t="shared" si="0"/>
        <v>108390.49</v>
      </c>
    </row>
    <row r="26" spans="2:6" ht="24.75" customHeight="1" x14ac:dyDescent="0.15">
      <c r="B26" s="297" t="s">
        <v>116</v>
      </c>
      <c r="C26" s="320">
        <v>45473</v>
      </c>
      <c r="D26" s="318">
        <v>3000</v>
      </c>
      <c r="E26" s="311"/>
      <c r="F26" s="310">
        <f t="shared" si="0"/>
        <v>105390.49</v>
      </c>
    </row>
    <row r="27" spans="2:6" ht="33" customHeight="1" x14ac:dyDescent="0.15">
      <c r="B27" s="297" t="s">
        <v>117</v>
      </c>
      <c r="C27" s="320">
        <v>45473</v>
      </c>
      <c r="D27" s="318">
        <v>3000</v>
      </c>
      <c r="E27" s="311"/>
      <c r="F27" s="310">
        <f t="shared" si="0"/>
        <v>102390.49</v>
      </c>
    </row>
    <row r="28" spans="2:6" ht="24.75" customHeight="1" x14ac:dyDescent="0.15">
      <c r="B28" s="297" t="s">
        <v>108</v>
      </c>
      <c r="C28" s="317">
        <v>45479</v>
      </c>
      <c r="D28" s="309">
        <v>201.64</v>
      </c>
      <c r="E28" s="311"/>
      <c r="F28" s="310">
        <f t="shared" si="0"/>
        <v>102188.85</v>
      </c>
    </row>
    <row r="29" spans="2:6" ht="24.75" customHeight="1" x14ac:dyDescent="0.15">
      <c r="B29" s="319" t="s">
        <v>118</v>
      </c>
      <c r="C29" s="301">
        <v>45481</v>
      </c>
      <c r="D29" s="318">
        <v>5000</v>
      </c>
      <c r="E29" s="311"/>
      <c r="F29" s="310">
        <f t="shared" si="0"/>
        <v>97188.85</v>
      </c>
    </row>
    <row r="30" spans="2:6" ht="24.75" customHeight="1" x14ac:dyDescent="0.15">
      <c r="B30" s="297" t="s">
        <v>109</v>
      </c>
      <c r="C30" s="317">
        <v>45490</v>
      </c>
      <c r="D30" s="309">
        <v>347.98</v>
      </c>
      <c r="E30" s="311"/>
      <c r="F30" s="310">
        <f t="shared" si="0"/>
        <v>96840.87000000001</v>
      </c>
    </row>
    <row r="31" spans="2:6" ht="24.75" customHeight="1" x14ac:dyDescent="0.15">
      <c r="B31" s="297" t="s">
        <v>110</v>
      </c>
      <c r="C31" s="317">
        <v>45504</v>
      </c>
      <c r="D31" s="309">
        <v>491.48</v>
      </c>
      <c r="E31" s="311"/>
      <c r="F31" s="310">
        <f t="shared" si="0"/>
        <v>96349.390000000014</v>
      </c>
    </row>
    <row r="32" spans="2:6" ht="24.75" customHeight="1" x14ac:dyDescent="0.15">
      <c r="B32" s="297" t="s">
        <v>111</v>
      </c>
      <c r="C32" s="317">
        <v>45510</v>
      </c>
      <c r="D32" s="309">
        <v>201.64</v>
      </c>
      <c r="E32" s="311"/>
      <c r="F32" s="310">
        <f t="shared" si="0"/>
        <v>96147.750000000015</v>
      </c>
    </row>
    <row r="33" spans="2:6" ht="24.75" customHeight="1" x14ac:dyDescent="0.15">
      <c r="B33" s="297" t="s">
        <v>110</v>
      </c>
      <c r="C33" s="317">
        <v>45535</v>
      </c>
      <c r="D33" s="312">
        <v>491.48</v>
      </c>
      <c r="E33" s="311"/>
      <c r="F33" s="310">
        <f t="shared" si="0"/>
        <v>95656.270000000019</v>
      </c>
    </row>
    <row r="34" spans="2:6" ht="24.75" customHeight="1" x14ac:dyDescent="0.15">
      <c r="B34" s="319" t="s">
        <v>119</v>
      </c>
      <c r="C34" s="301">
        <v>45540</v>
      </c>
      <c r="D34" s="318">
        <v>1000</v>
      </c>
      <c r="E34" s="311"/>
      <c r="F34" s="310">
        <f t="shared" si="0"/>
        <v>94656.270000000019</v>
      </c>
    </row>
    <row r="35" spans="2:6" ht="24.75" customHeight="1" x14ac:dyDescent="0.15">
      <c r="B35" s="297" t="s">
        <v>111</v>
      </c>
      <c r="C35" s="317">
        <v>45541</v>
      </c>
      <c r="D35" s="312">
        <v>201.64</v>
      </c>
      <c r="E35" s="311"/>
      <c r="F35" s="310">
        <f t="shared" si="0"/>
        <v>94454.630000000019</v>
      </c>
    </row>
    <row r="36" spans="2:6" ht="24.75" customHeight="1" x14ac:dyDescent="0.15">
      <c r="B36" s="297" t="s">
        <v>112</v>
      </c>
      <c r="C36" s="317">
        <v>45541</v>
      </c>
      <c r="D36" s="312">
        <v>185.06</v>
      </c>
      <c r="E36" s="311"/>
      <c r="F36" s="310">
        <f t="shared" si="0"/>
        <v>94269.570000000022</v>
      </c>
    </row>
    <row r="37" spans="2:6" ht="24.75" customHeight="1" x14ac:dyDescent="0.15">
      <c r="B37" s="297" t="s">
        <v>110</v>
      </c>
      <c r="C37" s="317">
        <v>45565</v>
      </c>
      <c r="D37" s="312">
        <v>491.48</v>
      </c>
      <c r="E37" s="311"/>
      <c r="F37" s="310">
        <f t="shared" si="0"/>
        <v>93778.090000000026</v>
      </c>
    </row>
    <row r="38" spans="2:6" ht="24.75" customHeight="1" x14ac:dyDescent="0.15">
      <c r="B38" s="297" t="s">
        <v>108</v>
      </c>
      <c r="C38" s="317">
        <v>45572</v>
      </c>
      <c r="D38" s="312">
        <v>201.64</v>
      </c>
      <c r="E38" s="311"/>
      <c r="F38" s="310">
        <f t="shared" si="0"/>
        <v>93576.450000000026</v>
      </c>
    </row>
    <row r="39" spans="2:6" ht="24.75" customHeight="1" x14ac:dyDescent="0.15">
      <c r="B39" s="297" t="s">
        <v>112</v>
      </c>
      <c r="C39" s="317">
        <v>45572</v>
      </c>
      <c r="D39" s="312">
        <v>185.96</v>
      </c>
      <c r="E39" s="311"/>
      <c r="F39" s="310">
        <f t="shared" si="0"/>
        <v>93390.49000000002</v>
      </c>
    </row>
    <row r="40" spans="2:6" ht="24.75" customHeight="1" x14ac:dyDescent="0.15">
      <c r="B40" s="297" t="s">
        <v>113</v>
      </c>
      <c r="C40" s="317">
        <v>45582</v>
      </c>
      <c r="D40" s="312">
        <v>25.81</v>
      </c>
      <c r="E40" s="311"/>
      <c r="F40" s="310">
        <f t="shared" si="0"/>
        <v>93364.680000000022</v>
      </c>
    </row>
    <row r="41" spans="2:6" ht="24.75" customHeight="1" x14ac:dyDescent="0.15">
      <c r="B41" s="297" t="s">
        <v>110</v>
      </c>
      <c r="C41" s="317">
        <v>45595</v>
      </c>
      <c r="D41" s="312">
        <v>491.48</v>
      </c>
      <c r="E41" s="311"/>
      <c r="F41" s="310">
        <f t="shared" si="0"/>
        <v>92873.200000000026</v>
      </c>
    </row>
    <row r="42" spans="2:6" ht="24.75" customHeight="1" x14ac:dyDescent="0.15">
      <c r="B42" s="297" t="s">
        <v>108</v>
      </c>
      <c r="C42" s="313">
        <v>45603</v>
      </c>
      <c r="D42" s="312">
        <v>201.64</v>
      </c>
      <c r="E42" s="311"/>
      <c r="F42" s="310">
        <f t="shared" si="0"/>
        <v>92671.560000000027</v>
      </c>
    </row>
    <row r="43" spans="2:6" ht="24.75" customHeight="1" x14ac:dyDescent="0.15">
      <c r="B43" s="297" t="s">
        <v>112</v>
      </c>
      <c r="C43" s="313">
        <v>45603</v>
      </c>
      <c r="D43" s="312">
        <v>185.96</v>
      </c>
      <c r="E43" s="311"/>
      <c r="F43" s="310">
        <f t="shared" si="0"/>
        <v>92485.60000000002</v>
      </c>
    </row>
    <row r="44" spans="2:6" ht="24.75" customHeight="1" x14ac:dyDescent="0.15">
      <c r="B44" s="297" t="s">
        <v>113</v>
      </c>
      <c r="C44" s="313">
        <v>45613</v>
      </c>
      <c r="D44" s="312">
        <v>25.81</v>
      </c>
      <c r="E44" s="311"/>
      <c r="F44" s="310">
        <f t="shared" si="0"/>
        <v>92459.790000000023</v>
      </c>
    </row>
    <row r="45" spans="2:6" ht="24.75" customHeight="1" x14ac:dyDescent="0.15">
      <c r="B45" s="297" t="s">
        <v>110</v>
      </c>
      <c r="C45" s="313">
        <v>45626</v>
      </c>
      <c r="D45" s="312">
        <v>491.48</v>
      </c>
      <c r="E45" s="311"/>
      <c r="F45" s="310">
        <f t="shared" si="0"/>
        <v>91968.310000000027</v>
      </c>
    </row>
    <row r="46" spans="2:6" ht="24.75" customHeight="1" x14ac:dyDescent="0.15">
      <c r="B46" s="297" t="s">
        <v>108</v>
      </c>
      <c r="C46" s="313">
        <v>45633</v>
      </c>
      <c r="D46" s="312">
        <v>201.64</v>
      </c>
      <c r="E46" s="311"/>
      <c r="F46" s="310">
        <f t="shared" si="0"/>
        <v>91766.670000000027</v>
      </c>
    </row>
    <row r="47" spans="2:6" ht="24.75" customHeight="1" x14ac:dyDescent="0.15">
      <c r="B47" s="297" t="s">
        <v>112</v>
      </c>
      <c r="C47" s="313">
        <v>45633</v>
      </c>
      <c r="D47" s="312">
        <v>185.96</v>
      </c>
      <c r="E47" s="311"/>
      <c r="F47" s="310">
        <f t="shared" si="0"/>
        <v>91580.710000000021</v>
      </c>
    </row>
    <row r="48" spans="2:6" ht="24.75" customHeight="1" x14ac:dyDescent="0.15">
      <c r="B48" s="297" t="s">
        <v>113</v>
      </c>
      <c r="C48" s="313">
        <v>45643</v>
      </c>
      <c r="D48" s="312">
        <v>25.81</v>
      </c>
      <c r="E48" s="311"/>
      <c r="F48" s="310">
        <f t="shared" si="0"/>
        <v>91554.900000000023</v>
      </c>
    </row>
    <row r="49" spans="2:6" ht="24.75" customHeight="1" x14ac:dyDescent="0.15">
      <c r="B49" s="297" t="s">
        <v>110</v>
      </c>
      <c r="C49" s="313">
        <v>45656</v>
      </c>
      <c r="D49" s="312">
        <v>491.48</v>
      </c>
      <c r="E49" s="311"/>
      <c r="F49" s="310">
        <f t="shared" si="0"/>
        <v>91063.420000000027</v>
      </c>
    </row>
    <row r="50" spans="2:6" ht="31" customHeight="1" x14ac:dyDescent="0.15">
      <c r="B50" s="328" t="s">
        <v>244</v>
      </c>
      <c r="C50" s="327"/>
      <c r="D50" s="326">
        <v>111381.5</v>
      </c>
      <c r="E50" s="311"/>
      <c r="F50" s="310">
        <f t="shared" si="0"/>
        <v>-20318.079999999973</v>
      </c>
    </row>
    <row r="51" spans="2:6" ht="26" customHeight="1" x14ac:dyDescent="0.15">
      <c r="B51" s="383" t="s">
        <v>260</v>
      </c>
      <c r="C51" s="379">
        <v>45658</v>
      </c>
      <c r="D51" s="380"/>
      <c r="E51" s="381"/>
      <c r="F51" s="382">
        <f>F50</f>
        <v>-20318.079999999973</v>
      </c>
    </row>
    <row r="52" spans="2:6" ht="32" customHeight="1" x14ac:dyDescent="0.15">
      <c r="B52" s="315" t="s">
        <v>204</v>
      </c>
      <c r="C52" s="313">
        <v>45664</v>
      </c>
      <c r="D52" s="312">
        <v>6072.3928329751707</v>
      </c>
      <c r="E52" s="311"/>
      <c r="F52" s="310">
        <f>F50-D52+E52</f>
        <v>-26390.472832975145</v>
      </c>
    </row>
    <row r="53" spans="2:6" ht="38" customHeight="1" x14ac:dyDescent="0.15">
      <c r="B53" s="315" t="s">
        <v>205</v>
      </c>
      <c r="C53" s="313">
        <v>45664</v>
      </c>
      <c r="D53" s="312">
        <v>14452.815932056143</v>
      </c>
      <c r="E53" s="311"/>
      <c r="F53" s="310">
        <f t="shared" si="0"/>
        <v>-40843.288765031291</v>
      </c>
    </row>
    <row r="54" spans="2:6" ht="21" customHeight="1" x14ac:dyDescent="0.15">
      <c r="B54" s="405" t="s">
        <v>206</v>
      </c>
      <c r="C54" s="313">
        <v>45664</v>
      </c>
      <c r="D54" s="312">
        <v>5445.3745249417016</v>
      </c>
      <c r="E54" s="311"/>
      <c r="F54" s="310">
        <f t="shared" si="0"/>
        <v>-46288.663289972996</v>
      </c>
    </row>
    <row r="55" spans="2:6" ht="24" customHeight="1" x14ac:dyDescent="0.15">
      <c r="B55" s="315" t="s">
        <v>102</v>
      </c>
      <c r="C55" s="313">
        <v>45680</v>
      </c>
      <c r="D55" s="312"/>
      <c r="E55" s="311">
        <v>16108.65</v>
      </c>
      <c r="F55" s="310">
        <f t="shared" si="0"/>
        <v>-30180.013289972994</v>
      </c>
    </row>
    <row r="56" spans="2:6" ht="44" customHeight="1" x14ac:dyDescent="0.15">
      <c r="B56" s="314" t="s">
        <v>243</v>
      </c>
      <c r="C56" s="313">
        <v>45730</v>
      </c>
      <c r="D56" s="312">
        <v>17667.84</v>
      </c>
      <c r="E56" s="311"/>
      <c r="F56" s="310">
        <f t="shared" si="0"/>
        <v>-47847.853289972991</v>
      </c>
    </row>
    <row r="57" spans="2:6" ht="22" customHeight="1" x14ac:dyDescent="0.15">
      <c r="B57" s="386"/>
      <c r="C57" s="387" t="s">
        <v>114</v>
      </c>
      <c r="D57" s="389">
        <f>SUM(D13:D56)</f>
        <v>180264.21328997301</v>
      </c>
      <c r="E57" s="326">
        <f>SUM(E13:E56)</f>
        <v>132416.35999999999</v>
      </c>
      <c r="F57" s="307">
        <f>E57-D57</f>
        <v>-47847.85328997302</v>
      </c>
    </row>
    <row r="58" spans="2:6" ht="12" customHeight="1" x14ac:dyDescent="0.15">
      <c r="D58" s="306"/>
      <c r="F58" s="305"/>
    </row>
    <row r="59" spans="2:6" ht="12" customHeight="1" x14ac:dyDescent="0.15">
      <c r="D59" s="306"/>
      <c r="F59" s="305"/>
    </row>
    <row r="60" spans="2:6" ht="17" customHeight="1" x14ac:dyDescent="0.15">
      <c r="B60" s="304" t="s">
        <v>115</v>
      </c>
      <c r="C60" s="302"/>
      <c r="D60" s="303"/>
      <c r="E60" s="302"/>
      <c r="F60" s="302"/>
    </row>
    <row r="61" spans="2:6" ht="69" customHeight="1" x14ac:dyDescent="0.15">
      <c r="B61" s="406" t="s">
        <v>213</v>
      </c>
      <c r="C61" s="301">
        <v>45685</v>
      </c>
      <c r="D61" s="300">
        <v>-1000</v>
      </c>
      <c r="E61" s="299"/>
      <c r="F61" s="298"/>
    </row>
    <row r="62" spans="2:6" ht="53" customHeight="1" x14ac:dyDescent="0.15">
      <c r="B62" s="297" t="s">
        <v>269</v>
      </c>
      <c r="C62" s="296">
        <v>45716</v>
      </c>
      <c r="D62" s="295">
        <v>-3000</v>
      </c>
      <c r="F62" s="294"/>
    </row>
    <row r="63" spans="2:6" ht="12" customHeight="1" x14ac:dyDescent="0.15">
      <c r="B63" s="291"/>
      <c r="C63" s="290"/>
      <c r="D63" s="289"/>
      <c r="E63" s="273"/>
      <c r="F63" s="272"/>
    </row>
    <row r="64" spans="2:6" ht="12" customHeight="1" x14ac:dyDescent="0.15">
      <c r="B64" s="293" t="s">
        <v>120</v>
      </c>
      <c r="C64" s="290"/>
      <c r="D64" s="292">
        <f>SUM(D61:D62)</f>
        <v>-4000</v>
      </c>
      <c r="E64" s="273"/>
      <c r="F64" s="272"/>
    </row>
    <row r="65" spans="2:10" ht="12" customHeight="1" x14ac:dyDescent="0.15">
      <c r="B65" s="291"/>
      <c r="C65" s="290"/>
      <c r="D65" s="289"/>
      <c r="E65" s="273"/>
      <c r="F65" s="272"/>
    </row>
    <row r="66" spans="2:10" ht="12" customHeight="1" x14ac:dyDescent="0.15">
      <c r="B66" s="288"/>
      <c r="C66" s="273"/>
      <c r="D66" s="279"/>
      <c r="E66" s="273"/>
      <c r="F66" s="287">
        <f>F57+D64</f>
        <v>-51847.85328997302</v>
      </c>
    </row>
    <row r="67" spans="2:10" ht="12" customHeight="1" x14ac:dyDescent="0.15">
      <c r="B67" s="286" t="s">
        <v>121</v>
      </c>
      <c r="C67" s="273"/>
      <c r="D67" s="273"/>
      <c r="E67" s="273"/>
      <c r="F67" s="285" t="s">
        <v>122</v>
      </c>
    </row>
    <row r="68" spans="2:10" ht="12" customHeight="1" x14ac:dyDescent="0.15">
      <c r="B68" s="274" t="s">
        <v>242</v>
      </c>
      <c r="C68" s="273"/>
      <c r="D68" s="273"/>
      <c r="E68" s="273"/>
      <c r="F68" s="272"/>
    </row>
    <row r="69" spans="2:10" ht="12" customHeight="1" x14ac:dyDescent="0.15">
      <c r="B69" s="284"/>
      <c r="C69" s="273"/>
      <c r="D69" s="273"/>
      <c r="E69" s="273"/>
      <c r="F69" s="272"/>
    </row>
    <row r="70" spans="2:10" ht="12" customHeight="1" x14ac:dyDescent="0.15">
      <c r="B70" s="283" t="s">
        <v>123</v>
      </c>
      <c r="C70" s="282"/>
      <c r="D70" s="281"/>
      <c r="E70" s="273"/>
      <c r="F70" s="272"/>
    </row>
    <row r="71" spans="2:10" ht="12" customHeight="1" x14ac:dyDescent="0.15">
      <c r="B71" s="280" t="s">
        <v>124</v>
      </c>
      <c r="C71" s="273"/>
      <c r="D71" s="279"/>
      <c r="E71" s="273"/>
      <c r="F71" s="272"/>
    </row>
    <row r="72" spans="2:10" ht="12" customHeight="1" x14ac:dyDescent="0.15">
      <c r="B72" s="280" t="s">
        <v>125</v>
      </c>
      <c r="C72" s="273"/>
      <c r="D72" s="279"/>
      <c r="E72" s="273"/>
      <c r="F72" s="272"/>
      <c r="J72" s="275"/>
    </row>
    <row r="73" spans="2:10" ht="12" customHeight="1" x14ac:dyDescent="0.15">
      <c r="B73" s="278" t="s">
        <v>126</v>
      </c>
      <c r="C73" s="277"/>
      <c r="D73" s="276"/>
      <c r="E73" s="273"/>
      <c r="F73" s="272"/>
      <c r="J73" s="275"/>
    </row>
    <row r="74" spans="2:10" ht="12" customHeight="1" x14ac:dyDescent="0.15">
      <c r="B74" s="274"/>
      <c r="C74" s="273"/>
      <c r="D74" s="273"/>
      <c r="E74" s="273"/>
      <c r="F74" s="272"/>
      <c r="J74" s="275"/>
    </row>
    <row r="75" spans="2:10" ht="12" customHeight="1" x14ac:dyDescent="0.15">
      <c r="B75" s="274"/>
      <c r="C75" s="273"/>
      <c r="D75" s="273"/>
      <c r="E75" s="273"/>
      <c r="F75" s="272"/>
      <c r="J75" s="275"/>
    </row>
    <row r="76" spans="2:10" ht="12" customHeight="1" x14ac:dyDescent="0.15">
      <c r="B76" s="274"/>
      <c r="C76" s="273"/>
      <c r="D76" s="273"/>
      <c r="E76" s="273"/>
      <c r="F76" s="272"/>
    </row>
    <row r="77" spans="2:10" ht="12" customHeight="1" x14ac:dyDescent="0.15">
      <c r="B77" s="274"/>
      <c r="C77" s="273"/>
      <c r="D77" s="273"/>
      <c r="E77" s="273"/>
      <c r="F77" s="272"/>
    </row>
    <row r="78" spans="2:10" ht="12" customHeight="1" x14ac:dyDescent="0.15">
      <c r="B78" s="274"/>
      <c r="C78" s="273"/>
      <c r="D78" s="273"/>
      <c r="E78" s="273"/>
      <c r="F78" s="272"/>
    </row>
    <row r="79" spans="2:10" ht="12" customHeight="1" x14ac:dyDescent="0.15">
      <c r="B79" s="274"/>
      <c r="C79" s="273"/>
      <c r="D79" s="273"/>
      <c r="E79" s="273"/>
      <c r="F79" s="272"/>
    </row>
    <row r="80" spans="2:10" ht="12" customHeight="1" x14ac:dyDescent="0.15">
      <c r="B80" s="274"/>
      <c r="C80" s="273"/>
      <c r="D80" s="273"/>
      <c r="E80" s="273"/>
      <c r="F80" s="272"/>
    </row>
    <row r="81" spans="2:6" ht="12" customHeight="1" x14ac:dyDescent="0.15">
      <c r="B81" s="274"/>
      <c r="C81" s="273"/>
      <c r="D81" s="273"/>
      <c r="E81" s="273"/>
      <c r="F81" s="272"/>
    </row>
    <row r="82" spans="2:6" ht="12" customHeight="1" x14ac:dyDescent="0.15">
      <c r="B82" s="274"/>
      <c r="C82" s="273"/>
      <c r="D82" s="273"/>
      <c r="E82" s="273"/>
      <c r="F82" s="272"/>
    </row>
    <row r="83" spans="2:6" ht="12" customHeight="1" x14ac:dyDescent="0.15">
      <c r="B83" s="274"/>
      <c r="C83" s="273"/>
      <c r="D83" s="273"/>
      <c r="E83" s="273"/>
      <c r="F83" s="272"/>
    </row>
    <row r="84" spans="2:6" ht="12" customHeight="1" x14ac:dyDescent="0.15">
      <c r="B84" s="274"/>
      <c r="C84" s="273"/>
      <c r="D84" s="273"/>
      <c r="E84" s="273"/>
      <c r="F84" s="272"/>
    </row>
    <row r="85" spans="2:6" ht="12" customHeight="1" x14ac:dyDescent="0.15">
      <c r="B85" s="274"/>
      <c r="C85" s="273"/>
      <c r="D85" s="273"/>
      <c r="E85" s="273"/>
      <c r="F85" s="272"/>
    </row>
    <row r="86" spans="2:6" ht="12" customHeight="1" x14ac:dyDescent="0.15">
      <c r="B86" s="274"/>
      <c r="C86" s="273"/>
      <c r="D86" s="273"/>
      <c r="E86" s="273"/>
      <c r="F86" s="272"/>
    </row>
    <row r="87" spans="2:6" ht="12" customHeight="1" x14ac:dyDescent="0.15">
      <c r="B87" s="274"/>
      <c r="C87" s="273"/>
      <c r="D87" s="273"/>
      <c r="E87" s="273"/>
      <c r="F87" s="272"/>
    </row>
    <row r="88" spans="2:6" ht="12" customHeight="1" x14ac:dyDescent="0.15">
      <c r="B88" s="274"/>
      <c r="C88" s="273"/>
      <c r="D88" s="273"/>
      <c r="E88" s="273"/>
      <c r="F88" s="272"/>
    </row>
    <row r="89" spans="2:6" ht="12" customHeight="1" x14ac:dyDescent="0.15">
      <c r="B89" s="274"/>
      <c r="C89" s="273"/>
      <c r="D89" s="273"/>
      <c r="E89" s="273"/>
      <c r="F89" s="272"/>
    </row>
    <row r="90" spans="2:6" ht="12" customHeight="1" x14ac:dyDescent="0.15">
      <c r="B90" s="274"/>
      <c r="C90" s="273"/>
      <c r="D90" s="273"/>
      <c r="E90" s="273"/>
      <c r="F90" s="272"/>
    </row>
    <row r="91" spans="2:6" ht="12" customHeight="1" x14ac:dyDescent="0.15">
      <c r="B91" s="274"/>
      <c r="C91" s="273"/>
      <c r="D91" s="273"/>
      <c r="E91" s="273"/>
      <c r="F91" s="272"/>
    </row>
    <row r="92" spans="2:6" ht="12" customHeight="1" x14ac:dyDescent="0.15">
      <c r="B92" s="274"/>
      <c r="C92" s="273"/>
      <c r="D92" s="273"/>
      <c r="E92" s="273"/>
      <c r="F92" s="272"/>
    </row>
    <row r="93" spans="2:6" ht="12" customHeight="1" x14ac:dyDescent="0.15">
      <c r="B93" s="274"/>
      <c r="C93" s="273"/>
      <c r="D93" s="273"/>
      <c r="E93" s="273"/>
      <c r="F93" s="272"/>
    </row>
    <row r="94" spans="2:6" ht="12" customHeight="1" x14ac:dyDescent="0.15">
      <c r="B94" s="274"/>
      <c r="C94" s="273"/>
      <c r="D94" s="273"/>
      <c r="E94" s="273"/>
      <c r="F94" s="272"/>
    </row>
    <row r="95" spans="2:6" ht="12" customHeight="1" x14ac:dyDescent="0.15">
      <c r="B95" s="274"/>
      <c r="C95" s="273"/>
      <c r="D95" s="273"/>
      <c r="E95" s="273"/>
      <c r="F95" s="272"/>
    </row>
    <row r="96" spans="2:6" ht="12" customHeight="1" x14ac:dyDescent="0.15">
      <c r="B96" s="274"/>
      <c r="C96" s="273"/>
      <c r="D96" s="273"/>
      <c r="E96" s="273"/>
      <c r="F96" s="272"/>
    </row>
    <row r="97" spans="2:6" ht="12" customHeight="1" x14ac:dyDescent="0.15">
      <c r="B97" s="274"/>
      <c r="C97" s="273"/>
      <c r="D97" s="273"/>
      <c r="E97" s="273"/>
      <c r="F97" s="272"/>
    </row>
    <row r="98" spans="2:6" ht="12" customHeight="1" x14ac:dyDescent="0.15">
      <c r="B98" s="274"/>
      <c r="C98" s="273"/>
      <c r="D98" s="273"/>
      <c r="E98" s="273"/>
      <c r="F98" s="272"/>
    </row>
    <row r="99" spans="2:6" ht="12" customHeight="1" x14ac:dyDescent="0.15">
      <c r="B99" s="274"/>
      <c r="C99" s="273"/>
      <c r="D99" s="273"/>
      <c r="E99" s="273"/>
      <c r="F99" s="272"/>
    </row>
    <row r="100" spans="2:6" ht="12" customHeight="1" x14ac:dyDescent="0.15">
      <c r="B100" s="274"/>
      <c r="C100" s="273"/>
      <c r="D100" s="273"/>
      <c r="E100" s="273"/>
      <c r="F100" s="272"/>
    </row>
    <row r="101" spans="2:6" ht="12" customHeight="1" x14ac:dyDescent="0.15">
      <c r="B101" s="274"/>
      <c r="C101" s="273"/>
      <c r="D101" s="273"/>
      <c r="E101" s="273"/>
      <c r="F101" s="272"/>
    </row>
    <row r="102" spans="2:6" ht="12" customHeight="1" x14ac:dyDescent="0.15">
      <c r="B102" s="274"/>
      <c r="C102" s="273"/>
      <c r="D102" s="273"/>
      <c r="E102" s="273"/>
      <c r="F102" s="272"/>
    </row>
    <row r="103" spans="2:6" ht="12" customHeight="1" x14ac:dyDescent="0.15">
      <c r="B103" s="274"/>
      <c r="C103" s="273"/>
      <c r="D103" s="273"/>
      <c r="E103" s="273"/>
      <c r="F103" s="272"/>
    </row>
    <row r="104" spans="2:6" ht="12" customHeight="1" x14ac:dyDescent="0.15">
      <c r="B104" s="274"/>
      <c r="C104" s="273"/>
      <c r="D104" s="273"/>
      <c r="E104" s="273"/>
      <c r="F104" s="272"/>
    </row>
    <row r="105" spans="2:6" ht="12" customHeight="1" x14ac:dyDescent="0.15">
      <c r="B105" s="274"/>
      <c r="C105" s="273"/>
      <c r="D105" s="273"/>
      <c r="E105" s="273"/>
      <c r="F105" s="272"/>
    </row>
    <row r="106" spans="2:6" ht="12" customHeight="1" x14ac:dyDescent="0.15">
      <c r="B106" s="274"/>
      <c r="C106" s="273"/>
      <c r="D106" s="273"/>
      <c r="E106" s="273"/>
      <c r="F106" s="272"/>
    </row>
    <row r="107" spans="2:6" ht="12" customHeight="1" x14ac:dyDescent="0.15">
      <c r="B107" s="274"/>
      <c r="C107" s="273"/>
      <c r="D107" s="273"/>
      <c r="E107" s="273"/>
      <c r="F107" s="272"/>
    </row>
    <row r="108" spans="2:6" ht="12" customHeight="1" x14ac:dyDescent="0.15">
      <c r="B108" s="274"/>
      <c r="C108" s="273"/>
      <c r="D108" s="273"/>
      <c r="E108" s="273"/>
      <c r="F108" s="272"/>
    </row>
    <row r="109" spans="2:6" ht="12" customHeight="1" x14ac:dyDescent="0.15">
      <c r="B109" s="274"/>
      <c r="C109" s="273"/>
      <c r="D109" s="273"/>
      <c r="E109" s="273"/>
      <c r="F109" s="272"/>
    </row>
    <row r="110" spans="2:6" ht="12" customHeight="1" x14ac:dyDescent="0.15">
      <c r="B110" s="274"/>
      <c r="C110" s="273"/>
      <c r="D110" s="273"/>
      <c r="E110" s="273"/>
      <c r="F110" s="272"/>
    </row>
    <row r="111" spans="2:6" ht="12" customHeight="1" x14ac:dyDescent="0.15">
      <c r="B111" s="274"/>
      <c r="C111" s="273"/>
      <c r="D111" s="273"/>
      <c r="E111" s="273"/>
      <c r="F111" s="272"/>
    </row>
    <row r="112" spans="2:6" ht="12" customHeight="1" x14ac:dyDescent="0.15">
      <c r="B112" s="274"/>
      <c r="C112" s="273"/>
      <c r="D112" s="273"/>
      <c r="E112" s="273"/>
      <c r="F112" s="272"/>
    </row>
    <row r="113" spans="2:6" ht="12" customHeight="1" x14ac:dyDescent="0.15">
      <c r="B113" s="274"/>
      <c r="C113" s="273"/>
      <c r="D113" s="273"/>
      <c r="E113" s="273"/>
      <c r="F113" s="272"/>
    </row>
    <row r="114" spans="2:6" ht="12" customHeight="1" x14ac:dyDescent="0.15">
      <c r="B114" s="274"/>
      <c r="C114" s="273"/>
      <c r="D114" s="273"/>
      <c r="E114" s="273"/>
      <c r="F114" s="272"/>
    </row>
    <row r="115" spans="2:6" ht="12" customHeight="1" x14ac:dyDescent="0.15">
      <c r="B115" s="274"/>
      <c r="C115" s="273"/>
      <c r="D115" s="273"/>
      <c r="E115" s="273"/>
      <c r="F115" s="272"/>
    </row>
    <row r="116" spans="2:6" ht="12" customHeight="1" x14ac:dyDescent="0.15">
      <c r="B116" s="274"/>
      <c r="C116" s="273"/>
      <c r="D116" s="273"/>
      <c r="E116" s="273"/>
      <c r="F116" s="272"/>
    </row>
    <row r="117" spans="2:6" ht="12" customHeight="1" x14ac:dyDescent="0.15">
      <c r="B117" s="274"/>
      <c r="C117" s="273"/>
      <c r="D117" s="273"/>
      <c r="E117" s="273"/>
      <c r="F117" s="272"/>
    </row>
    <row r="118" spans="2:6" ht="12" customHeight="1" x14ac:dyDescent="0.15">
      <c r="B118" s="274"/>
      <c r="C118" s="273"/>
      <c r="D118" s="273"/>
      <c r="E118" s="273"/>
      <c r="F118" s="272"/>
    </row>
    <row r="119" spans="2:6" ht="12" customHeight="1" x14ac:dyDescent="0.15">
      <c r="B119" s="274"/>
      <c r="C119" s="273"/>
      <c r="D119" s="273"/>
      <c r="E119" s="273"/>
      <c r="F119" s="272"/>
    </row>
    <row r="120" spans="2:6" ht="12" customHeight="1" x14ac:dyDescent="0.15">
      <c r="B120" s="274"/>
      <c r="C120" s="273"/>
      <c r="D120" s="273"/>
      <c r="E120" s="273"/>
      <c r="F120" s="272"/>
    </row>
    <row r="121" spans="2:6" ht="12" customHeight="1" x14ac:dyDescent="0.15">
      <c r="B121" s="274"/>
      <c r="C121" s="273"/>
      <c r="D121" s="273"/>
      <c r="E121" s="273"/>
      <c r="F121" s="272"/>
    </row>
    <row r="122" spans="2:6" ht="12" customHeight="1" x14ac:dyDescent="0.15">
      <c r="B122" s="274"/>
      <c r="C122" s="273"/>
      <c r="D122" s="273"/>
      <c r="E122" s="273"/>
      <c r="F122" s="272"/>
    </row>
    <row r="123" spans="2:6" ht="12" customHeight="1" x14ac:dyDescent="0.15">
      <c r="B123" s="274"/>
      <c r="C123" s="273"/>
      <c r="D123" s="273"/>
      <c r="E123" s="273"/>
      <c r="F123" s="272"/>
    </row>
    <row r="124" spans="2:6" ht="12" customHeight="1" x14ac:dyDescent="0.15">
      <c r="B124" s="274"/>
      <c r="C124" s="273"/>
      <c r="D124" s="273"/>
      <c r="E124" s="273"/>
      <c r="F124" s="272"/>
    </row>
    <row r="125" spans="2:6" ht="12" customHeight="1" x14ac:dyDescent="0.15">
      <c r="B125" s="274"/>
      <c r="C125" s="273"/>
      <c r="D125" s="273"/>
      <c r="E125" s="273"/>
      <c r="F125" s="272"/>
    </row>
    <row r="126" spans="2:6" ht="12" customHeight="1" x14ac:dyDescent="0.15">
      <c r="B126" s="274"/>
      <c r="C126" s="273"/>
      <c r="D126" s="273"/>
      <c r="E126" s="273"/>
      <c r="F126" s="272"/>
    </row>
    <row r="127" spans="2:6" ht="12" customHeight="1" x14ac:dyDescent="0.15">
      <c r="B127" s="274"/>
      <c r="C127" s="273"/>
      <c r="D127" s="273"/>
      <c r="E127" s="273"/>
      <c r="F127" s="272"/>
    </row>
    <row r="128" spans="2:6" ht="12" customHeight="1" x14ac:dyDescent="0.15">
      <c r="B128" s="274"/>
      <c r="C128" s="273"/>
      <c r="D128" s="273"/>
      <c r="E128" s="273"/>
      <c r="F128" s="272"/>
    </row>
    <row r="129" spans="2:6" ht="12" customHeight="1" x14ac:dyDescent="0.15">
      <c r="B129" s="274"/>
      <c r="C129" s="273"/>
      <c r="D129" s="273"/>
      <c r="E129" s="273"/>
      <c r="F129" s="272"/>
    </row>
    <row r="130" spans="2:6" ht="12" customHeight="1" x14ac:dyDescent="0.15">
      <c r="B130" s="274"/>
      <c r="C130" s="273"/>
      <c r="D130" s="273"/>
      <c r="E130" s="273"/>
      <c r="F130" s="272"/>
    </row>
    <row r="131" spans="2:6" ht="12" customHeight="1" x14ac:dyDescent="0.15">
      <c r="B131" s="274"/>
      <c r="C131" s="273"/>
      <c r="D131" s="273"/>
      <c r="E131" s="273"/>
      <c r="F131" s="272"/>
    </row>
    <row r="132" spans="2:6" ht="12" customHeight="1" x14ac:dyDescent="0.15">
      <c r="B132" s="274"/>
      <c r="C132" s="273"/>
      <c r="D132" s="273"/>
      <c r="E132" s="273"/>
      <c r="F132" s="272"/>
    </row>
    <row r="133" spans="2:6" ht="12" customHeight="1" x14ac:dyDescent="0.15">
      <c r="B133" s="274"/>
      <c r="C133" s="273"/>
      <c r="D133" s="273"/>
      <c r="E133" s="273"/>
      <c r="F133" s="272"/>
    </row>
    <row r="134" spans="2:6" ht="12" customHeight="1" x14ac:dyDescent="0.15">
      <c r="B134" s="274"/>
      <c r="C134" s="273"/>
      <c r="D134" s="273"/>
      <c r="E134" s="273"/>
      <c r="F134" s="272"/>
    </row>
    <row r="135" spans="2:6" ht="12" customHeight="1" x14ac:dyDescent="0.15">
      <c r="B135" s="274"/>
      <c r="C135" s="273"/>
      <c r="D135" s="273"/>
      <c r="E135" s="273"/>
      <c r="F135" s="272"/>
    </row>
    <row r="136" spans="2:6" ht="12" customHeight="1" x14ac:dyDescent="0.15">
      <c r="B136" s="274"/>
      <c r="C136" s="273"/>
      <c r="D136" s="273"/>
      <c r="E136" s="273"/>
      <c r="F136" s="272"/>
    </row>
    <row r="137" spans="2:6" ht="12" customHeight="1" x14ac:dyDescent="0.15">
      <c r="B137" s="274"/>
      <c r="C137" s="273"/>
      <c r="D137" s="273"/>
      <c r="E137" s="273"/>
      <c r="F137" s="272"/>
    </row>
    <row r="138" spans="2:6" ht="12" customHeight="1" x14ac:dyDescent="0.15">
      <c r="B138" s="274"/>
      <c r="C138" s="273"/>
      <c r="D138" s="273"/>
      <c r="E138" s="273"/>
      <c r="F138" s="272"/>
    </row>
    <row r="139" spans="2:6" ht="12" customHeight="1" x14ac:dyDescent="0.15">
      <c r="B139" s="274"/>
      <c r="C139" s="273"/>
      <c r="D139" s="273"/>
      <c r="E139" s="273"/>
      <c r="F139" s="272"/>
    </row>
    <row r="140" spans="2:6" ht="12" customHeight="1" x14ac:dyDescent="0.15">
      <c r="B140" s="274"/>
      <c r="C140" s="273"/>
      <c r="D140" s="273"/>
      <c r="E140" s="273"/>
      <c r="F140" s="272"/>
    </row>
    <row r="141" spans="2:6" ht="12" customHeight="1" x14ac:dyDescent="0.15">
      <c r="B141" s="274"/>
      <c r="C141" s="273"/>
      <c r="D141" s="273"/>
      <c r="E141" s="273"/>
      <c r="F141" s="272"/>
    </row>
    <row r="142" spans="2:6" ht="12" customHeight="1" x14ac:dyDescent="0.15">
      <c r="B142" s="274"/>
      <c r="C142" s="273"/>
      <c r="D142" s="273"/>
      <c r="E142" s="273"/>
      <c r="F142" s="272"/>
    </row>
    <row r="143" spans="2:6" ht="12" customHeight="1" x14ac:dyDescent="0.15">
      <c r="B143" s="274"/>
      <c r="C143" s="273"/>
      <c r="D143" s="273"/>
      <c r="E143" s="273"/>
      <c r="F143" s="272"/>
    </row>
    <row r="144" spans="2:6" ht="12" customHeight="1" x14ac:dyDescent="0.15">
      <c r="B144" s="274"/>
      <c r="C144" s="273"/>
      <c r="D144" s="273"/>
      <c r="E144" s="273"/>
      <c r="F144" s="272"/>
    </row>
    <row r="145" spans="2:6" ht="12" customHeight="1" x14ac:dyDescent="0.15">
      <c r="B145" s="274"/>
      <c r="C145" s="273"/>
      <c r="D145" s="273"/>
      <c r="E145" s="273"/>
      <c r="F145" s="272"/>
    </row>
    <row r="146" spans="2:6" ht="12" customHeight="1" x14ac:dyDescent="0.15">
      <c r="B146" s="274"/>
      <c r="C146" s="273"/>
      <c r="D146" s="273"/>
      <c r="E146" s="273"/>
      <c r="F146" s="272"/>
    </row>
    <row r="147" spans="2:6" ht="12" customHeight="1" x14ac:dyDescent="0.15">
      <c r="B147" s="274"/>
      <c r="C147" s="273"/>
      <c r="D147" s="273"/>
      <c r="E147" s="273"/>
      <c r="F147" s="272"/>
    </row>
    <row r="148" spans="2:6" ht="12" customHeight="1" x14ac:dyDescent="0.15">
      <c r="B148" s="274"/>
      <c r="C148" s="273"/>
      <c r="D148" s="273"/>
      <c r="E148" s="273"/>
      <c r="F148" s="272"/>
    </row>
    <row r="149" spans="2:6" ht="12" customHeight="1" x14ac:dyDescent="0.15">
      <c r="B149" s="274"/>
      <c r="C149" s="273"/>
      <c r="D149" s="273"/>
      <c r="E149" s="273"/>
      <c r="F149" s="272"/>
    </row>
    <row r="150" spans="2:6" ht="12" customHeight="1" x14ac:dyDescent="0.15">
      <c r="B150" s="274"/>
      <c r="C150" s="273"/>
      <c r="D150" s="273"/>
      <c r="E150" s="273"/>
      <c r="F150" s="272"/>
    </row>
    <row r="151" spans="2:6" ht="12" customHeight="1" x14ac:dyDescent="0.15">
      <c r="B151" s="274"/>
      <c r="C151" s="273"/>
      <c r="D151" s="273"/>
      <c r="E151" s="273"/>
      <c r="F151" s="272"/>
    </row>
    <row r="152" spans="2:6" ht="12" customHeight="1" x14ac:dyDescent="0.15">
      <c r="B152" s="274"/>
      <c r="C152" s="273"/>
      <c r="D152" s="273"/>
      <c r="E152" s="273"/>
      <c r="F152" s="272"/>
    </row>
    <row r="153" spans="2:6" ht="12" customHeight="1" x14ac:dyDescent="0.15">
      <c r="B153" s="274"/>
      <c r="C153" s="273"/>
      <c r="D153" s="273"/>
      <c r="E153" s="273"/>
      <c r="F153" s="272"/>
    </row>
    <row r="154" spans="2:6" ht="12" customHeight="1" x14ac:dyDescent="0.15">
      <c r="B154" s="274"/>
      <c r="C154" s="273"/>
      <c r="D154" s="273"/>
      <c r="E154" s="273"/>
      <c r="F154" s="272"/>
    </row>
    <row r="155" spans="2:6" ht="12" customHeight="1" x14ac:dyDescent="0.15">
      <c r="B155" s="274"/>
      <c r="C155" s="273"/>
      <c r="D155" s="273"/>
      <c r="E155" s="273"/>
      <c r="F155" s="272"/>
    </row>
    <row r="156" spans="2:6" ht="12" customHeight="1" x14ac:dyDescent="0.15">
      <c r="B156" s="274"/>
      <c r="C156" s="273"/>
      <c r="D156" s="273"/>
      <c r="E156" s="273"/>
      <c r="F156" s="272"/>
    </row>
    <row r="157" spans="2:6" ht="12" customHeight="1" x14ac:dyDescent="0.15">
      <c r="B157" s="274"/>
      <c r="C157" s="273"/>
      <c r="D157" s="273"/>
      <c r="E157" s="273"/>
      <c r="F157" s="272"/>
    </row>
    <row r="158" spans="2:6" ht="12" customHeight="1" x14ac:dyDescent="0.15">
      <c r="B158" s="274"/>
      <c r="C158" s="273"/>
      <c r="D158" s="273"/>
      <c r="E158" s="273"/>
      <c r="F158" s="272"/>
    </row>
    <row r="159" spans="2:6" ht="12" customHeight="1" x14ac:dyDescent="0.15">
      <c r="B159" s="274"/>
      <c r="C159" s="273"/>
      <c r="D159" s="273"/>
      <c r="E159" s="273"/>
      <c r="F159" s="272"/>
    </row>
    <row r="160" spans="2:6" ht="12" customHeight="1" x14ac:dyDescent="0.15">
      <c r="B160" s="274"/>
      <c r="C160" s="273"/>
      <c r="D160" s="273"/>
      <c r="E160" s="273"/>
      <c r="F160" s="272"/>
    </row>
    <row r="161" spans="2:6" ht="12" customHeight="1" x14ac:dyDescent="0.15">
      <c r="B161" s="274"/>
      <c r="C161" s="273"/>
      <c r="D161" s="273"/>
      <c r="E161" s="273"/>
      <c r="F161" s="272"/>
    </row>
    <row r="162" spans="2:6" ht="12" customHeight="1" x14ac:dyDescent="0.15">
      <c r="B162" s="274"/>
      <c r="C162" s="273"/>
      <c r="D162" s="273"/>
      <c r="E162" s="273"/>
      <c r="F162" s="272"/>
    </row>
    <row r="163" spans="2:6" ht="12" customHeight="1" x14ac:dyDescent="0.15">
      <c r="B163" s="274"/>
      <c r="C163" s="273"/>
      <c r="D163" s="273"/>
      <c r="E163" s="273"/>
      <c r="F163" s="272"/>
    </row>
    <row r="164" spans="2:6" ht="12" customHeight="1" x14ac:dyDescent="0.15">
      <c r="B164" s="274"/>
      <c r="C164" s="273"/>
      <c r="D164" s="273"/>
      <c r="E164" s="273"/>
      <c r="F164" s="272"/>
    </row>
    <row r="165" spans="2:6" ht="12" customHeight="1" x14ac:dyDescent="0.15">
      <c r="B165" s="274"/>
      <c r="C165" s="273"/>
      <c r="D165" s="273"/>
      <c r="E165" s="273"/>
      <c r="F165" s="272"/>
    </row>
    <row r="166" spans="2:6" ht="12" customHeight="1" x14ac:dyDescent="0.15">
      <c r="B166" s="274"/>
      <c r="C166" s="273"/>
      <c r="D166" s="273"/>
      <c r="E166" s="273"/>
      <c r="F166" s="272"/>
    </row>
    <row r="167" spans="2:6" ht="12" customHeight="1" x14ac:dyDescent="0.15">
      <c r="B167" s="274"/>
      <c r="C167" s="273"/>
      <c r="D167" s="273"/>
      <c r="E167" s="273"/>
      <c r="F167" s="272"/>
    </row>
    <row r="168" spans="2:6" ht="12" customHeight="1" x14ac:dyDescent="0.15">
      <c r="B168" s="274"/>
      <c r="C168" s="273"/>
      <c r="D168" s="273"/>
      <c r="E168" s="273"/>
      <c r="F168" s="272"/>
    </row>
    <row r="169" spans="2:6" ht="12" customHeight="1" x14ac:dyDescent="0.15">
      <c r="B169" s="274"/>
      <c r="C169" s="273"/>
      <c r="D169" s="273"/>
      <c r="E169" s="273"/>
      <c r="F169" s="272"/>
    </row>
    <row r="170" spans="2:6" ht="12" customHeight="1" x14ac:dyDescent="0.15">
      <c r="B170" s="274"/>
      <c r="C170" s="273"/>
      <c r="D170" s="273"/>
      <c r="E170" s="273"/>
      <c r="F170" s="272"/>
    </row>
    <row r="171" spans="2:6" ht="12" customHeight="1" x14ac:dyDescent="0.15">
      <c r="B171" s="274"/>
      <c r="C171" s="273"/>
      <c r="D171" s="273"/>
      <c r="E171" s="273"/>
      <c r="F171" s="272"/>
    </row>
    <row r="172" spans="2:6" ht="12" customHeight="1" x14ac:dyDescent="0.15">
      <c r="B172" s="274"/>
      <c r="C172" s="273"/>
      <c r="D172" s="273"/>
      <c r="E172" s="273"/>
      <c r="F172" s="272"/>
    </row>
    <row r="173" spans="2:6" ht="12" customHeight="1" x14ac:dyDescent="0.15">
      <c r="B173" s="274"/>
      <c r="C173" s="273"/>
      <c r="D173" s="273"/>
      <c r="E173" s="273"/>
      <c r="F173" s="272"/>
    </row>
    <row r="174" spans="2:6" ht="12" customHeight="1" x14ac:dyDescent="0.15">
      <c r="B174" s="274"/>
      <c r="C174" s="273"/>
      <c r="D174" s="273"/>
      <c r="E174" s="273"/>
      <c r="F174" s="272"/>
    </row>
    <row r="175" spans="2:6" ht="12" customHeight="1" x14ac:dyDescent="0.15">
      <c r="B175" s="274"/>
      <c r="C175" s="273"/>
      <c r="D175" s="273"/>
      <c r="E175" s="273"/>
      <c r="F175" s="272"/>
    </row>
    <row r="176" spans="2:6" ht="12" customHeight="1" x14ac:dyDescent="0.15">
      <c r="B176" s="274"/>
      <c r="C176" s="273"/>
      <c r="D176" s="273"/>
      <c r="E176" s="273"/>
      <c r="F176" s="272"/>
    </row>
    <row r="177" spans="2:6" ht="12" customHeight="1" x14ac:dyDescent="0.15">
      <c r="B177" s="274"/>
      <c r="C177" s="273"/>
      <c r="D177" s="273"/>
      <c r="E177" s="273"/>
      <c r="F177" s="272"/>
    </row>
    <row r="178" spans="2:6" ht="12" customHeight="1" x14ac:dyDescent="0.15">
      <c r="B178" s="274"/>
      <c r="C178" s="273"/>
      <c r="D178" s="273"/>
      <c r="E178" s="273"/>
      <c r="F178" s="272"/>
    </row>
    <row r="179" spans="2:6" ht="12" customHeight="1" x14ac:dyDescent="0.15">
      <c r="B179" s="274"/>
      <c r="C179" s="273"/>
      <c r="D179" s="273"/>
      <c r="E179" s="273"/>
      <c r="F179" s="272"/>
    </row>
    <row r="180" spans="2:6" ht="12" customHeight="1" x14ac:dyDescent="0.15">
      <c r="B180" s="274"/>
      <c r="C180" s="273"/>
      <c r="D180" s="273"/>
      <c r="E180" s="273"/>
      <c r="F180" s="272"/>
    </row>
    <row r="181" spans="2:6" ht="12" customHeight="1" x14ac:dyDescent="0.15">
      <c r="B181" s="274"/>
      <c r="C181" s="273"/>
      <c r="D181" s="273"/>
      <c r="E181" s="273"/>
      <c r="F181" s="272"/>
    </row>
    <row r="182" spans="2:6" ht="12" customHeight="1" x14ac:dyDescent="0.15">
      <c r="B182" s="274"/>
      <c r="C182" s="273"/>
      <c r="D182" s="273"/>
      <c r="E182" s="273"/>
      <c r="F182" s="272"/>
    </row>
    <row r="183" spans="2:6" ht="12" customHeight="1" x14ac:dyDescent="0.15">
      <c r="B183" s="274"/>
      <c r="C183" s="273"/>
      <c r="D183" s="273"/>
      <c r="E183" s="273"/>
      <c r="F183" s="272"/>
    </row>
    <row r="184" spans="2:6" ht="12" customHeight="1" x14ac:dyDescent="0.15">
      <c r="B184" s="274"/>
      <c r="C184" s="273"/>
      <c r="D184" s="273"/>
      <c r="E184" s="273"/>
      <c r="F184" s="272"/>
    </row>
    <row r="185" spans="2:6" ht="12" customHeight="1" x14ac:dyDescent="0.15">
      <c r="B185" s="274"/>
      <c r="C185" s="273"/>
      <c r="D185" s="273"/>
      <c r="E185" s="273"/>
      <c r="F185" s="272"/>
    </row>
    <row r="186" spans="2:6" ht="12" customHeight="1" x14ac:dyDescent="0.15">
      <c r="B186" s="274"/>
      <c r="C186" s="273"/>
      <c r="D186" s="273"/>
      <c r="E186" s="273"/>
      <c r="F186" s="272"/>
    </row>
    <row r="187" spans="2:6" ht="12" customHeight="1" x14ac:dyDescent="0.15">
      <c r="B187" s="274"/>
      <c r="C187" s="273"/>
      <c r="D187" s="273"/>
      <c r="E187" s="273"/>
      <c r="F187" s="272"/>
    </row>
    <row r="188" spans="2:6" ht="12" customHeight="1" x14ac:dyDescent="0.15">
      <c r="B188" s="274"/>
      <c r="C188" s="273"/>
      <c r="D188" s="273"/>
      <c r="E188" s="273"/>
      <c r="F188" s="272"/>
    </row>
    <row r="189" spans="2:6" ht="12" customHeight="1" x14ac:dyDescent="0.15">
      <c r="B189" s="274"/>
      <c r="C189" s="273"/>
      <c r="D189" s="273"/>
      <c r="E189" s="273"/>
      <c r="F189" s="272"/>
    </row>
    <row r="190" spans="2:6" ht="12" customHeight="1" x14ac:dyDescent="0.15">
      <c r="B190" s="274"/>
      <c r="C190" s="273"/>
      <c r="D190" s="273"/>
      <c r="E190" s="273"/>
      <c r="F190" s="272"/>
    </row>
    <row r="191" spans="2:6" ht="12" customHeight="1" x14ac:dyDescent="0.15">
      <c r="B191" s="274"/>
      <c r="C191" s="273"/>
      <c r="D191" s="273"/>
      <c r="E191" s="273"/>
      <c r="F191" s="272"/>
    </row>
    <row r="192" spans="2:6" ht="12" customHeight="1" x14ac:dyDescent="0.15">
      <c r="B192" s="274"/>
      <c r="C192" s="273"/>
      <c r="D192" s="273"/>
      <c r="E192" s="273"/>
      <c r="F192" s="272"/>
    </row>
    <row r="193" spans="2:6" ht="12" customHeight="1" x14ac:dyDescent="0.15">
      <c r="B193" s="274"/>
      <c r="C193" s="273"/>
      <c r="D193" s="273"/>
      <c r="E193" s="273"/>
      <c r="F193" s="272"/>
    </row>
    <row r="194" spans="2:6" ht="12" customHeight="1" x14ac:dyDescent="0.15">
      <c r="B194" s="274"/>
      <c r="C194" s="273"/>
      <c r="D194" s="273"/>
      <c r="E194" s="273"/>
      <c r="F194" s="272"/>
    </row>
    <row r="195" spans="2:6" ht="12" customHeight="1" x14ac:dyDescent="0.15">
      <c r="B195" s="274"/>
      <c r="C195" s="273"/>
      <c r="D195" s="273"/>
      <c r="E195" s="273"/>
      <c r="F195" s="272"/>
    </row>
    <row r="196" spans="2:6" ht="12" customHeight="1" x14ac:dyDescent="0.15">
      <c r="B196" s="274"/>
      <c r="C196" s="273"/>
      <c r="D196" s="273"/>
      <c r="E196" s="273"/>
      <c r="F196" s="272"/>
    </row>
    <row r="197" spans="2:6" ht="12" customHeight="1" x14ac:dyDescent="0.15">
      <c r="B197" s="274"/>
      <c r="C197" s="273"/>
      <c r="D197" s="273"/>
      <c r="E197" s="273"/>
      <c r="F197" s="272"/>
    </row>
    <row r="198" spans="2:6" ht="12" customHeight="1" x14ac:dyDescent="0.15">
      <c r="B198" s="274"/>
      <c r="C198" s="273"/>
      <c r="D198" s="273"/>
      <c r="E198" s="273"/>
      <c r="F198" s="272"/>
    </row>
    <row r="199" spans="2:6" ht="12" customHeight="1" x14ac:dyDescent="0.15">
      <c r="B199" s="274"/>
      <c r="C199" s="273"/>
      <c r="D199" s="273"/>
      <c r="E199" s="273"/>
      <c r="F199" s="272"/>
    </row>
    <row r="200" spans="2:6" ht="12" customHeight="1" x14ac:dyDescent="0.15">
      <c r="B200" s="274"/>
      <c r="C200" s="273"/>
      <c r="D200" s="273"/>
      <c r="E200" s="273"/>
      <c r="F200" s="272"/>
    </row>
    <row r="201" spans="2:6" ht="12" customHeight="1" x14ac:dyDescent="0.15">
      <c r="B201" s="274"/>
      <c r="C201" s="273"/>
      <c r="D201" s="273"/>
      <c r="E201" s="273"/>
      <c r="F201" s="272"/>
    </row>
    <row r="202" spans="2:6" ht="12" customHeight="1" x14ac:dyDescent="0.15">
      <c r="B202" s="274"/>
      <c r="C202" s="273"/>
      <c r="D202" s="273"/>
      <c r="E202" s="273"/>
      <c r="F202" s="272"/>
    </row>
    <row r="203" spans="2:6" ht="12" customHeight="1" x14ac:dyDescent="0.15">
      <c r="B203" s="274"/>
      <c r="C203" s="273"/>
      <c r="D203" s="273"/>
      <c r="E203" s="273"/>
      <c r="F203" s="272"/>
    </row>
    <row r="204" spans="2:6" ht="12" customHeight="1" x14ac:dyDescent="0.15">
      <c r="B204" s="274"/>
      <c r="C204" s="273"/>
      <c r="D204" s="273"/>
      <c r="E204" s="273"/>
      <c r="F204" s="272"/>
    </row>
    <row r="205" spans="2:6" ht="12" customHeight="1" x14ac:dyDescent="0.15">
      <c r="B205" s="274"/>
      <c r="C205" s="273"/>
      <c r="D205" s="273"/>
      <c r="E205" s="273"/>
      <c r="F205" s="272"/>
    </row>
    <row r="206" spans="2:6" ht="12" customHeight="1" x14ac:dyDescent="0.15">
      <c r="B206" s="274"/>
      <c r="C206" s="273"/>
      <c r="D206" s="273"/>
      <c r="E206" s="273"/>
      <c r="F206" s="272"/>
    </row>
    <row r="207" spans="2:6" ht="12" customHeight="1" x14ac:dyDescent="0.15">
      <c r="B207" s="274"/>
      <c r="C207" s="273"/>
      <c r="D207" s="273"/>
      <c r="E207" s="273"/>
      <c r="F207" s="272"/>
    </row>
    <row r="208" spans="2:6" ht="12" customHeight="1" x14ac:dyDescent="0.15">
      <c r="B208" s="274"/>
      <c r="C208" s="273"/>
      <c r="D208" s="273"/>
      <c r="E208" s="273"/>
      <c r="F208" s="272"/>
    </row>
    <row r="209" spans="2:6" ht="12" customHeight="1" x14ac:dyDescent="0.15">
      <c r="B209" s="274"/>
      <c r="C209" s="273"/>
      <c r="D209" s="273"/>
      <c r="E209" s="273"/>
      <c r="F209" s="272"/>
    </row>
    <row r="210" spans="2:6" ht="12" customHeight="1" x14ac:dyDescent="0.15">
      <c r="B210" s="274"/>
      <c r="C210" s="273"/>
      <c r="D210" s="273"/>
      <c r="E210" s="273"/>
      <c r="F210" s="272"/>
    </row>
    <row r="211" spans="2:6" ht="12" customHeight="1" x14ac:dyDescent="0.15">
      <c r="B211" s="274"/>
      <c r="C211" s="273"/>
      <c r="D211" s="273"/>
      <c r="E211" s="273"/>
      <c r="F211" s="272"/>
    </row>
    <row r="212" spans="2:6" ht="12" customHeight="1" x14ac:dyDescent="0.15">
      <c r="B212" s="274"/>
      <c r="C212" s="273"/>
      <c r="D212" s="273"/>
      <c r="E212" s="273"/>
      <c r="F212" s="272"/>
    </row>
    <row r="213" spans="2:6" ht="12" customHeight="1" x14ac:dyDescent="0.15">
      <c r="B213" s="274"/>
      <c r="C213" s="273"/>
      <c r="D213" s="273"/>
      <c r="E213" s="273"/>
      <c r="F213" s="272"/>
    </row>
    <row r="214" spans="2:6" ht="12" customHeight="1" x14ac:dyDescent="0.15">
      <c r="B214" s="274"/>
      <c r="C214" s="273"/>
      <c r="D214" s="273"/>
      <c r="E214" s="273"/>
      <c r="F214" s="272"/>
    </row>
    <row r="215" spans="2:6" ht="12" customHeight="1" x14ac:dyDescent="0.15">
      <c r="B215" s="274"/>
      <c r="C215" s="273"/>
      <c r="D215" s="273"/>
      <c r="E215" s="273"/>
      <c r="F215" s="272"/>
    </row>
    <row r="216" spans="2:6" ht="12" customHeight="1" x14ac:dyDescent="0.15">
      <c r="B216" s="274"/>
      <c r="C216" s="273"/>
      <c r="D216" s="273"/>
      <c r="E216" s="273"/>
      <c r="F216" s="272"/>
    </row>
    <row r="217" spans="2:6" ht="12" customHeight="1" x14ac:dyDescent="0.15">
      <c r="B217" s="274"/>
      <c r="C217" s="273"/>
      <c r="D217" s="273"/>
      <c r="E217" s="273"/>
      <c r="F217" s="272"/>
    </row>
    <row r="218" spans="2:6" ht="12" customHeight="1" x14ac:dyDescent="0.15">
      <c r="B218" s="274"/>
      <c r="C218" s="273"/>
      <c r="D218" s="273"/>
      <c r="E218" s="273"/>
      <c r="F218" s="272"/>
    </row>
    <row r="219" spans="2:6" ht="12" customHeight="1" x14ac:dyDescent="0.15">
      <c r="B219" s="274"/>
      <c r="C219" s="273"/>
      <c r="D219" s="273"/>
      <c r="E219" s="273"/>
      <c r="F219" s="272"/>
    </row>
    <row r="220" spans="2:6" ht="12" customHeight="1" x14ac:dyDescent="0.15">
      <c r="B220" s="274"/>
      <c r="C220" s="273"/>
      <c r="D220" s="273"/>
      <c r="E220" s="273"/>
      <c r="F220" s="272"/>
    </row>
    <row r="221" spans="2:6" ht="12" customHeight="1" x14ac:dyDescent="0.15">
      <c r="B221" s="274"/>
      <c r="C221" s="273"/>
      <c r="D221" s="273"/>
      <c r="E221" s="273"/>
      <c r="F221" s="272"/>
    </row>
    <row r="222" spans="2:6" ht="12" customHeight="1" x14ac:dyDescent="0.15">
      <c r="B222" s="274"/>
      <c r="C222" s="273"/>
      <c r="D222" s="273"/>
      <c r="E222" s="273"/>
      <c r="F222" s="272"/>
    </row>
    <row r="223" spans="2:6" ht="12" customHeight="1" x14ac:dyDescent="0.15">
      <c r="B223" s="274"/>
      <c r="C223" s="273"/>
      <c r="D223" s="273"/>
      <c r="E223" s="273"/>
      <c r="F223" s="272"/>
    </row>
    <row r="224" spans="2:6" ht="12" customHeight="1" x14ac:dyDescent="0.15">
      <c r="B224" s="274"/>
      <c r="C224" s="273"/>
      <c r="D224" s="273"/>
      <c r="E224" s="273"/>
      <c r="F224" s="272"/>
    </row>
    <row r="225" spans="2:6" ht="12" customHeight="1" x14ac:dyDescent="0.15">
      <c r="B225" s="274"/>
      <c r="C225" s="273"/>
      <c r="D225" s="273"/>
      <c r="E225" s="273"/>
      <c r="F225" s="272"/>
    </row>
    <row r="226" spans="2:6" ht="12" customHeight="1" x14ac:dyDescent="0.15">
      <c r="B226" s="274"/>
      <c r="C226" s="273"/>
      <c r="D226" s="273"/>
      <c r="E226" s="273"/>
      <c r="F226" s="272"/>
    </row>
    <row r="227" spans="2:6" ht="12" customHeight="1" x14ac:dyDescent="0.15">
      <c r="B227" s="274"/>
      <c r="C227" s="273"/>
      <c r="D227" s="273"/>
      <c r="E227" s="273"/>
      <c r="F227" s="272"/>
    </row>
    <row r="228" spans="2:6" ht="12" customHeight="1" x14ac:dyDescent="0.15">
      <c r="B228" s="274"/>
      <c r="C228" s="273"/>
      <c r="D228" s="273"/>
      <c r="E228" s="273"/>
      <c r="F228" s="272"/>
    </row>
    <row r="229" spans="2:6" ht="12" customHeight="1" x14ac:dyDescent="0.15">
      <c r="B229" s="274"/>
      <c r="C229" s="273"/>
      <c r="D229" s="273"/>
      <c r="E229" s="273"/>
      <c r="F229" s="272"/>
    </row>
    <row r="230" spans="2:6" ht="12" customHeight="1" x14ac:dyDescent="0.15">
      <c r="B230" s="274"/>
      <c r="C230" s="273"/>
      <c r="D230" s="273"/>
      <c r="E230" s="273"/>
      <c r="F230" s="272"/>
    </row>
    <row r="231" spans="2:6" ht="12" customHeight="1" x14ac:dyDescent="0.15">
      <c r="B231" s="274"/>
      <c r="C231" s="273"/>
      <c r="D231" s="273"/>
      <c r="E231" s="273"/>
      <c r="F231" s="272"/>
    </row>
    <row r="232" spans="2:6" ht="12" customHeight="1" x14ac:dyDescent="0.15">
      <c r="B232" s="274"/>
      <c r="C232" s="273"/>
      <c r="D232" s="273"/>
      <c r="E232" s="273"/>
      <c r="F232" s="272"/>
    </row>
    <row r="233" spans="2:6" ht="12" customHeight="1" x14ac:dyDescent="0.15">
      <c r="B233" s="274"/>
      <c r="C233" s="273"/>
      <c r="D233" s="273"/>
      <c r="E233" s="273"/>
      <c r="F233" s="272"/>
    </row>
    <row r="234" spans="2:6" ht="12" customHeight="1" x14ac:dyDescent="0.15">
      <c r="B234" s="274"/>
      <c r="C234" s="273"/>
      <c r="D234" s="273"/>
      <c r="E234" s="273"/>
      <c r="F234" s="272"/>
    </row>
    <row r="235" spans="2:6" ht="12" customHeight="1" x14ac:dyDescent="0.15">
      <c r="B235" s="274"/>
      <c r="C235" s="273"/>
      <c r="D235" s="273"/>
      <c r="E235" s="273"/>
      <c r="F235" s="272"/>
    </row>
    <row r="236" spans="2:6" ht="12" customHeight="1" x14ac:dyDescent="0.15">
      <c r="B236" s="274"/>
      <c r="C236" s="273"/>
      <c r="D236" s="273"/>
      <c r="E236" s="273"/>
      <c r="F236" s="272"/>
    </row>
    <row r="237" spans="2:6" ht="12" customHeight="1" x14ac:dyDescent="0.15">
      <c r="B237" s="274"/>
      <c r="C237" s="273"/>
      <c r="D237" s="273"/>
      <c r="E237" s="273"/>
      <c r="F237" s="272"/>
    </row>
    <row r="238" spans="2:6" ht="12" customHeight="1" x14ac:dyDescent="0.15">
      <c r="B238" s="274"/>
      <c r="C238" s="273"/>
      <c r="D238" s="273"/>
      <c r="E238" s="273"/>
      <c r="F238" s="272"/>
    </row>
    <row r="239" spans="2:6" ht="12" customHeight="1" x14ac:dyDescent="0.15">
      <c r="B239" s="274"/>
      <c r="C239" s="273"/>
      <c r="D239" s="273"/>
      <c r="E239" s="273"/>
      <c r="F239" s="272"/>
    </row>
    <row r="240" spans="2:6" ht="12" customHeight="1" x14ac:dyDescent="0.15">
      <c r="B240" s="274"/>
      <c r="C240" s="273"/>
      <c r="D240" s="273"/>
      <c r="E240" s="273"/>
      <c r="F240" s="272"/>
    </row>
    <row r="241" spans="2:6" ht="12" customHeight="1" x14ac:dyDescent="0.15">
      <c r="B241" s="274"/>
      <c r="C241" s="273"/>
      <c r="D241" s="273"/>
      <c r="E241" s="273"/>
      <c r="F241" s="272"/>
    </row>
    <row r="242" spans="2:6" ht="12" customHeight="1" x14ac:dyDescent="0.15">
      <c r="B242" s="274"/>
      <c r="C242" s="273"/>
      <c r="D242" s="273"/>
      <c r="E242" s="273"/>
      <c r="F242" s="272"/>
    </row>
    <row r="243" spans="2:6" ht="12" customHeight="1" x14ac:dyDescent="0.15">
      <c r="B243" s="274"/>
      <c r="C243" s="273"/>
      <c r="D243" s="273"/>
      <c r="E243" s="273"/>
      <c r="F243" s="272"/>
    </row>
    <row r="244" spans="2:6" ht="12" customHeight="1" x14ac:dyDescent="0.15">
      <c r="B244" s="274"/>
      <c r="C244" s="273"/>
      <c r="D244" s="273"/>
      <c r="E244" s="273"/>
      <c r="F244" s="272"/>
    </row>
    <row r="245" spans="2:6" ht="12" customHeight="1" x14ac:dyDescent="0.15">
      <c r="B245" s="274"/>
      <c r="C245" s="273"/>
      <c r="D245" s="273"/>
      <c r="E245" s="273"/>
      <c r="F245" s="272"/>
    </row>
    <row r="246" spans="2:6" ht="12" customHeight="1" x14ac:dyDescent="0.15">
      <c r="B246" s="274"/>
      <c r="C246" s="273"/>
      <c r="D246" s="273"/>
      <c r="E246" s="273"/>
      <c r="F246" s="272"/>
    </row>
    <row r="247" spans="2:6" ht="12" customHeight="1" x14ac:dyDescent="0.15">
      <c r="B247" s="274"/>
      <c r="C247" s="273"/>
      <c r="D247" s="273"/>
      <c r="E247" s="273"/>
      <c r="F247" s="272"/>
    </row>
    <row r="248" spans="2:6" ht="12" customHeight="1" x14ac:dyDescent="0.15">
      <c r="B248" s="274"/>
      <c r="C248" s="273"/>
      <c r="D248" s="273"/>
      <c r="E248" s="273"/>
      <c r="F248" s="272"/>
    </row>
    <row r="249" spans="2:6" ht="12" customHeight="1" x14ac:dyDescent="0.15">
      <c r="B249" s="274"/>
      <c r="C249" s="273"/>
      <c r="D249" s="273"/>
      <c r="E249" s="273"/>
      <c r="F249" s="272"/>
    </row>
    <row r="250" spans="2:6" ht="12" customHeight="1" x14ac:dyDescent="0.15">
      <c r="B250" s="274"/>
      <c r="C250" s="273"/>
      <c r="D250" s="273"/>
      <c r="E250" s="273"/>
      <c r="F250" s="272"/>
    </row>
    <row r="251" spans="2:6" ht="12" customHeight="1" x14ac:dyDescent="0.15">
      <c r="B251" s="274"/>
      <c r="C251" s="273"/>
      <c r="D251" s="273"/>
      <c r="E251" s="273"/>
      <c r="F251" s="272"/>
    </row>
    <row r="252" spans="2:6" ht="12" customHeight="1" x14ac:dyDescent="0.15">
      <c r="B252" s="274"/>
      <c r="C252" s="273"/>
      <c r="D252" s="273"/>
      <c r="E252" s="273"/>
      <c r="F252" s="272"/>
    </row>
    <row r="253" spans="2:6" ht="12" customHeight="1" x14ac:dyDescent="0.15">
      <c r="B253" s="274"/>
      <c r="C253" s="273"/>
      <c r="D253" s="273"/>
      <c r="E253" s="273"/>
      <c r="F253" s="272"/>
    </row>
    <row r="254" spans="2:6" ht="12" customHeight="1" x14ac:dyDescent="0.15">
      <c r="B254" s="274"/>
      <c r="C254" s="273"/>
      <c r="D254" s="273"/>
      <c r="E254" s="273"/>
      <c r="F254" s="272"/>
    </row>
    <row r="255" spans="2:6" ht="12" customHeight="1" x14ac:dyDescent="0.15">
      <c r="B255" s="274"/>
      <c r="C255" s="273"/>
      <c r="D255" s="273"/>
      <c r="E255" s="273"/>
      <c r="F255" s="272"/>
    </row>
    <row r="256" spans="2:6" ht="12" customHeight="1" x14ac:dyDescent="0.15">
      <c r="B256" s="274"/>
      <c r="C256" s="273"/>
      <c r="D256" s="273"/>
      <c r="E256" s="273"/>
      <c r="F256" s="272"/>
    </row>
    <row r="257" spans="2:6" ht="12" customHeight="1" x14ac:dyDescent="0.15">
      <c r="B257" s="274"/>
      <c r="C257" s="273"/>
      <c r="D257" s="273"/>
      <c r="E257" s="273"/>
      <c r="F257" s="272"/>
    </row>
    <row r="258" spans="2:6" ht="12" customHeight="1" x14ac:dyDescent="0.15">
      <c r="B258" s="274"/>
      <c r="C258" s="273"/>
      <c r="D258" s="273"/>
      <c r="E258" s="273"/>
      <c r="F258" s="272"/>
    </row>
    <row r="259" spans="2:6" ht="12" customHeight="1" x14ac:dyDescent="0.15">
      <c r="B259" s="274"/>
      <c r="C259" s="273"/>
      <c r="D259" s="273"/>
      <c r="E259" s="273"/>
      <c r="F259" s="272"/>
    </row>
    <row r="260" spans="2:6" ht="12" customHeight="1" x14ac:dyDescent="0.15">
      <c r="B260" s="274"/>
      <c r="C260" s="273"/>
      <c r="D260" s="273"/>
      <c r="E260" s="273"/>
      <c r="F260" s="272"/>
    </row>
    <row r="261" spans="2:6" ht="12" customHeight="1" x14ac:dyDescent="0.15">
      <c r="B261" s="274"/>
      <c r="C261" s="273"/>
      <c r="D261" s="273"/>
      <c r="E261" s="273"/>
      <c r="F261" s="272"/>
    </row>
    <row r="262" spans="2:6" ht="12" customHeight="1" x14ac:dyDescent="0.15">
      <c r="B262" s="274"/>
      <c r="C262" s="273"/>
      <c r="D262" s="273"/>
      <c r="E262" s="273"/>
      <c r="F262" s="272"/>
    </row>
    <row r="263" spans="2:6" ht="12" customHeight="1" x14ac:dyDescent="0.15">
      <c r="B263" s="274"/>
      <c r="C263" s="273"/>
      <c r="D263" s="273"/>
      <c r="E263" s="273"/>
      <c r="F263" s="272"/>
    </row>
    <row r="264" spans="2:6" ht="12" customHeight="1" x14ac:dyDescent="0.15">
      <c r="B264" s="274"/>
      <c r="C264" s="273"/>
      <c r="D264" s="273"/>
      <c r="E264" s="273"/>
      <c r="F264" s="272"/>
    </row>
    <row r="265" spans="2:6" ht="12" customHeight="1" x14ac:dyDescent="0.15">
      <c r="B265" s="274"/>
      <c r="C265" s="273"/>
      <c r="D265" s="273"/>
      <c r="E265" s="273"/>
      <c r="F265" s="272"/>
    </row>
    <row r="266" spans="2:6" ht="12" customHeight="1" x14ac:dyDescent="0.15">
      <c r="B266" s="274"/>
      <c r="C266" s="273"/>
      <c r="D266" s="273"/>
      <c r="E266" s="273"/>
      <c r="F266" s="272"/>
    </row>
    <row r="267" spans="2:6" ht="12" customHeight="1" x14ac:dyDescent="0.15">
      <c r="B267" s="274"/>
      <c r="C267" s="273"/>
      <c r="D267" s="273"/>
      <c r="E267" s="273"/>
      <c r="F267" s="272"/>
    </row>
    <row r="268" spans="2:6" ht="12" customHeight="1" x14ac:dyDescent="0.15">
      <c r="B268" s="274"/>
      <c r="C268" s="273"/>
      <c r="D268" s="273"/>
      <c r="E268" s="273"/>
      <c r="F268" s="272"/>
    </row>
    <row r="269" spans="2:6" ht="12" customHeight="1" x14ac:dyDescent="0.15">
      <c r="B269" s="274"/>
      <c r="C269" s="273"/>
      <c r="D269" s="273"/>
      <c r="E269" s="273"/>
      <c r="F269" s="272"/>
    </row>
    <row r="270" spans="2:6" ht="12" customHeight="1" x14ac:dyDescent="0.15">
      <c r="B270" s="274"/>
      <c r="C270" s="273"/>
      <c r="D270" s="273"/>
      <c r="E270" s="273"/>
      <c r="F270" s="272"/>
    </row>
    <row r="271" spans="2:6" ht="12" customHeight="1" x14ac:dyDescent="0.15">
      <c r="B271" s="274"/>
      <c r="C271" s="273"/>
      <c r="D271" s="273"/>
      <c r="E271" s="273"/>
      <c r="F271" s="272"/>
    </row>
    <row r="272" spans="2:6" ht="12" customHeight="1" x14ac:dyDescent="0.15">
      <c r="B272" s="274"/>
      <c r="C272" s="273"/>
      <c r="D272" s="273"/>
      <c r="E272" s="273"/>
      <c r="F272" s="272"/>
    </row>
    <row r="273" spans="2:6" ht="12" customHeight="1" x14ac:dyDescent="0.15">
      <c r="B273" s="274"/>
      <c r="C273" s="273"/>
      <c r="D273" s="273"/>
      <c r="E273" s="273"/>
      <c r="F273" s="272"/>
    </row>
    <row r="274" spans="2:6" ht="12" customHeight="1" x14ac:dyDescent="0.15">
      <c r="B274" s="274"/>
      <c r="C274" s="273"/>
      <c r="D274" s="273"/>
      <c r="E274" s="273"/>
      <c r="F274" s="272"/>
    </row>
    <row r="275" spans="2:6" ht="12" customHeight="1" x14ac:dyDescent="0.15">
      <c r="B275" s="274"/>
      <c r="C275" s="273"/>
      <c r="D275" s="273"/>
      <c r="E275" s="273"/>
      <c r="F275" s="272"/>
    </row>
    <row r="276" spans="2:6" ht="12" customHeight="1" x14ac:dyDescent="0.15">
      <c r="B276" s="274"/>
      <c r="C276" s="273"/>
      <c r="D276" s="273"/>
      <c r="E276" s="273"/>
      <c r="F276" s="272"/>
    </row>
    <row r="277" spans="2:6" ht="12" customHeight="1" x14ac:dyDescent="0.15">
      <c r="B277" s="274"/>
      <c r="C277" s="273"/>
      <c r="D277" s="273"/>
      <c r="E277" s="273"/>
      <c r="F277" s="272"/>
    </row>
    <row r="278" spans="2:6" ht="12" customHeight="1" x14ac:dyDescent="0.15">
      <c r="B278" s="274"/>
      <c r="C278" s="273"/>
      <c r="D278" s="273"/>
      <c r="E278" s="273"/>
      <c r="F278" s="272"/>
    </row>
    <row r="279" spans="2:6" ht="12" customHeight="1" x14ac:dyDescent="0.15">
      <c r="B279" s="274"/>
      <c r="C279" s="273"/>
      <c r="D279" s="273"/>
      <c r="E279" s="273"/>
      <c r="F279" s="272"/>
    </row>
    <row r="280" spans="2:6" ht="12" customHeight="1" x14ac:dyDescent="0.15">
      <c r="B280" s="274"/>
      <c r="C280" s="273"/>
      <c r="D280" s="273"/>
      <c r="E280" s="273"/>
      <c r="F280" s="272"/>
    </row>
    <row r="281" spans="2:6" ht="12" customHeight="1" x14ac:dyDescent="0.15">
      <c r="B281" s="274"/>
      <c r="C281" s="273"/>
      <c r="D281" s="273"/>
      <c r="E281" s="273"/>
      <c r="F281" s="272"/>
    </row>
    <row r="282" spans="2:6" ht="12" customHeight="1" x14ac:dyDescent="0.15">
      <c r="B282" s="274"/>
      <c r="C282" s="273"/>
      <c r="D282" s="273"/>
      <c r="E282" s="273"/>
      <c r="F282" s="272"/>
    </row>
    <row r="283" spans="2:6" ht="12" customHeight="1" x14ac:dyDescent="0.15">
      <c r="B283" s="274"/>
      <c r="C283" s="273"/>
      <c r="D283" s="273"/>
      <c r="E283" s="273"/>
      <c r="F283" s="272"/>
    </row>
    <row r="284" spans="2:6" ht="12" customHeight="1" x14ac:dyDescent="0.15">
      <c r="B284" s="274"/>
      <c r="C284" s="273"/>
      <c r="D284" s="273"/>
      <c r="E284" s="273"/>
      <c r="F284" s="272"/>
    </row>
    <row r="285" spans="2:6" ht="12" customHeight="1" x14ac:dyDescent="0.15">
      <c r="B285" s="274"/>
      <c r="C285" s="273"/>
      <c r="D285" s="273"/>
      <c r="E285" s="273"/>
      <c r="F285" s="272"/>
    </row>
    <row r="286" spans="2:6" ht="12" customHeight="1" x14ac:dyDescent="0.15">
      <c r="B286" s="274"/>
      <c r="C286" s="273"/>
      <c r="D286" s="273"/>
      <c r="E286" s="273"/>
      <c r="F286" s="272"/>
    </row>
    <row r="287" spans="2:6" ht="12" customHeight="1" x14ac:dyDescent="0.15">
      <c r="B287" s="274"/>
      <c r="C287" s="273"/>
      <c r="D287" s="273"/>
      <c r="E287" s="273"/>
      <c r="F287" s="272"/>
    </row>
    <row r="288" spans="2:6" ht="12" customHeight="1" x14ac:dyDescent="0.15">
      <c r="B288" s="274"/>
      <c r="C288" s="273"/>
      <c r="D288" s="273"/>
      <c r="E288" s="273"/>
      <c r="F288" s="272"/>
    </row>
    <row r="289" spans="2:6" ht="12" customHeight="1" x14ac:dyDescent="0.15">
      <c r="B289" s="274"/>
      <c r="C289" s="273"/>
      <c r="D289" s="273"/>
      <c r="E289" s="273"/>
      <c r="F289" s="272"/>
    </row>
    <row r="290" spans="2:6" ht="12" customHeight="1" x14ac:dyDescent="0.15">
      <c r="B290" s="274"/>
      <c r="C290" s="273"/>
      <c r="D290" s="273"/>
      <c r="E290" s="273"/>
      <c r="F290" s="272"/>
    </row>
    <row r="291" spans="2:6" ht="12" customHeight="1" x14ac:dyDescent="0.15">
      <c r="B291" s="274"/>
      <c r="C291" s="273"/>
      <c r="D291" s="273"/>
      <c r="E291" s="273"/>
      <c r="F291" s="272"/>
    </row>
    <row r="292" spans="2:6" ht="12" customHeight="1" x14ac:dyDescent="0.15">
      <c r="B292" s="274"/>
      <c r="C292" s="273"/>
      <c r="D292" s="273"/>
      <c r="E292" s="273"/>
      <c r="F292" s="272"/>
    </row>
    <row r="293" spans="2:6" ht="12" customHeight="1" x14ac:dyDescent="0.15">
      <c r="B293" s="274"/>
      <c r="C293" s="273"/>
      <c r="D293" s="273"/>
      <c r="E293" s="273"/>
      <c r="F293" s="272"/>
    </row>
    <row r="294" spans="2:6" ht="12" customHeight="1" x14ac:dyDescent="0.15">
      <c r="B294" s="274"/>
      <c r="C294" s="273"/>
      <c r="D294" s="273"/>
      <c r="E294" s="273"/>
      <c r="F294" s="272"/>
    </row>
    <row r="295" spans="2:6" ht="12" customHeight="1" x14ac:dyDescent="0.15">
      <c r="B295" s="274"/>
      <c r="C295" s="273"/>
      <c r="D295" s="273"/>
      <c r="E295" s="273"/>
      <c r="F295" s="272"/>
    </row>
    <row r="296" spans="2:6" ht="12" customHeight="1" x14ac:dyDescent="0.15">
      <c r="B296" s="274"/>
      <c r="C296" s="273"/>
      <c r="D296" s="273"/>
      <c r="E296" s="273"/>
      <c r="F296" s="272"/>
    </row>
    <row r="297" spans="2:6" ht="12" customHeight="1" x14ac:dyDescent="0.15">
      <c r="B297" s="274"/>
      <c r="C297" s="273"/>
      <c r="D297" s="273"/>
      <c r="E297" s="273"/>
      <c r="F297" s="272"/>
    </row>
    <row r="298" spans="2:6" ht="12" customHeight="1" x14ac:dyDescent="0.15">
      <c r="B298" s="274"/>
      <c r="C298" s="273"/>
      <c r="D298" s="273"/>
      <c r="E298" s="273"/>
      <c r="F298" s="272"/>
    </row>
    <row r="299" spans="2:6" ht="12" customHeight="1" x14ac:dyDescent="0.15">
      <c r="B299" s="274"/>
      <c r="C299" s="273"/>
      <c r="D299" s="273"/>
      <c r="E299" s="273"/>
      <c r="F299" s="272"/>
    </row>
    <row r="300" spans="2:6" ht="12" customHeight="1" x14ac:dyDescent="0.15">
      <c r="B300" s="274"/>
      <c r="C300" s="273"/>
      <c r="D300" s="273"/>
      <c r="E300" s="273"/>
      <c r="F300" s="272"/>
    </row>
    <row r="301" spans="2:6" ht="12" customHeight="1" x14ac:dyDescent="0.15">
      <c r="B301" s="274"/>
      <c r="C301" s="273"/>
      <c r="D301" s="273"/>
      <c r="E301" s="273"/>
      <c r="F301" s="272"/>
    </row>
    <row r="302" spans="2:6" ht="12" customHeight="1" x14ac:dyDescent="0.15">
      <c r="B302" s="274"/>
      <c r="C302" s="273"/>
      <c r="D302" s="273"/>
      <c r="E302" s="273"/>
      <c r="F302" s="272"/>
    </row>
    <row r="303" spans="2:6" ht="12" customHeight="1" x14ac:dyDescent="0.15">
      <c r="B303" s="274"/>
      <c r="C303" s="273"/>
      <c r="D303" s="273"/>
      <c r="E303" s="273"/>
      <c r="F303" s="272"/>
    </row>
    <row r="304" spans="2:6" ht="12" customHeight="1" x14ac:dyDescent="0.15">
      <c r="B304" s="274"/>
      <c r="C304" s="273"/>
      <c r="D304" s="273"/>
      <c r="E304" s="273"/>
      <c r="F304" s="272"/>
    </row>
    <row r="305" spans="2:6" ht="12" customHeight="1" x14ac:dyDescent="0.15">
      <c r="B305" s="274"/>
      <c r="C305" s="273"/>
      <c r="D305" s="273"/>
      <c r="E305" s="273"/>
      <c r="F305" s="272"/>
    </row>
    <row r="306" spans="2:6" ht="12" customHeight="1" x14ac:dyDescent="0.15">
      <c r="B306" s="274"/>
      <c r="C306" s="273"/>
      <c r="D306" s="273"/>
      <c r="E306" s="273"/>
      <c r="F306" s="272"/>
    </row>
    <row r="307" spans="2:6" ht="12" customHeight="1" x14ac:dyDescent="0.15">
      <c r="B307" s="274"/>
      <c r="C307" s="273"/>
      <c r="D307" s="273"/>
      <c r="E307" s="273"/>
      <c r="F307" s="272"/>
    </row>
    <row r="308" spans="2:6" ht="12" customHeight="1" x14ac:dyDescent="0.15">
      <c r="B308" s="274"/>
      <c r="C308" s="273"/>
      <c r="D308" s="273"/>
      <c r="E308" s="273"/>
      <c r="F308" s="272"/>
    </row>
    <row r="309" spans="2:6" ht="12" customHeight="1" x14ac:dyDescent="0.15">
      <c r="B309" s="274"/>
      <c r="C309" s="273"/>
      <c r="D309" s="273"/>
      <c r="E309" s="273"/>
      <c r="F309" s="272"/>
    </row>
    <row r="310" spans="2:6" ht="12" customHeight="1" x14ac:dyDescent="0.15">
      <c r="B310" s="274"/>
      <c r="C310" s="273"/>
      <c r="D310" s="273"/>
      <c r="E310" s="273"/>
      <c r="F310" s="272"/>
    </row>
    <row r="311" spans="2:6" ht="12" customHeight="1" x14ac:dyDescent="0.15">
      <c r="B311" s="274"/>
      <c r="C311" s="273"/>
      <c r="D311" s="273"/>
      <c r="E311" s="273"/>
      <c r="F311" s="272"/>
    </row>
    <row r="312" spans="2:6" ht="12" customHeight="1" x14ac:dyDescent="0.15">
      <c r="B312" s="274"/>
      <c r="C312" s="273"/>
      <c r="D312" s="273"/>
      <c r="E312" s="273"/>
      <c r="F312" s="272"/>
    </row>
    <row r="313" spans="2:6" ht="12" customHeight="1" x14ac:dyDescent="0.15">
      <c r="B313" s="274"/>
      <c r="C313" s="273"/>
      <c r="D313" s="273"/>
      <c r="E313" s="273"/>
      <c r="F313" s="272"/>
    </row>
    <row r="314" spans="2:6" ht="12" customHeight="1" x14ac:dyDescent="0.15">
      <c r="B314" s="274"/>
      <c r="C314" s="273"/>
      <c r="D314" s="273"/>
      <c r="E314" s="273"/>
      <c r="F314" s="272"/>
    </row>
    <row r="315" spans="2:6" ht="12" customHeight="1" x14ac:dyDescent="0.15">
      <c r="B315" s="274"/>
      <c r="C315" s="273"/>
      <c r="D315" s="273"/>
      <c r="E315" s="273"/>
      <c r="F315" s="272"/>
    </row>
    <row r="316" spans="2:6" ht="12" customHeight="1" x14ac:dyDescent="0.15">
      <c r="B316" s="274"/>
      <c r="C316" s="273"/>
      <c r="D316" s="273"/>
      <c r="E316" s="273"/>
      <c r="F316" s="272"/>
    </row>
    <row r="317" spans="2:6" ht="12" customHeight="1" x14ac:dyDescent="0.15">
      <c r="B317" s="274"/>
      <c r="C317" s="273"/>
      <c r="D317" s="273"/>
      <c r="E317" s="273"/>
      <c r="F317" s="272"/>
    </row>
    <row r="318" spans="2:6" ht="12" customHeight="1" x14ac:dyDescent="0.15">
      <c r="B318" s="274"/>
      <c r="C318" s="273"/>
      <c r="D318" s="273"/>
      <c r="E318" s="273"/>
      <c r="F318" s="272"/>
    </row>
    <row r="319" spans="2:6" ht="12" customHeight="1" x14ac:dyDescent="0.15">
      <c r="B319" s="274"/>
      <c r="C319" s="273"/>
      <c r="D319" s="273"/>
      <c r="E319" s="273"/>
      <c r="F319" s="272"/>
    </row>
    <row r="320" spans="2:6" ht="12" customHeight="1" x14ac:dyDescent="0.15">
      <c r="B320" s="274"/>
      <c r="C320" s="273"/>
      <c r="D320" s="273"/>
      <c r="E320" s="273"/>
      <c r="F320" s="272"/>
    </row>
    <row r="321" spans="2:6" ht="12" customHeight="1" x14ac:dyDescent="0.15">
      <c r="B321" s="274"/>
      <c r="C321" s="273"/>
      <c r="D321" s="273"/>
      <c r="E321" s="273"/>
      <c r="F321" s="272"/>
    </row>
    <row r="322" spans="2:6" ht="12" customHeight="1" x14ac:dyDescent="0.15">
      <c r="B322" s="274"/>
      <c r="C322" s="273"/>
      <c r="D322" s="273"/>
      <c r="E322" s="273"/>
      <c r="F322" s="272"/>
    </row>
    <row r="323" spans="2:6" ht="12" customHeight="1" x14ac:dyDescent="0.15">
      <c r="B323" s="274"/>
      <c r="C323" s="273"/>
      <c r="D323" s="273"/>
      <c r="E323" s="273"/>
      <c r="F323" s="272"/>
    </row>
    <row r="324" spans="2:6" ht="12" customHeight="1" x14ac:dyDescent="0.15">
      <c r="B324" s="274"/>
      <c r="C324" s="273"/>
      <c r="D324" s="273"/>
      <c r="E324" s="273"/>
      <c r="F324" s="272"/>
    </row>
    <row r="325" spans="2:6" ht="12" customHeight="1" x14ac:dyDescent="0.15">
      <c r="B325" s="274"/>
      <c r="C325" s="273"/>
      <c r="D325" s="273"/>
      <c r="E325" s="273"/>
      <c r="F325" s="272"/>
    </row>
    <row r="326" spans="2:6" ht="12" customHeight="1" x14ac:dyDescent="0.15">
      <c r="B326" s="274"/>
      <c r="C326" s="273"/>
      <c r="D326" s="273"/>
      <c r="E326" s="273"/>
      <c r="F326" s="272"/>
    </row>
    <row r="327" spans="2:6" ht="12" customHeight="1" x14ac:dyDescent="0.15">
      <c r="B327" s="274"/>
      <c r="C327" s="273"/>
      <c r="D327" s="273"/>
      <c r="E327" s="273"/>
      <c r="F327" s="272"/>
    </row>
    <row r="328" spans="2:6" ht="12" customHeight="1" x14ac:dyDescent="0.15">
      <c r="B328" s="274"/>
      <c r="C328" s="273"/>
      <c r="D328" s="273"/>
      <c r="E328" s="273"/>
      <c r="F328" s="272"/>
    </row>
    <row r="329" spans="2:6" ht="12" customHeight="1" x14ac:dyDescent="0.15">
      <c r="B329" s="274"/>
      <c r="C329" s="273"/>
      <c r="D329" s="273"/>
      <c r="E329" s="273"/>
      <c r="F329" s="272"/>
    </row>
    <row r="330" spans="2:6" ht="12" customHeight="1" x14ac:dyDescent="0.15">
      <c r="B330" s="274"/>
      <c r="C330" s="273"/>
      <c r="D330" s="273"/>
      <c r="E330" s="273"/>
      <c r="F330" s="272"/>
    </row>
    <row r="331" spans="2:6" ht="12" customHeight="1" x14ac:dyDescent="0.15">
      <c r="B331" s="274"/>
      <c r="C331" s="273"/>
      <c r="D331" s="273"/>
      <c r="E331" s="273"/>
      <c r="F331" s="272"/>
    </row>
    <row r="332" spans="2:6" ht="12" customHeight="1" x14ac:dyDescent="0.15">
      <c r="B332" s="274"/>
      <c r="C332" s="273"/>
      <c r="D332" s="273"/>
      <c r="E332" s="273"/>
      <c r="F332" s="272"/>
    </row>
    <row r="333" spans="2:6" ht="12" customHeight="1" x14ac:dyDescent="0.15">
      <c r="B333" s="274"/>
      <c r="C333" s="273"/>
      <c r="D333" s="273"/>
      <c r="E333" s="273"/>
      <c r="F333" s="272"/>
    </row>
    <row r="334" spans="2:6" ht="12" customHeight="1" x14ac:dyDescent="0.15">
      <c r="B334" s="274"/>
      <c r="C334" s="273"/>
      <c r="D334" s="273"/>
      <c r="E334" s="273"/>
      <c r="F334" s="272"/>
    </row>
    <row r="335" spans="2:6" ht="12" customHeight="1" x14ac:dyDescent="0.15">
      <c r="B335" s="274"/>
      <c r="C335" s="273"/>
      <c r="D335" s="273"/>
      <c r="E335" s="273"/>
      <c r="F335" s="272"/>
    </row>
    <row r="336" spans="2:6" ht="12" customHeight="1" x14ac:dyDescent="0.15">
      <c r="B336" s="274"/>
      <c r="C336" s="273"/>
      <c r="D336" s="273"/>
      <c r="E336" s="273"/>
      <c r="F336" s="272"/>
    </row>
    <row r="337" spans="2:6" ht="12" customHeight="1" x14ac:dyDescent="0.15">
      <c r="B337" s="274"/>
      <c r="C337" s="273"/>
      <c r="D337" s="273"/>
      <c r="E337" s="273"/>
      <c r="F337" s="272"/>
    </row>
    <row r="338" spans="2:6" ht="12" customHeight="1" x14ac:dyDescent="0.15">
      <c r="B338" s="274"/>
      <c r="C338" s="273"/>
      <c r="D338" s="273"/>
      <c r="E338" s="273"/>
      <c r="F338" s="272"/>
    </row>
    <row r="339" spans="2:6" ht="12" customHeight="1" x14ac:dyDescent="0.15">
      <c r="B339" s="274"/>
      <c r="C339" s="273"/>
      <c r="D339" s="273"/>
      <c r="E339" s="273"/>
      <c r="F339" s="272"/>
    </row>
    <row r="340" spans="2:6" ht="12" customHeight="1" x14ac:dyDescent="0.15">
      <c r="B340" s="274"/>
      <c r="C340" s="273"/>
      <c r="D340" s="273"/>
      <c r="E340" s="273"/>
      <c r="F340" s="272"/>
    </row>
    <row r="341" spans="2:6" ht="12" customHeight="1" x14ac:dyDescent="0.15">
      <c r="B341" s="274"/>
      <c r="C341" s="273"/>
      <c r="D341" s="273"/>
      <c r="E341" s="273"/>
      <c r="F341" s="272"/>
    </row>
    <row r="342" spans="2:6" ht="12" customHeight="1" x14ac:dyDescent="0.15">
      <c r="B342" s="274"/>
      <c r="C342" s="273"/>
      <c r="D342" s="273"/>
      <c r="E342" s="273"/>
      <c r="F342" s="272"/>
    </row>
    <row r="343" spans="2:6" ht="12" customHeight="1" x14ac:dyDescent="0.15">
      <c r="B343" s="274"/>
      <c r="C343" s="273"/>
      <c r="D343" s="273"/>
      <c r="E343" s="273"/>
      <c r="F343" s="272"/>
    </row>
    <row r="344" spans="2:6" ht="12" customHeight="1" x14ac:dyDescent="0.15">
      <c r="B344" s="274"/>
      <c r="C344" s="273"/>
      <c r="D344" s="273"/>
      <c r="E344" s="273"/>
      <c r="F344" s="272"/>
    </row>
    <row r="345" spans="2:6" ht="12" customHeight="1" x14ac:dyDescent="0.15">
      <c r="B345" s="274"/>
      <c r="C345" s="273"/>
      <c r="D345" s="273"/>
      <c r="E345" s="273"/>
      <c r="F345" s="272"/>
    </row>
    <row r="346" spans="2:6" ht="12" customHeight="1" x14ac:dyDescent="0.15">
      <c r="B346" s="274"/>
      <c r="C346" s="273"/>
      <c r="D346" s="273"/>
      <c r="E346" s="273"/>
      <c r="F346" s="272"/>
    </row>
    <row r="347" spans="2:6" ht="12" customHeight="1" x14ac:dyDescent="0.15">
      <c r="B347" s="274"/>
      <c r="C347" s="273"/>
      <c r="D347" s="273"/>
      <c r="E347" s="273"/>
      <c r="F347" s="272"/>
    </row>
    <row r="348" spans="2:6" ht="12" customHeight="1" x14ac:dyDescent="0.15">
      <c r="B348" s="274"/>
      <c r="C348" s="273"/>
      <c r="D348" s="273"/>
      <c r="E348" s="273"/>
      <c r="F348" s="272"/>
    </row>
    <row r="349" spans="2:6" ht="12" customHeight="1" x14ac:dyDescent="0.15">
      <c r="B349" s="274"/>
      <c r="C349" s="273"/>
      <c r="D349" s="273"/>
      <c r="E349" s="273"/>
      <c r="F349" s="272"/>
    </row>
    <row r="350" spans="2:6" ht="12" customHeight="1" x14ac:dyDescent="0.15">
      <c r="B350" s="274"/>
      <c r="C350" s="273"/>
      <c r="D350" s="273"/>
      <c r="E350" s="273"/>
      <c r="F350" s="272"/>
    </row>
    <row r="351" spans="2:6" ht="12" customHeight="1" x14ac:dyDescent="0.15">
      <c r="B351" s="274"/>
      <c r="C351" s="273"/>
      <c r="D351" s="273"/>
      <c r="E351" s="273"/>
      <c r="F351" s="272"/>
    </row>
    <row r="352" spans="2:6" ht="12" customHeight="1" x14ac:dyDescent="0.15">
      <c r="B352" s="274"/>
      <c r="C352" s="273"/>
      <c r="D352" s="273"/>
      <c r="E352" s="273"/>
      <c r="F352" s="272"/>
    </row>
    <row r="353" spans="2:6" ht="12" customHeight="1" x14ac:dyDescent="0.15">
      <c r="B353" s="274"/>
      <c r="C353" s="273"/>
      <c r="D353" s="273"/>
      <c r="E353" s="273"/>
      <c r="F353" s="272"/>
    </row>
    <row r="354" spans="2:6" ht="12" customHeight="1" x14ac:dyDescent="0.15">
      <c r="B354" s="274"/>
      <c r="C354" s="273"/>
      <c r="D354" s="273"/>
      <c r="E354" s="273"/>
      <c r="F354" s="272"/>
    </row>
    <row r="355" spans="2:6" ht="12" customHeight="1" x14ac:dyDescent="0.15">
      <c r="B355" s="274"/>
      <c r="C355" s="273"/>
      <c r="D355" s="273"/>
      <c r="E355" s="273"/>
      <c r="F355" s="272"/>
    </row>
    <row r="356" spans="2:6" ht="12" customHeight="1" x14ac:dyDescent="0.15">
      <c r="B356" s="274"/>
      <c r="C356" s="273"/>
      <c r="D356" s="273"/>
      <c r="E356" s="273"/>
      <c r="F356" s="272"/>
    </row>
    <row r="357" spans="2:6" ht="12" customHeight="1" x14ac:dyDescent="0.15">
      <c r="B357" s="274"/>
      <c r="C357" s="273"/>
      <c r="D357" s="273"/>
      <c r="E357" s="273"/>
      <c r="F357" s="272"/>
    </row>
    <row r="358" spans="2:6" ht="12" customHeight="1" x14ac:dyDescent="0.15">
      <c r="B358" s="274"/>
      <c r="C358" s="273"/>
      <c r="D358" s="273"/>
      <c r="E358" s="273"/>
      <c r="F358" s="272"/>
    </row>
    <row r="359" spans="2:6" ht="12" customHeight="1" x14ac:dyDescent="0.15">
      <c r="B359" s="274"/>
      <c r="C359" s="273"/>
      <c r="D359" s="273"/>
      <c r="E359" s="273"/>
      <c r="F359" s="272"/>
    </row>
    <row r="360" spans="2:6" ht="12" customHeight="1" x14ac:dyDescent="0.15">
      <c r="B360" s="274"/>
      <c r="C360" s="273"/>
      <c r="D360" s="273"/>
      <c r="E360" s="273"/>
      <c r="F360" s="272"/>
    </row>
    <row r="361" spans="2:6" ht="12" customHeight="1" x14ac:dyDescent="0.15">
      <c r="B361" s="274"/>
      <c r="C361" s="273"/>
      <c r="D361" s="273"/>
      <c r="E361" s="273"/>
      <c r="F361" s="272"/>
    </row>
    <row r="362" spans="2:6" ht="12" customHeight="1" x14ac:dyDescent="0.15">
      <c r="B362" s="274"/>
      <c r="C362" s="273"/>
      <c r="D362" s="273"/>
      <c r="E362" s="273"/>
      <c r="F362" s="272"/>
    </row>
    <row r="363" spans="2:6" ht="12" customHeight="1" x14ac:dyDescent="0.15">
      <c r="B363" s="274"/>
      <c r="C363" s="273"/>
      <c r="D363" s="273"/>
      <c r="E363" s="273"/>
      <c r="F363" s="272"/>
    </row>
    <row r="364" spans="2:6" ht="12" customHeight="1" x14ac:dyDescent="0.15">
      <c r="B364" s="274"/>
      <c r="C364" s="273"/>
      <c r="D364" s="273"/>
      <c r="E364" s="273"/>
      <c r="F364" s="272"/>
    </row>
    <row r="365" spans="2:6" ht="12" customHeight="1" x14ac:dyDescent="0.15">
      <c r="B365" s="274"/>
      <c r="C365" s="273"/>
      <c r="D365" s="273"/>
      <c r="E365" s="273"/>
      <c r="F365" s="272"/>
    </row>
    <row r="366" spans="2:6" ht="12" customHeight="1" x14ac:dyDescent="0.15">
      <c r="B366" s="274"/>
      <c r="C366" s="273"/>
      <c r="D366" s="273"/>
      <c r="E366" s="273"/>
      <c r="F366" s="272"/>
    </row>
    <row r="367" spans="2:6" ht="12" customHeight="1" x14ac:dyDescent="0.15">
      <c r="B367" s="274"/>
      <c r="C367" s="273"/>
      <c r="D367" s="273"/>
      <c r="E367" s="273"/>
      <c r="F367" s="272"/>
    </row>
    <row r="368" spans="2:6" ht="12" customHeight="1" x14ac:dyDescent="0.15">
      <c r="B368" s="274"/>
      <c r="C368" s="273"/>
      <c r="D368" s="273"/>
      <c r="E368" s="273"/>
      <c r="F368" s="272"/>
    </row>
    <row r="369" spans="2:6" ht="12" customHeight="1" x14ac:dyDescent="0.15">
      <c r="B369" s="274"/>
      <c r="C369" s="273"/>
      <c r="D369" s="273"/>
      <c r="E369" s="273"/>
      <c r="F369" s="272"/>
    </row>
    <row r="370" spans="2:6" ht="12" customHeight="1" x14ac:dyDescent="0.15">
      <c r="B370" s="274"/>
      <c r="C370" s="273"/>
      <c r="D370" s="273"/>
      <c r="E370" s="273"/>
      <c r="F370" s="272"/>
    </row>
    <row r="371" spans="2:6" ht="12" customHeight="1" x14ac:dyDescent="0.15">
      <c r="B371" s="274"/>
      <c r="C371" s="273"/>
      <c r="D371" s="273"/>
      <c r="E371" s="273"/>
      <c r="F371" s="272"/>
    </row>
    <row r="372" spans="2:6" ht="12" customHeight="1" x14ac:dyDescent="0.15">
      <c r="B372" s="274"/>
      <c r="C372" s="273"/>
      <c r="D372" s="273"/>
      <c r="E372" s="273"/>
      <c r="F372" s="272"/>
    </row>
    <row r="373" spans="2:6" ht="12" customHeight="1" x14ac:dyDescent="0.15">
      <c r="B373" s="274"/>
      <c r="C373" s="273"/>
      <c r="D373" s="273"/>
      <c r="E373" s="273"/>
      <c r="F373" s="272"/>
    </row>
    <row r="374" spans="2:6" ht="12" customHeight="1" x14ac:dyDescent="0.15">
      <c r="B374" s="274"/>
      <c r="C374" s="273"/>
      <c r="D374" s="273"/>
      <c r="E374" s="273"/>
      <c r="F374" s="272"/>
    </row>
    <row r="375" spans="2:6" ht="12" customHeight="1" x14ac:dyDescent="0.15">
      <c r="B375" s="274"/>
      <c r="C375" s="273"/>
      <c r="D375" s="273"/>
      <c r="E375" s="273"/>
      <c r="F375" s="272"/>
    </row>
    <row r="376" spans="2:6" ht="12" customHeight="1" x14ac:dyDescent="0.15">
      <c r="B376" s="274"/>
      <c r="C376" s="273"/>
      <c r="D376" s="273"/>
      <c r="E376" s="273"/>
      <c r="F376" s="272"/>
    </row>
    <row r="377" spans="2:6" ht="12" customHeight="1" x14ac:dyDescent="0.15">
      <c r="B377" s="274"/>
      <c r="C377" s="273"/>
      <c r="D377" s="273"/>
      <c r="E377" s="273"/>
      <c r="F377" s="272"/>
    </row>
    <row r="378" spans="2:6" ht="12" customHeight="1" x14ac:dyDescent="0.15">
      <c r="B378" s="274"/>
      <c r="C378" s="273"/>
      <c r="D378" s="273"/>
      <c r="E378" s="273"/>
      <c r="F378" s="272"/>
    </row>
    <row r="379" spans="2:6" ht="12" customHeight="1" x14ac:dyDescent="0.15">
      <c r="B379" s="274"/>
      <c r="C379" s="273"/>
      <c r="D379" s="273"/>
      <c r="E379" s="273"/>
      <c r="F379" s="272"/>
    </row>
    <row r="380" spans="2:6" ht="12" customHeight="1" x14ac:dyDescent="0.15">
      <c r="B380" s="274"/>
      <c r="C380" s="273"/>
      <c r="D380" s="273"/>
      <c r="E380" s="273"/>
      <c r="F380" s="272"/>
    </row>
    <row r="381" spans="2:6" ht="12" customHeight="1" x14ac:dyDescent="0.15">
      <c r="B381" s="274"/>
      <c r="C381" s="273"/>
      <c r="D381" s="273"/>
      <c r="E381" s="273"/>
      <c r="F381" s="272"/>
    </row>
    <row r="382" spans="2:6" ht="12" customHeight="1" x14ac:dyDescent="0.15">
      <c r="B382" s="274"/>
      <c r="C382" s="273"/>
      <c r="D382" s="273"/>
      <c r="E382" s="273"/>
      <c r="F382" s="272"/>
    </row>
    <row r="383" spans="2:6" ht="12" customHeight="1" x14ac:dyDescent="0.15">
      <c r="B383" s="274"/>
      <c r="C383" s="273"/>
      <c r="D383" s="273"/>
      <c r="E383" s="273"/>
      <c r="F383" s="272"/>
    </row>
    <row r="384" spans="2:6" ht="12" customHeight="1" x14ac:dyDescent="0.15">
      <c r="B384" s="274"/>
      <c r="C384" s="273"/>
      <c r="D384" s="273"/>
      <c r="E384" s="273"/>
      <c r="F384" s="272"/>
    </row>
    <row r="385" spans="2:6" ht="12" customHeight="1" x14ac:dyDescent="0.15">
      <c r="B385" s="274"/>
      <c r="C385" s="273"/>
      <c r="D385" s="273"/>
      <c r="E385" s="273"/>
      <c r="F385" s="272"/>
    </row>
    <row r="386" spans="2:6" ht="12" customHeight="1" x14ac:dyDescent="0.15">
      <c r="B386" s="274"/>
      <c r="C386" s="273"/>
      <c r="D386" s="273"/>
      <c r="E386" s="273"/>
      <c r="F386" s="272"/>
    </row>
    <row r="387" spans="2:6" ht="12" customHeight="1" x14ac:dyDescent="0.15">
      <c r="B387" s="274"/>
      <c r="C387" s="273"/>
      <c r="D387" s="273"/>
      <c r="E387" s="273"/>
      <c r="F387" s="272"/>
    </row>
    <row r="388" spans="2:6" ht="12" customHeight="1" x14ac:dyDescent="0.15">
      <c r="B388" s="274"/>
      <c r="C388" s="273"/>
      <c r="D388" s="273"/>
      <c r="E388" s="273"/>
      <c r="F388" s="272"/>
    </row>
    <row r="389" spans="2:6" ht="12" customHeight="1" x14ac:dyDescent="0.15">
      <c r="B389" s="274"/>
      <c r="C389" s="273"/>
      <c r="D389" s="273"/>
      <c r="E389" s="273"/>
      <c r="F389" s="272"/>
    </row>
    <row r="390" spans="2:6" ht="12" customHeight="1" x14ac:dyDescent="0.15">
      <c r="B390" s="274"/>
      <c r="C390" s="273"/>
      <c r="D390" s="273"/>
      <c r="E390" s="273"/>
      <c r="F390" s="272"/>
    </row>
    <row r="391" spans="2:6" ht="12" customHeight="1" x14ac:dyDescent="0.15">
      <c r="B391" s="274"/>
      <c r="C391" s="273"/>
      <c r="D391" s="273"/>
      <c r="E391" s="273"/>
      <c r="F391" s="272"/>
    </row>
    <row r="392" spans="2:6" ht="12" customHeight="1" x14ac:dyDescent="0.15">
      <c r="B392" s="274"/>
      <c r="C392" s="273"/>
      <c r="D392" s="273"/>
      <c r="E392" s="273"/>
      <c r="F392" s="272"/>
    </row>
    <row r="393" spans="2:6" ht="12" customHeight="1" x14ac:dyDescent="0.15">
      <c r="B393" s="274"/>
      <c r="C393" s="273"/>
      <c r="D393" s="273"/>
      <c r="E393" s="273"/>
      <c r="F393" s="272"/>
    </row>
    <row r="394" spans="2:6" ht="12" customHeight="1" x14ac:dyDescent="0.15">
      <c r="B394" s="274"/>
      <c r="C394" s="273"/>
      <c r="D394" s="273"/>
      <c r="E394" s="273"/>
      <c r="F394" s="272"/>
    </row>
    <row r="395" spans="2:6" ht="12" customHeight="1" x14ac:dyDescent="0.15">
      <c r="B395" s="274"/>
      <c r="C395" s="273"/>
      <c r="D395" s="273"/>
      <c r="E395" s="273"/>
      <c r="F395" s="272"/>
    </row>
    <row r="396" spans="2:6" ht="12" customHeight="1" x14ac:dyDescent="0.15">
      <c r="B396" s="274"/>
      <c r="C396" s="273"/>
      <c r="D396" s="273"/>
      <c r="E396" s="273"/>
      <c r="F396" s="272"/>
    </row>
    <row r="397" spans="2:6" ht="12" customHeight="1" x14ac:dyDescent="0.15">
      <c r="B397" s="274"/>
      <c r="C397" s="273"/>
      <c r="D397" s="273"/>
      <c r="E397" s="273"/>
      <c r="F397" s="272"/>
    </row>
    <row r="398" spans="2:6" ht="12" customHeight="1" x14ac:dyDescent="0.15">
      <c r="B398" s="274"/>
      <c r="C398" s="273"/>
      <c r="D398" s="273"/>
      <c r="E398" s="273"/>
      <c r="F398" s="272"/>
    </row>
    <row r="399" spans="2:6" ht="12" customHeight="1" x14ac:dyDescent="0.15">
      <c r="B399" s="274"/>
      <c r="C399" s="273"/>
      <c r="D399" s="273"/>
      <c r="E399" s="273"/>
      <c r="F399" s="272"/>
    </row>
    <row r="400" spans="2:6" ht="12" customHeight="1" x14ac:dyDescent="0.15">
      <c r="B400" s="274"/>
      <c r="C400" s="273"/>
      <c r="D400" s="273"/>
      <c r="E400" s="273"/>
      <c r="F400" s="272"/>
    </row>
    <row r="401" spans="2:6" ht="12" customHeight="1" x14ac:dyDescent="0.15">
      <c r="B401" s="274"/>
      <c r="C401" s="273"/>
      <c r="D401" s="273"/>
      <c r="E401" s="273"/>
      <c r="F401" s="272"/>
    </row>
    <row r="402" spans="2:6" ht="12" customHeight="1" x14ac:dyDescent="0.15">
      <c r="B402" s="274"/>
      <c r="C402" s="273"/>
      <c r="D402" s="273"/>
      <c r="E402" s="273"/>
      <c r="F402" s="272"/>
    </row>
    <row r="403" spans="2:6" ht="12" customHeight="1" x14ac:dyDescent="0.15">
      <c r="B403" s="274"/>
      <c r="C403" s="273"/>
      <c r="D403" s="273"/>
      <c r="E403" s="273"/>
      <c r="F403" s="272"/>
    </row>
    <row r="404" spans="2:6" ht="12" customHeight="1" x14ac:dyDescent="0.15">
      <c r="B404" s="274"/>
      <c r="C404" s="273"/>
      <c r="D404" s="273"/>
      <c r="E404" s="273"/>
      <c r="F404" s="272"/>
    </row>
    <row r="405" spans="2:6" ht="12" customHeight="1" x14ac:dyDescent="0.15">
      <c r="B405" s="274"/>
      <c r="C405" s="273"/>
      <c r="D405" s="273"/>
      <c r="E405" s="273"/>
      <c r="F405" s="272"/>
    </row>
    <row r="406" spans="2:6" ht="12" customHeight="1" x14ac:dyDescent="0.15">
      <c r="B406" s="274"/>
      <c r="C406" s="273"/>
      <c r="D406" s="273"/>
      <c r="E406" s="273"/>
      <c r="F406" s="272"/>
    </row>
    <row r="407" spans="2:6" ht="12" customHeight="1" x14ac:dyDescent="0.15">
      <c r="B407" s="274"/>
      <c r="C407" s="273"/>
      <c r="D407" s="273"/>
      <c r="E407" s="273"/>
      <c r="F407" s="272"/>
    </row>
    <row r="408" spans="2:6" ht="12" customHeight="1" x14ac:dyDescent="0.15">
      <c r="B408" s="274"/>
      <c r="C408" s="273"/>
      <c r="D408" s="273"/>
      <c r="E408" s="273"/>
      <c r="F408" s="272"/>
    </row>
    <row r="409" spans="2:6" ht="12" customHeight="1" x14ac:dyDescent="0.15">
      <c r="B409" s="274"/>
      <c r="C409" s="273"/>
      <c r="D409" s="273"/>
      <c r="E409" s="273"/>
      <c r="F409" s="272"/>
    </row>
    <row r="410" spans="2:6" ht="12" customHeight="1" x14ac:dyDescent="0.15">
      <c r="B410" s="274"/>
      <c r="C410" s="273"/>
      <c r="D410" s="273"/>
      <c r="E410" s="273"/>
      <c r="F410" s="272"/>
    </row>
    <row r="411" spans="2:6" ht="12" customHeight="1" x14ac:dyDescent="0.15">
      <c r="B411" s="274"/>
      <c r="C411" s="273"/>
      <c r="D411" s="273"/>
      <c r="E411" s="273"/>
      <c r="F411" s="272"/>
    </row>
    <row r="412" spans="2:6" ht="12" customHeight="1" x14ac:dyDescent="0.15">
      <c r="B412" s="274"/>
      <c r="C412" s="273"/>
      <c r="D412" s="273"/>
      <c r="E412" s="273"/>
      <c r="F412" s="272"/>
    </row>
    <row r="413" spans="2:6" ht="12" customHeight="1" x14ac:dyDescent="0.15">
      <c r="B413" s="274"/>
      <c r="C413" s="273"/>
      <c r="D413" s="273"/>
      <c r="E413" s="273"/>
      <c r="F413" s="272"/>
    </row>
    <row r="414" spans="2:6" ht="12" customHeight="1" x14ac:dyDescent="0.15">
      <c r="B414" s="274"/>
      <c r="C414" s="273"/>
      <c r="D414" s="273"/>
      <c r="E414" s="273"/>
      <c r="F414" s="272"/>
    </row>
    <row r="415" spans="2:6" ht="12" customHeight="1" x14ac:dyDescent="0.15">
      <c r="B415" s="274"/>
      <c r="C415" s="273"/>
      <c r="D415" s="273"/>
      <c r="E415" s="273"/>
      <c r="F415" s="272"/>
    </row>
    <row r="416" spans="2:6" ht="12" customHeight="1" x14ac:dyDescent="0.15">
      <c r="B416" s="274"/>
      <c r="C416" s="273"/>
      <c r="D416" s="273"/>
      <c r="E416" s="273"/>
      <c r="F416" s="272"/>
    </row>
    <row r="417" spans="2:6" ht="12" customHeight="1" x14ac:dyDescent="0.15">
      <c r="B417" s="274"/>
      <c r="C417" s="273"/>
      <c r="D417" s="273"/>
      <c r="E417" s="273"/>
      <c r="F417" s="272"/>
    </row>
    <row r="418" spans="2:6" ht="12" customHeight="1" x14ac:dyDescent="0.15">
      <c r="B418" s="274"/>
      <c r="C418" s="273"/>
      <c r="D418" s="273"/>
      <c r="E418" s="273"/>
      <c r="F418" s="272"/>
    </row>
    <row r="419" spans="2:6" ht="12" customHeight="1" x14ac:dyDescent="0.15">
      <c r="B419" s="274"/>
      <c r="C419" s="273"/>
      <c r="D419" s="273"/>
      <c r="E419" s="273"/>
      <c r="F419" s="272"/>
    </row>
    <row r="420" spans="2:6" ht="12" customHeight="1" x14ac:dyDescent="0.15">
      <c r="B420" s="274"/>
      <c r="C420" s="273"/>
      <c r="D420" s="273"/>
      <c r="E420" s="273"/>
      <c r="F420" s="272"/>
    </row>
    <row r="421" spans="2:6" ht="12" customHeight="1" x14ac:dyDescent="0.15">
      <c r="B421" s="274"/>
      <c r="C421" s="273"/>
      <c r="D421" s="273"/>
      <c r="E421" s="273"/>
      <c r="F421" s="272"/>
    </row>
    <row r="422" spans="2:6" ht="12" customHeight="1" x14ac:dyDescent="0.15">
      <c r="B422" s="274"/>
      <c r="C422" s="273"/>
      <c r="D422" s="273"/>
      <c r="E422" s="273"/>
      <c r="F422" s="272"/>
    </row>
    <row r="423" spans="2:6" ht="12" customHeight="1" x14ac:dyDescent="0.15">
      <c r="B423" s="274"/>
      <c r="C423" s="273"/>
      <c r="D423" s="273"/>
      <c r="E423" s="273"/>
      <c r="F423" s="272"/>
    </row>
    <row r="424" spans="2:6" ht="12" customHeight="1" x14ac:dyDescent="0.15">
      <c r="B424" s="274"/>
      <c r="C424" s="273"/>
      <c r="D424" s="273"/>
      <c r="E424" s="273"/>
      <c r="F424" s="272"/>
    </row>
    <row r="425" spans="2:6" ht="12" customHeight="1" x14ac:dyDescent="0.15">
      <c r="B425" s="274"/>
      <c r="C425" s="273"/>
      <c r="D425" s="273"/>
      <c r="E425" s="273"/>
      <c r="F425" s="272"/>
    </row>
    <row r="426" spans="2:6" ht="12" customHeight="1" x14ac:dyDescent="0.15">
      <c r="B426" s="274"/>
      <c r="C426" s="273"/>
      <c r="D426" s="273"/>
      <c r="E426" s="273"/>
      <c r="F426" s="272"/>
    </row>
    <row r="427" spans="2:6" ht="12" customHeight="1" x14ac:dyDescent="0.15">
      <c r="B427" s="274"/>
      <c r="C427" s="273"/>
      <c r="D427" s="273"/>
      <c r="E427" s="273"/>
      <c r="F427" s="272"/>
    </row>
    <row r="428" spans="2:6" ht="12" customHeight="1" x14ac:dyDescent="0.15">
      <c r="B428" s="274"/>
      <c r="C428" s="273"/>
      <c r="D428" s="273"/>
      <c r="E428" s="273"/>
      <c r="F428" s="272"/>
    </row>
    <row r="429" spans="2:6" ht="12" customHeight="1" x14ac:dyDescent="0.15">
      <c r="B429" s="274"/>
      <c r="C429" s="273"/>
      <c r="D429" s="273"/>
      <c r="E429" s="273"/>
      <c r="F429" s="272"/>
    </row>
    <row r="430" spans="2:6" ht="12" customHeight="1" x14ac:dyDescent="0.15">
      <c r="B430" s="274"/>
      <c r="C430" s="273"/>
      <c r="D430" s="273"/>
      <c r="E430" s="273"/>
      <c r="F430" s="272"/>
    </row>
    <row r="431" spans="2:6" ht="12" customHeight="1" x14ac:dyDescent="0.15">
      <c r="B431" s="274"/>
      <c r="C431" s="273"/>
      <c r="D431" s="273"/>
      <c r="E431" s="273"/>
      <c r="F431" s="272"/>
    </row>
    <row r="432" spans="2:6" ht="12" customHeight="1" x14ac:dyDescent="0.15">
      <c r="B432" s="274"/>
      <c r="C432" s="273"/>
      <c r="D432" s="273"/>
      <c r="E432" s="273"/>
      <c r="F432" s="272"/>
    </row>
    <row r="433" spans="2:6" ht="12" customHeight="1" x14ac:dyDescent="0.15">
      <c r="B433" s="274"/>
      <c r="C433" s="273"/>
      <c r="D433" s="273"/>
      <c r="E433" s="273"/>
      <c r="F433" s="272"/>
    </row>
    <row r="434" spans="2:6" ht="12" customHeight="1" x14ac:dyDescent="0.15">
      <c r="B434" s="274"/>
      <c r="C434" s="273"/>
      <c r="D434" s="273"/>
      <c r="E434" s="273"/>
      <c r="F434" s="272"/>
    </row>
    <row r="435" spans="2:6" ht="12" customHeight="1" x14ac:dyDescent="0.15">
      <c r="B435" s="274"/>
      <c r="C435" s="273"/>
      <c r="D435" s="273"/>
      <c r="E435" s="273"/>
      <c r="F435" s="272"/>
    </row>
    <row r="436" spans="2:6" ht="12" customHeight="1" x14ac:dyDescent="0.15">
      <c r="B436" s="274"/>
      <c r="C436" s="273"/>
      <c r="D436" s="273"/>
      <c r="E436" s="273"/>
      <c r="F436" s="272"/>
    </row>
    <row r="437" spans="2:6" ht="12" customHeight="1" x14ac:dyDescent="0.15">
      <c r="B437" s="274"/>
      <c r="C437" s="273"/>
      <c r="D437" s="273"/>
      <c r="E437" s="273"/>
      <c r="F437" s="272"/>
    </row>
    <row r="438" spans="2:6" ht="12" customHeight="1" x14ac:dyDescent="0.15">
      <c r="B438" s="274"/>
      <c r="C438" s="273"/>
      <c r="D438" s="273"/>
      <c r="E438" s="273"/>
      <c r="F438" s="272"/>
    </row>
    <row r="439" spans="2:6" ht="12" customHeight="1" x14ac:dyDescent="0.15">
      <c r="B439" s="274"/>
      <c r="C439" s="273"/>
      <c r="D439" s="273"/>
      <c r="E439" s="273"/>
      <c r="F439" s="272"/>
    </row>
    <row r="440" spans="2:6" ht="12" customHeight="1" x14ac:dyDescent="0.15">
      <c r="B440" s="274"/>
      <c r="C440" s="273"/>
      <c r="D440" s="273"/>
      <c r="E440" s="273"/>
      <c r="F440" s="272"/>
    </row>
    <row r="441" spans="2:6" ht="12" customHeight="1" x14ac:dyDescent="0.15">
      <c r="B441" s="274"/>
      <c r="C441" s="273"/>
      <c r="D441" s="273"/>
      <c r="E441" s="273"/>
      <c r="F441" s="272"/>
    </row>
    <row r="442" spans="2:6" ht="12" customHeight="1" x14ac:dyDescent="0.15">
      <c r="B442" s="274"/>
      <c r="C442" s="273"/>
      <c r="D442" s="273"/>
      <c r="E442" s="273"/>
      <c r="F442" s="272"/>
    </row>
    <row r="443" spans="2:6" ht="12" customHeight="1" x14ac:dyDescent="0.15">
      <c r="B443" s="274"/>
      <c r="C443" s="273"/>
      <c r="D443" s="273"/>
      <c r="E443" s="273"/>
      <c r="F443" s="272"/>
    </row>
    <row r="444" spans="2:6" ht="12" customHeight="1" x14ac:dyDescent="0.15">
      <c r="B444" s="274"/>
      <c r="C444" s="273"/>
      <c r="D444" s="273"/>
      <c r="E444" s="273"/>
      <c r="F444" s="272"/>
    </row>
    <row r="445" spans="2:6" ht="12" customHeight="1" x14ac:dyDescent="0.15">
      <c r="B445" s="274"/>
      <c r="C445" s="273"/>
      <c r="D445" s="273"/>
      <c r="E445" s="273"/>
      <c r="F445" s="272"/>
    </row>
    <row r="446" spans="2:6" ht="12" customHeight="1" x14ac:dyDescent="0.15">
      <c r="B446" s="274"/>
      <c r="C446" s="273"/>
      <c r="D446" s="273"/>
      <c r="E446" s="273"/>
      <c r="F446" s="272"/>
    </row>
    <row r="447" spans="2:6" ht="12" customHeight="1" x14ac:dyDescent="0.15">
      <c r="B447" s="274"/>
      <c r="C447" s="273"/>
      <c r="D447" s="273"/>
      <c r="E447" s="273"/>
      <c r="F447" s="272"/>
    </row>
    <row r="448" spans="2:6" ht="12" customHeight="1" x14ac:dyDescent="0.15">
      <c r="B448" s="274"/>
      <c r="C448" s="273"/>
      <c r="D448" s="273"/>
      <c r="E448" s="273"/>
      <c r="F448" s="272"/>
    </row>
    <row r="449" spans="2:6" ht="12" customHeight="1" x14ac:dyDescent="0.15">
      <c r="B449" s="274"/>
      <c r="C449" s="273"/>
      <c r="D449" s="273"/>
      <c r="E449" s="273"/>
      <c r="F449" s="272"/>
    </row>
    <row r="450" spans="2:6" ht="12" customHeight="1" x14ac:dyDescent="0.15">
      <c r="B450" s="274"/>
      <c r="C450" s="273"/>
      <c r="D450" s="273"/>
      <c r="E450" s="273"/>
      <c r="F450" s="272"/>
    </row>
    <row r="451" spans="2:6" ht="12" customHeight="1" x14ac:dyDescent="0.15">
      <c r="B451" s="274"/>
      <c r="C451" s="273"/>
      <c r="D451" s="273"/>
      <c r="E451" s="273"/>
      <c r="F451" s="272"/>
    </row>
    <row r="452" spans="2:6" ht="12" customHeight="1" x14ac:dyDescent="0.15">
      <c r="B452" s="274"/>
      <c r="C452" s="273"/>
      <c r="D452" s="273"/>
      <c r="E452" s="273"/>
      <c r="F452" s="272"/>
    </row>
    <row r="453" spans="2:6" ht="12" customHeight="1" x14ac:dyDescent="0.15">
      <c r="B453" s="274"/>
      <c r="C453" s="273"/>
      <c r="D453" s="273"/>
      <c r="E453" s="273"/>
      <c r="F453" s="272"/>
    </row>
    <row r="454" spans="2:6" ht="12" customHeight="1" x14ac:dyDescent="0.15">
      <c r="B454" s="274"/>
      <c r="C454" s="273"/>
      <c r="D454" s="273"/>
      <c r="E454" s="273"/>
      <c r="F454" s="272"/>
    </row>
    <row r="455" spans="2:6" ht="12" customHeight="1" x14ac:dyDescent="0.15">
      <c r="B455" s="274"/>
      <c r="C455" s="273"/>
      <c r="D455" s="273"/>
      <c r="E455" s="273"/>
      <c r="F455" s="272"/>
    </row>
    <row r="456" spans="2:6" ht="12" customHeight="1" x14ac:dyDescent="0.15">
      <c r="B456" s="274"/>
      <c r="C456" s="273"/>
      <c r="D456" s="273"/>
      <c r="E456" s="273"/>
      <c r="F456" s="272"/>
    </row>
    <row r="457" spans="2:6" ht="12" customHeight="1" x14ac:dyDescent="0.15">
      <c r="B457" s="274"/>
      <c r="C457" s="273"/>
      <c r="D457" s="273"/>
      <c r="E457" s="273"/>
      <c r="F457" s="272"/>
    </row>
    <row r="458" spans="2:6" ht="12" customHeight="1" x14ac:dyDescent="0.15">
      <c r="B458" s="274"/>
      <c r="C458" s="273"/>
      <c r="D458" s="273"/>
      <c r="E458" s="273"/>
      <c r="F458" s="272"/>
    </row>
    <row r="459" spans="2:6" ht="12" customHeight="1" x14ac:dyDescent="0.15">
      <c r="B459" s="274"/>
      <c r="C459" s="273"/>
      <c r="D459" s="273"/>
      <c r="E459" s="273"/>
      <c r="F459" s="272"/>
    </row>
    <row r="460" spans="2:6" ht="12" customHeight="1" x14ac:dyDescent="0.15">
      <c r="B460" s="274"/>
      <c r="C460" s="273"/>
      <c r="D460" s="273"/>
      <c r="E460" s="273"/>
      <c r="F460" s="272"/>
    </row>
    <row r="461" spans="2:6" ht="12" customHeight="1" x14ac:dyDescent="0.15">
      <c r="B461" s="274"/>
      <c r="C461" s="273"/>
      <c r="D461" s="273"/>
      <c r="E461" s="273"/>
      <c r="F461" s="272"/>
    </row>
    <row r="462" spans="2:6" ht="12" customHeight="1" x14ac:dyDescent="0.15">
      <c r="B462" s="274"/>
      <c r="C462" s="273"/>
      <c r="D462" s="273"/>
      <c r="E462" s="273"/>
      <c r="F462" s="272"/>
    </row>
    <row r="463" spans="2:6" ht="12" customHeight="1" x14ac:dyDescent="0.15">
      <c r="B463" s="274"/>
      <c r="C463" s="273"/>
      <c r="D463" s="273"/>
      <c r="E463" s="273"/>
      <c r="F463" s="272"/>
    </row>
    <row r="464" spans="2:6" ht="12" customHeight="1" x14ac:dyDescent="0.15">
      <c r="B464" s="274"/>
      <c r="C464" s="273"/>
      <c r="D464" s="273"/>
      <c r="E464" s="273"/>
      <c r="F464" s="272"/>
    </row>
    <row r="465" spans="2:6" ht="12" customHeight="1" x14ac:dyDescent="0.15">
      <c r="B465" s="274"/>
      <c r="C465" s="273"/>
      <c r="D465" s="273"/>
      <c r="E465" s="273"/>
      <c r="F465" s="272"/>
    </row>
    <row r="466" spans="2:6" ht="12" customHeight="1" x14ac:dyDescent="0.15">
      <c r="B466" s="274"/>
      <c r="C466" s="273"/>
      <c r="D466" s="273"/>
      <c r="E466" s="273"/>
      <c r="F466" s="272"/>
    </row>
    <row r="467" spans="2:6" ht="12" customHeight="1" x14ac:dyDescent="0.15">
      <c r="B467" s="274"/>
      <c r="C467" s="273"/>
      <c r="D467" s="273"/>
      <c r="E467" s="273"/>
      <c r="F467" s="272"/>
    </row>
    <row r="468" spans="2:6" ht="12" customHeight="1" x14ac:dyDescent="0.15">
      <c r="B468" s="274"/>
      <c r="C468" s="273"/>
      <c r="D468" s="273"/>
      <c r="E468" s="273"/>
      <c r="F468" s="272"/>
    </row>
    <row r="469" spans="2:6" ht="12" customHeight="1" x14ac:dyDescent="0.15">
      <c r="B469" s="274"/>
      <c r="C469" s="273"/>
      <c r="D469" s="273"/>
      <c r="E469" s="273"/>
      <c r="F469" s="272"/>
    </row>
    <row r="470" spans="2:6" ht="12" customHeight="1" x14ac:dyDescent="0.15">
      <c r="B470" s="274"/>
      <c r="C470" s="273"/>
      <c r="D470" s="273"/>
      <c r="E470" s="273"/>
      <c r="F470" s="272"/>
    </row>
    <row r="471" spans="2:6" ht="12" customHeight="1" x14ac:dyDescent="0.15">
      <c r="B471" s="274"/>
      <c r="C471" s="273"/>
      <c r="D471" s="273"/>
      <c r="E471" s="273"/>
      <c r="F471" s="272"/>
    </row>
    <row r="472" spans="2:6" ht="12" customHeight="1" x14ac:dyDescent="0.15">
      <c r="B472" s="274"/>
      <c r="C472" s="273"/>
      <c r="D472" s="273"/>
      <c r="E472" s="273"/>
      <c r="F472" s="272"/>
    </row>
    <row r="473" spans="2:6" ht="12" customHeight="1" x14ac:dyDescent="0.15">
      <c r="B473" s="274"/>
      <c r="C473" s="273"/>
      <c r="D473" s="273"/>
      <c r="E473" s="273"/>
      <c r="F473" s="272"/>
    </row>
    <row r="474" spans="2:6" ht="12" customHeight="1" x14ac:dyDescent="0.15">
      <c r="B474" s="274"/>
      <c r="C474" s="273"/>
      <c r="D474" s="273"/>
      <c r="E474" s="273"/>
      <c r="F474" s="272"/>
    </row>
    <row r="475" spans="2:6" ht="12" customHeight="1" x14ac:dyDescent="0.15">
      <c r="B475" s="274"/>
      <c r="C475" s="273"/>
      <c r="D475" s="273"/>
      <c r="E475" s="273"/>
      <c r="F475" s="272"/>
    </row>
    <row r="476" spans="2:6" ht="12" customHeight="1" x14ac:dyDescent="0.15">
      <c r="B476" s="274"/>
      <c r="C476" s="273"/>
      <c r="D476" s="273"/>
      <c r="E476" s="273"/>
      <c r="F476" s="272"/>
    </row>
    <row r="477" spans="2:6" ht="12" customHeight="1" x14ac:dyDescent="0.15">
      <c r="B477" s="274"/>
      <c r="C477" s="273"/>
      <c r="D477" s="273"/>
      <c r="E477" s="273"/>
      <c r="F477" s="272"/>
    </row>
    <row r="478" spans="2:6" ht="12" customHeight="1" x14ac:dyDescent="0.15">
      <c r="B478" s="274"/>
      <c r="C478" s="273"/>
      <c r="D478" s="273"/>
      <c r="E478" s="273"/>
      <c r="F478" s="272"/>
    </row>
    <row r="479" spans="2:6" ht="12" customHeight="1" x14ac:dyDescent="0.15">
      <c r="B479" s="274"/>
      <c r="C479" s="273"/>
      <c r="D479" s="273"/>
      <c r="E479" s="273"/>
      <c r="F479" s="272"/>
    </row>
    <row r="480" spans="2:6" ht="12" customHeight="1" x14ac:dyDescent="0.15">
      <c r="B480" s="274"/>
      <c r="C480" s="273"/>
      <c r="D480" s="273"/>
      <c r="E480" s="273"/>
      <c r="F480" s="272"/>
    </row>
    <row r="481" spans="2:6" ht="12" customHeight="1" x14ac:dyDescent="0.15">
      <c r="B481" s="274"/>
      <c r="C481" s="273"/>
      <c r="D481" s="273"/>
      <c r="E481" s="273"/>
      <c r="F481" s="272"/>
    </row>
    <row r="482" spans="2:6" ht="12" customHeight="1" x14ac:dyDescent="0.15">
      <c r="B482" s="274"/>
      <c r="C482" s="273"/>
      <c r="D482" s="273"/>
      <c r="E482" s="273"/>
      <c r="F482" s="272"/>
    </row>
    <row r="483" spans="2:6" ht="12" customHeight="1" x14ac:dyDescent="0.15">
      <c r="B483" s="274"/>
      <c r="C483" s="273"/>
      <c r="D483" s="273"/>
      <c r="E483" s="273"/>
      <c r="F483" s="272"/>
    </row>
    <row r="484" spans="2:6" ht="12" customHeight="1" x14ac:dyDescent="0.15">
      <c r="B484" s="274"/>
      <c r="C484" s="273"/>
      <c r="D484" s="273"/>
      <c r="E484" s="273"/>
      <c r="F484" s="272"/>
    </row>
    <row r="485" spans="2:6" ht="12" customHeight="1" x14ac:dyDescent="0.15">
      <c r="B485" s="274"/>
      <c r="C485" s="273"/>
      <c r="D485" s="273"/>
      <c r="E485" s="273"/>
      <c r="F485" s="272"/>
    </row>
    <row r="486" spans="2:6" ht="12" customHeight="1" x14ac:dyDescent="0.15">
      <c r="B486" s="274"/>
      <c r="C486" s="273"/>
      <c r="D486" s="273"/>
      <c r="E486" s="273"/>
      <c r="F486" s="272"/>
    </row>
    <row r="487" spans="2:6" ht="12" customHeight="1" x14ac:dyDescent="0.15">
      <c r="B487" s="274"/>
      <c r="C487" s="273"/>
      <c r="D487" s="273"/>
      <c r="E487" s="273"/>
      <c r="F487" s="272"/>
    </row>
    <row r="488" spans="2:6" ht="12" customHeight="1" x14ac:dyDescent="0.15">
      <c r="B488" s="274"/>
      <c r="C488" s="273"/>
      <c r="D488" s="273"/>
      <c r="E488" s="273"/>
      <c r="F488" s="272"/>
    </row>
    <row r="489" spans="2:6" ht="12" customHeight="1" x14ac:dyDescent="0.15">
      <c r="B489" s="274"/>
      <c r="C489" s="273"/>
      <c r="D489" s="273"/>
      <c r="E489" s="273"/>
      <c r="F489" s="272"/>
    </row>
    <row r="490" spans="2:6" ht="12" customHeight="1" x14ac:dyDescent="0.15">
      <c r="B490" s="274"/>
      <c r="C490" s="273"/>
      <c r="D490" s="273"/>
      <c r="E490" s="273"/>
      <c r="F490" s="272"/>
    </row>
    <row r="491" spans="2:6" ht="12" customHeight="1" x14ac:dyDescent="0.15">
      <c r="B491" s="274"/>
      <c r="C491" s="273"/>
      <c r="D491" s="273"/>
      <c r="E491" s="273"/>
      <c r="F491" s="272"/>
    </row>
    <row r="492" spans="2:6" ht="12" customHeight="1" x14ac:dyDescent="0.15">
      <c r="B492" s="274"/>
      <c r="C492" s="273"/>
      <c r="D492" s="273"/>
      <c r="E492" s="273"/>
      <c r="F492" s="272"/>
    </row>
    <row r="493" spans="2:6" ht="12" customHeight="1" x14ac:dyDescent="0.15">
      <c r="B493" s="274"/>
      <c r="C493" s="273"/>
      <c r="D493" s="273"/>
      <c r="E493" s="273"/>
      <c r="F493" s="272"/>
    </row>
    <row r="494" spans="2:6" ht="12" customHeight="1" x14ac:dyDescent="0.15">
      <c r="B494" s="274"/>
      <c r="C494" s="273"/>
      <c r="D494" s="273"/>
      <c r="E494" s="273"/>
      <c r="F494" s="272"/>
    </row>
    <row r="495" spans="2:6" ht="12" customHeight="1" x14ac:dyDescent="0.15">
      <c r="B495" s="274"/>
      <c r="C495" s="273"/>
      <c r="D495" s="273"/>
      <c r="E495" s="273"/>
      <c r="F495" s="272"/>
    </row>
    <row r="496" spans="2:6" ht="12" customHeight="1" x14ac:dyDescent="0.15">
      <c r="B496" s="274"/>
      <c r="C496" s="273"/>
      <c r="D496" s="273"/>
      <c r="E496" s="273"/>
      <c r="F496" s="272"/>
    </row>
    <row r="497" spans="2:6" ht="12" customHeight="1" x14ac:dyDescent="0.15">
      <c r="B497" s="274"/>
      <c r="C497" s="273"/>
      <c r="D497" s="273"/>
      <c r="E497" s="273"/>
      <c r="F497" s="272"/>
    </row>
    <row r="498" spans="2:6" ht="12" customHeight="1" x14ac:dyDescent="0.15">
      <c r="B498" s="274"/>
      <c r="C498" s="273"/>
      <c r="D498" s="273"/>
      <c r="E498" s="273"/>
      <c r="F498" s="272"/>
    </row>
    <row r="499" spans="2:6" ht="12" customHeight="1" x14ac:dyDescent="0.15">
      <c r="B499" s="274"/>
      <c r="C499" s="273"/>
      <c r="D499" s="273"/>
      <c r="E499" s="273"/>
      <c r="F499" s="272"/>
    </row>
    <row r="500" spans="2:6" ht="12" customHeight="1" x14ac:dyDescent="0.15">
      <c r="B500" s="274"/>
      <c r="C500" s="273"/>
      <c r="D500" s="273"/>
      <c r="E500" s="273"/>
      <c r="F500" s="272"/>
    </row>
    <row r="501" spans="2:6" ht="12" customHeight="1" x14ac:dyDescent="0.15">
      <c r="B501" s="274"/>
      <c r="C501" s="273"/>
      <c r="D501" s="273"/>
      <c r="E501" s="273"/>
      <c r="F501" s="272"/>
    </row>
    <row r="502" spans="2:6" ht="12" customHeight="1" x14ac:dyDescent="0.15">
      <c r="B502" s="274"/>
      <c r="C502" s="273"/>
      <c r="D502" s="273"/>
      <c r="E502" s="273"/>
      <c r="F502" s="272"/>
    </row>
    <row r="503" spans="2:6" ht="12" customHeight="1" x14ac:dyDescent="0.15">
      <c r="B503" s="274"/>
      <c r="C503" s="273"/>
      <c r="D503" s="273"/>
      <c r="E503" s="273"/>
      <c r="F503" s="272"/>
    </row>
    <row r="504" spans="2:6" ht="12" customHeight="1" x14ac:dyDescent="0.15">
      <c r="B504" s="274"/>
      <c r="C504" s="273"/>
      <c r="D504" s="273"/>
      <c r="E504" s="273"/>
      <c r="F504" s="272"/>
    </row>
    <row r="505" spans="2:6" ht="12" customHeight="1" x14ac:dyDescent="0.15">
      <c r="B505" s="274"/>
      <c r="C505" s="273"/>
      <c r="D505" s="273"/>
      <c r="E505" s="273"/>
      <c r="F505" s="272"/>
    </row>
    <row r="506" spans="2:6" ht="12" customHeight="1" x14ac:dyDescent="0.15">
      <c r="B506" s="274"/>
      <c r="C506" s="273"/>
      <c r="D506" s="273"/>
      <c r="E506" s="273"/>
      <c r="F506" s="272"/>
    </row>
    <row r="507" spans="2:6" ht="12" customHeight="1" x14ac:dyDescent="0.15">
      <c r="B507" s="274"/>
      <c r="C507" s="273"/>
      <c r="D507" s="273"/>
      <c r="E507" s="273"/>
      <c r="F507" s="272"/>
    </row>
    <row r="508" spans="2:6" ht="12" customHeight="1" x14ac:dyDescent="0.15">
      <c r="B508" s="274"/>
      <c r="C508" s="273"/>
      <c r="D508" s="273"/>
      <c r="E508" s="273"/>
      <c r="F508" s="272"/>
    </row>
    <row r="509" spans="2:6" ht="12" customHeight="1" x14ac:dyDescent="0.15">
      <c r="B509" s="274"/>
      <c r="C509" s="273"/>
      <c r="D509" s="273"/>
      <c r="E509" s="273"/>
      <c r="F509" s="272"/>
    </row>
    <row r="510" spans="2:6" ht="12" customHeight="1" x14ac:dyDescent="0.15">
      <c r="B510" s="274"/>
      <c r="C510" s="273"/>
      <c r="D510" s="273"/>
      <c r="E510" s="273"/>
      <c r="F510" s="272"/>
    </row>
    <row r="511" spans="2:6" ht="12" customHeight="1" x14ac:dyDescent="0.15">
      <c r="B511" s="274"/>
      <c r="C511" s="273"/>
      <c r="D511" s="273"/>
      <c r="E511" s="273"/>
      <c r="F511" s="272"/>
    </row>
    <row r="512" spans="2:6" ht="12" customHeight="1" x14ac:dyDescent="0.15">
      <c r="B512" s="274"/>
      <c r="C512" s="273"/>
      <c r="D512" s="273"/>
      <c r="E512" s="273"/>
      <c r="F512" s="272"/>
    </row>
    <row r="513" spans="2:6" ht="12" customHeight="1" x14ac:dyDescent="0.15">
      <c r="B513" s="274"/>
      <c r="C513" s="273"/>
      <c r="D513" s="273"/>
      <c r="E513" s="273"/>
      <c r="F513" s="272"/>
    </row>
    <row r="514" spans="2:6" ht="12" customHeight="1" x14ac:dyDescent="0.15">
      <c r="B514" s="274"/>
      <c r="C514" s="273"/>
      <c r="D514" s="273"/>
      <c r="E514" s="273"/>
      <c r="F514" s="272"/>
    </row>
    <row r="515" spans="2:6" ht="12" customHeight="1" x14ac:dyDescent="0.15">
      <c r="B515" s="274"/>
      <c r="C515" s="273"/>
      <c r="D515" s="273"/>
      <c r="E515" s="273"/>
      <c r="F515" s="272"/>
    </row>
    <row r="516" spans="2:6" ht="12" customHeight="1" x14ac:dyDescent="0.15">
      <c r="B516" s="274"/>
      <c r="C516" s="273"/>
      <c r="D516" s="273"/>
      <c r="E516" s="273"/>
      <c r="F516" s="272"/>
    </row>
    <row r="517" spans="2:6" ht="12" customHeight="1" x14ac:dyDescent="0.15">
      <c r="B517" s="274"/>
      <c r="C517" s="273"/>
      <c r="D517" s="273"/>
      <c r="E517" s="273"/>
      <c r="F517" s="272"/>
    </row>
    <row r="518" spans="2:6" ht="12" customHeight="1" x14ac:dyDescent="0.15">
      <c r="B518" s="274"/>
      <c r="C518" s="273"/>
      <c r="D518" s="273"/>
      <c r="E518" s="273"/>
      <c r="F518" s="272"/>
    </row>
    <row r="519" spans="2:6" ht="12" customHeight="1" x14ac:dyDescent="0.15">
      <c r="B519" s="274"/>
      <c r="C519" s="273"/>
      <c r="D519" s="273"/>
      <c r="E519" s="273"/>
      <c r="F519" s="272"/>
    </row>
    <row r="520" spans="2:6" ht="12" customHeight="1" x14ac:dyDescent="0.15">
      <c r="B520" s="274"/>
      <c r="C520" s="273"/>
      <c r="D520" s="273"/>
      <c r="E520" s="273"/>
      <c r="F520" s="272"/>
    </row>
    <row r="521" spans="2:6" ht="12" customHeight="1" x14ac:dyDescent="0.15">
      <c r="B521" s="274"/>
      <c r="C521" s="273"/>
      <c r="D521" s="273"/>
      <c r="E521" s="273"/>
      <c r="F521" s="272"/>
    </row>
    <row r="522" spans="2:6" ht="12" customHeight="1" x14ac:dyDescent="0.15">
      <c r="B522" s="274"/>
      <c r="C522" s="273"/>
      <c r="D522" s="273"/>
      <c r="E522" s="273"/>
      <c r="F522" s="272"/>
    </row>
    <row r="523" spans="2:6" ht="12" customHeight="1" x14ac:dyDescent="0.15">
      <c r="B523" s="274"/>
      <c r="C523" s="273"/>
      <c r="D523" s="273"/>
      <c r="E523" s="273"/>
      <c r="F523" s="272"/>
    </row>
    <row r="524" spans="2:6" ht="12" customHeight="1" x14ac:dyDescent="0.15">
      <c r="B524" s="274"/>
      <c r="C524" s="273"/>
      <c r="D524" s="273"/>
      <c r="E524" s="273"/>
      <c r="F524" s="272"/>
    </row>
    <row r="525" spans="2:6" ht="12" customHeight="1" x14ac:dyDescent="0.15">
      <c r="B525" s="274"/>
      <c r="C525" s="273"/>
      <c r="D525" s="273"/>
      <c r="E525" s="273"/>
      <c r="F525" s="272"/>
    </row>
    <row r="526" spans="2:6" ht="12" customHeight="1" x14ac:dyDescent="0.15">
      <c r="B526" s="274"/>
      <c r="C526" s="273"/>
      <c r="D526" s="273"/>
      <c r="E526" s="273"/>
      <c r="F526" s="272"/>
    </row>
    <row r="527" spans="2:6" ht="12" customHeight="1" x14ac:dyDescent="0.15">
      <c r="B527" s="274"/>
      <c r="C527" s="273"/>
      <c r="D527" s="273"/>
      <c r="E527" s="273"/>
      <c r="F527" s="272"/>
    </row>
    <row r="528" spans="2:6" ht="12" customHeight="1" x14ac:dyDescent="0.15">
      <c r="B528" s="274"/>
      <c r="C528" s="273"/>
      <c r="D528" s="273"/>
      <c r="E528" s="273"/>
      <c r="F528" s="272"/>
    </row>
    <row r="529" spans="2:6" ht="12" customHeight="1" x14ac:dyDescent="0.15">
      <c r="B529" s="274"/>
      <c r="C529" s="273"/>
      <c r="D529" s="273"/>
      <c r="E529" s="273"/>
      <c r="F529" s="272"/>
    </row>
    <row r="530" spans="2:6" ht="12" customHeight="1" x14ac:dyDescent="0.15">
      <c r="B530" s="274"/>
      <c r="C530" s="273"/>
      <c r="D530" s="273"/>
      <c r="E530" s="273"/>
      <c r="F530" s="272"/>
    </row>
    <row r="531" spans="2:6" ht="12" customHeight="1" x14ac:dyDescent="0.15">
      <c r="B531" s="274"/>
      <c r="C531" s="273"/>
      <c r="D531" s="273"/>
      <c r="E531" s="273"/>
      <c r="F531" s="272"/>
    </row>
    <row r="532" spans="2:6" ht="12" customHeight="1" x14ac:dyDescent="0.15">
      <c r="B532" s="274"/>
      <c r="C532" s="273"/>
      <c r="D532" s="273"/>
      <c r="E532" s="273"/>
      <c r="F532" s="272"/>
    </row>
    <row r="533" spans="2:6" ht="12" customHeight="1" x14ac:dyDescent="0.15">
      <c r="B533" s="274"/>
      <c r="C533" s="273"/>
      <c r="D533" s="273"/>
      <c r="E533" s="273"/>
      <c r="F533" s="272"/>
    </row>
    <row r="534" spans="2:6" ht="12" customHeight="1" x14ac:dyDescent="0.15">
      <c r="B534" s="274"/>
      <c r="C534" s="273"/>
      <c r="D534" s="273"/>
      <c r="E534" s="273"/>
      <c r="F534" s="272"/>
    </row>
    <row r="535" spans="2:6" ht="12" customHeight="1" x14ac:dyDescent="0.15">
      <c r="B535" s="274"/>
      <c r="C535" s="273"/>
      <c r="D535" s="273"/>
      <c r="E535" s="273"/>
      <c r="F535" s="272"/>
    </row>
    <row r="536" spans="2:6" ht="12" customHeight="1" x14ac:dyDescent="0.15">
      <c r="B536" s="274"/>
      <c r="C536" s="273"/>
      <c r="D536" s="273"/>
      <c r="E536" s="273"/>
      <c r="F536" s="272"/>
    </row>
    <row r="537" spans="2:6" ht="12" customHeight="1" x14ac:dyDescent="0.15">
      <c r="B537" s="274"/>
      <c r="C537" s="273"/>
      <c r="D537" s="273"/>
      <c r="E537" s="273"/>
      <c r="F537" s="272"/>
    </row>
    <row r="538" spans="2:6" ht="12" customHeight="1" x14ac:dyDescent="0.15">
      <c r="B538" s="274"/>
      <c r="C538" s="273"/>
      <c r="D538" s="273"/>
      <c r="E538" s="273"/>
      <c r="F538" s="272"/>
    </row>
    <row r="539" spans="2:6" ht="12" customHeight="1" x14ac:dyDescent="0.15">
      <c r="B539" s="274"/>
      <c r="C539" s="273"/>
      <c r="D539" s="273"/>
      <c r="E539" s="273"/>
      <c r="F539" s="272"/>
    </row>
    <row r="540" spans="2:6" ht="12" customHeight="1" x14ac:dyDescent="0.15">
      <c r="B540" s="274"/>
      <c r="C540" s="273"/>
      <c r="D540" s="273"/>
      <c r="E540" s="273"/>
      <c r="F540" s="272"/>
    </row>
    <row r="541" spans="2:6" ht="12" customHeight="1" x14ac:dyDescent="0.15">
      <c r="B541" s="274"/>
      <c r="C541" s="273"/>
      <c r="D541" s="273"/>
      <c r="E541" s="273"/>
      <c r="F541" s="272"/>
    </row>
    <row r="542" spans="2:6" ht="12" customHeight="1" x14ac:dyDescent="0.15">
      <c r="B542" s="274"/>
      <c r="C542" s="273"/>
      <c r="D542" s="273"/>
      <c r="E542" s="273"/>
      <c r="F542" s="272"/>
    </row>
    <row r="543" spans="2:6" ht="12" customHeight="1" x14ac:dyDescent="0.15">
      <c r="B543" s="274"/>
      <c r="C543" s="273"/>
      <c r="D543" s="273"/>
      <c r="E543" s="273"/>
      <c r="F543" s="272"/>
    </row>
    <row r="544" spans="2:6" ht="12" customHeight="1" x14ac:dyDescent="0.15">
      <c r="B544" s="274"/>
      <c r="C544" s="273"/>
      <c r="D544" s="273"/>
      <c r="E544" s="273"/>
      <c r="F544" s="272"/>
    </row>
    <row r="545" spans="2:6" ht="12" customHeight="1" x14ac:dyDescent="0.15">
      <c r="B545" s="274"/>
      <c r="C545" s="273"/>
      <c r="D545" s="273"/>
      <c r="E545" s="273"/>
      <c r="F545" s="272"/>
    </row>
    <row r="546" spans="2:6" ht="12" customHeight="1" x14ac:dyDescent="0.15">
      <c r="B546" s="274"/>
      <c r="C546" s="273"/>
      <c r="D546" s="273"/>
      <c r="E546" s="273"/>
      <c r="F546" s="272"/>
    </row>
    <row r="547" spans="2:6" ht="12" customHeight="1" x14ac:dyDescent="0.15">
      <c r="B547" s="274"/>
      <c r="C547" s="273"/>
      <c r="D547" s="273"/>
      <c r="E547" s="273"/>
      <c r="F547" s="272"/>
    </row>
    <row r="548" spans="2:6" ht="12" customHeight="1" x14ac:dyDescent="0.15">
      <c r="B548" s="274"/>
      <c r="C548" s="273"/>
      <c r="D548" s="273"/>
      <c r="E548" s="273"/>
      <c r="F548" s="272"/>
    </row>
    <row r="549" spans="2:6" ht="12" customHeight="1" x14ac:dyDescent="0.15">
      <c r="B549" s="274"/>
      <c r="C549" s="273"/>
      <c r="D549" s="273"/>
      <c r="E549" s="273"/>
      <c r="F549" s="272"/>
    </row>
    <row r="550" spans="2:6" ht="12" customHeight="1" x14ac:dyDescent="0.15">
      <c r="B550" s="274"/>
      <c r="C550" s="273"/>
      <c r="D550" s="273"/>
      <c r="E550" s="273"/>
      <c r="F550" s="272"/>
    </row>
    <row r="551" spans="2:6" ht="12" customHeight="1" x14ac:dyDescent="0.15">
      <c r="B551" s="274"/>
      <c r="C551" s="273"/>
      <c r="D551" s="273"/>
      <c r="E551" s="273"/>
      <c r="F551" s="272"/>
    </row>
    <row r="552" spans="2:6" ht="12" customHeight="1" x14ac:dyDescent="0.15">
      <c r="B552" s="274"/>
      <c r="C552" s="273"/>
      <c r="D552" s="273"/>
      <c r="E552" s="273"/>
      <c r="F552" s="272"/>
    </row>
    <row r="553" spans="2:6" ht="12" customHeight="1" x14ac:dyDescent="0.15">
      <c r="B553" s="274"/>
      <c r="C553" s="273"/>
      <c r="D553" s="273"/>
      <c r="E553" s="273"/>
      <c r="F553" s="272"/>
    </row>
    <row r="554" spans="2:6" ht="12" customHeight="1" x14ac:dyDescent="0.15">
      <c r="B554" s="274"/>
      <c r="C554" s="273"/>
      <c r="D554" s="273"/>
      <c r="E554" s="273"/>
      <c r="F554" s="272"/>
    </row>
    <row r="555" spans="2:6" ht="12" customHeight="1" x14ac:dyDescent="0.15">
      <c r="B555" s="274"/>
      <c r="C555" s="273"/>
      <c r="D555" s="273"/>
      <c r="E555" s="273"/>
      <c r="F555" s="272"/>
    </row>
    <row r="556" spans="2:6" ht="12" customHeight="1" x14ac:dyDescent="0.15">
      <c r="B556" s="274"/>
      <c r="C556" s="273"/>
      <c r="D556" s="273"/>
      <c r="E556" s="273"/>
      <c r="F556" s="272"/>
    </row>
    <row r="557" spans="2:6" ht="12" customHeight="1" x14ac:dyDescent="0.15">
      <c r="B557" s="274"/>
      <c r="C557" s="273"/>
      <c r="D557" s="273"/>
      <c r="E557" s="273"/>
      <c r="F557" s="272"/>
    </row>
    <row r="558" spans="2:6" ht="12" customHeight="1" x14ac:dyDescent="0.15">
      <c r="B558" s="274"/>
      <c r="C558" s="273"/>
      <c r="D558" s="273"/>
      <c r="E558" s="273"/>
      <c r="F558" s="272"/>
    </row>
    <row r="559" spans="2:6" ht="12" customHeight="1" x14ac:dyDescent="0.15">
      <c r="B559" s="274"/>
      <c r="C559" s="273"/>
      <c r="D559" s="273"/>
      <c r="E559" s="273"/>
      <c r="F559" s="272"/>
    </row>
    <row r="560" spans="2:6" ht="12" customHeight="1" x14ac:dyDescent="0.15">
      <c r="B560" s="274"/>
      <c r="C560" s="273"/>
      <c r="D560" s="273"/>
      <c r="E560" s="273"/>
      <c r="F560" s="272"/>
    </row>
    <row r="561" spans="2:6" ht="12" customHeight="1" x14ac:dyDescent="0.15">
      <c r="B561" s="274"/>
      <c r="C561" s="273"/>
      <c r="D561" s="273"/>
      <c r="E561" s="273"/>
      <c r="F561" s="272"/>
    </row>
    <row r="562" spans="2:6" ht="12" customHeight="1" x14ac:dyDescent="0.15">
      <c r="B562" s="274"/>
      <c r="C562" s="273"/>
      <c r="D562" s="273"/>
      <c r="E562" s="273"/>
      <c r="F562" s="272"/>
    </row>
    <row r="563" spans="2:6" ht="12" customHeight="1" x14ac:dyDescent="0.15">
      <c r="B563" s="274"/>
      <c r="C563" s="273"/>
      <c r="D563" s="273"/>
      <c r="E563" s="273"/>
      <c r="F563" s="272"/>
    </row>
    <row r="564" spans="2:6" ht="12" customHeight="1" x14ac:dyDescent="0.15">
      <c r="B564" s="274"/>
      <c r="C564" s="273"/>
      <c r="D564" s="273"/>
      <c r="E564" s="273"/>
      <c r="F564" s="272"/>
    </row>
    <row r="565" spans="2:6" ht="12" customHeight="1" x14ac:dyDescent="0.15">
      <c r="B565" s="274"/>
      <c r="C565" s="273"/>
      <c r="D565" s="273"/>
      <c r="E565" s="273"/>
      <c r="F565" s="272"/>
    </row>
    <row r="566" spans="2:6" ht="12" customHeight="1" x14ac:dyDescent="0.15">
      <c r="B566" s="274"/>
      <c r="C566" s="273"/>
      <c r="D566" s="273"/>
      <c r="E566" s="273"/>
      <c r="F566" s="272"/>
    </row>
    <row r="567" spans="2:6" ht="12" customHeight="1" x14ac:dyDescent="0.15">
      <c r="B567" s="274"/>
      <c r="C567" s="273"/>
      <c r="D567" s="273"/>
      <c r="E567" s="273"/>
      <c r="F567" s="272"/>
    </row>
    <row r="568" spans="2:6" ht="12" customHeight="1" x14ac:dyDescent="0.15">
      <c r="B568" s="274"/>
      <c r="C568" s="273"/>
      <c r="D568" s="273"/>
      <c r="E568" s="273"/>
      <c r="F568" s="272"/>
    </row>
    <row r="569" spans="2:6" ht="12" customHeight="1" x14ac:dyDescent="0.15">
      <c r="B569" s="274"/>
      <c r="C569" s="273"/>
      <c r="D569" s="273"/>
      <c r="E569" s="273"/>
      <c r="F569" s="272"/>
    </row>
    <row r="570" spans="2:6" ht="12" customHeight="1" x14ac:dyDescent="0.15">
      <c r="B570" s="274"/>
      <c r="C570" s="273"/>
      <c r="D570" s="273"/>
      <c r="E570" s="273"/>
      <c r="F570" s="272"/>
    </row>
    <row r="571" spans="2:6" ht="12" customHeight="1" x14ac:dyDescent="0.15">
      <c r="B571" s="274"/>
      <c r="C571" s="273"/>
      <c r="D571" s="273"/>
      <c r="E571" s="273"/>
      <c r="F571" s="272"/>
    </row>
    <row r="572" spans="2:6" ht="12" customHeight="1" x14ac:dyDescent="0.15">
      <c r="B572" s="274"/>
      <c r="C572" s="273"/>
      <c r="D572" s="273"/>
      <c r="E572" s="273"/>
      <c r="F572" s="272"/>
    </row>
    <row r="573" spans="2:6" ht="12" customHeight="1" x14ac:dyDescent="0.15">
      <c r="B573" s="274"/>
      <c r="C573" s="273"/>
      <c r="D573" s="273"/>
      <c r="E573" s="273"/>
      <c r="F573" s="272"/>
    </row>
    <row r="574" spans="2:6" ht="12" customHeight="1" x14ac:dyDescent="0.15">
      <c r="B574" s="274"/>
      <c r="C574" s="273"/>
      <c r="D574" s="273"/>
      <c r="E574" s="273"/>
      <c r="F574" s="272"/>
    </row>
    <row r="575" spans="2:6" ht="12" customHeight="1" x14ac:dyDescent="0.15">
      <c r="B575" s="274"/>
      <c r="C575" s="273"/>
      <c r="D575" s="273"/>
      <c r="E575" s="273"/>
      <c r="F575" s="272"/>
    </row>
    <row r="576" spans="2:6" ht="12" customHeight="1" x14ac:dyDescent="0.15">
      <c r="B576" s="274"/>
      <c r="C576" s="273"/>
      <c r="D576" s="273"/>
      <c r="E576" s="273"/>
      <c r="F576" s="272"/>
    </row>
    <row r="577" spans="2:6" ht="12" customHeight="1" x14ac:dyDescent="0.15">
      <c r="B577" s="274"/>
      <c r="C577" s="273"/>
      <c r="D577" s="273"/>
      <c r="E577" s="273"/>
      <c r="F577" s="272"/>
    </row>
    <row r="578" spans="2:6" ht="12" customHeight="1" x14ac:dyDescent="0.15">
      <c r="B578" s="274"/>
      <c r="C578" s="273"/>
      <c r="D578" s="273"/>
      <c r="E578" s="273"/>
      <c r="F578" s="272"/>
    </row>
    <row r="579" spans="2:6" ht="12" customHeight="1" x14ac:dyDescent="0.15">
      <c r="B579" s="274"/>
      <c r="C579" s="273"/>
      <c r="D579" s="273"/>
      <c r="E579" s="273"/>
      <c r="F579" s="272"/>
    </row>
    <row r="580" spans="2:6" ht="12" customHeight="1" x14ac:dyDescent="0.15">
      <c r="B580" s="274"/>
      <c r="C580" s="273"/>
      <c r="D580" s="273"/>
      <c r="E580" s="273"/>
      <c r="F580" s="272"/>
    </row>
    <row r="581" spans="2:6" ht="12" customHeight="1" x14ac:dyDescent="0.15">
      <c r="B581" s="274"/>
      <c r="C581" s="273"/>
      <c r="D581" s="273"/>
      <c r="E581" s="273"/>
      <c r="F581" s="272"/>
    </row>
    <row r="582" spans="2:6" ht="12" customHeight="1" x14ac:dyDescent="0.15">
      <c r="B582" s="274"/>
      <c r="C582" s="273"/>
      <c r="D582" s="273"/>
      <c r="E582" s="273"/>
      <c r="F582" s="272"/>
    </row>
    <row r="583" spans="2:6" ht="12" customHeight="1" x14ac:dyDescent="0.15">
      <c r="B583" s="274"/>
      <c r="C583" s="273"/>
      <c r="D583" s="273"/>
      <c r="E583" s="273"/>
      <c r="F583" s="272"/>
    </row>
    <row r="584" spans="2:6" ht="12" customHeight="1" x14ac:dyDescent="0.15">
      <c r="B584" s="274"/>
      <c r="C584" s="273"/>
      <c r="D584" s="273"/>
      <c r="E584" s="273"/>
      <c r="F584" s="272"/>
    </row>
    <row r="585" spans="2:6" ht="12" customHeight="1" x14ac:dyDescent="0.15">
      <c r="B585" s="274"/>
      <c r="C585" s="273"/>
      <c r="D585" s="273"/>
      <c r="E585" s="273"/>
      <c r="F585" s="272"/>
    </row>
    <row r="586" spans="2:6" ht="12" customHeight="1" x14ac:dyDescent="0.15">
      <c r="B586" s="274"/>
      <c r="C586" s="273"/>
      <c r="D586" s="273"/>
      <c r="E586" s="273"/>
      <c r="F586" s="272"/>
    </row>
    <row r="587" spans="2:6" ht="12" customHeight="1" x14ac:dyDescent="0.15">
      <c r="B587" s="274"/>
      <c r="C587" s="273"/>
      <c r="D587" s="273"/>
      <c r="E587" s="273"/>
      <c r="F587" s="272"/>
    </row>
    <row r="588" spans="2:6" ht="12" customHeight="1" x14ac:dyDescent="0.15">
      <c r="B588" s="274"/>
      <c r="C588" s="273"/>
      <c r="D588" s="273"/>
      <c r="E588" s="273"/>
      <c r="F588" s="272"/>
    </row>
    <row r="589" spans="2:6" ht="12" customHeight="1" x14ac:dyDescent="0.15">
      <c r="B589" s="274"/>
      <c r="C589" s="273"/>
      <c r="D589" s="273"/>
      <c r="E589" s="273"/>
      <c r="F589" s="272"/>
    </row>
    <row r="590" spans="2:6" ht="12" customHeight="1" x14ac:dyDescent="0.15">
      <c r="B590" s="274"/>
      <c r="C590" s="273"/>
      <c r="D590" s="273"/>
      <c r="E590" s="273"/>
      <c r="F590" s="272"/>
    </row>
    <row r="591" spans="2:6" ht="12" customHeight="1" x14ac:dyDescent="0.15">
      <c r="B591" s="274"/>
      <c r="C591" s="273"/>
      <c r="D591" s="273"/>
      <c r="E591" s="273"/>
      <c r="F591" s="272"/>
    </row>
    <row r="592" spans="2:6" ht="12" customHeight="1" x14ac:dyDescent="0.15">
      <c r="B592" s="274"/>
      <c r="C592" s="273"/>
      <c r="D592" s="273"/>
      <c r="E592" s="273"/>
      <c r="F592" s="272"/>
    </row>
    <row r="593" spans="2:6" ht="12" customHeight="1" x14ac:dyDescent="0.15">
      <c r="B593" s="274"/>
      <c r="C593" s="273"/>
      <c r="D593" s="273"/>
      <c r="E593" s="273"/>
      <c r="F593" s="272"/>
    </row>
    <row r="594" spans="2:6" ht="12" customHeight="1" x14ac:dyDescent="0.15">
      <c r="B594" s="274"/>
      <c r="C594" s="273"/>
      <c r="D594" s="273"/>
      <c r="E594" s="273"/>
      <c r="F594" s="272"/>
    </row>
    <row r="595" spans="2:6" ht="12" customHeight="1" x14ac:dyDescent="0.15">
      <c r="B595" s="274"/>
      <c r="C595" s="273"/>
      <c r="D595" s="273"/>
      <c r="E595" s="273"/>
      <c r="F595" s="272"/>
    </row>
    <row r="596" spans="2:6" ht="12" customHeight="1" x14ac:dyDescent="0.15">
      <c r="B596" s="274"/>
      <c r="C596" s="273"/>
      <c r="D596" s="273"/>
      <c r="E596" s="273"/>
      <c r="F596" s="272"/>
    </row>
    <row r="597" spans="2:6" ht="12" customHeight="1" x14ac:dyDescent="0.15">
      <c r="B597" s="274"/>
      <c r="C597" s="273"/>
      <c r="D597" s="273"/>
      <c r="E597" s="273"/>
      <c r="F597" s="272"/>
    </row>
    <row r="598" spans="2:6" ht="12" customHeight="1" x14ac:dyDescent="0.15">
      <c r="B598" s="274"/>
      <c r="C598" s="273"/>
      <c r="D598" s="273"/>
      <c r="E598" s="273"/>
      <c r="F598" s="272"/>
    </row>
    <row r="599" spans="2:6" ht="12" customHeight="1" x14ac:dyDescent="0.15">
      <c r="B599" s="274"/>
      <c r="C599" s="273"/>
      <c r="D599" s="273"/>
      <c r="E599" s="273"/>
      <c r="F599" s="272"/>
    </row>
    <row r="600" spans="2:6" ht="12" customHeight="1" x14ac:dyDescent="0.15">
      <c r="B600" s="274"/>
      <c r="C600" s="273"/>
      <c r="D600" s="273"/>
      <c r="E600" s="273"/>
      <c r="F600" s="272"/>
    </row>
    <row r="601" spans="2:6" ht="12" customHeight="1" x14ac:dyDescent="0.15">
      <c r="B601" s="274"/>
      <c r="C601" s="273"/>
      <c r="D601" s="273"/>
      <c r="E601" s="273"/>
      <c r="F601" s="272"/>
    </row>
    <row r="602" spans="2:6" ht="12" customHeight="1" x14ac:dyDescent="0.15">
      <c r="B602" s="274"/>
      <c r="C602" s="273"/>
      <c r="D602" s="273"/>
      <c r="E602" s="273"/>
      <c r="F602" s="272"/>
    </row>
    <row r="603" spans="2:6" ht="12" customHeight="1" x14ac:dyDescent="0.15">
      <c r="B603" s="274"/>
      <c r="C603" s="273"/>
      <c r="D603" s="273"/>
      <c r="E603" s="273"/>
      <c r="F603" s="272"/>
    </row>
    <row r="604" spans="2:6" ht="12" customHeight="1" x14ac:dyDescent="0.15">
      <c r="B604" s="274"/>
      <c r="C604" s="273"/>
      <c r="D604" s="273"/>
      <c r="E604" s="273"/>
      <c r="F604" s="272"/>
    </row>
    <row r="605" spans="2:6" ht="12" customHeight="1" x14ac:dyDescent="0.15">
      <c r="B605" s="274"/>
      <c r="C605" s="273"/>
      <c r="D605" s="273"/>
      <c r="E605" s="273"/>
      <c r="F605" s="272"/>
    </row>
    <row r="606" spans="2:6" ht="12" customHeight="1" x14ac:dyDescent="0.15">
      <c r="B606" s="274"/>
      <c r="C606" s="273"/>
      <c r="D606" s="273"/>
      <c r="E606" s="273"/>
      <c r="F606" s="272"/>
    </row>
    <row r="607" spans="2:6" ht="12" customHeight="1" x14ac:dyDescent="0.15">
      <c r="B607" s="274"/>
      <c r="C607" s="273"/>
      <c r="D607" s="273"/>
      <c r="E607" s="273"/>
      <c r="F607" s="272"/>
    </row>
    <row r="608" spans="2:6" ht="12" customHeight="1" x14ac:dyDescent="0.15">
      <c r="B608" s="274"/>
      <c r="C608" s="273"/>
      <c r="D608" s="273"/>
      <c r="E608" s="273"/>
      <c r="F608" s="272"/>
    </row>
    <row r="609" spans="2:6" ht="12" customHeight="1" x14ac:dyDescent="0.15">
      <c r="B609" s="274"/>
      <c r="C609" s="273"/>
      <c r="D609" s="273"/>
      <c r="E609" s="273"/>
      <c r="F609" s="272"/>
    </row>
    <row r="610" spans="2:6" ht="12" customHeight="1" x14ac:dyDescent="0.15">
      <c r="B610" s="274"/>
      <c r="C610" s="273"/>
      <c r="D610" s="273"/>
      <c r="E610" s="273"/>
      <c r="F610" s="272"/>
    </row>
    <row r="611" spans="2:6" ht="12" customHeight="1" x14ac:dyDescent="0.15">
      <c r="B611" s="274"/>
      <c r="C611" s="273"/>
      <c r="D611" s="273"/>
      <c r="E611" s="273"/>
      <c r="F611" s="272"/>
    </row>
    <row r="612" spans="2:6" ht="12" customHeight="1" x14ac:dyDescent="0.15">
      <c r="B612" s="274"/>
      <c r="C612" s="273"/>
      <c r="D612" s="273"/>
      <c r="E612" s="273"/>
      <c r="F612" s="272"/>
    </row>
    <row r="613" spans="2:6" ht="12" customHeight="1" x14ac:dyDescent="0.15">
      <c r="B613" s="274"/>
      <c r="C613" s="273"/>
      <c r="D613" s="273"/>
      <c r="E613" s="273"/>
      <c r="F613" s="272"/>
    </row>
    <row r="614" spans="2:6" ht="12" customHeight="1" x14ac:dyDescent="0.15">
      <c r="B614" s="274"/>
      <c r="C614" s="273"/>
      <c r="D614" s="273"/>
      <c r="E614" s="273"/>
      <c r="F614" s="272"/>
    </row>
    <row r="615" spans="2:6" ht="12" customHeight="1" x14ac:dyDescent="0.15">
      <c r="B615" s="274"/>
      <c r="C615" s="273"/>
      <c r="D615" s="273"/>
      <c r="E615" s="273"/>
      <c r="F615" s="272"/>
    </row>
    <row r="616" spans="2:6" ht="12" customHeight="1" x14ac:dyDescent="0.15">
      <c r="B616" s="274"/>
      <c r="C616" s="273"/>
      <c r="D616" s="273"/>
      <c r="E616" s="273"/>
      <c r="F616" s="272"/>
    </row>
    <row r="617" spans="2:6" ht="12" customHeight="1" x14ac:dyDescent="0.15">
      <c r="B617" s="274"/>
      <c r="C617" s="273"/>
      <c r="D617" s="273"/>
      <c r="E617" s="273"/>
      <c r="F617" s="272"/>
    </row>
    <row r="618" spans="2:6" ht="12" customHeight="1" x14ac:dyDescent="0.15">
      <c r="B618" s="274"/>
      <c r="C618" s="273"/>
      <c r="D618" s="273"/>
      <c r="E618" s="273"/>
      <c r="F618" s="272"/>
    </row>
    <row r="619" spans="2:6" ht="12" customHeight="1" x14ac:dyDescent="0.15">
      <c r="B619" s="274"/>
      <c r="C619" s="273"/>
      <c r="D619" s="273"/>
      <c r="E619" s="273"/>
      <c r="F619" s="272"/>
    </row>
    <row r="620" spans="2:6" ht="12" customHeight="1" x14ac:dyDescent="0.15">
      <c r="B620" s="274"/>
      <c r="C620" s="273"/>
      <c r="D620" s="273"/>
      <c r="E620" s="273"/>
      <c r="F620" s="272"/>
    </row>
    <row r="621" spans="2:6" ht="12" customHeight="1" x14ac:dyDescent="0.15">
      <c r="B621" s="274"/>
      <c r="C621" s="273"/>
      <c r="D621" s="273"/>
      <c r="E621" s="273"/>
      <c r="F621" s="272"/>
    </row>
    <row r="622" spans="2:6" ht="12" customHeight="1" x14ac:dyDescent="0.15">
      <c r="B622" s="274"/>
      <c r="C622" s="273"/>
      <c r="D622" s="273"/>
      <c r="E622" s="273"/>
      <c r="F622" s="272"/>
    </row>
    <row r="623" spans="2:6" ht="12" customHeight="1" x14ac:dyDescent="0.15">
      <c r="B623" s="274"/>
      <c r="C623" s="273"/>
      <c r="D623" s="273"/>
      <c r="E623" s="273"/>
      <c r="F623" s="272"/>
    </row>
    <row r="624" spans="2:6" ht="12" customHeight="1" x14ac:dyDescent="0.15">
      <c r="B624" s="274"/>
      <c r="C624" s="273"/>
      <c r="D624" s="273"/>
      <c r="E624" s="273"/>
      <c r="F624" s="272"/>
    </row>
    <row r="625" spans="2:6" ht="12" customHeight="1" x14ac:dyDescent="0.15">
      <c r="B625" s="274"/>
      <c r="C625" s="273"/>
      <c r="D625" s="273"/>
      <c r="E625" s="273"/>
      <c r="F625" s="272"/>
    </row>
    <row r="626" spans="2:6" ht="12" customHeight="1" x14ac:dyDescent="0.15">
      <c r="B626" s="274"/>
      <c r="C626" s="273"/>
      <c r="D626" s="273"/>
      <c r="E626" s="273"/>
      <c r="F626" s="272"/>
    </row>
    <row r="627" spans="2:6" ht="12" customHeight="1" x14ac:dyDescent="0.15">
      <c r="B627" s="274"/>
      <c r="C627" s="273"/>
      <c r="D627" s="273"/>
      <c r="E627" s="273"/>
      <c r="F627" s="272"/>
    </row>
    <row r="628" spans="2:6" ht="12" customHeight="1" x14ac:dyDescent="0.15">
      <c r="B628" s="274"/>
      <c r="C628" s="273"/>
      <c r="D628" s="273"/>
      <c r="E628" s="273"/>
      <c r="F628" s="272"/>
    </row>
    <row r="629" spans="2:6" ht="12" customHeight="1" x14ac:dyDescent="0.15">
      <c r="B629" s="274"/>
      <c r="C629" s="273"/>
      <c r="D629" s="273"/>
      <c r="E629" s="273"/>
      <c r="F629" s="272"/>
    </row>
    <row r="630" spans="2:6" ht="12" customHeight="1" x14ac:dyDescent="0.15">
      <c r="B630" s="274"/>
      <c r="C630" s="273"/>
      <c r="D630" s="273"/>
      <c r="E630" s="273"/>
      <c r="F630" s="272"/>
    </row>
    <row r="631" spans="2:6" ht="12" customHeight="1" x14ac:dyDescent="0.15">
      <c r="B631" s="274"/>
      <c r="C631" s="273"/>
      <c r="D631" s="273"/>
      <c r="E631" s="273"/>
      <c r="F631" s="272"/>
    </row>
    <row r="632" spans="2:6" ht="12" customHeight="1" x14ac:dyDescent="0.15">
      <c r="B632" s="274"/>
      <c r="C632" s="273"/>
      <c r="D632" s="273"/>
      <c r="E632" s="273"/>
      <c r="F632" s="272"/>
    </row>
    <row r="633" spans="2:6" ht="12" customHeight="1" x14ac:dyDescent="0.15">
      <c r="B633" s="274"/>
      <c r="C633" s="273"/>
      <c r="D633" s="273"/>
      <c r="E633" s="273"/>
      <c r="F633" s="272"/>
    </row>
    <row r="634" spans="2:6" ht="12" customHeight="1" x14ac:dyDescent="0.15">
      <c r="B634" s="274"/>
      <c r="C634" s="273"/>
      <c r="D634" s="273"/>
      <c r="E634" s="273"/>
      <c r="F634" s="272"/>
    </row>
    <row r="635" spans="2:6" ht="12" customHeight="1" x14ac:dyDescent="0.15">
      <c r="B635" s="274"/>
      <c r="C635" s="273"/>
      <c r="D635" s="273"/>
      <c r="E635" s="273"/>
      <c r="F635" s="272"/>
    </row>
    <row r="636" spans="2:6" ht="12" customHeight="1" x14ac:dyDescent="0.15">
      <c r="B636" s="274"/>
      <c r="C636" s="273"/>
      <c r="D636" s="273"/>
      <c r="E636" s="273"/>
      <c r="F636" s="272"/>
    </row>
    <row r="637" spans="2:6" ht="12" customHeight="1" x14ac:dyDescent="0.15">
      <c r="B637" s="274"/>
      <c r="C637" s="273"/>
      <c r="D637" s="273"/>
      <c r="E637" s="273"/>
      <c r="F637" s="272"/>
    </row>
    <row r="638" spans="2:6" ht="12" customHeight="1" x14ac:dyDescent="0.15">
      <c r="B638" s="274"/>
      <c r="C638" s="273"/>
      <c r="D638" s="273"/>
      <c r="E638" s="273"/>
      <c r="F638" s="272"/>
    </row>
    <row r="639" spans="2:6" ht="12" customHeight="1" x14ac:dyDescent="0.15">
      <c r="B639" s="274"/>
      <c r="C639" s="273"/>
      <c r="D639" s="273"/>
      <c r="E639" s="273"/>
      <c r="F639" s="272"/>
    </row>
    <row r="640" spans="2:6" ht="12" customHeight="1" x14ac:dyDescent="0.15">
      <c r="B640" s="274"/>
      <c r="C640" s="273"/>
      <c r="D640" s="273"/>
      <c r="E640" s="273"/>
      <c r="F640" s="272"/>
    </row>
    <row r="641" spans="2:6" ht="12" customHeight="1" x14ac:dyDescent="0.15">
      <c r="B641" s="274"/>
      <c r="C641" s="273"/>
      <c r="D641" s="273"/>
      <c r="E641" s="273"/>
      <c r="F641" s="272"/>
    </row>
    <row r="642" spans="2:6" ht="12" customHeight="1" x14ac:dyDescent="0.15">
      <c r="B642" s="274"/>
      <c r="C642" s="273"/>
      <c r="D642" s="273"/>
      <c r="E642" s="273"/>
      <c r="F642" s="272"/>
    </row>
    <row r="643" spans="2:6" ht="12" customHeight="1" x14ac:dyDescent="0.15">
      <c r="B643" s="274"/>
      <c r="C643" s="273"/>
      <c r="D643" s="273"/>
      <c r="E643" s="273"/>
      <c r="F643" s="272"/>
    </row>
    <row r="644" spans="2:6" ht="12" customHeight="1" x14ac:dyDescent="0.15">
      <c r="B644" s="274"/>
      <c r="C644" s="273"/>
      <c r="D644" s="273"/>
      <c r="E644" s="273"/>
      <c r="F644" s="272"/>
    </row>
    <row r="645" spans="2:6" ht="12" customHeight="1" x14ac:dyDescent="0.15">
      <c r="B645" s="274"/>
      <c r="C645" s="273"/>
      <c r="D645" s="273"/>
      <c r="E645" s="273"/>
      <c r="F645" s="272"/>
    </row>
    <row r="646" spans="2:6" ht="12" customHeight="1" x14ac:dyDescent="0.15">
      <c r="B646" s="274"/>
      <c r="C646" s="273"/>
      <c r="D646" s="273"/>
      <c r="E646" s="273"/>
      <c r="F646" s="272"/>
    </row>
    <row r="647" spans="2:6" ht="12" customHeight="1" x14ac:dyDescent="0.15">
      <c r="B647" s="274"/>
      <c r="C647" s="273"/>
      <c r="D647" s="273"/>
      <c r="E647" s="273"/>
      <c r="F647" s="272"/>
    </row>
    <row r="648" spans="2:6" ht="12" customHeight="1" x14ac:dyDescent="0.15">
      <c r="B648" s="274"/>
      <c r="C648" s="273"/>
      <c r="D648" s="273"/>
      <c r="E648" s="273"/>
      <c r="F648" s="272"/>
    </row>
    <row r="649" spans="2:6" ht="12" customHeight="1" x14ac:dyDescent="0.15">
      <c r="B649" s="274"/>
      <c r="C649" s="273"/>
      <c r="D649" s="273"/>
      <c r="E649" s="273"/>
      <c r="F649" s="272"/>
    </row>
    <row r="650" spans="2:6" ht="12" customHeight="1" x14ac:dyDescent="0.15">
      <c r="B650" s="274"/>
      <c r="C650" s="273"/>
      <c r="D650" s="273"/>
      <c r="E650" s="273"/>
      <c r="F650" s="272"/>
    </row>
    <row r="651" spans="2:6" ht="12" customHeight="1" x14ac:dyDescent="0.15">
      <c r="B651" s="274"/>
      <c r="C651" s="273"/>
      <c r="D651" s="273"/>
      <c r="E651" s="273"/>
      <c r="F651" s="272"/>
    </row>
    <row r="652" spans="2:6" ht="12" customHeight="1" x14ac:dyDescent="0.15">
      <c r="B652" s="274"/>
      <c r="C652" s="273"/>
      <c r="D652" s="273"/>
      <c r="E652" s="273"/>
      <c r="F652" s="272"/>
    </row>
    <row r="653" spans="2:6" ht="12" customHeight="1" x14ac:dyDescent="0.15">
      <c r="B653" s="274"/>
      <c r="C653" s="273"/>
      <c r="D653" s="273"/>
      <c r="E653" s="273"/>
      <c r="F653" s="272"/>
    </row>
    <row r="654" spans="2:6" ht="12" customHeight="1" x14ac:dyDescent="0.15">
      <c r="B654" s="274"/>
      <c r="C654" s="273"/>
      <c r="D654" s="273"/>
      <c r="E654" s="273"/>
      <c r="F654" s="272"/>
    </row>
    <row r="655" spans="2:6" ht="12" customHeight="1" x14ac:dyDescent="0.15">
      <c r="B655" s="274"/>
      <c r="C655" s="273"/>
      <c r="D655" s="273"/>
      <c r="E655" s="273"/>
      <c r="F655" s="272"/>
    </row>
    <row r="656" spans="2:6" ht="12" customHeight="1" x14ac:dyDescent="0.15">
      <c r="B656" s="274"/>
      <c r="C656" s="273"/>
      <c r="D656" s="273"/>
      <c r="E656" s="273"/>
      <c r="F656" s="272"/>
    </row>
    <row r="657" spans="2:6" ht="12" customHeight="1" x14ac:dyDescent="0.15">
      <c r="B657" s="274"/>
      <c r="C657" s="273"/>
      <c r="D657" s="273"/>
      <c r="E657" s="273"/>
      <c r="F657" s="272"/>
    </row>
    <row r="658" spans="2:6" ht="12" customHeight="1" x14ac:dyDescent="0.15">
      <c r="B658" s="274"/>
      <c r="C658" s="273"/>
      <c r="D658" s="273"/>
      <c r="E658" s="273"/>
      <c r="F658" s="272"/>
    </row>
    <row r="659" spans="2:6" ht="12" customHeight="1" x14ac:dyDescent="0.15">
      <c r="B659" s="274"/>
      <c r="C659" s="273"/>
      <c r="D659" s="273"/>
      <c r="E659" s="273"/>
      <c r="F659" s="272"/>
    </row>
    <row r="660" spans="2:6" ht="12" customHeight="1" x14ac:dyDescent="0.15">
      <c r="B660" s="274"/>
      <c r="C660" s="273"/>
      <c r="D660" s="273"/>
      <c r="E660" s="273"/>
      <c r="F660" s="272"/>
    </row>
    <row r="661" spans="2:6" ht="12" customHeight="1" x14ac:dyDescent="0.15">
      <c r="B661" s="274"/>
      <c r="C661" s="273"/>
      <c r="D661" s="273"/>
      <c r="E661" s="273"/>
      <c r="F661" s="272"/>
    </row>
    <row r="662" spans="2:6" ht="12" customHeight="1" x14ac:dyDescent="0.15">
      <c r="B662" s="274"/>
      <c r="C662" s="273"/>
      <c r="D662" s="273"/>
      <c r="E662" s="273"/>
      <c r="F662" s="272"/>
    </row>
    <row r="663" spans="2:6" ht="12" customHeight="1" x14ac:dyDescent="0.15">
      <c r="B663" s="274"/>
      <c r="C663" s="273"/>
      <c r="D663" s="273"/>
      <c r="E663" s="273"/>
      <c r="F663" s="272"/>
    </row>
    <row r="664" spans="2:6" ht="12" customHeight="1" x14ac:dyDescent="0.15">
      <c r="B664" s="274"/>
      <c r="C664" s="273"/>
      <c r="D664" s="273"/>
      <c r="E664" s="273"/>
      <c r="F664" s="272"/>
    </row>
    <row r="665" spans="2:6" ht="12" customHeight="1" x14ac:dyDescent="0.15">
      <c r="B665" s="274"/>
      <c r="C665" s="273"/>
      <c r="D665" s="273"/>
      <c r="E665" s="273"/>
      <c r="F665" s="272"/>
    </row>
    <row r="666" spans="2:6" ht="12" customHeight="1" x14ac:dyDescent="0.15">
      <c r="B666" s="274"/>
      <c r="C666" s="273"/>
      <c r="D666" s="273"/>
      <c r="E666" s="273"/>
      <c r="F666" s="272"/>
    </row>
    <row r="667" spans="2:6" ht="12" customHeight="1" x14ac:dyDescent="0.15">
      <c r="B667" s="274"/>
      <c r="C667" s="273"/>
      <c r="D667" s="273"/>
      <c r="E667" s="273"/>
      <c r="F667" s="272"/>
    </row>
    <row r="668" spans="2:6" ht="12" customHeight="1" x14ac:dyDescent="0.15">
      <c r="B668" s="274"/>
      <c r="C668" s="273"/>
      <c r="D668" s="273"/>
      <c r="E668" s="273"/>
      <c r="F668" s="272"/>
    </row>
    <row r="669" spans="2:6" ht="12" customHeight="1" x14ac:dyDescent="0.15">
      <c r="B669" s="274"/>
      <c r="C669" s="273"/>
      <c r="D669" s="273"/>
      <c r="E669" s="273"/>
      <c r="F669" s="272"/>
    </row>
    <row r="670" spans="2:6" ht="12" customHeight="1" x14ac:dyDescent="0.15">
      <c r="B670" s="274"/>
      <c r="C670" s="273"/>
      <c r="D670" s="273"/>
      <c r="E670" s="273"/>
      <c r="F670" s="272"/>
    </row>
    <row r="671" spans="2:6" ht="12" customHeight="1" x14ac:dyDescent="0.15">
      <c r="B671" s="274"/>
      <c r="C671" s="273"/>
      <c r="D671" s="273"/>
      <c r="E671" s="273"/>
      <c r="F671" s="272"/>
    </row>
    <row r="672" spans="2:6" ht="12" customHeight="1" x14ac:dyDescent="0.15">
      <c r="B672" s="274"/>
      <c r="C672" s="273"/>
      <c r="D672" s="273"/>
      <c r="E672" s="273"/>
      <c r="F672" s="272"/>
    </row>
    <row r="673" spans="2:6" ht="12" customHeight="1" x14ac:dyDescent="0.15">
      <c r="B673" s="274"/>
      <c r="C673" s="273"/>
      <c r="D673" s="273"/>
      <c r="E673" s="273"/>
      <c r="F673" s="272"/>
    </row>
    <row r="674" spans="2:6" ht="12" customHeight="1" x14ac:dyDescent="0.15">
      <c r="B674" s="274"/>
      <c r="C674" s="273"/>
      <c r="D674" s="273"/>
      <c r="E674" s="273"/>
      <c r="F674" s="272"/>
    </row>
    <row r="675" spans="2:6" ht="12" customHeight="1" x14ac:dyDescent="0.15">
      <c r="B675" s="274"/>
      <c r="C675" s="273"/>
      <c r="D675" s="273"/>
      <c r="E675" s="273"/>
      <c r="F675" s="272"/>
    </row>
    <row r="676" spans="2:6" ht="12" customHeight="1" x14ac:dyDescent="0.15">
      <c r="B676" s="274"/>
      <c r="C676" s="273"/>
      <c r="D676" s="273"/>
      <c r="E676" s="273"/>
      <c r="F676" s="272"/>
    </row>
    <row r="677" spans="2:6" ht="12" customHeight="1" x14ac:dyDescent="0.15">
      <c r="B677" s="274"/>
      <c r="C677" s="273"/>
      <c r="D677" s="273"/>
      <c r="E677" s="273"/>
      <c r="F677" s="272"/>
    </row>
    <row r="678" spans="2:6" ht="12" customHeight="1" x14ac:dyDescent="0.15">
      <c r="B678" s="274"/>
      <c r="C678" s="273"/>
      <c r="D678" s="273"/>
      <c r="E678" s="273"/>
      <c r="F678" s="272"/>
    </row>
    <row r="679" spans="2:6" ht="12" customHeight="1" x14ac:dyDescent="0.15">
      <c r="B679" s="274"/>
      <c r="C679" s="273"/>
      <c r="D679" s="273"/>
      <c r="E679" s="273"/>
      <c r="F679" s="272"/>
    </row>
    <row r="680" spans="2:6" ht="12" customHeight="1" x14ac:dyDescent="0.15">
      <c r="B680" s="274"/>
      <c r="C680" s="273"/>
      <c r="D680" s="273"/>
      <c r="E680" s="273"/>
      <c r="F680" s="272"/>
    </row>
    <row r="681" spans="2:6" ht="12" customHeight="1" x14ac:dyDescent="0.15">
      <c r="B681" s="274"/>
      <c r="C681" s="273"/>
      <c r="D681" s="273"/>
      <c r="E681" s="273"/>
      <c r="F681" s="272"/>
    </row>
    <row r="682" spans="2:6" ht="12" customHeight="1" x14ac:dyDescent="0.15">
      <c r="B682" s="274"/>
      <c r="C682" s="273"/>
      <c r="D682" s="273"/>
      <c r="E682" s="273"/>
      <c r="F682" s="272"/>
    </row>
    <row r="683" spans="2:6" ht="12" customHeight="1" x14ac:dyDescent="0.15">
      <c r="B683" s="274"/>
      <c r="C683" s="273"/>
      <c r="D683" s="273"/>
      <c r="E683" s="273"/>
      <c r="F683" s="272"/>
    </row>
    <row r="684" spans="2:6" ht="12" customHeight="1" x14ac:dyDescent="0.15">
      <c r="B684" s="274"/>
      <c r="C684" s="273"/>
      <c r="D684" s="273"/>
      <c r="E684" s="273"/>
      <c r="F684" s="272"/>
    </row>
    <row r="685" spans="2:6" ht="12" customHeight="1" x14ac:dyDescent="0.15">
      <c r="B685" s="274"/>
      <c r="C685" s="273"/>
      <c r="D685" s="273"/>
      <c r="E685" s="273"/>
      <c r="F685" s="272"/>
    </row>
    <row r="686" spans="2:6" ht="12" customHeight="1" x14ac:dyDescent="0.15">
      <c r="B686" s="274"/>
      <c r="C686" s="273"/>
      <c r="D686" s="273"/>
      <c r="E686" s="273"/>
      <c r="F686" s="272"/>
    </row>
    <row r="687" spans="2:6" ht="12" customHeight="1" x14ac:dyDescent="0.15">
      <c r="B687" s="274"/>
      <c r="C687" s="273"/>
      <c r="D687" s="273"/>
      <c r="E687" s="273"/>
      <c r="F687" s="272"/>
    </row>
    <row r="688" spans="2:6" ht="12" customHeight="1" x14ac:dyDescent="0.15">
      <c r="B688" s="274"/>
      <c r="C688" s="273"/>
      <c r="D688" s="273"/>
      <c r="E688" s="273"/>
      <c r="F688" s="272"/>
    </row>
    <row r="689" spans="2:6" ht="12" customHeight="1" x14ac:dyDescent="0.15">
      <c r="B689" s="274"/>
      <c r="C689" s="273"/>
      <c r="D689" s="273"/>
      <c r="E689" s="273"/>
      <c r="F689" s="272"/>
    </row>
    <row r="690" spans="2:6" ht="12" customHeight="1" x14ac:dyDescent="0.15">
      <c r="B690" s="274"/>
      <c r="C690" s="273"/>
      <c r="D690" s="273"/>
      <c r="E690" s="273"/>
      <c r="F690" s="272"/>
    </row>
    <row r="691" spans="2:6" ht="12" customHeight="1" x14ac:dyDescent="0.15">
      <c r="B691" s="274"/>
      <c r="C691" s="273"/>
      <c r="D691" s="273"/>
      <c r="E691" s="273"/>
      <c r="F691" s="272"/>
    </row>
    <row r="692" spans="2:6" ht="12" customHeight="1" x14ac:dyDescent="0.15">
      <c r="B692" s="274"/>
      <c r="C692" s="273"/>
      <c r="D692" s="273"/>
      <c r="E692" s="273"/>
      <c r="F692" s="272"/>
    </row>
    <row r="693" spans="2:6" ht="12" customHeight="1" x14ac:dyDescent="0.15">
      <c r="B693" s="274"/>
      <c r="C693" s="273"/>
      <c r="D693" s="273"/>
      <c r="E693" s="273"/>
      <c r="F693" s="272"/>
    </row>
    <row r="694" spans="2:6" ht="12" customHeight="1" x14ac:dyDescent="0.15">
      <c r="B694" s="274"/>
      <c r="C694" s="273"/>
      <c r="D694" s="273"/>
      <c r="E694" s="273"/>
      <c r="F694" s="272"/>
    </row>
    <row r="695" spans="2:6" ht="12" customHeight="1" x14ac:dyDescent="0.15">
      <c r="B695" s="274"/>
      <c r="C695" s="273"/>
      <c r="D695" s="273"/>
      <c r="E695" s="273"/>
      <c r="F695" s="272"/>
    </row>
    <row r="696" spans="2:6" ht="12" customHeight="1" x14ac:dyDescent="0.15">
      <c r="B696" s="274"/>
      <c r="C696" s="273"/>
      <c r="D696" s="273"/>
      <c r="E696" s="273"/>
      <c r="F696" s="272"/>
    </row>
    <row r="697" spans="2:6" ht="12" customHeight="1" x14ac:dyDescent="0.15">
      <c r="B697" s="274"/>
      <c r="C697" s="273"/>
      <c r="D697" s="273"/>
      <c r="E697" s="273"/>
      <c r="F697" s="272"/>
    </row>
    <row r="698" spans="2:6" ht="12" customHeight="1" x14ac:dyDescent="0.15">
      <c r="B698" s="274"/>
      <c r="C698" s="273"/>
      <c r="D698" s="273"/>
      <c r="E698" s="273"/>
      <c r="F698" s="272"/>
    </row>
    <row r="699" spans="2:6" ht="12" customHeight="1" x14ac:dyDescent="0.15">
      <c r="B699" s="274"/>
      <c r="C699" s="273"/>
      <c r="D699" s="273"/>
      <c r="E699" s="273"/>
      <c r="F699" s="272"/>
    </row>
    <row r="700" spans="2:6" ht="12" customHeight="1" x14ac:dyDescent="0.15">
      <c r="B700" s="274"/>
      <c r="C700" s="273"/>
      <c r="D700" s="273"/>
      <c r="E700" s="273"/>
      <c r="F700" s="272"/>
    </row>
    <row r="701" spans="2:6" ht="12" customHeight="1" x14ac:dyDescent="0.15">
      <c r="B701" s="274"/>
      <c r="C701" s="273"/>
      <c r="D701" s="273"/>
      <c r="E701" s="273"/>
      <c r="F701" s="272"/>
    </row>
    <row r="702" spans="2:6" ht="12" customHeight="1" x14ac:dyDescent="0.15">
      <c r="B702" s="274"/>
      <c r="C702" s="273"/>
      <c r="D702" s="273"/>
      <c r="E702" s="273"/>
      <c r="F702" s="272"/>
    </row>
    <row r="703" spans="2:6" ht="12" customHeight="1" x14ac:dyDescent="0.15">
      <c r="B703" s="274"/>
      <c r="C703" s="273"/>
      <c r="D703" s="273"/>
      <c r="E703" s="273"/>
      <c r="F703" s="272"/>
    </row>
    <row r="704" spans="2:6" ht="12" customHeight="1" x14ac:dyDescent="0.15">
      <c r="B704" s="274"/>
      <c r="C704" s="273"/>
      <c r="D704" s="273"/>
      <c r="E704" s="273"/>
      <c r="F704" s="272"/>
    </row>
    <row r="705" spans="2:6" ht="12" customHeight="1" x14ac:dyDescent="0.15">
      <c r="B705" s="274"/>
      <c r="C705" s="273"/>
      <c r="D705" s="273"/>
      <c r="E705" s="273"/>
      <c r="F705" s="272"/>
    </row>
    <row r="706" spans="2:6" ht="12" customHeight="1" x14ac:dyDescent="0.15">
      <c r="B706" s="274"/>
      <c r="C706" s="273"/>
      <c r="D706" s="273"/>
      <c r="E706" s="273"/>
      <c r="F706" s="272"/>
    </row>
    <row r="707" spans="2:6" ht="12" customHeight="1" x14ac:dyDescent="0.15">
      <c r="B707" s="274"/>
      <c r="C707" s="273"/>
      <c r="D707" s="273"/>
      <c r="E707" s="273"/>
      <c r="F707" s="272"/>
    </row>
    <row r="708" spans="2:6" ht="12" customHeight="1" x14ac:dyDescent="0.15">
      <c r="B708" s="274"/>
      <c r="C708" s="273"/>
      <c r="D708" s="273"/>
      <c r="E708" s="273"/>
      <c r="F708" s="272"/>
    </row>
    <row r="709" spans="2:6" ht="12" customHeight="1" x14ac:dyDescent="0.15">
      <c r="B709" s="274"/>
      <c r="C709" s="273"/>
      <c r="D709" s="273"/>
      <c r="E709" s="273"/>
      <c r="F709" s="272"/>
    </row>
    <row r="710" spans="2:6" ht="12" customHeight="1" x14ac:dyDescent="0.15">
      <c r="B710" s="274"/>
      <c r="C710" s="273"/>
      <c r="D710" s="273"/>
      <c r="E710" s="273"/>
      <c r="F710" s="272"/>
    </row>
    <row r="711" spans="2:6" ht="12" customHeight="1" x14ac:dyDescent="0.15">
      <c r="B711" s="274"/>
      <c r="C711" s="273"/>
      <c r="D711" s="273"/>
      <c r="E711" s="273"/>
      <c r="F711" s="272"/>
    </row>
    <row r="712" spans="2:6" ht="12" customHeight="1" x14ac:dyDescent="0.15">
      <c r="B712" s="274"/>
      <c r="C712" s="273"/>
      <c r="D712" s="273"/>
      <c r="E712" s="273"/>
      <c r="F712" s="272"/>
    </row>
    <row r="713" spans="2:6" ht="12" customHeight="1" x14ac:dyDescent="0.15">
      <c r="B713" s="274"/>
      <c r="C713" s="273"/>
      <c r="D713" s="273"/>
      <c r="E713" s="273"/>
      <c r="F713" s="272"/>
    </row>
    <row r="714" spans="2:6" ht="12" customHeight="1" x14ac:dyDescent="0.15">
      <c r="B714" s="274"/>
      <c r="C714" s="273"/>
      <c r="D714" s="273"/>
      <c r="E714" s="273"/>
      <c r="F714" s="272"/>
    </row>
    <row r="715" spans="2:6" ht="12" customHeight="1" x14ac:dyDescent="0.15">
      <c r="B715" s="274"/>
      <c r="C715" s="273"/>
      <c r="D715" s="273"/>
      <c r="E715" s="273"/>
      <c r="F715" s="272"/>
    </row>
    <row r="716" spans="2:6" ht="12" customHeight="1" x14ac:dyDescent="0.15">
      <c r="B716" s="274"/>
      <c r="C716" s="273"/>
      <c r="D716" s="273"/>
      <c r="E716" s="273"/>
      <c r="F716" s="272"/>
    </row>
    <row r="717" spans="2:6" ht="12" customHeight="1" x14ac:dyDescent="0.15">
      <c r="B717" s="274"/>
      <c r="C717" s="273"/>
      <c r="D717" s="273"/>
      <c r="E717" s="273"/>
      <c r="F717" s="272"/>
    </row>
    <row r="718" spans="2:6" ht="12" customHeight="1" x14ac:dyDescent="0.15">
      <c r="B718" s="274"/>
      <c r="C718" s="273"/>
      <c r="D718" s="273"/>
      <c r="E718" s="273"/>
      <c r="F718" s="272"/>
    </row>
    <row r="719" spans="2:6" ht="12" customHeight="1" x14ac:dyDescent="0.15">
      <c r="B719" s="274"/>
      <c r="C719" s="273"/>
      <c r="D719" s="273"/>
      <c r="E719" s="273"/>
      <c r="F719" s="272"/>
    </row>
    <row r="720" spans="2:6" ht="12" customHeight="1" x14ac:dyDescent="0.15">
      <c r="B720" s="274"/>
      <c r="C720" s="273"/>
      <c r="D720" s="273"/>
      <c r="E720" s="273"/>
      <c r="F720" s="272"/>
    </row>
    <row r="721" spans="2:6" ht="12" customHeight="1" x14ac:dyDescent="0.15">
      <c r="B721" s="274"/>
      <c r="C721" s="273"/>
      <c r="D721" s="273"/>
      <c r="E721" s="273"/>
      <c r="F721" s="272"/>
    </row>
    <row r="722" spans="2:6" ht="12" customHeight="1" x14ac:dyDescent="0.15">
      <c r="B722" s="274"/>
      <c r="C722" s="273"/>
      <c r="D722" s="273"/>
      <c r="E722" s="273"/>
      <c r="F722" s="272"/>
    </row>
    <row r="723" spans="2:6" ht="12" customHeight="1" x14ac:dyDescent="0.15">
      <c r="B723" s="274"/>
      <c r="C723" s="273"/>
      <c r="D723" s="273"/>
      <c r="E723" s="273"/>
      <c r="F723" s="272"/>
    </row>
    <row r="724" spans="2:6" ht="12" customHeight="1" x14ac:dyDescent="0.15">
      <c r="B724" s="274"/>
      <c r="C724" s="273"/>
      <c r="D724" s="273"/>
      <c r="E724" s="273"/>
      <c r="F724" s="272"/>
    </row>
    <row r="725" spans="2:6" ht="12" customHeight="1" x14ac:dyDescent="0.15">
      <c r="B725" s="274"/>
      <c r="C725" s="273"/>
      <c r="D725" s="273"/>
      <c r="E725" s="273"/>
      <c r="F725" s="272"/>
    </row>
    <row r="726" spans="2:6" ht="12" customHeight="1" x14ac:dyDescent="0.15">
      <c r="B726" s="274"/>
      <c r="C726" s="273"/>
      <c r="D726" s="273"/>
      <c r="E726" s="273"/>
      <c r="F726" s="272"/>
    </row>
    <row r="727" spans="2:6" ht="12" customHeight="1" x14ac:dyDescent="0.15">
      <c r="B727" s="274"/>
      <c r="C727" s="273"/>
      <c r="D727" s="273"/>
      <c r="E727" s="273"/>
      <c r="F727" s="272"/>
    </row>
    <row r="728" spans="2:6" ht="12" customHeight="1" x14ac:dyDescent="0.15">
      <c r="B728" s="274"/>
      <c r="C728" s="273"/>
      <c r="D728" s="273"/>
      <c r="E728" s="273"/>
      <c r="F728" s="272"/>
    </row>
    <row r="729" spans="2:6" ht="12" customHeight="1" x14ac:dyDescent="0.15">
      <c r="B729" s="274"/>
      <c r="C729" s="273"/>
      <c r="D729" s="273"/>
      <c r="E729" s="273"/>
      <c r="F729" s="272"/>
    </row>
    <row r="730" spans="2:6" ht="12" customHeight="1" x14ac:dyDescent="0.15">
      <c r="B730" s="274"/>
      <c r="C730" s="273"/>
      <c r="D730" s="273"/>
      <c r="E730" s="273"/>
      <c r="F730" s="272"/>
    </row>
    <row r="731" spans="2:6" ht="12" customHeight="1" x14ac:dyDescent="0.15">
      <c r="B731" s="274"/>
      <c r="C731" s="273"/>
      <c r="D731" s="273"/>
      <c r="E731" s="273"/>
      <c r="F731" s="272"/>
    </row>
    <row r="732" spans="2:6" ht="12" customHeight="1" x14ac:dyDescent="0.15">
      <c r="B732" s="274"/>
      <c r="C732" s="273"/>
      <c r="D732" s="273"/>
      <c r="E732" s="273"/>
      <c r="F732" s="272"/>
    </row>
    <row r="733" spans="2:6" ht="12" customHeight="1" x14ac:dyDescent="0.15">
      <c r="B733" s="274"/>
      <c r="C733" s="273"/>
      <c r="D733" s="273"/>
      <c r="E733" s="273"/>
      <c r="F733" s="272"/>
    </row>
    <row r="734" spans="2:6" ht="12" customHeight="1" x14ac:dyDescent="0.15">
      <c r="B734" s="274"/>
      <c r="C734" s="273"/>
      <c r="D734" s="273"/>
      <c r="E734" s="273"/>
      <c r="F734" s="272"/>
    </row>
    <row r="735" spans="2:6" ht="12" customHeight="1" x14ac:dyDescent="0.15">
      <c r="B735" s="274"/>
      <c r="C735" s="273"/>
      <c r="D735" s="273"/>
      <c r="E735" s="273"/>
      <c r="F735" s="272"/>
    </row>
    <row r="736" spans="2:6" ht="12" customHeight="1" x14ac:dyDescent="0.15">
      <c r="B736" s="274"/>
      <c r="C736" s="273"/>
      <c r="D736" s="273"/>
      <c r="E736" s="273"/>
      <c r="F736" s="272"/>
    </row>
    <row r="737" spans="2:6" ht="12" customHeight="1" x14ac:dyDescent="0.15">
      <c r="B737" s="274"/>
      <c r="C737" s="273"/>
      <c r="D737" s="273"/>
      <c r="E737" s="273"/>
      <c r="F737" s="272"/>
    </row>
    <row r="738" spans="2:6" ht="12" customHeight="1" x14ac:dyDescent="0.15">
      <c r="B738" s="274"/>
      <c r="C738" s="273"/>
      <c r="D738" s="273"/>
      <c r="E738" s="273"/>
      <c r="F738" s="272"/>
    </row>
    <row r="739" spans="2:6" ht="12" customHeight="1" x14ac:dyDescent="0.15">
      <c r="B739" s="274"/>
      <c r="C739" s="273"/>
      <c r="D739" s="273"/>
      <c r="E739" s="273"/>
      <c r="F739" s="272"/>
    </row>
    <row r="740" spans="2:6" ht="12" customHeight="1" x14ac:dyDescent="0.15">
      <c r="B740" s="274"/>
      <c r="C740" s="273"/>
      <c r="D740" s="273"/>
      <c r="E740" s="273"/>
      <c r="F740" s="272"/>
    </row>
    <row r="741" spans="2:6" ht="12" customHeight="1" x14ac:dyDescent="0.15">
      <c r="B741" s="274"/>
      <c r="C741" s="273"/>
      <c r="D741" s="273"/>
      <c r="E741" s="273"/>
      <c r="F741" s="272"/>
    </row>
    <row r="742" spans="2:6" ht="12" customHeight="1" x14ac:dyDescent="0.15">
      <c r="B742" s="274"/>
      <c r="C742" s="273"/>
      <c r="D742" s="273"/>
      <c r="E742" s="273"/>
      <c r="F742" s="272"/>
    </row>
    <row r="743" spans="2:6" ht="12" customHeight="1" x14ac:dyDescent="0.15">
      <c r="B743" s="274"/>
      <c r="C743" s="273"/>
      <c r="D743" s="273"/>
      <c r="E743" s="273"/>
      <c r="F743" s="272"/>
    </row>
    <row r="744" spans="2:6" ht="12" customHeight="1" x14ac:dyDescent="0.15">
      <c r="B744" s="274"/>
      <c r="C744" s="273"/>
      <c r="D744" s="273"/>
      <c r="E744" s="273"/>
      <c r="F744" s="272"/>
    </row>
    <row r="745" spans="2:6" ht="12" customHeight="1" x14ac:dyDescent="0.15">
      <c r="B745" s="274"/>
      <c r="C745" s="273"/>
      <c r="D745" s="273"/>
      <c r="E745" s="273"/>
      <c r="F745" s="272"/>
    </row>
    <row r="746" spans="2:6" ht="12" customHeight="1" x14ac:dyDescent="0.15">
      <c r="B746" s="274"/>
      <c r="C746" s="273"/>
      <c r="D746" s="273"/>
      <c r="E746" s="273"/>
      <c r="F746" s="272"/>
    </row>
    <row r="747" spans="2:6" ht="12" customHeight="1" x14ac:dyDescent="0.15">
      <c r="B747" s="274"/>
      <c r="C747" s="273"/>
      <c r="D747" s="273"/>
      <c r="E747" s="273"/>
      <c r="F747" s="272"/>
    </row>
    <row r="748" spans="2:6" ht="12" customHeight="1" x14ac:dyDescent="0.15">
      <c r="B748" s="274"/>
      <c r="C748" s="273"/>
      <c r="D748" s="273"/>
      <c r="E748" s="273"/>
      <c r="F748" s="272"/>
    </row>
    <row r="749" spans="2:6" ht="12" customHeight="1" x14ac:dyDescent="0.15">
      <c r="B749" s="274"/>
      <c r="C749" s="273"/>
      <c r="D749" s="273"/>
      <c r="E749" s="273"/>
      <c r="F749" s="272"/>
    </row>
    <row r="750" spans="2:6" ht="12" customHeight="1" x14ac:dyDescent="0.15">
      <c r="B750" s="274"/>
      <c r="C750" s="273"/>
      <c r="D750" s="273"/>
      <c r="E750" s="273"/>
      <c r="F750" s="272"/>
    </row>
    <row r="751" spans="2:6" ht="12" customHeight="1" x14ac:dyDescent="0.15">
      <c r="B751" s="274"/>
      <c r="C751" s="273"/>
      <c r="D751" s="273"/>
      <c r="E751" s="273"/>
      <c r="F751" s="272"/>
    </row>
    <row r="752" spans="2:6" ht="12" customHeight="1" x14ac:dyDescent="0.15">
      <c r="B752" s="274"/>
      <c r="C752" s="273"/>
      <c r="D752" s="273"/>
      <c r="E752" s="273"/>
      <c r="F752" s="272"/>
    </row>
    <row r="753" spans="2:6" ht="12" customHeight="1" x14ac:dyDescent="0.15">
      <c r="B753" s="274"/>
      <c r="C753" s="273"/>
      <c r="D753" s="273"/>
      <c r="E753" s="273"/>
      <c r="F753" s="272"/>
    </row>
    <row r="754" spans="2:6" ht="12" customHeight="1" x14ac:dyDescent="0.15">
      <c r="B754" s="274"/>
      <c r="C754" s="273"/>
      <c r="D754" s="273"/>
      <c r="E754" s="273"/>
      <c r="F754" s="272"/>
    </row>
    <row r="755" spans="2:6" ht="12" customHeight="1" x14ac:dyDescent="0.15">
      <c r="B755" s="274"/>
      <c r="C755" s="273"/>
      <c r="D755" s="273"/>
      <c r="E755" s="273"/>
      <c r="F755" s="272"/>
    </row>
    <row r="756" spans="2:6" ht="12" customHeight="1" x14ac:dyDescent="0.15">
      <c r="B756" s="274"/>
      <c r="C756" s="273"/>
      <c r="D756" s="273"/>
      <c r="E756" s="273"/>
      <c r="F756" s="272"/>
    </row>
    <row r="757" spans="2:6" ht="12" customHeight="1" x14ac:dyDescent="0.15">
      <c r="B757" s="274"/>
      <c r="C757" s="273"/>
      <c r="D757" s="273"/>
      <c r="E757" s="273"/>
      <c r="F757" s="272"/>
    </row>
    <row r="758" spans="2:6" ht="12" customHeight="1" x14ac:dyDescent="0.15">
      <c r="B758" s="274"/>
      <c r="C758" s="273"/>
      <c r="D758" s="273"/>
      <c r="E758" s="273"/>
      <c r="F758" s="272"/>
    </row>
    <row r="759" spans="2:6" ht="12" customHeight="1" x14ac:dyDescent="0.15">
      <c r="B759" s="274"/>
      <c r="C759" s="273"/>
      <c r="D759" s="273"/>
      <c r="E759" s="273"/>
      <c r="F759" s="272"/>
    </row>
    <row r="760" spans="2:6" ht="12" customHeight="1" x14ac:dyDescent="0.15">
      <c r="B760" s="274"/>
      <c r="C760" s="273"/>
      <c r="D760" s="273"/>
      <c r="E760" s="273"/>
      <c r="F760" s="272"/>
    </row>
    <row r="761" spans="2:6" ht="12" customHeight="1" x14ac:dyDescent="0.15">
      <c r="B761" s="274"/>
      <c r="C761" s="273"/>
      <c r="D761" s="273"/>
      <c r="E761" s="273"/>
      <c r="F761" s="272"/>
    </row>
    <row r="762" spans="2:6" ht="12" customHeight="1" x14ac:dyDescent="0.15">
      <c r="B762" s="274"/>
      <c r="C762" s="273"/>
      <c r="D762" s="273"/>
      <c r="E762" s="273"/>
      <c r="F762" s="272"/>
    </row>
    <row r="763" spans="2:6" ht="12" customHeight="1" x14ac:dyDescent="0.15">
      <c r="B763" s="274"/>
      <c r="C763" s="273"/>
      <c r="D763" s="273"/>
      <c r="E763" s="273"/>
      <c r="F763" s="272"/>
    </row>
    <row r="764" spans="2:6" ht="12" customHeight="1" x14ac:dyDescent="0.15">
      <c r="B764" s="274"/>
      <c r="C764" s="273"/>
      <c r="D764" s="273"/>
      <c r="E764" s="273"/>
      <c r="F764" s="272"/>
    </row>
    <row r="765" spans="2:6" ht="12" customHeight="1" x14ac:dyDescent="0.15">
      <c r="B765" s="274"/>
      <c r="C765" s="273"/>
      <c r="D765" s="273"/>
      <c r="E765" s="273"/>
      <c r="F765" s="272"/>
    </row>
    <row r="766" spans="2:6" ht="12" customHeight="1" x14ac:dyDescent="0.15">
      <c r="B766" s="274"/>
      <c r="C766" s="273"/>
      <c r="D766" s="273"/>
      <c r="E766" s="273"/>
      <c r="F766" s="272"/>
    </row>
    <row r="767" spans="2:6" ht="12" customHeight="1" x14ac:dyDescent="0.15">
      <c r="B767" s="274"/>
      <c r="C767" s="273"/>
      <c r="D767" s="273"/>
      <c r="E767" s="273"/>
      <c r="F767" s="272"/>
    </row>
    <row r="768" spans="2:6" ht="12" customHeight="1" x14ac:dyDescent="0.15">
      <c r="B768" s="274"/>
      <c r="C768" s="273"/>
      <c r="D768" s="273"/>
      <c r="E768" s="273"/>
      <c r="F768" s="272"/>
    </row>
    <row r="769" spans="2:6" ht="12" customHeight="1" x14ac:dyDescent="0.15">
      <c r="B769" s="274"/>
      <c r="C769" s="273"/>
      <c r="D769" s="273"/>
      <c r="E769" s="273"/>
      <c r="F769" s="272"/>
    </row>
    <row r="770" spans="2:6" ht="12" customHeight="1" x14ac:dyDescent="0.15">
      <c r="B770" s="274"/>
      <c r="C770" s="273"/>
      <c r="D770" s="273"/>
      <c r="E770" s="273"/>
      <c r="F770" s="272"/>
    </row>
    <row r="771" spans="2:6" ht="12" customHeight="1" x14ac:dyDescent="0.15">
      <c r="B771" s="274"/>
      <c r="C771" s="273"/>
      <c r="D771" s="273"/>
      <c r="E771" s="273"/>
      <c r="F771" s="272"/>
    </row>
    <row r="772" spans="2:6" ht="12" customHeight="1" x14ac:dyDescent="0.15">
      <c r="B772" s="274"/>
      <c r="C772" s="273"/>
      <c r="D772" s="273"/>
      <c r="E772" s="273"/>
      <c r="F772" s="272"/>
    </row>
    <row r="773" spans="2:6" ht="12" customHeight="1" x14ac:dyDescent="0.15">
      <c r="B773" s="274"/>
      <c r="C773" s="273"/>
      <c r="D773" s="273"/>
      <c r="E773" s="273"/>
      <c r="F773" s="272"/>
    </row>
    <row r="774" spans="2:6" ht="12" customHeight="1" x14ac:dyDescent="0.15">
      <c r="B774" s="274"/>
      <c r="C774" s="273"/>
      <c r="D774" s="273"/>
      <c r="E774" s="273"/>
      <c r="F774" s="272"/>
    </row>
    <row r="775" spans="2:6" ht="12" customHeight="1" x14ac:dyDescent="0.15">
      <c r="B775" s="274"/>
      <c r="C775" s="273"/>
      <c r="D775" s="273"/>
      <c r="E775" s="273"/>
      <c r="F775" s="272"/>
    </row>
    <row r="776" spans="2:6" ht="12" customHeight="1" x14ac:dyDescent="0.15">
      <c r="B776" s="274"/>
      <c r="C776" s="273"/>
      <c r="D776" s="273"/>
      <c r="E776" s="273"/>
      <c r="F776" s="272"/>
    </row>
    <row r="777" spans="2:6" ht="12" customHeight="1" x14ac:dyDescent="0.15">
      <c r="B777" s="274"/>
      <c r="C777" s="273"/>
      <c r="D777" s="273"/>
      <c r="E777" s="273"/>
      <c r="F777" s="272"/>
    </row>
    <row r="778" spans="2:6" ht="12" customHeight="1" x14ac:dyDescent="0.15">
      <c r="B778" s="274"/>
      <c r="C778" s="273"/>
      <c r="D778" s="273"/>
      <c r="E778" s="273"/>
      <c r="F778" s="272"/>
    </row>
    <row r="779" spans="2:6" ht="12" customHeight="1" x14ac:dyDescent="0.15">
      <c r="B779" s="274"/>
      <c r="C779" s="273"/>
      <c r="D779" s="273"/>
      <c r="E779" s="273"/>
      <c r="F779" s="272"/>
    </row>
    <row r="780" spans="2:6" ht="12" customHeight="1" x14ac:dyDescent="0.15">
      <c r="B780" s="274"/>
      <c r="C780" s="273"/>
      <c r="D780" s="273"/>
      <c r="E780" s="273"/>
      <c r="F780" s="272"/>
    </row>
    <row r="781" spans="2:6" ht="12" customHeight="1" x14ac:dyDescent="0.15">
      <c r="B781" s="274"/>
      <c r="C781" s="273"/>
      <c r="D781" s="273"/>
      <c r="E781" s="273"/>
      <c r="F781" s="272"/>
    </row>
    <row r="782" spans="2:6" ht="12" customHeight="1" x14ac:dyDescent="0.15">
      <c r="B782" s="274"/>
      <c r="C782" s="273"/>
      <c r="D782" s="273"/>
      <c r="E782" s="273"/>
      <c r="F782" s="272"/>
    </row>
    <row r="783" spans="2:6" ht="12" customHeight="1" x14ac:dyDescent="0.15">
      <c r="B783" s="274"/>
      <c r="C783" s="273"/>
      <c r="D783" s="273"/>
      <c r="E783" s="273"/>
      <c r="F783" s="272"/>
    </row>
    <row r="784" spans="2:6" ht="12" customHeight="1" x14ac:dyDescent="0.15">
      <c r="B784" s="274"/>
      <c r="C784" s="273"/>
      <c r="D784" s="273"/>
      <c r="E784" s="273"/>
      <c r="F784" s="272"/>
    </row>
    <row r="785" spans="2:6" ht="12" customHeight="1" x14ac:dyDescent="0.15">
      <c r="B785" s="274"/>
      <c r="C785" s="273"/>
      <c r="D785" s="273"/>
      <c r="E785" s="273"/>
      <c r="F785" s="272"/>
    </row>
    <row r="786" spans="2:6" ht="12" customHeight="1" x14ac:dyDescent="0.15">
      <c r="B786" s="274"/>
      <c r="C786" s="273"/>
      <c r="D786" s="273"/>
      <c r="E786" s="273"/>
      <c r="F786" s="272"/>
    </row>
    <row r="787" spans="2:6" ht="12" customHeight="1" x14ac:dyDescent="0.15">
      <c r="B787" s="274"/>
      <c r="C787" s="273"/>
      <c r="D787" s="273"/>
      <c r="E787" s="273"/>
      <c r="F787" s="272"/>
    </row>
    <row r="788" spans="2:6" ht="12" customHeight="1" x14ac:dyDescent="0.15">
      <c r="B788" s="274"/>
      <c r="C788" s="273"/>
      <c r="D788" s="273"/>
      <c r="E788" s="273"/>
      <c r="F788" s="272"/>
    </row>
    <row r="789" spans="2:6" ht="12" customHeight="1" x14ac:dyDescent="0.15">
      <c r="B789" s="274"/>
      <c r="C789" s="273"/>
      <c r="D789" s="273"/>
      <c r="E789" s="273"/>
      <c r="F789" s="272"/>
    </row>
    <row r="790" spans="2:6" ht="12" customHeight="1" x14ac:dyDescent="0.15">
      <c r="B790" s="274"/>
      <c r="C790" s="273"/>
      <c r="D790" s="273"/>
      <c r="E790" s="273"/>
      <c r="F790" s="272"/>
    </row>
    <row r="791" spans="2:6" ht="12" customHeight="1" x14ac:dyDescent="0.15">
      <c r="B791" s="274"/>
      <c r="C791" s="273"/>
      <c r="D791" s="273"/>
      <c r="E791" s="273"/>
      <c r="F791" s="272"/>
    </row>
    <row r="792" spans="2:6" ht="12" customHeight="1" x14ac:dyDescent="0.15">
      <c r="B792" s="274"/>
      <c r="C792" s="273"/>
      <c r="D792" s="273"/>
      <c r="E792" s="273"/>
      <c r="F792" s="272"/>
    </row>
    <row r="793" spans="2:6" ht="12" customHeight="1" x14ac:dyDescent="0.15">
      <c r="B793" s="274"/>
      <c r="C793" s="273"/>
      <c r="D793" s="273"/>
      <c r="E793" s="273"/>
      <c r="F793" s="272"/>
    </row>
    <row r="794" spans="2:6" ht="12" customHeight="1" x14ac:dyDescent="0.15">
      <c r="B794" s="274"/>
      <c r="C794" s="273"/>
      <c r="D794" s="273"/>
      <c r="E794" s="273"/>
      <c r="F794" s="272"/>
    </row>
    <row r="795" spans="2:6" ht="12" customHeight="1" x14ac:dyDescent="0.15">
      <c r="B795" s="274"/>
      <c r="C795" s="273"/>
      <c r="D795" s="273"/>
      <c r="E795" s="273"/>
      <c r="F795" s="272"/>
    </row>
    <row r="796" spans="2:6" ht="12" customHeight="1" x14ac:dyDescent="0.15">
      <c r="B796" s="274"/>
      <c r="C796" s="273"/>
      <c r="D796" s="273"/>
      <c r="E796" s="273"/>
      <c r="F796" s="272"/>
    </row>
    <row r="797" spans="2:6" ht="12" customHeight="1" x14ac:dyDescent="0.15">
      <c r="B797" s="274"/>
      <c r="C797" s="273"/>
      <c r="D797" s="273"/>
      <c r="E797" s="273"/>
      <c r="F797" s="272"/>
    </row>
    <row r="798" spans="2:6" ht="12" customHeight="1" x14ac:dyDescent="0.15">
      <c r="B798" s="274"/>
      <c r="C798" s="273"/>
      <c r="D798" s="273"/>
      <c r="E798" s="273"/>
      <c r="F798" s="272"/>
    </row>
    <row r="799" spans="2:6" ht="12" customHeight="1" x14ac:dyDescent="0.15">
      <c r="B799" s="274"/>
      <c r="C799" s="273"/>
      <c r="D799" s="273"/>
      <c r="E799" s="273"/>
      <c r="F799" s="272"/>
    </row>
    <row r="800" spans="2:6" ht="12" customHeight="1" x14ac:dyDescent="0.15">
      <c r="B800" s="274"/>
      <c r="C800" s="273"/>
      <c r="D800" s="273"/>
      <c r="E800" s="273"/>
      <c r="F800" s="272"/>
    </row>
    <row r="801" spans="2:6" ht="12" customHeight="1" x14ac:dyDescent="0.15">
      <c r="B801" s="274"/>
      <c r="C801" s="273"/>
      <c r="D801" s="273"/>
      <c r="E801" s="273"/>
      <c r="F801" s="272"/>
    </row>
    <row r="802" spans="2:6" ht="12" customHeight="1" x14ac:dyDescent="0.15">
      <c r="B802" s="274"/>
      <c r="C802" s="273"/>
      <c r="D802" s="273"/>
      <c r="E802" s="273"/>
      <c r="F802" s="272"/>
    </row>
    <row r="803" spans="2:6" ht="12" customHeight="1" x14ac:dyDescent="0.15">
      <c r="B803" s="274"/>
      <c r="C803" s="273"/>
      <c r="D803" s="273"/>
      <c r="E803" s="273"/>
      <c r="F803" s="272"/>
    </row>
    <row r="804" spans="2:6" ht="12" customHeight="1" x14ac:dyDescent="0.15">
      <c r="B804" s="274"/>
      <c r="C804" s="273"/>
      <c r="D804" s="273"/>
      <c r="E804" s="273"/>
      <c r="F804" s="272"/>
    </row>
    <row r="805" spans="2:6" ht="12" customHeight="1" x14ac:dyDescent="0.15">
      <c r="B805" s="274"/>
      <c r="C805" s="273"/>
      <c r="D805" s="273"/>
      <c r="E805" s="273"/>
      <c r="F805" s="272"/>
    </row>
    <row r="806" spans="2:6" ht="12" customHeight="1" x14ac:dyDescent="0.15">
      <c r="B806" s="274"/>
      <c r="C806" s="273"/>
      <c r="D806" s="273"/>
      <c r="E806" s="273"/>
      <c r="F806" s="272"/>
    </row>
    <row r="807" spans="2:6" ht="12" customHeight="1" x14ac:dyDescent="0.15">
      <c r="B807" s="274"/>
      <c r="C807" s="273"/>
      <c r="D807" s="273"/>
      <c r="E807" s="273"/>
      <c r="F807" s="272"/>
    </row>
    <row r="808" spans="2:6" ht="12" customHeight="1" x14ac:dyDescent="0.15">
      <c r="B808" s="274"/>
      <c r="C808" s="273"/>
      <c r="D808" s="273"/>
      <c r="E808" s="273"/>
      <c r="F808" s="272"/>
    </row>
    <row r="809" spans="2:6" ht="12" customHeight="1" x14ac:dyDescent="0.15">
      <c r="B809" s="274"/>
      <c r="C809" s="273"/>
      <c r="D809" s="273"/>
      <c r="E809" s="273"/>
      <c r="F809" s="272"/>
    </row>
    <row r="810" spans="2:6" ht="12" customHeight="1" x14ac:dyDescent="0.15">
      <c r="B810" s="274"/>
      <c r="C810" s="273"/>
      <c r="D810" s="273"/>
      <c r="E810" s="273"/>
      <c r="F810" s="272"/>
    </row>
    <row r="811" spans="2:6" ht="12" customHeight="1" x14ac:dyDescent="0.15">
      <c r="B811" s="274"/>
      <c r="C811" s="273"/>
      <c r="D811" s="273"/>
      <c r="E811" s="273"/>
      <c r="F811" s="272"/>
    </row>
    <row r="812" spans="2:6" ht="12" customHeight="1" x14ac:dyDescent="0.15">
      <c r="B812" s="274"/>
      <c r="C812" s="273"/>
      <c r="D812" s="273"/>
      <c r="E812" s="273"/>
      <c r="F812" s="272"/>
    </row>
    <row r="813" spans="2:6" ht="12" customHeight="1" x14ac:dyDescent="0.15">
      <c r="B813" s="274"/>
      <c r="C813" s="273"/>
      <c r="D813" s="273"/>
      <c r="E813" s="273"/>
      <c r="F813" s="272"/>
    </row>
    <row r="814" spans="2:6" ht="12" customHeight="1" x14ac:dyDescent="0.15">
      <c r="B814" s="274"/>
      <c r="C814" s="273"/>
      <c r="D814" s="273"/>
      <c r="E814" s="273"/>
      <c r="F814" s="272"/>
    </row>
    <row r="815" spans="2:6" ht="12" customHeight="1" x14ac:dyDescent="0.15">
      <c r="B815" s="274"/>
      <c r="C815" s="273"/>
      <c r="D815" s="273"/>
      <c r="E815" s="273"/>
      <c r="F815" s="272"/>
    </row>
    <row r="816" spans="2:6" ht="12" customHeight="1" x14ac:dyDescent="0.15">
      <c r="B816" s="274"/>
      <c r="C816" s="273"/>
      <c r="D816" s="273"/>
      <c r="E816" s="273"/>
      <c r="F816" s="272"/>
    </row>
    <row r="817" spans="2:6" ht="12" customHeight="1" x14ac:dyDescent="0.15">
      <c r="B817" s="274"/>
      <c r="C817" s="273"/>
      <c r="D817" s="273"/>
      <c r="E817" s="273"/>
      <c r="F817" s="272"/>
    </row>
    <row r="818" spans="2:6" ht="12" customHeight="1" x14ac:dyDescent="0.15">
      <c r="B818" s="274"/>
      <c r="C818" s="273"/>
      <c r="D818" s="273"/>
      <c r="E818" s="273"/>
      <c r="F818" s="272"/>
    </row>
    <row r="819" spans="2:6" ht="12" customHeight="1" x14ac:dyDescent="0.15">
      <c r="B819" s="274"/>
      <c r="C819" s="273"/>
      <c r="D819" s="273"/>
      <c r="E819" s="273"/>
      <c r="F819" s="272"/>
    </row>
    <row r="820" spans="2:6" ht="12" customHeight="1" x14ac:dyDescent="0.15">
      <c r="B820" s="274"/>
      <c r="C820" s="273"/>
      <c r="D820" s="273"/>
      <c r="E820" s="273"/>
      <c r="F820" s="272"/>
    </row>
    <row r="821" spans="2:6" ht="12" customHeight="1" x14ac:dyDescent="0.15">
      <c r="B821" s="274"/>
      <c r="C821" s="273"/>
      <c r="D821" s="273"/>
      <c r="E821" s="273"/>
      <c r="F821" s="272"/>
    </row>
    <row r="822" spans="2:6" ht="12" customHeight="1" x14ac:dyDescent="0.15">
      <c r="B822" s="274"/>
      <c r="C822" s="273"/>
      <c r="D822" s="273"/>
      <c r="E822" s="273"/>
      <c r="F822" s="272"/>
    </row>
    <row r="823" spans="2:6" ht="12" customHeight="1" x14ac:dyDescent="0.15">
      <c r="B823" s="274"/>
      <c r="C823" s="273"/>
      <c r="D823" s="273"/>
      <c r="E823" s="273"/>
      <c r="F823" s="272"/>
    </row>
    <row r="824" spans="2:6" ht="12" customHeight="1" x14ac:dyDescent="0.15">
      <c r="B824" s="274"/>
      <c r="C824" s="273"/>
      <c r="D824" s="273"/>
      <c r="E824" s="273"/>
      <c r="F824" s="272"/>
    </row>
    <row r="825" spans="2:6" ht="12" customHeight="1" x14ac:dyDescent="0.15">
      <c r="B825" s="274"/>
      <c r="C825" s="273"/>
      <c r="D825" s="273"/>
      <c r="E825" s="273"/>
      <c r="F825" s="272"/>
    </row>
    <row r="826" spans="2:6" ht="12" customHeight="1" x14ac:dyDescent="0.15">
      <c r="B826" s="274"/>
      <c r="C826" s="273"/>
      <c r="D826" s="273"/>
      <c r="E826" s="273"/>
      <c r="F826" s="272"/>
    </row>
    <row r="827" spans="2:6" ht="12" customHeight="1" x14ac:dyDescent="0.15">
      <c r="B827" s="274"/>
      <c r="C827" s="273"/>
      <c r="D827" s="273"/>
      <c r="E827" s="273"/>
      <c r="F827" s="272"/>
    </row>
    <row r="828" spans="2:6" ht="12" customHeight="1" x14ac:dyDescent="0.15">
      <c r="B828" s="274"/>
      <c r="C828" s="273"/>
      <c r="D828" s="273"/>
      <c r="E828" s="273"/>
      <c r="F828" s="272"/>
    </row>
    <row r="829" spans="2:6" ht="12" customHeight="1" x14ac:dyDescent="0.15">
      <c r="B829" s="274"/>
      <c r="C829" s="273"/>
      <c r="D829" s="273"/>
      <c r="E829" s="273"/>
      <c r="F829" s="272"/>
    </row>
    <row r="830" spans="2:6" ht="12" customHeight="1" x14ac:dyDescent="0.15">
      <c r="B830" s="274"/>
      <c r="C830" s="273"/>
      <c r="D830" s="273"/>
      <c r="E830" s="273"/>
      <c r="F830" s="272"/>
    </row>
    <row r="831" spans="2:6" ht="12" customHeight="1" x14ac:dyDescent="0.15">
      <c r="B831" s="274"/>
      <c r="C831" s="273"/>
      <c r="D831" s="273"/>
      <c r="E831" s="273"/>
      <c r="F831" s="272"/>
    </row>
    <row r="832" spans="2:6" ht="12" customHeight="1" x14ac:dyDescent="0.15">
      <c r="B832" s="274"/>
      <c r="C832" s="273"/>
      <c r="D832" s="273"/>
      <c r="E832" s="273"/>
      <c r="F832" s="272"/>
    </row>
    <row r="833" spans="2:6" ht="12" customHeight="1" x14ac:dyDescent="0.15">
      <c r="B833" s="274"/>
      <c r="C833" s="273"/>
      <c r="D833" s="273"/>
      <c r="E833" s="273"/>
      <c r="F833" s="272"/>
    </row>
    <row r="834" spans="2:6" ht="12" customHeight="1" x14ac:dyDescent="0.15">
      <c r="B834" s="274"/>
      <c r="C834" s="273"/>
      <c r="D834" s="273"/>
      <c r="E834" s="273"/>
      <c r="F834" s="272"/>
    </row>
    <row r="835" spans="2:6" ht="12" customHeight="1" x14ac:dyDescent="0.15">
      <c r="B835" s="274"/>
      <c r="C835" s="273"/>
      <c r="D835" s="273"/>
      <c r="E835" s="273"/>
      <c r="F835" s="272"/>
    </row>
    <row r="836" spans="2:6" ht="12" customHeight="1" x14ac:dyDescent="0.15">
      <c r="B836" s="274"/>
      <c r="C836" s="273"/>
      <c r="D836" s="273"/>
      <c r="E836" s="273"/>
      <c r="F836" s="272"/>
    </row>
    <row r="837" spans="2:6" ht="12" customHeight="1" x14ac:dyDescent="0.15">
      <c r="B837" s="274"/>
      <c r="C837" s="273"/>
      <c r="D837" s="273"/>
      <c r="E837" s="273"/>
      <c r="F837" s="272"/>
    </row>
    <row r="838" spans="2:6" ht="12" customHeight="1" x14ac:dyDescent="0.15">
      <c r="B838" s="274"/>
      <c r="C838" s="273"/>
      <c r="D838" s="273"/>
      <c r="E838" s="273"/>
      <c r="F838" s="272"/>
    </row>
    <row r="839" spans="2:6" ht="12" customHeight="1" x14ac:dyDescent="0.15">
      <c r="B839" s="274"/>
      <c r="C839" s="273"/>
      <c r="D839" s="273"/>
      <c r="E839" s="273"/>
      <c r="F839" s="272"/>
    </row>
    <row r="840" spans="2:6" ht="12" customHeight="1" x14ac:dyDescent="0.15">
      <c r="B840" s="274"/>
      <c r="C840" s="273"/>
      <c r="D840" s="273"/>
      <c r="E840" s="273"/>
      <c r="F840" s="272"/>
    </row>
    <row r="841" spans="2:6" ht="12" customHeight="1" x14ac:dyDescent="0.15">
      <c r="B841" s="274"/>
      <c r="C841" s="273"/>
      <c r="D841" s="273"/>
      <c r="E841" s="273"/>
      <c r="F841" s="272"/>
    </row>
    <row r="842" spans="2:6" ht="12" customHeight="1" x14ac:dyDescent="0.15">
      <c r="B842" s="274"/>
      <c r="C842" s="273"/>
      <c r="D842" s="273"/>
      <c r="E842" s="273"/>
      <c r="F842" s="272"/>
    </row>
    <row r="843" spans="2:6" ht="12" customHeight="1" x14ac:dyDescent="0.15">
      <c r="B843" s="274"/>
      <c r="C843" s="273"/>
      <c r="D843" s="273"/>
      <c r="E843" s="273"/>
      <c r="F843" s="272"/>
    </row>
    <row r="844" spans="2:6" ht="12" customHeight="1" x14ac:dyDescent="0.15">
      <c r="B844" s="274"/>
      <c r="C844" s="273"/>
      <c r="D844" s="273"/>
      <c r="E844" s="273"/>
      <c r="F844" s="272"/>
    </row>
    <row r="845" spans="2:6" ht="12" customHeight="1" x14ac:dyDescent="0.15">
      <c r="B845" s="274"/>
      <c r="C845" s="273"/>
      <c r="D845" s="273"/>
      <c r="E845" s="273"/>
      <c r="F845" s="272"/>
    </row>
    <row r="846" spans="2:6" ht="12" customHeight="1" x14ac:dyDescent="0.15">
      <c r="B846" s="274"/>
      <c r="C846" s="273"/>
      <c r="D846" s="273"/>
      <c r="E846" s="273"/>
      <c r="F846" s="272"/>
    </row>
    <row r="847" spans="2:6" ht="12" customHeight="1" x14ac:dyDescent="0.15">
      <c r="B847" s="274"/>
      <c r="C847" s="273"/>
      <c r="D847" s="273"/>
      <c r="E847" s="273"/>
      <c r="F847" s="272"/>
    </row>
    <row r="848" spans="2:6" ht="12" customHeight="1" x14ac:dyDescent="0.15">
      <c r="B848" s="274"/>
      <c r="C848" s="273"/>
      <c r="D848" s="273"/>
      <c r="E848" s="273"/>
      <c r="F848" s="272"/>
    </row>
    <row r="849" spans="2:6" ht="12" customHeight="1" x14ac:dyDescent="0.15">
      <c r="B849" s="274"/>
      <c r="C849" s="273"/>
      <c r="D849" s="273"/>
      <c r="E849" s="273"/>
      <c r="F849" s="272"/>
    </row>
    <row r="850" spans="2:6" ht="12" customHeight="1" x14ac:dyDescent="0.15">
      <c r="B850" s="274"/>
      <c r="C850" s="273"/>
      <c r="D850" s="273"/>
      <c r="E850" s="273"/>
      <c r="F850" s="272"/>
    </row>
    <row r="851" spans="2:6" ht="12" customHeight="1" x14ac:dyDescent="0.15">
      <c r="B851" s="274"/>
      <c r="C851" s="273"/>
      <c r="D851" s="273"/>
      <c r="E851" s="273"/>
      <c r="F851" s="272"/>
    </row>
    <row r="852" spans="2:6" ht="12" customHeight="1" x14ac:dyDescent="0.15">
      <c r="B852" s="274"/>
      <c r="C852" s="273"/>
      <c r="D852" s="273"/>
      <c r="E852" s="273"/>
      <c r="F852" s="272"/>
    </row>
    <row r="853" spans="2:6" ht="12" customHeight="1" x14ac:dyDescent="0.15">
      <c r="B853" s="274"/>
      <c r="C853" s="273"/>
      <c r="D853" s="273"/>
      <c r="E853" s="273"/>
      <c r="F853" s="272"/>
    </row>
    <row r="854" spans="2:6" ht="12" customHeight="1" x14ac:dyDescent="0.15">
      <c r="B854" s="274"/>
      <c r="C854" s="273"/>
      <c r="D854" s="273"/>
      <c r="E854" s="273"/>
      <c r="F854" s="272"/>
    </row>
    <row r="855" spans="2:6" ht="12" customHeight="1" x14ac:dyDescent="0.15">
      <c r="B855" s="274"/>
      <c r="C855" s="273"/>
      <c r="D855" s="273"/>
      <c r="E855" s="273"/>
      <c r="F855" s="272"/>
    </row>
    <row r="856" spans="2:6" ht="12" customHeight="1" x14ac:dyDescent="0.15">
      <c r="B856" s="274"/>
      <c r="C856" s="273"/>
      <c r="D856" s="273"/>
      <c r="E856" s="273"/>
      <c r="F856" s="272"/>
    </row>
    <row r="857" spans="2:6" ht="12" customHeight="1" x14ac:dyDescent="0.15">
      <c r="B857" s="274"/>
      <c r="C857" s="273"/>
      <c r="D857" s="273"/>
      <c r="E857" s="273"/>
      <c r="F857" s="272"/>
    </row>
    <row r="858" spans="2:6" ht="12" customHeight="1" x14ac:dyDescent="0.15">
      <c r="B858" s="274"/>
      <c r="C858" s="273"/>
      <c r="D858" s="273"/>
      <c r="E858" s="273"/>
      <c r="F858" s="272"/>
    </row>
    <row r="859" spans="2:6" ht="12" customHeight="1" x14ac:dyDescent="0.15">
      <c r="B859" s="274"/>
      <c r="C859" s="273"/>
      <c r="D859" s="273"/>
      <c r="E859" s="273"/>
      <c r="F859" s="272"/>
    </row>
    <row r="860" spans="2:6" ht="12" customHeight="1" x14ac:dyDescent="0.15">
      <c r="B860" s="274"/>
      <c r="C860" s="273"/>
      <c r="D860" s="273"/>
      <c r="E860" s="273"/>
      <c r="F860" s="272"/>
    </row>
    <row r="861" spans="2:6" ht="12" customHeight="1" x14ac:dyDescent="0.15">
      <c r="B861" s="274"/>
      <c r="C861" s="273"/>
      <c r="D861" s="273"/>
      <c r="E861" s="273"/>
      <c r="F861" s="272"/>
    </row>
    <row r="862" spans="2:6" ht="12" customHeight="1" x14ac:dyDescent="0.15">
      <c r="B862" s="274"/>
      <c r="C862" s="273"/>
      <c r="D862" s="273"/>
      <c r="E862" s="273"/>
      <c r="F862" s="272"/>
    </row>
    <row r="863" spans="2:6" ht="12" customHeight="1" x14ac:dyDescent="0.15">
      <c r="B863" s="274"/>
      <c r="C863" s="273"/>
      <c r="D863" s="273"/>
      <c r="E863" s="273"/>
      <c r="F863" s="272"/>
    </row>
    <row r="864" spans="2:6" ht="12" customHeight="1" x14ac:dyDescent="0.15">
      <c r="B864" s="274"/>
      <c r="C864" s="273"/>
      <c r="D864" s="273"/>
      <c r="E864" s="273"/>
      <c r="F864" s="272"/>
    </row>
    <row r="865" spans="2:6" ht="12" customHeight="1" x14ac:dyDescent="0.15">
      <c r="B865" s="274"/>
      <c r="C865" s="273"/>
      <c r="D865" s="273"/>
      <c r="E865" s="273"/>
      <c r="F865" s="272"/>
    </row>
    <row r="866" spans="2:6" ht="12" customHeight="1" x14ac:dyDescent="0.15">
      <c r="B866" s="274"/>
      <c r="C866" s="273"/>
      <c r="D866" s="273"/>
      <c r="E866" s="273"/>
      <c r="F866" s="272"/>
    </row>
    <row r="867" spans="2:6" ht="12" customHeight="1" x14ac:dyDescent="0.15">
      <c r="B867" s="274"/>
      <c r="C867" s="273"/>
      <c r="D867" s="273"/>
      <c r="E867" s="273"/>
      <c r="F867" s="272"/>
    </row>
    <row r="868" spans="2:6" ht="12" customHeight="1" x14ac:dyDescent="0.15">
      <c r="B868" s="274"/>
      <c r="C868" s="273"/>
      <c r="D868" s="273"/>
      <c r="E868" s="273"/>
      <c r="F868" s="272"/>
    </row>
    <row r="869" spans="2:6" ht="12" customHeight="1" x14ac:dyDescent="0.15">
      <c r="B869" s="274"/>
      <c r="C869" s="273"/>
      <c r="D869" s="273"/>
      <c r="E869" s="273"/>
      <c r="F869" s="272"/>
    </row>
    <row r="870" spans="2:6" ht="12" customHeight="1" x14ac:dyDescent="0.15">
      <c r="B870" s="274"/>
      <c r="C870" s="273"/>
      <c r="D870" s="273"/>
      <c r="E870" s="273"/>
      <c r="F870" s="272"/>
    </row>
    <row r="871" spans="2:6" ht="12" customHeight="1" x14ac:dyDescent="0.15">
      <c r="B871" s="274"/>
      <c r="C871" s="273"/>
      <c r="D871" s="273"/>
      <c r="E871" s="273"/>
      <c r="F871" s="272"/>
    </row>
    <row r="872" spans="2:6" ht="12" customHeight="1" x14ac:dyDescent="0.15">
      <c r="B872" s="274"/>
      <c r="C872" s="273"/>
      <c r="D872" s="273"/>
      <c r="E872" s="273"/>
      <c r="F872" s="272"/>
    </row>
    <row r="873" spans="2:6" ht="12" customHeight="1" x14ac:dyDescent="0.15">
      <c r="B873" s="274"/>
      <c r="C873" s="273"/>
      <c r="D873" s="273"/>
      <c r="E873" s="273"/>
      <c r="F873" s="272"/>
    </row>
    <row r="874" spans="2:6" ht="12" customHeight="1" x14ac:dyDescent="0.15">
      <c r="B874" s="274"/>
      <c r="C874" s="273"/>
      <c r="D874" s="273"/>
      <c r="E874" s="273"/>
      <c r="F874" s="272"/>
    </row>
    <row r="875" spans="2:6" ht="12" customHeight="1" x14ac:dyDescent="0.15">
      <c r="B875" s="274"/>
      <c r="C875" s="273"/>
      <c r="D875" s="273"/>
      <c r="E875" s="273"/>
      <c r="F875" s="272"/>
    </row>
    <row r="876" spans="2:6" ht="12" customHeight="1" x14ac:dyDescent="0.15">
      <c r="B876" s="274"/>
      <c r="C876" s="273"/>
      <c r="D876" s="273"/>
      <c r="E876" s="273"/>
      <c r="F876" s="272"/>
    </row>
    <row r="877" spans="2:6" ht="12" customHeight="1" x14ac:dyDescent="0.15">
      <c r="B877" s="274"/>
      <c r="C877" s="273"/>
      <c r="D877" s="273"/>
      <c r="E877" s="273"/>
      <c r="F877" s="272"/>
    </row>
    <row r="878" spans="2:6" ht="12" customHeight="1" x14ac:dyDescent="0.15">
      <c r="B878" s="274"/>
      <c r="C878" s="273"/>
      <c r="D878" s="273"/>
      <c r="E878" s="273"/>
      <c r="F878" s="272"/>
    </row>
    <row r="879" spans="2:6" ht="12" customHeight="1" x14ac:dyDescent="0.15">
      <c r="B879" s="274"/>
      <c r="C879" s="273"/>
      <c r="D879" s="273"/>
      <c r="E879" s="273"/>
      <c r="F879" s="272"/>
    </row>
    <row r="880" spans="2:6" ht="12" customHeight="1" x14ac:dyDescent="0.15">
      <c r="B880" s="274"/>
      <c r="C880" s="273"/>
      <c r="D880" s="273"/>
      <c r="E880" s="273"/>
      <c r="F880" s="272"/>
    </row>
    <row r="881" spans="2:6" ht="12" customHeight="1" x14ac:dyDescent="0.15">
      <c r="B881" s="274"/>
      <c r="C881" s="273"/>
      <c r="D881" s="273"/>
      <c r="E881" s="273"/>
      <c r="F881" s="272"/>
    </row>
    <row r="882" spans="2:6" ht="12" customHeight="1" x14ac:dyDescent="0.15">
      <c r="B882" s="274"/>
      <c r="C882" s="273"/>
      <c r="D882" s="273"/>
      <c r="E882" s="273"/>
      <c r="F882" s="272"/>
    </row>
    <row r="883" spans="2:6" ht="12" customHeight="1" x14ac:dyDescent="0.15">
      <c r="B883" s="274"/>
      <c r="C883" s="273"/>
      <c r="D883" s="273"/>
      <c r="E883" s="273"/>
      <c r="F883" s="272"/>
    </row>
    <row r="884" spans="2:6" ht="12" customHeight="1" x14ac:dyDescent="0.15">
      <c r="B884" s="274"/>
      <c r="C884" s="273"/>
      <c r="D884" s="273"/>
      <c r="E884" s="273"/>
      <c r="F884" s="272"/>
    </row>
    <row r="885" spans="2:6" ht="12" customHeight="1" x14ac:dyDescent="0.15">
      <c r="B885" s="274"/>
      <c r="C885" s="273"/>
      <c r="D885" s="273"/>
      <c r="E885" s="273"/>
      <c r="F885" s="272"/>
    </row>
    <row r="886" spans="2:6" ht="12" customHeight="1" x14ac:dyDescent="0.15">
      <c r="B886" s="274"/>
      <c r="C886" s="273"/>
      <c r="D886" s="273"/>
      <c r="E886" s="273"/>
      <c r="F886" s="272"/>
    </row>
    <row r="887" spans="2:6" ht="12" customHeight="1" x14ac:dyDescent="0.15">
      <c r="B887" s="274"/>
      <c r="C887" s="273"/>
      <c r="D887" s="273"/>
      <c r="E887" s="273"/>
      <c r="F887" s="272"/>
    </row>
    <row r="888" spans="2:6" ht="12" customHeight="1" x14ac:dyDescent="0.15">
      <c r="B888" s="274"/>
      <c r="C888" s="273"/>
      <c r="D888" s="273"/>
      <c r="E888" s="273"/>
      <c r="F888" s="272"/>
    </row>
    <row r="889" spans="2:6" ht="12" customHeight="1" x14ac:dyDescent="0.15">
      <c r="B889" s="274"/>
      <c r="C889" s="273"/>
      <c r="D889" s="273"/>
      <c r="E889" s="273"/>
      <c r="F889" s="272"/>
    </row>
    <row r="890" spans="2:6" ht="12" customHeight="1" x14ac:dyDescent="0.15">
      <c r="B890" s="274"/>
      <c r="C890" s="273"/>
      <c r="D890" s="273"/>
      <c r="E890" s="273"/>
      <c r="F890" s="272"/>
    </row>
    <row r="891" spans="2:6" ht="12" customHeight="1" x14ac:dyDescent="0.15">
      <c r="B891" s="274"/>
      <c r="C891" s="273"/>
      <c r="D891" s="273"/>
      <c r="E891" s="273"/>
      <c r="F891" s="272"/>
    </row>
    <row r="892" spans="2:6" ht="12" customHeight="1" x14ac:dyDescent="0.15">
      <c r="B892" s="274"/>
      <c r="C892" s="273"/>
      <c r="D892" s="273"/>
      <c r="E892" s="273"/>
      <c r="F892" s="272"/>
    </row>
    <row r="893" spans="2:6" ht="12" customHeight="1" x14ac:dyDescent="0.15">
      <c r="B893" s="274"/>
      <c r="C893" s="273"/>
      <c r="D893" s="273"/>
      <c r="E893" s="273"/>
      <c r="F893" s="272"/>
    </row>
    <row r="894" spans="2:6" ht="12" customHeight="1" x14ac:dyDescent="0.15">
      <c r="B894" s="274"/>
      <c r="C894" s="273"/>
      <c r="D894" s="273"/>
      <c r="E894" s="273"/>
      <c r="F894" s="272"/>
    </row>
    <row r="895" spans="2:6" ht="12" customHeight="1" x14ac:dyDescent="0.15">
      <c r="B895" s="274"/>
      <c r="C895" s="273"/>
      <c r="D895" s="273"/>
      <c r="E895" s="273"/>
      <c r="F895" s="272"/>
    </row>
    <row r="896" spans="2:6" ht="12" customHeight="1" x14ac:dyDescent="0.15">
      <c r="B896" s="274"/>
      <c r="C896" s="273"/>
      <c r="D896" s="273"/>
      <c r="E896" s="273"/>
      <c r="F896" s="272"/>
    </row>
    <row r="897" spans="2:6" ht="12" customHeight="1" x14ac:dyDescent="0.15">
      <c r="B897" s="274"/>
      <c r="C897" s="273"/>
      <c r="D897" s="273"/>
      <c r="E897" s="273"/>
      <c r="F897" s="272"/>
    </row>
    <row r="898" spans="2:6" ht="12" customHeight="1" x14ac:dyDescent="0.15">
      <c r="B898" s="274"/>
      <c r="C898" s="273"/>
      <c r="D898" s="273"/>
      <c r="E898" s="273"/>
      <c r="F898" s="272"/>
    </row>
    <row r="899" spans="2:6" ht="12" customHeight="1" x14ac:dyDescent="0.15">
      <c r="B899" s="274"/>
      <c r="C899" s="273"/>
      <c r="D899" s="273"/>
      <c r="E899" s="273"/>
      <c r="F899" s="272"/>
    </row>
    <row r="900" spans="2:6" ht="12" customHeight="1" x14ac:dyDescent="0.15">
      <c r="B900" s="274"/>
      <c r="C900" s="273"/>
      <c r="D900" s="273"/>
      <c r="E900" s="273"/>
      <c r="F900" s="272"/>
    </row>
    <row r="901" spans="2:6" ht="12" customHeight="1" x14ac:dyDescent="0.15">
      <c r="B901" s="274"/>
      <c r="C901" s="273"/>
      <c r="D901" s="273"/>
      <c r="E901" s="273"/>
      <c r="F901" s="272"/>
    </row>
    <row r="902" spans="2:6" ht="12" customHeight="1" x14ac:dyDescent="0.15">
      <c r="B902" s="274"/>
      <c r="C902" s="273"/>
      <c r="D902" s="273"/>
      <c r="E902" s="273"/>
      <c r="F902" s="272"/>
    </row>
    <row r="903" spans="2:6" ht="12" customHeight="1" x14ac:dyDescent="0.15">
      <c r="B903" s="274"/>
      <c r="C903" s="273"/>
      <c r="D903" s="273"/>
      <c r="E903" s="273"/>
      <c r="F903" s="272"/>
    </row>
    <row r="904" spans="2:6" ht="12" customHeight="1" x14ac:dyDescent="0.15">
      <c r="B904" s="274"/>
      <c r="C904" s="273"/>
      <c r="D904" s="273"/>
      <c r="E904" s="273"/>
      <c r="F904" s="272"/>
    </row>
    <row r="905" spans="2:6" ht="12" customHeight="1" x14ac:dyDescent="0.15">
      <c r="B905" s="274"/>
      <c r="C905" s="273"/>
      <c r="D905" s="273"/>
      <c r="E905" s="273"/>
      <c r="F905" s="272"/>
    </row>
    <row r="906" spans="2:6" ht="12" customHeight="1" x14ac:dyDescent="0.15">
      <c r="B906" s="274"/>
      <c r="C906" s="273"/>
      <c r="D906" s="273"/>
      <c r="E906" s="273"/>
      <c r="F906" s="272"/>
    </row>
    <row r="907" spans="2:6" ht="12" customHeight="1" x14ac:dyDescent="0.15">
      <c r="B907" s="274"/>
      <c r="C907" s="273"/>
      <c r="D907" s="273"/>
      <c r="E907" s="273"/>
      <c r="F907" s="272"/>
    </row>
    <row r="908" spans="2:6" ht="12" customHeight="1" x14ac:dyDescent="0.15">
      <c r="B908" s="274"/>
      <c r="C908" s="273"/>
      <c r="D908" s="273"/>
      <c r="E908" s="273"/>
      <c r="F908" s="272"/>
    </row>
    <row r="909" spans="2:6" ht="12" customHeight="1" x14ac:dyDescent="0.15">
      <c r="B909" s="274"/>
      <c r="C909" s="273"/>
      <c r="D909" s="273"/>
      <c r="E909" s="273"/>
      <c r="F909" s="272"/>
    </row>
    <row r="910" spans="2:6" ht="12" customHeight="1" x14ac:dyDescent="0.15">
      <c r="B910" s="274"/>
      <c r="C910" s="273"/>
      <c r="D910" s="273"/>
      <c r="E910" s="273"/>
      <c r="F910" s="272"/>
    </row>
    <row r="911" spans="2:6" ht="12" customHeight="1" x14ac:dyDescent="0.15">
      <c r="B911" s="274"/>
      <c r="C911" s="273"/>
      <c r="D911" s="273"/>
      <c r="E911" s="273"/>
      <c r="F911" s="272"/>
    </row>
    <row r="912" spans="2:6" ht="12" customHeight="1" x14ac:dyDescent="0.15">
      <c r="B912" s="274"/>
      <c r="C912" s="273"/>
      <c r="D912" s="273"/>
      <c r="E912" s="273"/>
      <c r="F912" s="272"/>
    </row>
    <row r="913" spans="2:6" ht="12" customHeight="1" x14ac:dyDescent="0.15">
      <c r="B913" s="274"/>
      <c r="C913" s="273"/>
      <c r="D913" s="273"/>
      <c r="E913" s="273"/>
      <c r="F913" s="272"/>
    </row>
    <row r="914" spans="2:6" ht="12" customHeight="1" x14ac:dyDescent="0.15">
      <c r="B914" s="274"/>
      <c r="C914" s="273"/>
      <c r="D914" s="273"/>
      <c r="E914" s="273"/>
      <c r="F914" s="272"/>
    </row>
    <row r="915" spans="2:6" ht="12" customHeight="1" x14ac:dyDescent="0.15">
      <c r="B915" s="274"/>
      <c r="C915" s="273"/>
      <c r="D915" s="273"/>
      <c r="E915" s="273"/>
      <c r="F915" s="272"/>
    </row>
    <row r="916" spans="2:6" ht="12" customHeight="1" x14ac:dyDescent="0.15">
      <c r="B916" s="274"/>
      <c r="C916" s="273"/>
      <c r="D916" s="273"/>
      <c r="E916" s="273"/>
      <c r="F916" s="272"/>
    </row>
    <row r="917" spans="2:6" ht="12" customHeight="1" x14ac:dyDescent="0.15">
      <c r="B917" s="274"/>
      <c r="C917" s="273"/>
      <c r="D917" s="273"/>
      <c r="E917" s="273"/>
      <c r="F917" s="272"/>
    </row>
    <row r="918" spans="2:6" ht="12" customHeight="1" x14ac:dyDescent="0.15">
      <c r="B918" s="274"/>
      <c r="C918" s="273"/>
      <c r="D918" s="273"/>
      <c r="E918" s="273"/>
      <c r="F918" s="272"/>
    </row>
    <row r="919" spans="2:6" ht="12" customHeight="1" x14ac:dyDescent="0.15">
      <c r="B919" s="274"/>
      <c r="C919" s="273"/>
      <c r="D919" s="273"/>
      <c r="E919" s="273"/>
      <c r="F919" s="272"/>
    </row>
    <row r="920" spans="2:6" ht="12" customHeight="1" x14ac:dyDescent="0.15">
      <c r="B920" s="274"/>
      <c r="C920" s="273"/>
      <c r="D920" s="273"/>
      <c r="E920" s="273"/>
      <c r="F920" s="272"/>
    </row>
    <row r="921" spans="2:6" ht="12" customHeight="1" x14ac:dyDescent="0.15">
      <c r="B921" s="274"/>
      <c r="C921" s="273"/>
      <c r="D921" s="273"/>
      <c r="E921" s="273"/>
      <c r="F921" s="272"/>
    </row>
    <row r="922" spans="2:6" ht="12" customHeight="1" x14ac:dyDescent="0.15">
      <c r="B922" s="274"/>
      <c r="C922" s="273"/>
      <c r="D922" s="273"/>
      <c r="E922" s="273"/>
      <c r="F922" s="272"/>
    </row>
    <row r="923" spans="2:6" ht="12" customHeight="1" x14ac:dyDescent="0.15">
      <c r="B923" s="274"/>
      <c r="C923" s="273"/>
      <c r="D923" s="273"/>
      <c r="E923" s="273"/>
      <c r="F923" s="272"/>
    </row>
    <row r="924" spans="2:6" ht="12" customHeight="1" x14ac:dyDescent="0.15">
      <c r="B924" s="274"/>
      <c r="C924" s="273"/>
      <c r="D924" s="273"/>
      <c r="E924" s="273"/>
      <c r="F924" s="272"/>
    </row>
    <row r="925" spans="2:6" ht="12" customHeight="1" x14ac:dyDescent="0.15">
      <c r="B925" s="274"/>
      <c r="C925" s="273"/>
      <c r="D925" s="273"/>
      <c r="E925" s="273"/>
      <c r="F925" s="272"/>
    </row>
    <row r="926" spans="2:6" ht="12" customHeight="1" x14ac:dyDescent="0.15">
      <c r="B926" s="274"/>
      <c r="C926" s="273"/>
      <c r="D926" s="273"/>
      <c r="E926" s="273"/>
      <c r="F926" s="272"/>
    </row>
    <row r="927" spans="2:6" ht="12" customHeight="1" x14ac:dyDescent="0.15">
      <c r="B927" s="274"/>
      <c r="C927" s="273"/>
      <c r="D927" s="273"/>
      <c r="E927" s="273"/>
      <c r="F927" s="272"/>
    </row>
    <row r="928" spans="2:6" ht="12" customHeight="1" x14ac:dyDescent="0.15">
      <c r="B928" s="274"/>
      <c r="C928" s="273"/>
      <c r="D928" s="273"/>
      <c r="E928" s="273"/>
      <c r="F928" s="272"/>
    </row>
    <row r="929" spans="2:6" ht="12" customHeight="1" x14ac:dyDescent="0.15">
      <c r="B929" s="274"/>
      <c r="C929" s="273"/>
      <c r="D929" s="273"/>
      <c r="E929" s="273"/>
      <c r="F929" s="272"/>
    </row>
    <row r="930" spans="2:6" ht="12" customHeight="1" x14ac:dyDescent="0.15">
      <c r="B930" s="274"/>
      <c r="C930" s="273"/>
      <c r="D930" s="273"/>
      <c r="E930" s="273"/>
      <c r="F930" s="272"/>
    </row>
    <row r="931" spans="2:6" ht="12" customHeight="1" x14ac:dyDescent="0.15">
      <c r="B931" s="274"/>
      <c r="C931" s="273"/>
      <c r="D931" s="273"/>
      <c r="E931" s="273"/>
      <c r="F931" s="272"/>
    </row>
    <row r="932" spans="2:6" ht="12" customHeight="1" x14ac:dyDescent="0.15">
      <c r="B932" s="274"/>
      <c r="C932" s="273"/>
      <c r="D932" s="273"/>
      <c r="E932" s="273"/>
      <c r="F932" s="272"/>
    </row>
    <row r="933" spans="2:6" ht="12" customHeight="1" x14ac:dyDescent="0.15">
      <c r="B933" s="274"/>
      <c r="C933" s="273"/>
      <c r="D933" s="273"/>
      <c r="E933" s="273"/>
      <c r="F933" s="272"/>
    </row>
    <row r="934" spans="2:6" ht="12" customHeight="1" x14ac:dyDescent="0.15">
      <c r="B934" s="274"/>
      <c r="C934" s="273"/>
      <c r="D934" s="273"/>
      <c r="E934" s="273"/>
      <c r="F934" s="272"/>
    </row>
    <row r="935" spans="2:6" ht="12" customHeight="1" x14ac:dyDescent="0.15">
      <c r="B935" s="274"/>
      <c r="C935" s="273"/>
      <c r="D935" s="273"/>
      <c r="E935" s="273"/>
      <c r="F935" s="272"/>
    </row>
    <row r="936" spans="2:6" ht="12" customHeight="1" x14ac:dyDescent="0.15">
      <c r="B936" s="274"/>
      <c r="C936" s="273"/>
      <c r="D936" s="273"/>
      <c r="E936" s="273"/>
      <c r="F936" s="272"/>
    </row>
    <row r="937" spans="2:6" ht="12" customHeight="1" x14ac:dyDescent="0.15">
      <c r="B937" s="274"/>
      <c r="C937" s="273"/>
      <c r="D937" s="273"/>
      <c r="E937" s="273"/>
      <c r="F937" s="272"/>
    </row>
    <row r="938" spans="2:6" ht="12" customHeight="1" x14ac:dyDescent="0.15">
      <c r="B938" s="274"/>
      <c r="C938" s="273"/>
      <c r="D938" s="273"/>
      <c r="E938" s="273"/>
      <c r="F938" s="272"/>
    </row>
    <row r="939" spans="2:6" ht="12" customHeight="1" x14ac:dyDescent="0.15">
      <c r="B939" s="274"/>
      <c r="C939" s="273"/>
      <c r="D939" s="273"/>
      <c r="E939" s="273"/>
      <c r="F939" s="272"/>
    </row>
    <row r="940" spans="2:6" ht="12" customHeight="1" x14ac:dyDescent="0.15">
      <c r="B940" s="274"/>
      <c r="C940" s="273"/>
      <c r="D940" s="273"/>
      <c r="E940" s="273"/>
      <c r="F940" s="272"/>
    </row>
    <row r="941" spans="2:6" ht="12" customHeight="1" x14ac:dyDescent="0.15">
      <c r="B941" s="274"/>
      <c r="C941" s="273"/>
      <c r="D941" s="273"/>
      <c r="E941" s="273"/>
      <c r="F941" s="272"/>
    </row>
    <row r="942" spans="2:6" ht="12" customHeight="1" x14ac:dyDescent="0.15">
      <c r="B942" s="274"/>
      <c r="C942" s="273"/>
      <c r="D942" s="273"/>
      <c r="E942" s="273"/>
      <c r="F942" s="272"/>
    </row>
    <row r="943" spans="2:6" ht="12" customHeight="1" x14ac:dyDescent="0.15">
      <c r="B943" s="274"/>
      <c r="C943" s="273"/>
      <c r="D943" s="273"/>
      <c r="E943" s="273"/>
      <c r="F943" s="272"/>
    </row>
    <row r="944" spans="2:6" ht="12" customHeight="1" x14ac:dyDescent="0.15">
      <c r="B944" s="274"/>
      <c r="C944" s="273"/>
      <c r="D944" s="273"/>
      <c r="E944" s="273"/>
      <c r="F944" s="272"/>
    </row>
    <row r="945" spans="2:6" ht="12" customHeight="1" x14ac:dyDescent="0.15">
      <c r="B945" s="274"/>
      <c r="C945" s="273"/>
      <c r="D945" s="273"/>
      <c r="E945" s="273"/>
      <c r="F945" s="272"/>
    </row>
    <row r="946" spans="2:6" ht="12" customHeight="1" x14ac:dyDescent="0.15">
      <c r="B946" s="274"/>
      <c r="C946" s="273"/>
      <c r="D946" s="273"/>
      <c r="E946" s="273"/>
      <c r="F946" s="272"/>
    </row>
    <row r="947" spans="2:6" ht="12" customHeight="1" x14ac:dyDescent="0.15">
      <c r="B947" s="274"/>
      <c r="C947" s="273"/>
      <c r="D947" s="273"/>
      <c r="E947" s="273"/>
      <c r="F947" s="272"/>
    </row>
    <row r="948" spans="2:6" ht="12" customHeight="1" x14ac:dyDescent="0.15">
      <c r="B948" s="274"/>
      <c r="C948" s="273"/>
      <c r="D948" s="273"/>
      <c r="E948" s="273"/>
      <c r="F948" s="272"/>
    </row>
    <row r="949" spans="2:6" ht="12" customHeight="1" x14ac:dyDescent="0.15">
      <c r="B949" s="274"/>
      <c r="C949" s="273"/>
      <c r="D949" s="273"/>
      <c r="E949" s="273"/>
      <c r="F949" s="272"/>
    </row>
    <row r="950" spans="2:6" ht="12" customHeight="1" x14ac:dyDescent="0.15">
      <c r="B950" s="274"/>
      <c r="C950" s="273"/>
      <c r="D950" s="273"/>
      <c r="E950" s="273"/>
      <c r="F950" s="272"/>
    </row>
    <row r="951" spans="2:6" ht="12" customHeight="1" x14ac:dyDescent="0.15">
      <c r="B951" s="274"/>
      <c r="C951" s="273"/>
      <c r="D951" s="273"/>
      <c r="E951" s="273"/>
      <c r="F951" s="272"/>
    </row>
    <row r="952" spans="2:6" ht="12" customHeight="1" x14ac:dyDescent="0.15">
      <c r="B952" s="274"/>
      <c r="C952" s="273"/>
      <c r="D952" s="273"/>
      <c r="E952" s="273"/>
      <c r="F952" s="272"/>
    </row>
    <row r="953" spans="2:6" ht="12" customHeight="1" x14ac:dyDescent="0.15">
      <c r="B953" s="274"/>
      <c r="C953" s="273"/>
      <c r="D953" s="273"/>
      <c r="E953" s="273"/>
      <c r="F953" s="272"/>
    </row>
    <row r="954" spans="2:6" ht="12" customHeight="1" x14ac:dyDescent="0.15">
      <c r="B954" s="274"/>
      <c r="C954" s="273"/>
      <c r="D954" s="273"/>
      <c r="E954" s="273"/>
      <c r="F954" s="272"/>
    </row>
    <row r="955" spans="2:6" ht="12" customHeight="1" x14ac:dyDescent="0.15">
      <c r="B955" s="274"/>
      <c r="C955" s="273"/>
      <c r="D955" s="273"/>
      <c r="E955" s="273"/>
      <c r="F955" s="272"/>
    </row>
    <row r="956" spans="2:6" ht="12" customHeight="1" x14ac:dyDescent="0.15">
      <c r="B956" s="274"/>
      <c r="C956" s="273"/>
      <c r="D956" s="273"/>
      <c r="E956" s="273"/>
      <c r="F956" s="272"/>
    </row>
    <row r="957" spans="2:6" ht="12" customHeight="1" x14ac:dyDescent="0.15">
      <c r="B957" s="274"/>
      <c r="C957" s="273"/>
      <c r="D957" s="273"/>
      <c r="E957" s="273"/>
      <c r="F957" s="272"/>
    </row>
    <row r="958" spans="2:6" ht="12" customHeight="1" x14ac:dyDescent="0.15">
      <c r="B958" s="274"/>
      <c r="C958" s="273"/>
      <c r="D958" s="273"/>
      <c r="E958" s="273"/>
      <c r="F958" s="272"/>
    </row>
    <row r="959" spans="2:6" ht="12" customHeight="1" x14ac:dyDescent="0.15">
      <c r="B959" s="274"/>
      <c r="C959" s="273"/>
      <c r="D959" s="273"/>
      <c r="E959" s="273"/>
      <c r="F959" s="272"/>
    </row>
    <row r="960" spans="2:6" ht="12" customHeight="1" x14ac:dyDescent="0.15">
      <c r="B960" s="274"/>
      <c r="C960" s="273"/>
      <c r="D960" s="273"/>
      <c r="E960" s="273"/>
      <c r="F960" s="272"/>
    </row>
    <row r="961" spans="2:6" ht="12" customHeight="1" x14ac:dyDescent="0.15">
      <c r="B961" s="274"/>
      <c r="C961" s="273"/>
      <c r="D961" s="273"/>
      <c r="E961" s="273"/>
      <c r="F961" s="272"/>
    </row>
    <row r="962" spans="2:6" ht="12" customHeight="1" x14ac:dyDescent="0.15">
      <c r="B962" s="274"/>
      <c r="C962" s="273"/>
      <c r="D962" s="273"/>
      <c r="E962" s="273"/>
      <c r="F962" s="272"/>
    </row>
    <row r="963" spans="2:6" ht="12" customHeight="1" x14ac:dyDescent="0.15">
      <c r="B963" s="274"/>
      <c r="C963" s="273"/>
      <c r="D963" s="273"/>
      <c r="E963" s="273"/>
      <c r="F963" s="272"/>
    </row>
    <row r="964" spans="2:6" ht="12" customHeight="1" x14ac:dyDescent="0.15">
      <c r="B964" s="274"/>
      <c r="C964" s="273"/>
      <c r="D964" s="273"/>
      <c r="E964" s="273"/>
      <c r="F964" s="272"/>
    </row>
    <row r="965" spans="2:6" ht="12" customHeight="1" x14ac:dyDescent="0.15">
      <c r="B965" s="274"/>
      <c r="C965" s="273"/>
      <c r="D965" s="273"/>
      <c r="E965" s="273"/>
      <c r="F965" s="272"/>
    </row>
    <row r="966" spans="2:6" ht="12" customHeight="1" x14ac:dyDescent="0.15">
      <c r="B966" s="274"/>
      <c r="C966" s="273"/>
      <c r="D966" s="273"/>
      <c r="E966" s="273"/>
      <c r="F966" s="272"/>
    </row>
    <row r="967" spans="2:6" ht="12" customHeight="1" x14ac:dyDescent="0.15">
      <c r="B967" s="274"/>
      <c r="C967" s="273"/>
      <c r="D967" s="273"/>
      <c r="E967" s="273"/>
      <c r="F967" s="272"/>
    </row>
    <row r="968" spans="2:6" ht="12" customHeight="1" x14ac:dyDescent="0.15">
      <c r="B968" s="274"/>
      <c r="C968" s="273"/>
      <c r="D968" s="273"/>
      <c r="E968" s="273"/>
      <c r="F968" s="272"/>
    </row>
    <row r="969" spans="2:6" ht="12" customHeight="1" x14ac:dyDescent="0.15">
      <c r="B969" s="274"/>
      <c r="C969" s="273"/>
      <c r="D969" s="273"/>
      <c r="E969" s="273"/>
      <c r="F969" s="272"/>
    </row>
    <row r="970" spans="2:6" ht="12" customHeight="1" x14ac:dyDescent="0.15">
      <c r="B970" s="274"/>
      <c r="C970" s="273"/>
      <c r="D970" s="273"/>
      <c r="E970" s="273"/>
      <c r="F970" s="272"/>
    </row>
    <row r="971" spans="2:6" ht="12" customHeight="1" x14ac:dyDescent="0.15">
      <c r="B971" s="274"/>
      <c r="C971" s="273"/>
      <c r="D971" s="273"/>
      <c r="E971" s="273"/>
      <c r="F971" s="272"/>
    </row>
    <row r="972" spans="2:6" ht="12" customHeight="1" x14ac:dyDescent="0.15">
      <c r="B972" s="274"/>
      <c r="C972" s="273"/>
      <c r="D972" s="273"/>
      <c r="E972" s="273"/>
      <c r="F972" s="272"/>
    </row>
    <row r="973" spans="2:6" ht="12" customHeight="1" x14ac:dyDescent="0.15">
      <c r="B973" s="274"/>
      <c r="C973" s="273"/>
      <c r="D973" s="273"/>
      <c r="E973" s="273"/>
      <c r="F973" s="272"/>
    </row>
    <row r="974" spans="2:6" ht="12" customHeight="1" x14ac:dyDescent="0.15">
      <c r="B974" s="274"/>
      <c r="C974" s="273"/>
      <c r="D974" s="273"/>
      <c r="E974" s="273"/>
      <c r="F974" s="272"/>
    </row>
    <row r="975" spans="2:6" ht="12" customHeight="1" x14ac:dyDescent="0.15">
      <c r="B975" s="274"/>
      <c r="C975" s="273"/>
      <c r="D975" s="273"/>
      <c r="E975" s="273"/>
      <c r="F975" s="272"/>
    </row>
    <row r="976" spans="2:6" ht="12" customHeight="1" x14ac:dyDescent="0.15">
      <c r="B976" s="274"/>
      <c r="C976" s="273"/>
      <c r="D976" s="273"/>
      <c r="E976" s="273"/>
      <c r="F976" s="272"/>
    </row>
    <row r="977" spans="2:6" ht="12" customHeight="1" x14ac:dyDescent="0.15">
      <c r="B977" s="274"/>
      <c r="C977" s="273"/>
      <c r="D977" s="273"/>
      <c r="E977" s="273"/>
      <c r="F977" s="272"/>
    </row>
    <row r="978" spans="2:6" ht="12" customHeight="1" x14ac:dyDescent="0.15">
      <c r="B978" s="274"/>
      <c r="C978" s="273"/>
      <c r="D978" s="273"/>
      <c r="E978" s="273"/>
      <c r="F978" s="272"/>
    </row>
    <row r="979" spans="2:6" ht="12" customHeight="1" x14ac:dyDescent="0.15">
      <c r="B979" s="274"/>
      <c r="C979" s="273"/>
      <c r="D979" s="273"/>
      <c r="E979" s="273"/>
      <c r="F979" s="272"/>
    </row>
    <row r="980" spans="2:6" ht="12" customHeight="1" x14ac:dyDescent="0.15">
      <c r="B980" s="274"/>
      <c r="C980" s="273"/>
      <c r="D980" s="273"/>
      <c r="E980" s="273"/>
      <c r="F980" s="272"/>
    </row>
    <row r="981" spans="2:6" ht="12" customHeight="1" x14ac:dyDescent="0.15">
      <c r="B981" s="274"/>
      <c r="C981" s="273"/>
      <c r="D981" s="273"/>
      <c r="E981" s="273"/>
      <c r="F981" s="272"/>
    </row>
    <row r="982" spans="2:6" ht="12" customHeight="1" x14ac:dyDescent="0.15">
      <c r="B982" s="274"/>
      <c r="C982" s="273"/>
      <c r="D982" s="273"/>
      <c r="E982" s="273"/>
      <c r="F982" s="272"/>
    </row>
    <row r="983" spans="2:6" ht="12" customHeight="1" x14ac:dyDescent="0.15">
      <c r="B983" s="274"/>
      <c r="C983" s="273"/>
      <c r="D983" s="273"/>
      <c r="E983" s="273"/>
      <c r="F983" s="272"/>
    </row>
    <row r="984" spans="2:6" ht="12" customHeight="1" x14ac:dyDescent="0.15">
      <c r="B984" s="274"/>
      <c r="C984" s="273"/>
      <c r="D984" s="273"/>
      <c r="E984" s="273"/>
      <c r="F984" s="272"/>
    </row>
    <row r="985" spans="2:6" ht="12" customHeight="1" x14ac:dyDescent="0.15">
      <c r="B985" s="274"/>
      <c r="C985" s="273"/>
      <c r="D985" s="273"/>
      <c r="E985" s="273"/>
      <c r="F985" s="272"/>
    </row>
    <row r="986" spans="2:6" ht="12" customHeight="1" x14ac:dyDescent="0.15">
      <c r="B986" s="274"/>
      <c r="C986" s="273"/>
      <c r="D986" s="273"/>
      <c r="E986" s="273"/>
      <c r="F986" s="272"/>
    </row>
    <row r="987" spans="2:6" ht="12" customHeight="1" x14ac:dyDescent="0.15">
      <c r="B987" s="274"/>
      <c r="C987" s="273"/>
      <c r="D987" s="273"/>
      <c r="E987" s="273"/>
      <c r="F987" s="272"/>
    </row>
    <row r="988" spans="2:6" ht="12" customHeight="1" x14ac:dyDescent="0.15">
      <c r="B988" s="274"/>
      <c r="C988" s="273"/>
      <c r="D988" s="273"/>
      <c r="E988" s="273"/>
      <c r="F988" s="272"/>
    </row>
    <row r="989" spans="2:6" ht="12" customHeight="1" x14ac:dyDescent="0.15">
      <c r="B989" s="274"/>
      <c r="C989" s="273"/>
      <c r="D989" s="273"/>
      <c r="E989" s="273"/>
      <c r="F989" s="272"/>
    </row>
    <row r="990" spans="2:6" ht="12" customHeight="1" x14ac:dyDescent="0.15">
      <c r="B990" s="274"/>
      <c r="C990" s="273"/>
      <c r="D990" s="273"/>
      <c r="E990" s="273"/>
      <c r="F990" s="272"/>
    </row>
    <row r="991" spans="2:6" ht="12" customHeight="1" x14ac:dyDescent="0.15">
      <c r="B991" s="274"/>
      <c r="C991" s="273"/>
      <c r="D991" s="273"/>
      <c r="E991" s="273"/>
      <c r="F991" s="272"/>
    </row>
    <row r="992" spans="2:6" ht="12" customHeight="1" x14ac:dyDescent="0.15">
      <c r="B992" s="274"/>
      <c r="C992" s="273"/>
      <c r="D992" s="273"/>
      <c r="E992" s="273"/>
      <c r="F992" s="272"/>
    </row>
    <row r="993" spans="2:6" ht="12" customHeight="1" x14ac:dyDescent="0.15">
      <c r="B993" s="274"/>
      <c r="C993" s="273"/>
      <c r="D993" s="273"/>
      <c r="E993" s="273"/>
      <c r="F993" s="272"/>
    </row>
    <row r="994" spans="2:6" ht="12" customHeight="1" x14ac:dyDescent="0.15">
      <c r="B994" s="274"/>
      <c r="C994" s="273"/>
      <c r="D994" s="273"/>
      <c r="E994" s="273"/>
      <c r="F994" s="272"/>
    </row>
    <row r="995" spans="2:6" ht="12" customHeight="1" x14ac:dyDescent="0.15">
      <c r="B995" s="274"/>
      <c r="C995" s="273"/>
      <c r="D995" s="273"/>
      <c r="E995" s="273"/>
      <c r="F995" s="272"/>
    </row>
  </sheetData>
  <mergeCells count="1">
    <mergeCell ref="A1:F1"/>
  </mergeCells>
  <pageMargins left="0.78749999999999998" right="0.78749999999999998" top="0.78749999999999998" bottom="0.78749999999999998" header="0" footer="0"/>
  <pageSetup scale="1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4D4C-0824-46E4-8FD8-096655006937}">
  <sheetPr>
    <tabColor theme="7"/>
    <pageSetUpPr fitToPage="1"/>
  </sheetPr>
  <dimension ref="A1:Z986"/>
  <sheetViews>
    <sheetView workbookViewId="0">
      <selection activeCell="G38" sqref="A1:G38"/>
    </sheetView>
  </sheetViews>
  <sheetFormatPr baseColWidth="10" defaultColWidth="12.5" defaultRowHeight="15" customHeight="1" x14ac:dyDescent="0.15"/>
  <cols>
    <col min="1" max="1" width="4.5" style="271" customWidth="1"/>
    <col min="2" max="2" width="45" style="271" customWidth="1"/>
    <col min="3" max="3" width="13.1640625" style="271" customWidth="1"/>
    <col min="4" max="4" width="13" style="271" customWidth="1"/>
    <col min="5" max="5" width="15.5" style="271" customWidth="1"/>
    <col min="6" max="6" width="13" style="271" customWidth="1"/>
    <col min="7" max="7" width="4.5" style="271" customWidth="1"/>
    <col min="8" max="16384" width="12.5" style="271"/>
  </cols>
  <sheetData>
    <row r="1" spans="1:26" ht="54" customHeight="1" x14ac:dyDescent="0.15">
      <c r="A1" s="414"/>
      <c r="B1" s="415"/>
      <c r="C1" s="415"/>
      <c r="D1" s="415"/>
      <c r="E1" s="415"/>
      <c r="F1" s="415"/>
    </row>
    <row r="2" spans="1:26" ht="12" customHeight="1" x14ac:dyDescent="0.15">
      <c r="B2" s="274"/>
      <c r="C2" s="273"/>
      <c r="D2" s="273"/>
      <c r="E2" s="273"/>
      <c r="F2" s="272"/>
    </row>
    <row r="3" spans="1:26" ht="18.75" customHeight="1" x14ac:dyDescent="0.2">
      <c r="A3" s="344" t="s">
        <v>0</v>
      </c>
      <c r="C3" s="273"/>
      <c r="D3" s="273"/>
      <c r="E3" s="273"/>
      <c r="F3" s="272"/>
    </row>
    <row r="4" spans="1:26" ht="12" customHeight="1" x14ac:dyDescent="0.15">
      <c r="A4" s="274" t="s">
        <v>1</v>
      </c>
      <c r="C4" s="273"/>
      <c r="D4" s="273"/>
      <c r="E4" s="273"/>
      <c r="F4" s="272"/>
    </row>
    <row r="5" spans="1:26" ht="12" customHeight="1" x14ac:dyDescent="0.15">
      <c r="A5" s="274"/>
      <c r="B5" s="343" t="s">
        <v>127</v>
      </c>
      <c r="C5" s="273"/>
      <c r="D5" s="273"/>
      <c r="E5" s="273"/>
      <c r="F5" s="272"/>
    </row>
    <row r="6" spans="1:26" ht="12" customHeight="1" x14ac:dyDescent="0.15">
      <c r="A6" s="274"/>
      <c r="B6" s="342" t="s">
        <v>128</v>
      </c>
      <c r="C6" s="273"/>
      <c r="D6" s="410" t="s">
        <v>270</v>
      </c>
      <c r="E6" s="411"/>
      <c r="F6" s="341"/>
      <c r="G6" s="272"/>
    </row>
    <row r="7" spans="1:26" ht="12" customHeight="1" x14ac:dyDescent="0.15">
      <c r="A7" s="274"/>
      <c r="B7" s="340" t="s">
        <v>129</v>
      </c>
      <c r="C7" s="273"/>
      <c r="D7" s="273"/>
      <c r="E7" s="273"/>
      <c r="F7" s="272"/>
    </row>
    <row r="8" spans="1:26" ht="12" customHeight="1" x14ac:dyDescent="0.15">
      <c r="B8" s="274"/>
      <c r="C8" s="273"/>
      <c r="D8" s="273"/>
      <c r="E8" s="273"/>
      <c r="F8" s="272"/>
    </row>
    <row r="9" spans="1:26" ht="12" customHeight="1" x14ac:dyDescent="0.15">
      <c r="B9" s="339"/>
      <c r="C9" s="273"/>
      <c r="D9" s="273"/>
      <c r="E9" s="273"/>
      <c r="F9" s="272"/>
      <c r="G9" s="338" t="s">
        <v>245</v>
      </c>
    </row>
    <row r="10" spans="1:26" ht="17.25" customHeight="1" x14ac:dyDescent="0.15">
      <c r="A10" s="302"/>
      <c r="B10" s="337" t="s">
        <v>98</v>
      </c>
      <c r="C10" s="336"/>
      <c r="D10" s="336"/>
      <c r="E10" s="336"/>
      <c r="F10" s="335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</row>
    <row r="11" spans="1:26" ht="12" customHeight="1" x14ac:dyDescent="0.15">
      <c r="B11" s="274"/>
      <c r="C11" s="273"/>
      <c r="D11" s="273"/>
      <c r="E11" s="273"/>
      <c r="F11" s="272"/>
    </row>
    <row r="12" spans="1:26" ht="15" customHeight="1" x14ac:dyDescent="0.15">
      <c r="A12" s="302"/>
      <c r="B12" s="334" t="s">
        <v>3</v>
      </c>
      <c r="C12" s="333" t="s">
        <v>4</v>
      </c>
      <c r="D12" s="333" t="s">
        <v>99</v>
      </c>
      <c r="E12" s="332" t="s">
        <v>100</v>
      </c>
      <c r="F12" s="332" t="s">
        <v>101</v>
      </c>
      <c r="G12" s="302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302"/>
    </row>
    <row r="13" spans="1:26" ht="12" customHeight="1" x14ac:dyDescent="0.15">
      <c r="A13" s="302"/>
      <c r="B13" s="329" t="s">
        <v>130</v>
      </c>
      <c r="C13" s="322">
        <v>45342</v>
      </c>
      <c r="D13" s="311"/>
      <c r="E13" s="311">
        <v>38625</v>
      </c>
      <c r="F13" s="310">
        <f>E13</f>
        <v>38625</v>
      </c>
      <c r="G13" s="302"/>
      <c r="H13" s="302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302"/>
    </row>
    <row r="14" spans="1:26" ht="12" customHeight="1" x14ac:dyDescent="0.15">
      <c r="A14" s="302"/>
      <c r="B14" s="329" t="s">
        <v>130</v>
      </c>
      <c r="C14" s="346">
        <v>45408</v>
      </c>
      <c r="D14" s="311"/>
      <c r="E14" s="311">
        <v>22556.560000000001</v>
      </c>
      <c r="F14" s="310">
        <f t="shared" ref="F14:F27" si="0">F13-D14+E14</f>
        <v>61181.56</v>
      </c>
      <c r="G14" s="302"/>
      <c r="H14" s="302"/>
      <c r="I14" s="302"/>
      <c r="J14" s="302"/>
      <c r="K14" s="302"/>
      <c r="L14" s="302"/>
      <c r="M14" s="302"/>
      <c r="N14" s="302"/>
      <c r="O14" s="302"/>
      <c r="P14" s="302"/>
      <c r="Q14" s="302"/>
      <c r="R14" s="302"/>
      <c r="S14" s="302"/>
      <c r="T14" s="302"/>
      <c r="U14" s="302"/>
      <c r="V14" s="302"/>
      <c r="W14" s="302"/>
      <c r="X14" s="302"/>
      <c r="Y14" s="302"/>
      <c r="Z14" s="302"/>
    </row>
    <row r="15" spans="1:26" ht="12" customHeight="1" x14ac:dyDescent="0.15">
      <c r="A15" s="302"/>
      <c r="B15" s="329" t="s">
        <v>130</v>
      </c>
      <c r="C15" s="346">
        <v>45488</v>
      </c>
      <c r="D15" s="311"/>
      <c r="E15" s="311">
        <v>18000</v>
      </c>
      <c r="F15" s="310">
        <f t="shared" si="0"/>
        <v>79181.56</v>
      </c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</row>
    <row r="16" spans="1:26" ht="12" customHeight="1" x14ac:dyDescent="0.15">
      <c r="A16" s="302"/>
      <c r="B16" s="329" t="s">
        <v>130</v>
      </c>
      <c r="C16" s="346">
        <v>45531</v>
      </c>
      <c r="D16" s="347"/>
      <c r="E16" s="311">
        <v>12400</v>
      </c>
      <c r="F16" s="310">
        <f t="shared" si="0"/>
        <v>91581.56</v>
      </c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</row>
    <row r="17" spans="1:26" ht="12" customHeight="1" x14ac:dyDescent="0.15">
      <c r="A17" s="302"/>
      <c r="B17" s="329" t="s">
        <v>130</v>
      </c>
      <c r="C17" s="346">
        <v>45581</v>
      </c>
      <c r="D17" s="311"/>
      <c r="E17" s="311">
        <v>18025</v>
      </c>
      <c r="F17" s="310">
        <f t="shared" si="0"/>
        <v>109606.56</v>
      </c>
      <c r="G17" s="302"/>
      <c r="H17" s="302"/>
      <c r="I17" s="302"/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  <c r="Y17" s="302"/>
      <c r="Z17" s="302"/>
    </row>
    <row r="18" spans="1:26" ht="12" customHeight="1" x14ac:dyDescent="0.15">
      <c r="A18" s="302"/>
      <c r="B18" s="329" t="s">
        <v>130</v>
      </c>
      <c r="C18" s="346">
        <v>45621</v>
      </c>
      <c r="D18" s="311"/>
      <c r="E18" s="311">
        <v>10000</v>
      </c>
      <c r="F18" s="310">
        <f t="shared" si="0"/>
        <v>119606.56</v>
      </c>
      <c r="G18" s="302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T18" s="302"/>
      <c r="U18" s="302"/>
      <c r="V18" s="302"/>
      <c r="W18" s="302"/>
      <c r="X18" s="302"/>
      <c r="Y18" s="302"/>
      <c r="Z18" s="302"/>
    </row>
    <row r="19" spans="1:26" ht="15" customHeight="1" x14ac:dyDescent="0.15">
      <c r="A19" s="302"/>
      <c r="B19" s="323" t="s">
        <v>131</v>
      </c>
      <c r="C19" s="346">
        <v>45342</v>
      </c>
      <c r="D19" s="311">
        <v>1000</v>
      </c>
      <c r="E19" s="311"/>
      <c r="F19" s="310">
        <f t="shared" si="0"/>
        <v>118606.56</v>
      </c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</row>
    <row r="20" spans="1:26" ht="16" customHeight="1" x14ac:dyDescent="0.15">
      <c r="A20" s="302"/>
      <c r="B20" s="329" t="s">
        <v>133</v>
      </c>
      <c r="C20" s="346">
        <v>45408</v>
      </c>
      <c r="D20" s="311">
        <v>1000</v>
      </c>
      <c r="E20" s="311"/>
      <c r="F20" s="310">
        <f t="shared" si="0"/>
        <v>117606.56</v>
      </c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</row>
    <row r="21" spans="1:26" ht="43" customHeight="1" x14ac:dyDescent="0.15">
      <c r="A21" s="302"/>
      <c r="B21" s="328" t="s">
        <v>244</v>
      </c>
      <c r="C21" s="333"/>
      <c r="D21" s="325">
        <v>113626.4</v>
      </c>
      <c r="E21" s="311"/>
      <c r="F21" s="310">
        <f t="shared" si="0"/>
        <v>3980.1600000000035</v>
      </c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</row>
    <row r="22" spans="1:26" ht="40" customHeight="1" x14ac:dyDescent="0.15">
      <c r="A22" s="302"/>
      <c r="B22" s="383" t="s">
        <v>260</v>
      </c>
      <c r="C22" s="379">
        <v>45658</v>
      </c>
      <c r="D22" s="384"/>
      <c r="E22" s="381"/>
      <c r="F22" s="382">
        <f>F21</f>
        <v>3980.1600000000035</v>
      </c>
      <c r="G22" s="30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</row>
    <row r="23" spans="1:26" ht="28" customHeight="1" x14ac:dyDescent="0.15">
      <c r="A23" s="302"/>
      <c r="B23" s="315" t="s">
        <v>204</v>
      </c>
      <c r="C23" s="313">
        <v>45664</v>
      </c>
      <c r="D23" s="311">
        <v>6192.9010127566162</v>
      </c>
      <c r="E23" s="311"/>
      <c r="F23" s="310">
        <f>F21-D23+E23</f>
        <v>-2212.7410127566127</v>
      </c>
      <c r="G23" s="302"/>
      <c r="H23" s="302"/>
      <c r="I23" s="302"/>
      <c r="J23" s="302"/>
      <c r="K23" s="302"/>
      <c r="L23" s="302"/>
      <c r="M23" s="302"/>
      <c r="N23" s="302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</row>
    <row r="24" spans="1:26" ht="30" customHeight="1" x14ac:dyDescent="0.15">
      <c r="A24" s="302"/>
      <c r="B24" s="315" t="s">
        <v>205</v>
      </c>
      <c r="C24" s="313">
        <v>45664</v>
      </c>
      <c r="D24" s="311">
        <v>14739.635739106574</v>
      </c>
      <c r="E24" s="311"/>
      <c r="F24" s="310">
        <f t="shared" si="0"/>
        <v>-16952.376751863187</v>
      </c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2"/>
      <c r="V24" s="302"/>
      <c r="W24" s="302"/>
      <c r="X24" s="302"/>
      <c r="Y24" s="302"/>
      <c r="Z24" s="302"/>
    </row>
    <row r="25" spans="1:26" ht="27" customHeight="1" x14ac:dyDescent="0.15">
      <c r="A25" s="302"/>
      <c r="B25" s="405" t="s">
        <v>206</v>
      </c>
      <c r="C25" s="313">
        <v>45664</v>
      </c>
      <c r="D25" s="311">
        <v>5553.4393669699584</v>
      </c>
      <c r="E25" s="311"/>
      <c r="F25" s="310">
        <f t="shared" si="0"/>
        <v>-22505.816118833143</v>
      </c>
      <c r="G25" s="302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</row>
    <row r="26" spans="1:26" ht="28" customHeight="1" x14ac:dyDescent="0.15">
      <c r="A26" s="302"/>
      <c r="B26" s="323" t="s">
        <v>130</v>
      </c>
      <c r="C26" s="345">
        <v>45679</v>
      </c>
      <c r="D26" s="311"/>
      <c r="E26" s="311">
        <v>16200</v>
      </c>
      <c r="F26" s="310">
        <f t="shared" si="0"/>
        <v>-6305.8161188331433</v>
      </c>
      <c r="G26" s="302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</row>
    <row r="27" spans="1:26" ht="42" customHeight="1" x14ac:dyDescent="0.15">
      <c r="A27" s="302"/>
      <c r="B27" s="314" t="s">
        <v>243</v>
      </c>
      <c r="C27" s="402">
        <v>45730</v>
      </c>
      <c r="D27" s="311">
        <v>18023.939999999999</v>
      </c>
      <c r="E27" s="311"/>
      <c r="F27" s="310">
        <f t="shared" si="0"/>
        <v>-24329.756118833142</v>
      </c>
      <c r="G27" s="302"/>
      <c r="H27" s="302"/>
      <c r="I27" s="302"/>
      <c r="J27" s="302"/>
      <c r="K27" s="302"/>
      <c r="L27" s="302"/>
      <c r="M27" s="302"/>
      <c r="N27" s="302"/>
      <c r="O27" s="302"/>
      <c r="P27" s="302"/>
      <c r="Q27" s="302"/>
      <c r="R27" s="302"/>
      <c r="S27" s="302"/>
      <c r="T27" s="302"/>
      <c r="U27" s="302"/>
      <c r="V27" s="302"/>
      <c r="W27" s="302"/>
      <c r="X27" s="302"/>
      <c r="Y27" s="302"/>
      <c r="Z27" s="302"/>
    </row>
    <row r="28" spans="1:26" s="378" customFormat="1" ht="58" customHeight="1" x14ac:dyDescent="0.15">
      <c r="A28" s="302"/>
      <c r="B28" s="314" t="s">
        <v>261</v>
      </c>
      <c r="C28" s="404">
        <v>45730</v>
      </c>
      <c r="D28" s="409">
        <v>13950</v>
      </c>
      <c r="E28" s="311"/>
      <c r="F28" s="310">
        <f>F27-D28</f>
        <v>-38279.756118833146</v>
      </c>
      <c r="G28" s="302"/>
      <c r="H28" s="302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</row>
    <row r="29" spans="1:26" ht="26" customHeight="1" x14ac:dyDescent="0.15">
      <c r="A29" s="302"/>
      <c r="B29" s="386"/>
      <c r="C29" s="403" t="s">
        <v>132</v>
      </c>
      <c r="D29" s="326">
        <f>SUM(D13:D28)</f>
        <v>174086.31611883314</v>
      </c>
      <c r="E29" s="326">
        <f>SUM(E13:E28)</f>
        <v>135806.56</v>
      </c>
      <c r="F29" s="324">
        <f>E29-D29</f>
        <v>-38279.756118833146</v>
      </c>
      <c r="G29" s="302"/>
      <c r="H29" s="302"/>
      <c r="I29" s="302"/>
      <c r="J29" s="302"/>
      <c r="K29" s="302"/>
      <c r="L29" s="302"/>
      <c r="M29" s="302"/>
      <c r="N29" s="302"/>
      <c r="O29" s="302"/>
      <c r="P29" s="302"/>
      <c r="Q29" s="302"/>
      <c r="R29" s="302"/>
      <c r="S29" s="302"/>
      <c r="T29" s="302"/>
      <c r="U29" s="302"/>
      <c r="V29" s="302"/>
      <c r="W29" s="302"/>
      <c r="X29" s="302"/>
      <c r="Y29" s="302"/>
      <c r="Z29" s="302"/>
    </row>
    <row r="30" spans="1:26" ht="12" customHeight="1" x14ac:dyDescent="0.15">
      <c r="B30" s="286" t="s">
        <v>121</v>
      </c>
      <c r="C30" s="273"/>
      <c r="D30" s="273"/>
      <c r="E30" s="273"/>
      <c r="F30" s="272"/>
    </row>
    <row r="31" spans="1:26" ht="12" customHeight="1" x14ac:dyDescent="0.15">
      <c r="B31" s="274" t="s">
        <v>242</v>
      </c>
      <c r="C31" s="273"/>
      <c r="D31" s="273"/>
      <c r="E31" s="273"/>
      <c r="F31" s="272"/>
    </row>
    <row r="32" spans="1:26" ht="12" customHeight="1" x14ac:dyDescent="0.15">
      <c r="B32" s="284"/>
      <c r="C32" s="273"/>
      <c r="D32" s="273"/>
      <c r="E32" s="273"/>
      <c r="F32" s="272"/>
    </row>
    <row r="33" spans="2:6" ht="12" customHeight="1" x14ac:dyDescent="0.15">
      <c r="B33" s="283" t="s">
        <v>123</v>
      </c>
      <c r="C33" s="282"/>
      <c r="D33" s="281"/>
      <c r="E33" s="273"/>
      <c r="F33" s="272"/>
    </row>
    <row r="34" spans="2:6" ht="12" customHeight="1" x14ac:dyDescent="0.15">
      <c r="B34" s="280" t="s">
        <v>124</v>
      </c>
      <c r="C34" s="273"/>
      <c r="D34" s="279"/>
      <c r="E34" s="273"/>
      <c r="F34" s="272"/>
    </row>
    <row r="35" spans="2:6" ht="12" customHeight="1" x14ac:dyDescent="0.15">
      <c r="B35" s="280" t="s">
        <v>125</v>
      </c>
      <c r="C35" s="273"/>
      <c r="D35" s="279"/>
      <c r="E35" s="273"/>
      <c r="F35" s="272"/>
    </row>
    <row r="36" spans="2:6" ht="12" customHeight="1" x14ac:dyDescent="0.15">
      <c r="B36" s="278" t="s">
        <v>126</v>
      </c>
      <c r="C36" s="277"/>
      <c r="D36" s="276"/>
      <c r="E36" s="273"/>
      <c r="F36" s="272"/>
    </row>
    <row r="37" spans="2:6" ht="12" customHeight="1" x14ac:dyDescent="0.15">
      <c r="B37" s="274"/>
      <c r="C37" s="273"/>
      <c r="D37" s="273"/>
      <c r="E37" s="273"/>
      <c r="F37" s="272"/>
    </row>
    <row r="38" spans="2:6" ht="12" customHeight="1" x14ac:dyDescent="0.15">
      <c r="B38" s="274"/>
      <c r="C38" s="273"/>
      <c r="D38" s="273"/>
      <c r="E38" s="273"/>
      <c r="F38" s="272"/>
    </row>
    <row r="39" spans="2:6" ht="12" customHeight="1" x14ac:dyDescent="0.15">
      <c r="B39" s="274"/>
      <c r="C39" s="273"/>
      <c r="D39" s="273"/>
      <c r="E39" s="273"/>
      <c r="F39" s="272"/>
    </row>
    <row r="40" spans="2:6" ht="12" customHeight="1" x14ac:dyDescent="0.15">
      <c r="B40" s="274"/>
      <c r="C40" s="273"/>
      <c r="D40" s="273"/>
      <c r="E40" s="273"/>
      <c r="F40" s="272"/>
    </row>
    <row r="41" spans="2:6" ht="12" customHeight="1" x14ac:dyDescent="0.15">
      <c r="B41" s="274"/>
      <c r="C41" s="273"/>
      <c r="D41" s="273"/>
      <c r="E41" s="273"/>
      <c r="F41" s="272"/>
    </row>
    <row r="42" spans="2:6" ht="12" customHeight="1" x14ac:dyDescent="0.15">
      <c r="B42" s="274"/>
      <c r="C42" s="273"/>
      <c r="D42" s="273"/>
      <c r="E42" s="273"/>
      <c r="F42" s="272"/>
    </row>
    <row r="43" spans="2:6" ht="12" customHeight="1" x14ac:dyDescent="0.15">
      <c r="B43" s="274"/>
      <c r="C43" s="273"/>
      <c r="D43" s="273"/>
      <c r="E43" s="273"/>
      <c r="F43" s="272"/>
    </row>
    <row r="44" spans="2:6" ht="12" customHeight="1" x14ac:dyDescent="0.15">
      <c r="B44" s="274"/>
      <c r="C44" s="273"/>
      <c r="D44" s="273"/>
      <c r="E44" s="273"/>
      <c r="F44" s="272"/>
    </row>
    <row r="45" spans="2:6" ht="12" customHeight="1" x14ac:dyDescent="0.15">
      <c r="B45" s="274"/>
      <c r="C45" s="273"/>
      <c r="D45" s="273"/>
      <c r="E45" s="273"/>
      <c r="F45" s="272"/>
    </row>
    <row r="46" spans="2:6" ht="12" customHeight="1" x14ac:dyDescent="0.15">
      <c r="B46" s="274"/>
      <c r="C46" s="273"/>
      <c r="D46" s="273"/>
      <c r="E46" s="273"/>
      <c r="F46" s="272"/>
    </row>
    <row r="47" spans="2:6" ht="12" customHeight="1" x14ac:dyDescent="0.15">
      <c r="B47" s="274"/>
      <c r="C47" s="273"/>
      <c r="D47" s="273"/>
      <c r="E47" s="273"/>
      <c r="F47" s="272"/>
    </row>
    <row r="48" spans="2:6" ht="12" customHeight="1" x14ac:dyDescent="0.15">
      <c r="B48" s="274"/>
      <c r="C48" s="273"/>
      <c r="D48" s="273"/>
      <c r="E48" s="273"/>
      <c r="F48" s="272"/>
    </row>
    <row r="49" spans="2:6" ht="12" customHeight="1" x14ac:dyDescent="0.15">
      <c r="B49" s="274"/>
      <c r="C49" s="273"/>
      <c r="D49" s="273"/>
      <c r="E49" s="273"/>
      <c r="F49" s="272"/>
    </row>
    <row r="50" spans="2:6" ht="12" customHeight="1" x14ac:dyDescent="0.15">
      <c r="B50" s="274"/>
      <c r="C50" s="273"/>
      <c r="D50" s="273"/>
      <c r="E50" s="273"/>
      <c r="F50" s="272"/>
    </row>
    <row r="51" spans="2:6" ht="12" customHeight="1" x14ac:dyDescent="0.15">
      <c r="B51" s="274"/>
      <c r="C51" s="273"/>
      <c r="D51" s="273"/>
      <c r="E51" s="273"/>
      <c r="F51" s="272"/>
    </row>
    <row r="52" spans="2:6" ht="12" customHeight="1" x14ac:dyDescent="0.15">
      <c r="B52" s="274"/>
      <c r="C52" s="273"/>
      <c r="D52" s="273"/>
      <c r="E52" s="273"/>
      <c r="F52" s="272"/>
    </row>
    <row r="53" spans="2:6" ht="12" customHeight="1" x14ac:dyDescent="0.15">
      <c r="B53" s="274"/>
      <c r="C53" s="273"/>
      <c r="D53" s="273"/>
      <c r="E53" s="273"/>
      <c r="F53" s="272"/>
    </row>
    <row r="54" spans="2:6" ht="12" customHeight="1" x14ac:dyDescent="0.15">
      <c r="B54" s="274"/>
      <c r="C54" s="273"/>
      <c r="D54" s="273"/>
      <c r="E54" s="273"/>
      <c r="F54" s="272"/>
    </row>
    <row r="55" spans="2:6" ht="12" customHeight="1" x14ac:dyDescent="0.15">
      <c r="B55" s="274"/>
      <c r="C55" s="273"/>
      <c r="D55" s="273"/>
      <c r="E55" s="273"/>
      <c r="F55" s="272"/>
    </row>
    <row r="56" spans="2:6" ht="12" customHeight="1" x14ac:dyDescent="0.15">
      <c r="B56" s="274"/>
      <c r="C56" s="273"/>
      <c r="D56" s="273"/>
      <c r="E56" s="273"/>
      <c r="F56" s="272"/>
    </row>
    <row r="57" spans="2:6" ht="12" customHeight="1" x14ac:dyDescent="0.15">
      <c r="B57" s="274"/>
      <c r="C57" s="273"/>
      <c r="D57" s="273"/>
      <c r="E57" s="273"/>
      <c r="F57" s="272"/>
    </row>
    <row r="58" spans="2:6" ht="12" customHeight="1" x14ac:dyDescent="0.15">
      <c r="B58" s="274"/>
      <c r="C58" s="273"/>
      <c r="D58" s="273"/>
      <c r="E58" s="273"/>
      <c r="F58" s="272"/>
    </row>
    <row r="59" spans="2:6" ht="12" customHeight="1" x14ac:dyDescent="0.15">
      <c r="B59" s="274"/>
      <c r="C59" s="273"/>
      <c r="D59" s="273"/>
      <c r="E59" s="273"/>
      <c r="F59" s="272"/>
    </row>
    <row r="60" spans="2:6" ht="12" customHeight="1" x14ac:dyDescent="0.15">
      <c r="B60" s="274"/>
      <c r="C60" s="273"/>
      <c r="D60" s="273"/>
      <c r="E60" s="273"/>
      <c r="F60" s="272"/>
    </row>
    <row r="61" spans="2:6" ht="12" customHeight="1" x14ac:dyDescent="0.15">
      <c r="B61" s="274"/>
      <c r="C61" s="273"/>
      <c r="D61" s="273"/>
      <c r="E61" s="273"/>
      <c r="F61" s="272"/>
    </row>
    <row r="62" spans="2:6" ht="12" customHeight="1" x14ac:dyDescent="0.15">
      <c r="B62" s="274"/>
      <c r="C62" s="273"/>
      <c r="D62" s="273"/>
      <c r="E62" s="273"/>
      <c r="F62" s="272"/>
    </row>
    <row r="63" spans="2:6" ht="12" customHeight="1" x14ac:dyDescent="0.15">
      <c r="B63" s="274"/>
      <c r="C63" s="273"/>
      <c r="D63" s="273"/>
      <c r="E63" s="273"/>
      <c r="F63" s="272"/>
    </row>
    <row r="64" spans="2:6" ht="12" customHeight="1" x14ac:dyDescent="0.15">
      <c r="B64" s="274"/>
      <c r="C64" s="273"/>
      <c r="D64" s="273"/>
      <c r="E64" s="273"/>
      <c r="F64" s="272"/>
    </row>
    <row r="65" spans="2:6" ht="12" customHeight="1" x14ac:dyDescent="0.15">
      <c r="B65" s="274"/>
      <c r="C65" s="273"/>
      <c r="D65" s="273"/>
      <c r="E65" s="273"/>
      <c r="F65" s="272"/>
    </row>
    <row r="66" spans="2:6" ht="12" customHeight="1" x14ac:dyDescent="0.15">
      <c r="B66" s="274"/>
      <c r="C66" s="273"/>
      <c r="D66" s="273"/>
      <c r="E66" s="273"/>
      <c r="F66" s="272"/>
    </row>
    <row r="67" spans="2:6" ht="12" customHeight="1" x14ac:dyDescent="0.15">
      <c r="B67" s="274"/>
      <c r="C67" s="273"/>
      <c r="D67" s="273"/>
      <c r="E67" s="273"/>
      <c r="F67" s="272"/>
    </row>
    <row r="68" spans="2:6" ht="12" customHeight="1" x14ac:dyDescent="0.15">
      <c r="B68" s="274"/>
      <c r="C68" s="273"/>
      <c r="D68" s="273"/>
      <c r="E68" s="273"/>
      <c r="F68" s="272"/>
    </row>
    <row r="69" spans="2:6" ht="12" customHeight="1" x14ac:dyDescent="0.15">
      <c r="B69" s="274"/>
      <c r="C69" s="273"/>
      <c r="D69" s="273"/>
      <c r="E69" s="273"/>
      <c r="F69" s="272"/>
    </row>
    <row r="70" spans="2:6" ht="12" customHeight="1" x14ac:dyDescent="0.15">
      <c r="B70" s="274"/>
      <c r="C70" s="273"/>
      <c r="D70" s="273"/>
      <c r="E70" s="273"/>
      <c r="F70" s="272"/>
    </row>
    <row r="71" spans="2:6" ht="12" customHeight="1" x14ac:dyDescent="0.15">
      <c r="B71" s="274"/>
      <c r="C71" s="273"/>
      <c r="D71" s="273"/>
      <c r="E71" s="273"/>
      <c r="F71" s="272"/>
    </row>
    <row r="72" spans="2:6" ht="12" customHeight="1" x14ac:dyDescent="0.15">
      <c r="B72" s="274"/>
      <c r="C72" s="273"/>
      <c r="D72" s="273"/>
      <c r="E72" s="273"/>
      <c r="F72" s="272"/>
    </row>
    <row r="73" spans="2:6" ht="12" customHeight="1" x14ac:dyDescent="0.15">
      <c r="B73" s="274"/>
      <c r="C73" s="273"/>
      <c r="D73" s="273"/>
      <c r="E73" s="273"/>
      <c r="F73" s="272"/>
    </row>
    <row r="74" spans="2:6" ht="12" customHeight="1" x14ac:dyDescent="0.15">
      <c r="B74" s="274"/>
      <c r="C74" s="273"/>
      <c r="D74" s="273"/>
      <c r="E74" s="273"/>
      <c r="F74" s="272"/>
    </row>
    <row r="75" spans="2:6" ht="12" customHeight="1" x14ac:dyDescent="0.15">
      <c r="B75" s="274"/>
      <c r="C75" s="273"/>
      <c r="D75" s="273"/>
      <c r="E75" s="273"/>
      <c r="F75" s="272"/>
    </row>
    <row r="76" spans="2:6" ht="12" customHeight="1" x14ac:dyDescent="0.15">
      <c r="B76" s="274"/>
      <c r="C76" s="273"/>
      <c r="D76" s="273"/>
      <c r="E76" s="273"/>
      <c r="F76" s="272"/>
    </row>
    <row r="77" spans="2:6" ht="12" customHeight="1" x14ac:dyDescent="0.15">
      <c r="B77" s="274"/>
      <c r="C77" s="273"/>
      <c r="D77" s="273"/>
      <c r="E77" s="273"/>
      <c r="F77" s="272"/>
    </row>
    <row r="78" spans="2:6" ht="12" customHeight="1" x14ac:dyDescent="0.15">
      <c r="B78" s="274"/>
      <c r="C78" s="273"/>
      <c r="D78" s="273"/>
      <c r="E78" s="273"/>
      <c r="F78" s="272"/>
    </row>
    <row r="79" spans="2:6" ht="12" customHeight="1" x14ac:dyDescent="0.15">
      <c r="B79" s="274"/>
      <c r="C79" s="273"/>
      <c r="D79" s="273"/>
      <c r="E79" s="273"/>
      <c r="F79" s="272"/>
    </row>
    <row r="80" spans="2:6" ht="12" customHeight="1" x14ac:dyDescent="0.15">
      <c r="B80" s="274"/>
      <c r="C80" s="273"/>
      <c r="D80" s="273"/>
      <c r="E80" s="273"/>
      <c r="F80" s="272"/>
    </row>
    <row r="81" spans="2:6" ht="12" customHeight="1" x14ac:dyDescent="0.15">
      <c r="B81" s="274"/>
      <c r="C81" s="273"/>
      <c r="D81" s="273"/>
      <c r="E81" s="273"/>
      <c r="F81" s="272"/>
    </row>
    <row r="82" spans="2:6" ht="12" customHeight="1" x14ac:dyDescent="0.15">
      <c r="B82" s="274"/>
      <c r="C82" s="273"/>
      <c r="D82" s="273"/>
      <c r="E82" s="273"/>
      <c r="F82" s="272"/>
    </row>
    <row r="83" spans="2:6" ht="12" customHeight="1" x14ac:dyDescent="0.15">
      <c r="B83" s="274"/>
      <c r="C83" s="273"/>
      <c r="D83" s="273"/>
      <c r="E83" s="273"/>
      <c r="F83" s="272"/>
    </row>
    <row r="84" spans="2:6" ht="12" customHeight="1" x14ac:dyDescent="0.15">
      <c r="B84" s="274"/>
      <c r="C84" s="273"/>
      <c r="D84" s="273"/>
      <c r="E84" s="273"/>
      <c r="F84" s="272"/>
    </row>
    <row r="85" spans="2:6" ht="12" customHeight="1" x14ac:dyDescent="0.15">
      <c r="B85" s="274"/>
      <c r="C85" s="273"/>
      <c r="D85" s="273"/>
      <c r="E85" s="273"/>
      <c r="F85" s="272"/>
    </row>
    <row r="86" spans="2:6" ht="12" customHeight="1" x14ac:dyDescent="0.15">
      <c r="B86" s="274"/>
      <c r="C86" s="273"/>
      <c r="D86" s="273"/>
      <c r="E86" s="273"/>
      <c r="F86" s="272"/>
    </row>
    <row r="87" spans="2:6" ht="12" customHeight="1" x14ac:dyDescent="0.15">
      <c r="B87" s="274"/>
      <c r="C87" s="273"/>
      <c r="D87" s="273"/>
      <c r="E87" s="273"/>
      <c r="F87" s="272"/>
    </row>
    <row r="88" spans="2:6" ht="12" customHeight="1" x14ac:dyDescent="0.15">
      <c r="B88" s="274"/>
      <c r="C88" s="273"/>
      <c r="D88" s="273"/>
      <c r="E88" s="273"/>
      <c r="F88" s="272"/>
    </row>
    <row r="89" spans="2:6" ht="12" customHeight="1" x14ac:dyDescent="0.15">
      <c r="B89" s="274"/>
      <c r="C89" s="273"/>
      <c r="D89" s="273"/>
      <c r="E89" s="273"/>
      <c r="F89" s="272"/>
    </row>
    <row r="90" spans="2:6" ht="12" customHeight="1" x14ac:dyDescent="0.15">
      <c r="B90" s="274"/>
      <c r="C90" s="273"/>
      <c r="D90" s="273"/>
      <c r="E90" s="273"/>
      <c r="F90" s="272"/>
    </row>
    <row r="91" spans="2:6" ht="12" customHeight="1" x14ac:dyDescent="0.15">
      <c r="B91" s="274"/>
      <c r="C91" s="273"/>
      <c r="D91" s="273"/>
      <c r="E91" s="273"/>
      <c r="F91" s="272"/>
    </row>
    <row r="92" spans="2:6" ht="12" customHeight="1" x14ac:dyDescent="0.15">
      <c r="B92" s="274"/>
      <c r="C92" s="273"/>
      <c r="D92" s="273"/>
      <c r="E92" s="273"/>
      <c r="F92" s="272"/>
    </row>
    <row r="93" spans="2:6" ht="12" customHeight="1" x14ac:dyDescent="0.15">
      <c r="B93" s="274"/>
      <c r="C93" s="273"/>
      <c r="D93" s="273"/>
      <c r="E93" s="273"/>
      <c r="F93" s="272"/>
    </row>
    <row r="94" spans="2:6" ht="12" customHeight="1" x14ac:dyDescent="0.15">
      <c r="B94" s="274"/>
      <c r="C94" s="273"/>
      <c r="D94" s="273"/>
      <c r="E94" s="273"/>
      <c r="F94" s="272"/>
    </row>
    <row r="95" spans="2:6" ht="12" customHeight="1" x14ac:dyDescent="0.15">
      <c r="B95" s="274"/>
      <c r="C95" s="273"/>
      <c r="D95" s="273"/>
      <c r="E95" s="273"/>
      <c r="F95" s="272"/>
    </row>
    <row r="96" spans="2:6" ht="12" customHeight="1" x14ac:dyDescent="0.15">
      <c r="B96" s="274"/>
      <c r="C96" s="273"/>
      <c r="D96" s="273"/>
      <c r="E96" s="273"/>
      <c r="F96" s="272"/>
    </row>
    <row r="97" spans="2:6" ht="12" customHeight="1" x14ac:dyDescent="0.15">
      <c r="B97" s="274"/>
      <c r="C97" s="273"/>
      <c r="D97" s="273"/>
      <c r="E97" s="273"/>
      <c r="F97" s="272"/>
    </row>
    <row r="98" spans="2:6" ht="12" customHeight="1" x14ac:dyDescent="0.15">
      <c r="B98" s="274"/>
      <c r="C98" s="273"/>
      <c r="D98" s="273"/>
      <c r="E98" s="273"/>
      <c r="F98" s="272"/>
    </row>
    <row r="99" spans="2:6" ht="12" customHeight="1" x14ac:dyDescent="0.15">
      <c r="B99" s="274"/>
      <c r="C99" s="273"/>
      <c r="D99" s="273"/>
      <c r="E99" s="273"/>
      <c r="F99" s="272"/>
    </row>
    <row r="100" spans="2:6" ht="12" customHeight="1" x14ac:dyDescent="0.15">
      <c r="B100" s="274"/>
      <c r="C100" s="273"/>
      <c r="D100" s="273"/>
      <c r="E100" s="273"/>
      <c r="F100" s="272"/>
    </row>
    <row r="101" spans="2:6" ht="12" customHeight="1" x14ac:dyDescent="0.15">
      <c r="B101" s="274"/>
      <c r="C101" s="273"/>
      <c r="D101" s="273"/>
      <c r="E101" s="273"/>
      <c r="F101" s="272"/>
    </row>
    <row r="102" spans="2:6" ht="12" customHeight="1" x14ac:dyDescent="0.15">
      <c r="B102" s="274"/>
      <c r="C102" s="273"/>
      <c r="D102" s="273"/>
      <c r="E102" s="273"/>
      <c r="F102" s="272"/>
    </row>
    <row r="103" spans="2:6" ht="12" customHeight="1" x14ac:dyDescent="0.15">
      <c r="B103" s="274"/>
      <c r="C103" s="273"/>
      <c r="D103" s="273"/>
      <c r="E103" s="273"/>
      <c r="F103" s="272"/>
    </row>
    <row r="104" spans="2:6" ht="12" customHeight="1" x14ac:dyDescent="0.15">
      <c r="B104" s="274"/>
      <c r="C104" s="273"/>
      <c r="D104" s="273"/>
      <c r="E104" s="273"/>
      <c r="F104" s="272"/>
    </row>
    <row r="105" spans="2:6" ht="12" customHeight="1" x14ac:dyDescent="0.15">
      <c r="B105" s="274"/>
      <c r="C105" s="273"/>
      <c r="D105" s="273"/>
      <c r="E105" s="273"/>
      <c r="F105" s="272"/>
    </row>
    <row r="106" spans="2:6" ht="12" customHeight="1" x14ac:dyDescent="0.15">
      <c r="B106" s="274"/>
      <c r="C106" s="273"/>
      <c r="D106" s="273"/>
      <c r="E106" s="273"/>
      <c r="F106" s="272"/>
    </row>
    <row r="107" spans="2:6" ht="12" customHeight="1" x14ac:dyDescent="0.15">
      <c r="B107" s="274"/>
      <c r="C107" s="273"/>
      <c r="D107" s="273"/>
      <c r="E107" s="273"/>
      <c r="F107" s="272"/>
    </row>
    <row r="108" spans="2:6" ht="12" customHeight="1" x14ac:dyDescent="0.15">
      <c r="B108" s="274"/>
      <c r="C108" s="273"/>
      <c r="D108" s="273"/>
      <c r="E108" s="273"/>
      <c r="F108" s="272"/>
    </row>
    <row r="109" spans="2:6" ht="12" customHeight="1" x14ac:dyDescent="0.15">
      <c r="B109" s="274"/>
      <c r="C109" s="273"/>
      <c r="D109" s="273"/>
      <c r="E109" s="273"/>
      <c r="F109" s="272"/>
    </row>
    <row r="110" spans="2:6" ht="12" customHeight="1" x14ac:dyDescent="0.15">
      <c r="B110" s="274"/>
      <c r="C110" s="273"/>
      <c r="D110" s="273"/>
      <c r="E110" s="273"/>
      <c r="F110" s="272"/>
    </row>
    <row r="111" spans="2:6" ht="12" customHeight="1" x14ac:dyDescent="0.15">
      <c r="B111" s="274"/>
      <c r="C111" s="273"/>
      <c r="D111" s="273"/>
      <c r="E111" s="273"/>
      <c r="F111" s="272"/>
    </row>
    <row r="112" spans="2:6" ht="12" customHeight="1" x14ac:dyDescent="0.15">
      <c r="B112" s="274"/>
      <c r="C112" s="273"/>
      <c r="D112" s="273"/>
      <c r="E112" s="273"/>
      <c r="F112" s="272"/>
    </row>
    <row r="113" spans="2:6" ht="12" customHeight="1" x14ac:dyDescent="0.15">
      <c r="B113" s="274"/>
      <c r="C113" s="273"/>
      <c r="D113" s="273"/>
      <c r="E113" s="273"/>
      <c r="F113" s="272"/>
    </row>
    <row r="114" spans="2:6" ht="12" customHeight="1" x14ac:dyDescent="0.15">
      <c r="B114" s="274"/>
      <c r="C114" s="273"/>
      <c r="D114" s="273"/>
      <c r="E114" s="273"/>
      <c r="F114" s="272"/>
    </row>
    <row r="115" spans="2:6" ht="12" customHeight="1" x14ac:dyDescent="0.15">
      <c r="B115" s="274"/>
      <c r="C115" s="273"/>
      <c r="D115" s="273"/>
      <c r="E115" s="273"/>
      <c r="F115" s="272"/>
    </row>
    <row r="116" spans="2:6" ht="12" customHeight="1" x14ac:dyDescent="0.15">
      <c r="B116" s="274"/>
      <c r="C116" s="273"/>
      <c r="D116" s="273"/>
      <c r="E116" s="273"/>
      <c r="F116" s="272"/>
    </row>
    <row r="117" spans="2:6" ht="12" customHeight="1" x14ac:dyDescent="0.15">
      <c r="B117" s="274"/>
      <c r="C117" s="273"/>
      <c r="D117" s="273"/>
      <c r="E117" s="273"/>
      <c r="F117" s="272"/>
    </row>
    <row r="118" spans="2:6" ht="12" customHeight="1" x14ac:dyDescent="0.15">
      <c r="B118" s="274"/>
      <c r="C118" s="273"/>
      <c r="D118" s="273"/>
      <c r="E118" s="273"/>
      <c r="F118" s="272"/>
    </row>
    <row r="119" spans="2:6" ht="12" customHeight="1" x14ac:dyDescent="0.15">
      <c r="B119" s="274"/>
      <c r="C119" s="273"/>
      <c r="D119" s="273"/>
      <c r="E119" s="273"/>
      <c r="F119" s="272"/>
    </row>
    <row r="120" spans="2:6" ht="12" customHeight="1" x14ac:dyDescent="0.15">
      <c r="B120" s="274"/>
      <c r="C120" s="273"/>
      <c r="D120" s="273"/>
      <c r="E120" s="273"/>
      <c r="F120" s="272"/>
    </row>
    <row r="121" spans="2:6" ht="12" customHeight="1" x14ac:dyDescent="0.15">
      <c r="B121" s="274"/>
      <c r="C121" s="273"/>
      <c r="D121" s="273"/>
      <c r="E121" s="273"/>
      <c r="F121" s="272"/>
    </row>
    <row r="122" spans="2:6" ht="12" customHeight="1" x14ac:dyDescent="0.15">
      <c r="B122" s="274"/>
      <c r="C122" s="273"/>
      <c r="D122" s="273"/>
      <c r="E122" s="273"/>
      <c r="F122" s="272"/>
    </row>
    <row r="123" spans="2:6" ht="12" customHeight="1" x14ac:dyDescent="0.15">
      <c r="B123" s="274"/>
      <c r="C123" s="273"/>
      <c r="D123" s="273"/>
      <c r="E123" s="273"/>
      <c r="F123" s="272"/>
    </row>
    <row r="124" spans="2:6" ht="12" customHeight="1" x14ac:dyDescent="0.15">
      <c r="B124" s="274"/>
      <c r="C124" s="273"/>
      <c r="D124" s="273"/>
      <c r="E124" s="273"/>
      <c r="F124" s="272"/>
    </row>
    <row r="125" spans="2:6" ht="12" customHeight="1" x14ac:dyDescent="0.15">
      <c r="B125" s="274"/>
      <c r="C125" s="273"/>
      <c r="D125" s="273"/>
      <c r="E125" s="273"/>
      <c r="F125" s="272"/>
    </row>
    <row r="126" spans="2:6" ht="12" customHeight="1" x14ac:dyDescent="0.15">
      <c r="B126" s="274"/>
      <c r="C126" s="273"/>
      <c r="D126" s="273"/>
      <c r="E126" s="273"/>
      <c r="F126" s="272"/>
    </row>
    <row r="127" spans="2:6" ht="12" customHeight="1" x14ac:dyDescent="0.15">
      <c r="B127" s="274"/>
      <c r="C127" s="273"/>
      <c r="D127" s="273"/>
      <c r="E127" s="273"/>
      <c r="F127" s="272"/>
    </row>
    <row r="128" spans="2:6" ht="12" customHeight="1" x14ac:dyDescent="0.15">
      <c r="B128" s="274"/>
      <c r="C128" s="273"/>
      <c r="D128" s="273"/>
      <c r="E128" s="273"/>
      <c r="F128" s="272"/>
    </row>
    <row r="129" spans="2:6" ht="12" customHeight="1" x14ac:dyDescent="0.15">
      <c r="B129" s="274"/>
      <c r="C129" s="273"/>
      <c r="D129" s="273"/>
      <c r="E129" s="273"/>
      <c r="F129" s="272"/>
    </row>
    <row r="130" spans="2:6" ht="12" customHeight="1" x14ac:dyDescent="0.15">
      <c r="B130" s="274"/>
      <c r="C130" s="273"/>
      <c r="D130" s="273"/>
      <c r="E130" s="273"/>
      <c r="F130" s="272"/>
    </row>
    <row r="131" spans="2:6" ht="12" customHeight="1" x14ac:dyDescent="0.15">
      <c r="B131" s="274"/>
      <c r="C131" s="273"/>
      <c r="D131" s="273"/>
      <c r="E131" s="273"/>
      <c r="F131" s="272"/>
    </row>
    <row r="132" spans="2:6" ht="12" customHeight="1" x14ac:dyDescent="0.15">
      <c r="B132" s="274"/>
      <c r="C132" s="273"/>
      <c r="D132" s="273"/>
      <c r="E132" s="273"/>
      <c r="F132" s="272"/>
    </row>
    <row r="133" spans="2:6" ht="12" customHeight="1" x14ac:dyDescent="0.15">
      <c r="B133" s="274"/>
      <c r="C133" s="273"/>
      <c r="D133" s="273"/>
      <c r="E133" s="273"/>
      <c r="F133" s="272"/>
    </row>
    <row r="134" spans="2:6" ht="12" customHeight="1" x14ac:dyDescent="0.15">
      <c r="B134" s="274"/>
      <c r="C134" s="273"/>
      <c r="D134" s="273"/>
      <c r="E134" s="273"/>
      <c r="F134" s="272"/>
    </row>
    <row r="135" spans="2:6" ht="12" customHeight="1" x14ac:dyDescent="0.15">
      <c r="B135" s="274"/>
      <c r="C135" s="273"/>
      <c r="D135" s="273"/>
      <c r="E135" s="273"/>
      <c r="F135" s="272"/>
    </row>
    <row r="136" spans="2:6" ht="12" customHeight="1" x14ac:dyDescent="0.15">
      <c r="B136" s="274"/>
      <c r="C136" s="273"/>
      <c r="D136" s="273"/>
      <c r="E136" s="273"/>
      <c r="F136" s="272"/>
    </row>
    <row r="137" spans="2:6" ht="12" customHeight="1" x14ac:dyDescent="0.15">
      <c r="B137" s="274"/>
      <c r="C137" s="273"/>
      <c r="D137" s="273"/>
      <c r="E137" s="273"/>
      <c r="F137" s="272"/>
    </row>
    <row r="138" spans="2:6" ht="12" customHeight="1" x14ac:dyDescent="0.15">
      <c r="B138" s="274"/>
      <c r="C138" s="273"/>
      <c r="D138" s="273"/>
      <c r="E138" s="273"/>
      <c r="F138" s="272"/>
    </row>
    <row r="139" spans="2:6" ht="12" customHeight="1" x14ac:dyDescent="0.15">
      <c r="B139" s="274"/>
      <c r="C139" s="273"/>
      <c r="D139" s="273"/>
      <c r="E139" s="273"/>
      <c r="F139" s="272"/>
    </row>
    <row r="140" spans="2:6" ht="12" customHeight="1" x14ac:dyDescent="0.15">
      <c r="B140" s="274"/>
      <c r="C140" s="273"/>
      <c r="D140" s="273"/>
      <c r="E140" s="273"/>
      <c r="F140" s="272"/>
    </row>
    <row r="141" spans="2:6" ht="12" customHeight="1" x14ac:dyDescent="0.15">
      <c r="B141" s="274"/>
      <c r="C141" s="273"/>
      <c r="D141" s="273"/>
      <c r="E141" s="273"/>
      <c r="F141" s="272"/>
    </row>
    <row r="142" spans="2:6" ht="12" customHeight="1" x14ac:dyDescent="0.15">
      <c r="B142" s="274"/>
      <c r="C142" s="273"/>
      <c r="D142" s="273"/>
      <c r="E142" s="273"/>
      <c r="F142" s="272"/>
    </row>
    <row r="143" spans="2:6" ht="12" customHeight="1" x14ac:dyDescent="0.15">
      <c r="B143" s="274"/>
      <c r="C143" s="273"/>
      <c r="D143" s="273"/>
      <c r="E143" s="273"/>
      <c r="F143" s="272"/>
    </row>
    <row r="144" spans="2:6" ht="12" customHeight="1" x14ac:dyDescent="0.15">
      <c r="B144" s="274"/>
      <c r="C144" s="273"/>
      <c r="D144" s="273"/>
      <c r="E144" s="273"/>
      <c r="F144" s="272"/>
    </row>
    <row r="145" spans="2:6" ht="12" customHeight="1" x14ac:dyDescent="0.15">
      <c r="B145" s="274"/>
      <c r="C145" s="273"/>
      <c r="D145" s="273"/>
      <c r="E145" s="273"/>
      <c r="F145" s="272"/>
    </row>
    <row r="146" spans="2:6" ht="12" customHeight="1" x14ac:dyDescent="0.15">
      <c r="B146" s="274"/>
      <c r="C146" s="273"/>
      <c r="D146" s="273"/>
      <c r="E146" s="273"/>
      <c r="F146" s="272"/>
    </row>
    <row r="147" spans="2:6" ht="12" customHeight="1" x14ac:dyDescent="0.15">
      <c r="B147" s="274"/>
      <c r="C147" s="273"/>
      <c r="D147" s="273"/>
      <c r="E147" s="273"/>
      <c r="F147" s="272"/>
    </row>
    <row r="148" spans="2:6" ht="12" customHeight="1" x14ac:dyDescent="0.15">
      <c r="B148" s="274"/>
      <c r="C148" s="273"/>
      <c r="D148" s="273"/>
      <c r="E148" s="273"/>
      <c r="F148" s="272"/>
    </row>
    <row r="149" spans="2:6" ht="12" customHeight="1" x14ac:dyDescent="0.15">
      <c r="B149" s="274"/>
      <c r="C149" s="273"/>
      <c r="D149" s="273"/>
      <c r="E149" s="273"/>
      <c r="F149" s="272"/>
    </row>
    <row r="150" spans="2:6" ht="12" customHeight="1" x14ac:dyDescent="0.15">
      <c r="B150" s="274"/>
      <c r="C150" s="273"/>
      <c r="D150" s="273"/>
      <c r="E150" s="273"/>
      <c r="F150" s="272"/>
    </row>
    <row r="151" spans="2:6" ht="12" customHeight="1" x14ac:dyDescent="0.15">
      <c r="B151" s="274"/>
      <c r="C151" s="273"/>
      <c r="D151" s="273"/>
      <c r="E151" s="273"/>
      <c r="F151" s="272"/>
    </row>
    <row r="152" spans="2:6" ht="12" customHeight="1" x14ac:dyDescent="0.15">
      <c r="B152" s="274"/>
      <c r="C152" s="273"/>
      <c r="D152" s="273"/>
      <c r="E152" s="273"/>
      <c r="F152" s="272"/>
    </row>
    <row r="153" spans="2:6" ht="12" customHeight="1" x14ac:dyDescent="0.15">
      <c r="B153" s="274"/>
      <c r="C153" s="273"/>
      <c r="D153" s="273"/>
      <c r="E153" s="273"/>
      <c r="F153" s="272"/>
    </row>
    <row r="154" spans="2:6" ht="12" customHeight="1" x14ac:dyDescent="0.15">
      <c r="B154" s="274"/>
      <c r="C154" s="273"/>
      <c r="D154" s="273"/>
      <c r="E154" s="273"/>
      <c r="F154" s="272"/>
    </row>
    <row r="155" spans="2:6" ht="12" customHeight="1" x14ac:dyDescent="0.15">
      <c r="B155" s="274"/>
      <c r="C155" s="273"/>
      <c r="D155" s="273"/>
      <c r="E155" s="273"/>
      <c r="F155" s="272"/>
    </row>
    <row r="156" spans="2:6" ht="12" customHeight="1" x14ac:dyDescent="0.15">
      <c r="B156" s="274"/>
      <c r="C156" s="273"/>
      <c r="D156" s="273"/>
      <c r="E156" s="273"/>
      <c r="F156" s="272"/>
    </row>
    <row r="157" spans="2:6" ht="12" customHeight="1" x14ac:dyDescent="0.15">
      <c r="B157" s="274"/>
      <c r="C157" s="273"/>
      <c r="D157" s="273"/>
      <c r="E157" s="273"/>
      <c r="F157" s="272"/>
    </row>
    <row r="158" spans="2:6" ht="12" customHeight="1" x14ac:dyDescent="0.15">
      <c r="B158" s="274"/>
      <c r="C158" s="273"/>
      <c r="D158" s="273"/>
      <c r="E158" s="273"/>
      <c r="F158" s="272"/>
    </row>
    <row r="159" spans="2:6" ht="12" customHeight="1" x14ac:dyDescent="0.15">
      <c r="B159" s="274"/>
      <c r="C159" s="273"/>
      <c r="D159" s="273"/>
      <c r="E159" s="273"/>
      <c r="F159" s="272"/>
    </row>
    <row r="160" spans="2:6" ht="12" customHeight="1" x14ac:dyDescent="0.15">
      <c r="B160" s="274"/>
      <c r="C160" s="273"/>
      <c r="D160" s="273"/>
      <c r="E160" s="273"/>
      <c r="F160" s="272"/>
    </row>
    <row r="161" spans="2:6" ht="12" customHeight="1" x14ac:dyDescent="0.15">
      <c r="B161" s="274"/>
      <c r="C161" s="273"/>
      <c r="D161" s="273"/>
      <c r="E161" s="273"/>
      <c r="F161" s="272"/>
    </row>
    <row r="162" spans="2:6" ht="12" customHeight="1" x14ac:dyDescent="0.15">
      <c r="B162" s="274"/>
      <c r="C162" s="273"/>
      <c r="D162" s="273"/>
      <c r="E162" s="273"/>
      <c r="F162" s="272"/>
    </row>
    <row r="163" spans="2:6" ht="12" customHeight="1" x14ac:dyDescent="0.15">
      <c r="B163" s="274"/>
      <c r="C163" s="273"/>
      <c r="D163" s="273"/>
      <c r="E163" s="273"/>
      <c r="F163" s="272"/>
    </row>
    <row r="164" spans="2:6" ht="12" customHeight="1" x14ac:dyDescent="0.15">
      <c r="B164" s="274"/>
      <c r="C164" s="273"/>
      <c r="D164" s="273"/>
      <c r="E164" s="273"/>
      <c r="F164" s="272"/>
    </row>
    <row r="165" spans="2:6" ht="12" customHeight="1" x14ac:dyDescent="0.15">
      <c r="B165" s="274"/>
      <c r="C165" s="273"/>
      <c r="D165" s="273"/>
      <c r="E165" s="273"/>
      <c r="F165" s="272"/>
    </row>
    <row r="166" spans="2:6" ht="12" customHeight="1" x14ac:dyDescent="0.15">
      <c r="B166" s="274"/>
      <c r="C166" s="273"/>
      <c r="D166" s="273"/>
      <c r="E166" s="273"/>
      <c r="F166" s="272"/>
    </row>
    <row r="167" spans="2:6" ht="12" customHeight="1" x14ac:dyDescent="0.15">
      <c r="B167" s="274"/>
      <c r="C167" s="273"/>
      <c r="D167" s="273"/>
      <c r="E167" s="273"/>
      <c r="F167" s="272"/>
    </row>
    <row r="168" spans="2:6" ht="12" customHeight="1" x14ac:dyDescent="0.15">
      <c r="B168" s="274"/>
      <c r="C168" s="273"/>
      <c r="D168" s="273"/>
      <c r="E168" s="273"/>
      <c r="F168" s="272"/>
    </row>
    <row r="169" spans="2:6" ht="12" customHeight="1" x14ac:dyDescent="0.15">
      <c r="B169" s="274"/>
      <c r="C169" s="273"/>
      <c r="D169" s="273"/>
      <c r="E169" s="273"/>
      <c r="F169" s="272"/>
    </row>
    <row r="170" spans="2:6" ht="12" customHeight="1" x14ac:dyDescent="0.15">
      <c r="B170" s="274"/>
      <c r="C170" s="273"/>
      <c r="D170" s="273"/>
      <c r="E170" s="273"/>
      <c r="F170" s="272"/>
    </row>
    <row r="171" spans="2:6" ht="12" customHeight="1" x14ac:dyDescent="0.15">
      <c r="B171" s="274"/>
      <c r="C171" s="273"/>
      <c r="D171" s="273"/>
      <c r="E171" s="273"/>
      <c r="F171" s="272"/>
    </row>
    <row r="172" spans="2:6" ht="12" customHeight="1" x14ac:dyDescent="0.15">
      <c r="B172" s="274"/>
      <c r="C172" s="273"/>
      <c r="D172" s="273"/>
      <c r="E172" s="273"/>
      <c r="F172" s="272"/>
    </row>
    <row r="173" spans="2:6" ht="12" customHeight="1" x14ac:dyDescent="0.15">
      <c r="B173" s="274"/>
      <c r="C173" s="273"/>
      <c r="D173" s="273"/>
      <c r="E173" s="273"/>
      <c r="F173" s="272"/>
    </row>
    <row r="174" spans="2:6" ht="12" customHeight="1" x14ac:dyDescent="0.15">
      <c r="B174" s="274"/>
      <c r="C174" s="273"/>
      <c r="D174" s="273"/>
      <c r="E174" s="273"/>
      <c r="F174" s="272"/>
    </row>
    <row r="175" spans="2:6" ht="12" customHeight="1" x14ac:dyDescent="0.15">
      <c r="B175" s="274"/>
      <c r="C175" s="273"/>
      <c r="D175" s="273"/>
      <c r="E175" s="273"/>
      <c r="F175" s="272"/>
    </row>
    <row r="176" spans="2:6" ht="12" customHeight="1" x14ac:dyDescent="0.15">
      <c r="B176" s="274"/>
      <c r="C176" s="273"/>
      <c r="D176" s="273"/>
      <c r="E176" s="273"/>
      <c r="F176" s="272"/>
    </row>
    <row r="177" spans="2:6" ht="12" customHeight="1" x14ac:dyDescent="0.15">
      <c r="B177" s="274"/>
      <c r="C177" s="273"/>
      <c r="D177" s="273"/>
      <c r="E177" s="273"/>
      <c r="F177" s="272"/>
    </row>
    <row r="178" spans="2:6" ht="12" customHeight="1" x14ac:dyDescent="0.15">
      <c r="B178" s="274"/>
      <c r="C178" s="273"/>
      <c r="D178" s="273"/>
      <c r="E178" s="273"/>
      <c r="F178" s="272"/>
    </row>
    <row r="179" spans="2:6" ht="12" customHeight="1" x14ac:dyDescent="0.15">
      <c r="B179" s="274"/>
      <c r="C179" s="273"/>
      <c r="D179" s="273"/>
      <c r="E179" s="273"/>
      <c r="F179" s="272"/>
    </row>
    <row r="180" spans="2:6" ht="12" customHeight="1" x14ac:dyDescent="0.15">
      <c r="B180" s="274"/>
      <c r="C180" s="273"/>
      <c r="D180" s="273"/>
      <c r="E180" s="273"/>
      <c r="F180" s="272"/>
    </row>
    <row r="181" spans="2:6" ht="12" customHeight="1" x14ac:dyDescent="0.15">
      <c r="B181" s="274"/>
      <c r="C181" s="273"/>
      <c r="D181" s="273"/>
      <c r="E181" s="273"/>
      <c r="F181" s="272"/>
    </row>
    <row r="182" spans="2:6" ht="12" customHeight="1" x14ac:dyDescent="0.15">
      <c r="B182" s="274"/>
      <c r="C182" s="273"/>
      <c r="D182" s="273"/>
      <c r="E182" s="273"/>
      <c r="F182" s="272"/>
    </row>
    <row r="183" spans="2:6" ht="12" customHeight="1" x14ac:dyDescent="0.15">
      <c r="B183" s="274"/>
      <c r="C183" s="273"/>
      <c r="D183" s="273"/>
      <c r="E183" s="273"/>
      <c r="F183" s="272"/>
    </row>
    <row r="184" spans="2:6" ht="12" customHeight="1" x14ac:dyDescent="0.15">
      <c r="B184" s="274"/>
      <c r="C184" s="273"/>
      <c r="D184" s="273"/>
      <c r="E184" s="273"/>
      <c r="F184" s="272"/>
    </row>
    <row r="185" spans="2:6" ht="12" customHeight="1" x14ac:dyDescent="0.15">
      <c r="B185" s="274"/>
      <c r="C185" s="273"/>
      <c r="D185" s="273"/>
      <c r="E185" s="273"/>
      <c r="F185" s="272"/>
    </row>
    <row r="186" spans="2:6" ht="12" customHeight="1" x14ac:dyDescent="0.15">
      <c r="B186" s="274"/>
      <c r="C186" s="273"/>
      <c r="D186" s="273"/>
      <c r="E186" s="273"/>
      <c r="F186" s="272"/>
    </row>
    <row r="187" spans="2:6" ht="12" customHeight="1" x14ac:dyDescent="0.15">
      <c r="B187" s="274"/>
      <c r="C187" s="273"/>
      <c r="D187" s="273"/>
      <c r="E187" s="273"/>
      <c r="F187" s="272"/>
    </row>
    <row r="188" spans="2:6" ht="12" customHeight="1" x14ac:dyDescent="0.15">
      <c r="B188" s="274"/>
      <c r="C188" s="273"/>
      <c r="D188" s="273"/>
      <c r="E188" s="273"/>
      <c r="F188" s="272"/>
    </row>
    <row r="189" spans="2:6" ht="12" customHeight="1" x14ac:dyDescent="0.15">
      <c r="B189" s="274"/>
      <c r="C189" s="273"/>
      <c r="D189" s="273"/>
      <c r="E189" s="273"/>
      <c r="F189" s="272"/>
    </row>
    <row r="190" spans="2:6" ht="12" customHeight="1" x14ac:dyDescent="0.15">
      <c r="B190" s="274"/>
      <c r="C190" s="273"/>
      <c r="D190" s="273"/>
      <c r="E190" s="273"/>
      <c r="F190" s="272"/>
    </row>
    <row r="191" spans="2:6" ht="12" customHeight="1" x14ac:dyDescent="0.15">
      <c r="B191" s="274"/>
      <c r="C191" s="273"/>
      <c r="D191" s="273"/>
      <c r="E191" s="273"/>
      <c r="F191" s="272"/>
    </row>
    <row r="192" spans="2:6" ht="12" customHeight="1" x14ac:dyDescent="0.15">
      <c r="B192" s="274"/>
      <c r="C192" s="273"/>
      <c r="D192" s="273"/>
      <c r="E192" s="273"/>
      <c r="F192" s="272"/>
    </row>
    <row r="193" spans="2:6" ht="12" customHeight="1" x14ac:dyDescent="0.15">
      <c r="B193" s="274"/>
      <c r="C193" s="273"/>
      <c r="D193" s="273"/>
      <c r="E193" s="273"/>
      <c r="F193" s="272"/>
    </row>
    <row r="194" spans="2:6" ht="12" customHeight="1" x14ac:dyDescent="0.15">
      <c r="B194" s="274"/>
      <c r="C194" s="273"/>
      <c r="D194" s="273"/>
      <c r="E194" s="273"/>
      <c r="F194" s="272"/>
    </row>
    <row r="195" spans="2:6" ht="12" customHeight="1" x14ac:dyDescent="0.15">
      <c r="B195" s="274"/>
      <c r="C195" s="273"/>
      <c r="D195" s="273"/>
      <c r="E195" s="273"/>
      <c r="F195" s="272"/>
    </row>
    <row r="196" spans="2:6" ht="12" customHeight="1" x14ac:dyDescent="0.15">
      <c r="B196" s="274"/>
      <c r="C196" s="273"/>
      <c r="D196" s="273"/>
      <c r="E196" s="273"/>
      <c r="F196" s="272"/>
    </row>
    <row r="197" spans="2:6" ht="12" customHeight="1" x14ac:dyDescent="0.15">
      <c r="B197" s="274"/>
      <c r="C197" s="273"/>
      <c r="D197" s="273"/>
      <c r="E197" s="273"/>
      <c r="F197" s="272"/>
    </row>
    <row r="198" spans="2:6" ht="12" customHeight="1" x14ac:dyDescent="0.15">
      <c r="B198" s="274"/>
      <c r="C198" s="273"/>
      <c r="D198" s="273"/>
      <c r="E198" s="273"/>
      <c r="F198" s="272"/>
    </row>
    <row r="199" spans="2:6" ht="12" customHeight="1" x14ac:dyDescent="0.15">
      <c r="B199" s="274"/>
      <c r="C199" s="273"/>
      <c r="D199" s="273"/>
      <c r="E199" s="273"/>
      <c r="F199" s="272"/>
    </row>
    <row r="200" spans="2:6" ht="12" customHeight="1" x14ac:dyDescent="0.15">
      <c r="B200" s="274"/>
      <c r="C200" s="273"/>
      <c r="D200" s="273"/>
      <c r="E200" s="273"/>
      <c r="F200" s="272"/>
    </row>
    <row r="201" spans="2:6" ht="12" customHeight="1" x14ac:dyDescent="0.15">
      <c r="B201" s="274"/>
      <c r="C201" s="273"/>
      <c r="D201" s="273"/>
      <c r="E201" s="273"/>
      <c r="F201" s="272"/>
    </row>
    <row r="202" spans="2:6" ht="12" customHeight="1" x14ac:dyDescent="0.15">
      <c r="B202" s="274"/>
      <c r="C202" s="273"/>
      <c r="D202" s="273"/>
      <c r="E202" s="273"/>
      <c r="F202" s="272"/>
    </row>
    <row r="203" spans="2:6" ht="12" customHeight="1" x14ac:dyDescent="0.15">
      <c r="B203" s="274"/>
      <c r="C203" s="273"/>
      <c r="D203" s="273"/>
      <c r="E203" s="273"/>
      <c r="F203" s="272"/>
    </row>
    <row r="204" spans="2:6" ht="12" customHeight="1" x14ac:dyDescent="0.15">
      <c r="B204" s="274"/>
      <c r="C204" s="273"/>
      <c r="D204" s="273"/>
      <c r="E204" s="273"/>
      <c r="F204" s="272"/>
    </row>
    <row r="205" spans="2:6" ht="12" customHeight="1" x14ac:dyDescent="0.15">
      <c r="B205" s="274"/>
      <c r="C205" s="273"/>
      <c r="D205" s="273"/>
      <c r="E205" s="273"/>
      <c r="F205" s="272"/>
    </row>
    <row r="206" spans="2:6" ht="12" customHeight="1" x14ac:dyDescent="0.15">
      <c r="B206" s="274"/>
      <c r="C206" s="273"/>
      <c r="D206" s="273"/>
      <c r="E206" s="273"/>
      <c r="F206" s="272"/>
    </row>
    <row r="207" spans="2:6" ht="12" customHeight="1" x14ac:dyDescent="0.15">
      <c r="B207" s="274"/>
      <c r="C207" s="273"/>
      <c r="D207" s="273"/>
      <c r="E207" s="273"/>
      <c r="F207" s="272"/>
    </row>
    <row r="208" spans="2:6" ht="12" customHeight="1" x14ac:dyDescent="0.15">
      <c r="B208" s="274"/>
      <c r="C208" s="273"/>
      <c r="D208" s="273"/>
      <c r="E208" s="273"/>
      <c r="F208" s="272"/>
    </row>
    <row r="209" spans="2:6" ht="12" customHeight="1" x14ac:dyDescent="0.15">
      <c r="B209" s="274"/>
      <c r="C209" s="273"/>
      <c r="D209" s="273"/>
      <c r="E209" s="273"/>
      <c r="F209" s="272"/>
    </row>
    <row r="210" spans="2:6" ht="12" customHeight="1" x14ac:dyDescent="0.15">
      <c r="B210" s="274"/>
      <c r="C210" s="273"/>
      <c r="D210" s="273"/>
      <c r="E210" s="273"/>
      <c r="F210" s="272"/>
    </row>
    <row r="211" spans="2:6" ht="12" customHeight="1" x14ac:dyDescent="0.15">
      <c r="B211" s="274"/>
      <c r="C211" s="273"/>
      <c r="D211" s="273"/>
      <c r="E211" s="273"/>
      <c r="F211" s="272"/>
    </row>
    <row r="212" spans="2:6" ht="12" customHeight="1" x14ac:dyDescent="0.15">
      <c r="B212" s="274"/>
      <c r="C212" s="273"/>
      <c r="D212" s="273"/>
      <c r="E212" s="273"/>
      <c r="F212" s="272"/>
    </row>
    <row r="213" spans="2:6" ht="12" customHeight="1" x14ac:dyDescent="0.15">
      <c r="B213" s="274"/>
      <c r="C213" s="273"/>
      <c r="D213" s="273"/>
      <c r="E213" s="273"/>
      <c r="F213" s="272"/>
    </row>
    <row r="214" spans="2:6" ht="12" customHeight="1" x14ac:dyDescent="0.15">
      <c r="B214" s="274"/>
      <c r="C214" s="273"/>
      <c r="D214" s="273"/>
      <c r="E214" s="273"/>
      <c r="F214" s="272"/>
    </row>
    <row r="215" spans="2:6" ht="12" customHeight="1" x14ac:dyDescent="0.15">
      <c r="B215" s="274"/>
      <c r="C215" s="273"/>
      <c r="D215" s="273"/>
      <c r="E215" s="273"/>
      <c r="F215" s="272"/>
    </row>
    <row r="216" spans="2:6" ht="12" customHeight="1" x14ac:dyDescent="0.15">
      <c r="B216" s="274"/>
      <c r="C216" s="273"/>
      <c r="D216" s="273"/>
      <c r="E216" s="273"/>
      <c r="F216" s="272"/>
    </row>
    <row r="217" spans="2:6" ht="12" customHeight="1" x14ac:dyDescent="0.15">
      <c r="B217" s="274"/>
      <c r="C217" s="273"/>
      <c r="D217" s="273"/>
      <c r="E217" s="273"/>
      <c r="F217" s="272"/>
    </row>
    <row r="218" spans="2:6" ht="12" customHeight="1" x14ac:dyDescent="0.15">
      <c r="B218" s="274"/>
      <c r="C218" s="273"/>
      <c r="D218" s="273"/>
      <c r="E218" s="273"/>
      <c r="F218" s="272"/>
    </row>
    <row r="219" spans="2:6" ht="12" customHeight="1" x14ac:dyDescent="0.15">
      <c r="B219" s="274"/>
      <c r="C219" s="273"/>
      <c r="D219" s="273"/>
      <c r="E219" s="273"/>
      <c r="F219" s="272"/>
    </row>
    <row r="220" spans="2:6" ht="12" customHeight="1" x14ac:dyDescent="0.15">
      <c r="B220" s="274"/>
      <c r="C220" s="273"/>
      <c r="D220" s="273"/>
      <c r="E220" s="273"/>
      <c r="F220" s="272"/>
    </row>
    <row r="221" spans="2:6" ht="12" customHeight="1" x14ac:dyDescent="0.15">
      <c r="B221" s="274"/>
      <c r="C221" s="273"/>
      <c r="D221" s="273"/>
      <c r="E221" s="273"/>
      <c r="F221" s="272"/>
    </row>
    <row r="222" spans="2:6" ht="12" customHeight="1" x14ac:dyDescent="0.15">
      <c r="B222" s="274"/>
      <c r="C222" s="273"/>
      <c r="D222" s="273"/>
      <c r="E222" s="273"/>
      <c r="F222" s="272"/>
    </row>
    <row r="223" spans="2:6" ht="12" customHeight="1" x14ac:dyDescent="0.15">
      <c r="B223" s="274"/>
      <c r="C223" s="273"/>
      <c r="D223" s="273"/>
      <c r="E223" s="273"/>
      <c r="F223" s="272"/>
    </row>
    <row r="224" spans="2:6" ht="12" customHeight="1" x14ac:dyDescent="0.15">
      <c r="B224" s="274"/>
      <c r="C224" s="273"/>
      <c r="D224" s="273"/>
      <c r="E224" s="273"/>
      <c r="F224" s="272"/>
    </row>
    <row r="225" spans="2:6" ht="12" customHeight="1" x14ac:dyDescent="0.15">
      <c r="B225" s="274"/>
      <c r="C225" s="273"/>
      <c r="D225" s="273"/>
      <c r="E225" s="273"/>
      <c r="F225" s="272"/>
    </row>
    <row r="226" spans="2:6" ht="12" customHeight="1" x14ac:dyDescent="0.15">
      <c r="B226" s="274"/>
      <c r="C226" s="273"/>
      <c r="D226" s="273"/>
      <c r="E226" s="273"/>
      <c r="F226" s="272"/>
    </row>
    <row r="227" spans="2:6" ht="12" customHeight="1" x14ac:dyDescent="0.15">
      <c r="B227" s="274"/>
      <c r="C227" s="273"/>
      <c r="D227" s="273"/>
      <c r="E227" s="273"/>
      <c r="F227" s="272"/>
    </row>
    <row r="228" spans="2:6" ht="12" customHeight="1" x14ac:dyDescent="0.15">
      <c r="B228" s="274"/>
      <c r="C228" s="273"/>
      <c r="D228" s="273"/>
      <c r="E228" s="273"/>
      <c r="F228" s="272"/>
    </row>
    <row r="229" spans="2:6" ht="12" customHeight="1" x14ac:dyDescent="0.15">
      <c r="B229" s="274"/>
      <c r="C229" s="273"/>
      <c r="D229" s="273"/>
      <c r="E229" s="273"/>
      <c r="F229" s="272"/>
    </row>
    <row r="230" spans="2:6" ht="12" customHeight="1" x14ac:dyDescent="0.15">
      <c r="B230" s="274"/>
      <c r="C230" s="273"/>
      <c r="D230" s="273"/>
      <c r="E230" s="273"/>
      <c r="F230" s="272"/>
    </row>
    <row r="231" spans="2:6" ht="12" customHeight="1" x14ac:dyDescent="0.15">
      <c r="B231" s="274"/>
      <c r="C231" s="273"/>
      <c r="D231" s="273"/>
      <c r="E231" s="273"/>
      <c r="F231" s="272"/>
    </row>
    <row r="232" spans="2:6" ht="12" customHeight="1" x14ac:dyDescent="0.15">
      <c r="B232" s="274"/>
      <c r="C232" s="273"/>
      <c r="D232" s="273"/>
      <c r="E232" s="273"/>
      <c r="F232" s="272"/>
    </row>
    <row r="233" spans="2:6" ht="12" customHeight="1" x14ac:dyDescent="0.15">
      <c r="B233" s="274"/>
      <c r="C233" s="273"/>
      <c r="D233" s="273"/>
      <c r="E233" s="273"/>
      <c r="F233" s="272"/>
    </row>
    <row r="234" spans="2:6" ht="12" customHeight="1" x14ac:dyDescent="0.15">
      <c r="B234" s="274"/>
      <c r="C234" s="273"/>
      <c r="D234" s="273"/>
      <c r="E234" s="273"/>
      <c r="F234" s="272"/>
    </row>
    <row r="235" spans="2:6" ht="12" customHeight="1" x14ac:dyDescent="0.15">
      <c r="B235" s="274"/>
      <c r="C235" s="273"/>
      <c r="D235" s="273"/>
      <c r="E235" s="273"/>
      <c r="F235" s="272"/>
    </row>
    <row r="236" spans="2:6" ht="12" customHeight="1" x14ac:dyDescent="0.15">
      <c r="B236" s="274"/>
      <c r="C236" s="273"/>
      <c r="D236" s="273"/>
      <c r="E236" s="273"/>
      <c r="F236" s="272"/>
    </row>
    <row r="237" spans="2:6" ht="12" customHeight="1" x14ac:dyDescent="0.15">
      <c r="B237" s="274"/>
      <c r="C237" s="273"/>
      <c r="D237" s="273"/>
      <c r="E237" s="273"/>
      <c r="F237" s="272"/>
    </row>
    <row r="238" spans="2:6" ht="12" customHeight="1" x14ac:dyDescent="0.15">
      <c r="B238" s="274"/>
      <c r="C238" s="273"/>
      <c r="D238" s="273"/>
      <c r="E238" s="273"/>
      <c r="F238" s="272"/>
    </row>
    <row r="239" spans="2:6" ht="12" customHeight="1" x14ac:dyDescent="0.15">
      <c r="B239" s="274"/>
      <c r="C239" s="273"/>
      <c r="D239" s="273"/>
      <c r="E239" s="273"/>
      <c r="F239" s="272"/>
    </row>
    <row r="240" spans="2:6" ht="12" customHeight="1" x14ac:dyDescent="0.15">
      <c r="B240" s="274"/>
      <c r="C240" s="273"/>
      <c r="D240" s="273"/>
      <c r="E240" s="273"/>
      <c r="F240" s="272"/>
    </row>
    <row r="241" spans="2:6" ht="12" customHeight="1" x14ac:dyDescent="0.15">
      <c r="B241" s="274"/>
      <c r="C241" s="273"/>
      <c r="D241" s="273"/>
      <c r="E241" s="273"/>
      <c r="F241" s="272"/>
    </row>
    <row r="242" spans="2:6" ht="12" customHeight="1" x14ac:dyDescent="0.15">
      <c r="B242" s="274"/>
      <c r="C242" s="273"/>
      <c r="D242" s="273"/>
      <c r="E242" s="273"/>
      <c r="F242" s="272"/>
    </row>
    <row r="243" spans="2:6" ht="12" customHeight="1" x14ac:dyDescent="0.15">
      <c r="B243" s="274"/>
      <c r="C243" s="273"/>
      <c r="D243" s="273"/>
      <c r="E243" s="273"/>
      <c r="F243" s="272"/>
    </row>
    <row r="244" spans="2:6" ht="12" customHeight="1" x14ac:dyDescent="0.15">
      <c r="B244" s="274"/>
      <c r="C244" s="273"/>
      <c r="D244" s="273"/>
      <c r="E244" s="273"/>
      <c r="F244" s="272"/>
    </row>
    <row r="245" spans="2:6" ht="12" customHeight="1" x14ac:dyDescent="0.15">
      <c r="B245" s="274"/>
      <c r="C245" s="273"/>
      <c r="D245" s="273"/>
      <c r="E245" s="273"/>
      <c r="F245" s="272"/>
    </row>
    <row r="246" spans="2:6" ht="12" customHeight="1" x14ac:dyDescent="0.15">
      <c r="B246" s="274"/>
      <c r="C246" s="273"/>
      <c r="D246" s="273"/>
      <c r="E246" s="273"/>
      <c r="F246" s="272"/>
    </row>
    <row r="247" spans="2:6" ht="12" customHeight="1" x14ac:dyDescent="0.15">
      <c r="B247" s="274"/>
      <c r="C247" s="273"/>
      <c r="D247" s="273"/>
      <c r="E247" s="273"/>
      <c r="F247" s="272"/>
    </row>
    <row r="248" spans="2:6" ht="12" customHeight="1" x14ac:dyDescent="0.15">
      <c r="B248" s="274"/>
      <c r="C248" s="273"/>
      <c r="D248" s="273"/>
      <c r="E248" s="273"/>
      <c r="F248" s="272"/>
    </row>
    <row r="249" spans="2:6" ht="12" customHeight="1" x14ac:dyDescent="0.15">
      <c r="B249" s="274"/>
      <c r="C249" s="273"/>
      <c r="D249" s="273"/>
      <c r="E249" s="273"/>
      <c r="F249" s="272"/>
    </row>
    <row r="250" spans="2:6" ht="12" customHeight="1" x14ac:dyDescent="0.15">
      <c r="B250" s="274"/>
      <c r="C250" s="273"/>
      <c r="D250" s="273"/>
      <c r="E250" s="273"/>
      <c r="F250" s="272"/>
    </row>
    <row r="251" spans="2:6" ht="12" customHeight="1" x14ac:dyDescent="0.15">
      <c r="B251" s="274"/>
      <c r="C251" s="273"/>
      <c r="D251" s="273"/>
      <c r="E251" s="273"/>
      <c r="F251" s="272"/>
    </row>
    <row r="252" spans="2:6" ht="12" customHeight="1" x14ac:dyDescent="0.15">
      <c r="B252" s="274"/>
      <c r="C252" s="273"/>
      <c r="D252" s="273"/>
      <c r="E252" s="273"/>
      <c r="F252" s="272"/>
    </row>
    <row r="253" spans="2:6" ht="12" customHeight="1" x14ac:dyDescent="0.15">
      <c r="B253" s="274"/>
      <c r="C253" s="273"/>
      <c r="D253" s="273"/>
      <c r="E253" s="273"/>
      <c r="F253" s="272"/>
    </row>
    <row r="254" spans="2:6" ht="12" customHeight="1" x14ac:dyDescent="0.15">
      <c r="B254" s="274"/>
      <c r="C254" s="273"/>
      <c r="D254" s="273"/>
      <c r="E254" s="273"/>
      <c r="F254" s="272"/>
    </row>
    <row r="255" spans="2:6" ht="12" customHeight="1" x14ac:dyDescent="0.15">
      <c r="B255" s="274"/>
      <c r="C255" s="273"/>
      <c r="D255" s="273"/>
      <c r="E255" s="273"/>
      <c r="F255" s="272"/>
    </row>
    <row r="256" spans="2:6" ht="12" customHeight="1" x14ac:dyDescent="0.15">
      <c r="B256" s="274"/>
      <c r="C256" s="273"/>
      <c r="D256" s="273"/>
      <c r="E256" s="273"/>
      <c r="F256" s="272"/>
    </row>
    <row r="257" spans="2:6" ht="12" customHeight="1" x14ac:dyDescent="0.15">
      <c r="B257" s="274"/>
      <c r="C257" s="273"/>
      <c r="D257" s="273"/>
      <c r="E257" s="273"/>
      <c r="F257" s="272"/>
    </row>
    <row r="258" spans="2:6" ht="12" customHeight="1" x14ac:dyDescent="0.15">
      <c r="B258" s="274"/>
      <c r="C258" s="273"/>
      <c r="D258" s="273"/>
      <c r="E258" s="273"/>
      <c r="F258" s="272"/>
    </row>
    <row r="259" spans="2:6" ht="12" customHeight="1" x14ac:dyDescent="0.15">
      <c r="B259" s="274"/>
      <c r="C259" s="273"/>
      <c r="D259" s="273"/>
      <c r="E259" s="273"/>
      <c r="F259" s="272"/>
    </row>
    <row r="260" spans="2:6" ht="12" customHeight="1" x14ac:dyDescent="0.15">
      <c r="B260" s="274"/>
      <c r="C260" s="273"/>
      <c r="D260" s="273"/>
      <c r="E260" s="273"/>
      <c r="F260" s="272"/>
    </row>
    <row r="261" spans="2:6" ht="12" customHeight="1" x14ac:dyDescent="0.15">
      <c r="B261" s="274"/>
      <c r="C261" s="273"/>
      <c r="D261" s="273"/>
      <c r="E261" s="273"/>
      <c r="F261" s="272"/>
    </row>
    <row r="262" spans="2:6" ht="12" customHeight="1" x14ac:dyDescent="0.15">
      <c r="B262" s="274"/>
      <c r="C262" s="273"/>
      <c r="D262" s="273"/>
      <c r="E262" s="273"/>
      <c r="F262" s="272"/>
    </row>
    <row r="263" spans="2:6" ht="12" customHeight="1" x14ac:dyDescent="0.15">
      <c r="B263" s="274"/>
      <c r="C263" s="273"/>
      <c r="D263" s="273"/>
      <c r="E263" s="273"/>
      <c r="F263" s="272"/>
    </row>
    <row r="264" spans="2:6" ht="12" customHeight="1" x14ac:dyDescent="0.15">
      <c r="B264" s="274"/>
      <c r="C264" s="273"/>
      <c r="D264" s="273"/>
      <c r="E264" s="273"/>
      <c r="F264" s="272"/>
    </row>
    <row r="265" spans="2:6" ht="12" customHeight="1" x14ac:dyDescent="0.15">
      <c r="B265" s="274"/>
      <c r="C265" s="273"/>
      <c r="D265" s="273"/>
      <c r="E265" s="273"/>
      <c r="F265" s="272"/>
    </row>
    <row r="266" spans="2:6" ht="12" customHeight="1" x14ac:dyDescent="0.15">
      <c r="B266" s="274"/>
      <c r="C266" s="273"/>
      <c r="D266" s="273"/>
      <c r="E266" s="273"/>
      <c r="F266" s="272"/>
    </row>
    <row r="267" spans="2:6" ht="12" customHeight="1" x14ac:dyDescent="0.15">
      <c r="B267" s="274"/>
      <c r="C267" s="273"/>
      <c r="D267" s="273"/>
      <c r="E267" s="273"/>
      <c r="F267" s="272"/>
    </row>
    <row r="268" spans="2:6" ht="12" customHeight="1" x14ac:dyDescent="0.15">
      <c r="B268" s="274"/>
      <c r="C268" s="273"/>
      <c r="D268" s="273"/>
      <c r="E268" s="273"/>
      <c r="F268" s="272"/>
    </row>
    <row r="269" spans="2:6" ht="12" customHeight="1" x14ac:dyDescent="0.15">
      <c r="B269" s="274"/>
      <c r="C269" s="273"/>
      <c r="D269" s="273"/>
      <c r="E269" s="273"/>
      <c r="F269" s="272"/>
    </row>
    <row r="270" spans="2:6" ht="12" customHeight="1" x14ac:dyDescent="0.15">
      <c r="B270" s="274"/>
      <c r="C270" s="273"/>
      <c r="D270" s="273"/>
      <c r="E270" s="273"/>
      <c r="F270" s="272"/>
    </row>
    <row r="271" spans="2:6" ht="12" customHeight="1" x14ac:dyDescent="0.15">
      <c r="B271" s="274"/>
      <c r="C271" s="273"/>
      <c r="D271" s="273"/>
      <c r="E271" s="273"/>
      <c r="F271" s="272"/>
    </row>
    <row r="272" spans="2:6" ht="12" customHeight="1" x14ac:dyDescent="0.15">
      <c r="B272" s="274"/>
      <c r="C272" s="273"/>
      <c r="D272" s="273"/>
      <c r="E272" s="273"/>
      <c r="F272" s="272"/>
    </row>
    <row r="273" spans="2:6" ht="12" customHeight="1" x14ac:dyDescent="0.15">
      <c r="B273" s="274"/>
      <c r="C273" s="273"/>
      <c r="D273" s="273"/>
      <c r="E273" s="273"/>
      <c r="F273" s="272"/>
    </row>
    <row r="274" spans="2:6" ht="12" customHeight="1" x14ac:dyDescent="0.15">
      <c r="B274" s="274"/>
      <c r="C274" s="273"/>
      <c r="D274" s="273"/>
      <c r="E274" s="273"/>
      <c r="F274" s="272"/>
    </row>
    <row r="275" spans="2:6" ht="12" customHeight="1" x14ac:dyDescent="0.15">
      <c r="B275" s="274"/>
      <c r="C275" s="273"/>
      <c r="D275" s="273"/>
      <c r="E275" s="273"/>
      <c r="F275" s="272"/>
    </row>
    <row r="276" spans="2:6" ht="12" customHeight="1" x14ac:dyDescent="0.15">
      <c r="B276" s="274"/>
      <c r="C276" s="273"/>
      <c r="D276" s="273"/>
      <c r="E276" s="273"/>
      <c r="F276" s="272"/>
    </row>
    <row r="277" spans="2:6" ht="12" customHeight="1" x14ac:dyDescent="0.15">
      <c r="B277" s="274"/>
      <c r="C277" s="273"/>
      <c r="D277" s="273"/>
      <c r="E277" s="273"/>
      <c r="F277" s="272"/>
    </row>
    <row r="278" spans="2:6" ht="12" customHeight="1" x14ac:dyDescent="0.15">
      <c r="B278" s="274"/>
      <c r="C278" s="273"/>
      <c r="D278" s="273"/>
      <c r="E278" s="273"/>
      <c r="F278" s="272"/>
    </row>
    <row r="279" spans="2:6" ht="12" customHeight="1" x14ac:dyDescent="0.15">
      <c r="B279" s="274"/>
      <c r="C279" s="273"/>
      <c r="D279" s="273"/>
      <c r="E279" s="273"/>
      <c r="F279" s="272"/>
    </row>
    <row r="280" spans="2:6" ht="12" customHeight="1" x14ac:dyDescent="0.15">
      <c r="B280" s="274"/>
      <c r="C280" s="273"/>
      <c r="D280" s="273"/>
      <c r="E280" s="273"/>
      <c r="F280" s="272"/>
    </row>
    <row r="281" spans="2:6" ht="12" customHeight="1" x14ac:dyDescent="0.15">
      <c r="B281" s="274"/>
      <c r="C281" s="273"/>
      <c r="D281" s="273"/>
      <c r="E281" s="273"/>
      <c r="F281" s="272"/>
    </row>
    <row r="282" spans="2:6" ht="12" customHeight="1" x14ac:dyDescent="0.15">
      <c r="B282" s="274"/>
      <c r="C282" s="273"/>
      <c r="D282" s="273"/>
      <c r="E282" s="273"/>
      <c r="F282" s="272"/>
    </row>
    <row r="283" spans="2:6" ht="12" customHeight="1" x14ac:dyDescent="0.15">
      <c r="B283" s="274"/>
      <c r="C283" s="273"/>
      <c r="D283" s="273"/>
      <c r="E283" s="273"/>
      <c r="F283" s="272"/>
    </row>
    <row r="284" spans="2:6" ht="12" customHeight="1" x14ac:dyDescent="0.15">
      <c r="B284" s="274"/>
      <c r="C284" s="273"/>
      <c r="D284" s="273"/>
      <c r="E284" s="273"/>
      <c r="F284" s="272"/>
    </row>
    <row r="285" spans="2:6" ht="12" customHeight="1" x14ac:dyDescent="0.15">
      <c r="B285" s="274"/>
      <c r="C285" s="273"/>
      <c r="D285" s="273"/>
      <c r="E285" s="273"/>
      <c r="F285" s="272"/>
    </row>
    <row r="286" spans="2:6" ht="12" customHeight="1" x14ac:dyDescent="0.15">
      <c r="B286" s="274"/>
      <c r="C286" s="273"/>
      <c r="D286" s="273"/>
      <c r="E286" s="273"/>
      <c r="F286" s="272"/>
    </row>
    <row r="287" spans="2:6" ht="12" customHeight="1" x14ac:dyDescent="0.15">
      <c r="B287" s="274"/>
      <c r="C287" s="273"/>
      <c r="D287" s="273"/>
      <c r="E287" s="273"/>
      <c r="F287" s="272"/>
    </row>
    <row r="288" spans="2:6" ht="12" customHeight="1" x14ac:dyDescent="0.15">
      <c r="B288" s="274"/>
      <c r="C288" s="273"/>
      <c r="D288" s="273"/>
      <c r="E288" s="273"/>
      <c r="F288" s="272"/>
    </row>
    <row r="289" spans="2:6" ht="12" customHeight="1" x14ac:dyDescent="0.15">
      <c r="B289" s="274"/>
      <c r="C289" s="273"/>
      <c r="D289" s="273"/>
      <c r="E289" s="273"/>
      <c r="F289" s="272"/>
    </row>
    <row r="290" spans="2:6" ht="12" customHeight="1" x14ac:dyDescent="0.15">
      <c r="B290" s="274"/>
      <c r="C290" s="273"/>
      <c r="D290" s="273"/>
      <c r="E290" s="273"/>
      <c r="F290" s="272"/>
    </row>
    <row r="291" spans="2:6" ht="12" customHeight="1" x14ac:dyDescent="0.15">
      <c r="B291" s="274"/>
      <c r="C291" s="273"/>
      <c r="D291" s="273"/>
      <c r="E291" s="273"/>
      <c r="F291" s="272"/>
    </row>
    <row r="292" spans="2:6" ht="12" customHeight="1" x14ac:dyDescent="0.15">
      <c r="B292" s="274"/>
      <c r="C292" s="273"/>
      <c r="D292" s="273"/>
      <c r="E292" s="273"/>
      <c r="F292" s="272"/>
    </row>
    <row r="293" spans="2:6" ht="12" customHeight="1" x14ac:dyDescent="0.15">
      <c r="B293" s="274"/>
      <c r="C293" s="273"/>
      <c r="D293" s="273"/>
      <c r="E293" s="273"/>
      <c r="F293" s="272"/>
    </row>
    <row r="294" spans="2:6" ht="12" customHeight="1" x14ac:dyDescent="0.15">
      <c r="B294" s="274"/>
      <c r="C294" s="273"/>
      <c r="D294" s="273"/>
      <c r="E294" s="273"/>
      <c r="F294" s="272"/>
    </row>
    <row r="295" spans="2:6" ht="12" customHeight="1" x14ac:dyDescent="0.15">
      <c r="B295" s="274"/>
      <c r="C295" s="273"/>
      <c r="D295" s="273"/>
      <c r="E295" s="273"/>
      <c r="F295" s="272"/>
    </row>
    <row r="296" spans="2:6" ht="12" customHeight="1" x14ac:dyDescent="0.15">
      <c r="B296" s="274"/>
      <c r="C296" s="273"/>
      <c r="D296" s="273"/>
      <c r="E296" s="273"/>
      <c r="F296" s="272"/>
    </row>
    <row r="297" spans="2:6" ht="12" customHeight="1" x14ac:dyDescent="0.15">
      <c r="B297" s="274"/>
      <c r="C297" s="273"/>
      <c r="D297" s="273"/>
      <c r="E297" s="273"/>
      <c r="F297" s="272"/>
    </row>
    <row r="298" spans="2:6" ht="12" customHeight="1" x14ac:dyDescent="0.15">
      <c r="B298" s="274"/>
      <c r="C298" s="273"/>
      <c r="D298" s="273"/>
      <c r="E298" s="273"/>
      <c r="F298" s="272"/>
    </row>
    <row r="299" spans="2:6" ht="12" customHeight="1" x14ac:dyDescent="0.15">
      <c r="B299" s="274"/>
      <c r="C299" s="273"/>
      <c r="D299" s="273"/>
      <c r="E299" s="273"/>
      <c r="F299" s="272"/>
    </row>
    <row r="300" spans="2:6" ht="12" customHeight="1" x14ac:dyDescent="0.15">
      <c r="B300" s="274"/>
      <c r="C300" s="273"/>
      <c r="D300" s="273"/>
      <c r="E300" s="273"/>
      <c r="F300" s="272"/>
    </row>
    <row r="301" spans="2:6" ht="12" customHeight="1" x14ac:dyDescent="0.15">
      <c r="B301" s="274"/>
      <c r="C301" s="273"/>
      <c r="D301" s="273"/>
      <c r="E301" s="273"/>
      <c r="F301" s="272"/>
    </row>
    <row r="302" spans="2:6" ht="12" customHeight="1" x14ac:dyDescent="0.15">
      <c r="B302" s="274"/>
      <c r="C302" s="273"/>
      <c r="D302" s="273"/>
      <c r="E302" s="273"/>
      <c r="F302" s="272"/>
    </row>
    <row r="303" spans="2:6" ht="12" customHeight="1" x14ac:dyDescent="0.15">
      <c r="B303" s="274"/>
      <c r="C303" s="273"/>
      <c r="D303" s="273"/>
      <c r="E303" s="273"/>
      <c r="F303" s="272"/>
    </row>
    <row r="304" spans="2:6" ht="12" customHeight="1" x14ac:dyDescent="0.15">
      <c r="B304" s="274"/>
      <c r="C304" s="273"/>
      <c r="D304" s="273"/>
      <c r="E304" s="273"/>
      <c r="F304" s="272"/>
    </row>
    <row r="305" spans="2:6" ht="12" customHeight="1" x14ac:dyDescent="0.15">
      <c r="B305" s="274"/>
      <c r="C305" s="273"/>
      <c r="D305" s="273"/>
      <c r="E305" s="273"/>
      <c r="F305" s="272"/>
    </row>
    <row r="306" spans="2:6" ht="12" customHeight="1" x14ac:dyDescent="0.15">
      <c r="B306" s="274"/>
      <c r="C306" s="273"/>
      <c r="D306" s="273"/>
      <c r="E306" s="273"/>
      <c r="F306" s="272"/>
    </row>
    <row r="307" spans="2:6" ht="12" customHeight="1" x14ac:dyDescent="0.15">
      <c r="B307" s="274"/>
      <c r="C307" s="273"/>
      <c r="D307" s="273"/>
      <c r="E307" s="273"/>
      <c r="F307" s="272"/>
    </row>
    <row r="308" spans="2:6" ht="12" customHeight="1" x14ac:dyDescent="0.15">
      <c r="B308" s="274"/>
      <c r="C308" s="273"/>
      <c r="D308" s="273"/>
      <c r="E308" s="273"/>
      <c r="F308" s="272"/>
    </row>
    <row r="309" spans="2:6" ht="12" customHeight="1" x14ac:dyDescent="0.15">
      <c r="B309" s="274"/>
      <c r="C309" s="273"/>
      <c r="D309" s="273"/>
      <c r="E309" s="273"/>
      <c r="F309" s="272"/>
    </row>
    <row r="310" spans="2:6" ht="12" customHeight="1" x14ac:dyDescent="0.15">
      <c r="B310" s="274"/>
      <c r="C310" s="273"/>
      <c r="D310" s="273"/>
      <c r="E310" s="273"/>
      <c r="F310" s="272"/>
    </row>
    <row r="311" spans="2:6" ht="12" customHeight="1" x14ac:dyDescent="0.15">
      <c r="B311" s="274"/>
      <c r="C311" s="273"/>
      <c r="D311" s="273"/>
      <c r="E311" s="273"/>
      <c r="F311" s="272"/>
    </row>
    <row r="312" spans="2:6" ht="12" customHeight="1" x14ac:dyDescent="0.15">
      <c r="B312" s="274"/>
      <c r="C312" s="273"/>
      <c r="D312" s="273"/>
      <c r="E312" s="273"/>
      <c r="F312" s="272"/>
    </row>
    <row r="313" spans="2:6" ht="12" customHeight="1" x14ac:dyDescent="0.15">
      <c r="B313" s="274"/>
      <c r="C313" s="273"/>
      <c r="D313" s="273"/>
      <c r="E313" s="273"/>
      <c r="F313" s="272"/>
    </row>
    <row r="314" spans="2:6" ht="12" customHeight="1" x14ac:dyDescent="0.15">
      <c r="B314" s="274"/>
      <c r="C314" s="273"/>
      <c r="D314" s="273"/>
      <c r="E314" s="273"/>
      <c r="F314" s="272"/>
    </row>
    <row r="315" spans="2:6" ht="12" customHeight="1" x14ac:dyDescent="0.15">
      <c r="B315" s="274"/>
      <c r="C315" s="273"/>
      <c r="D315" s="273"/>
      <c r="E315" s="273"/>
      <c r="F315" s="272"/>
    </row>
    <row r="316" spans="2:6" ht="12" customHeight="1" x14ac:dyDescent="0.15">
      <c r="B316" s="274"/>
      <c r="C316" s="273"/>
      <c r="D316" s="273"/>
      <c r="E316" s="273"/>
      <c r="F316" s="272"/>
    </row>
    <row r="317" spans="2:6" ht="12" customHeight="1" x14ac:dyDescent="0.15">
      <c r="B317" s="274"/>
      <c r="C317" s="273"/>
      <c r="D317" s="273"/>
      <c r="E317" s="273"/>
      <c r="F317" s="272"/>
    </row>
    <row r="318" spans="2:6" ht="12" customHeight="1" x14ac:dyDescent="0.15">
      <c r="B318" s="274"/>
      <c r="C318" s="273"/>
      <c r="D318" s="273"/>
      <c r="E318" s="273"/>
      <c r="F318" s="272"/>
    </row>
    <row r="319" spans="2:6" ht="12" customHeight="1" x14ac:dyDescent="0.15">
      <c r="B319" s="274"/>
      <c r="C319" s="273"/>
      <c r="D319" s="273"/>
      <c r="E319" s="273"/>
      <c r="F319" s="272"/>
    </row>
    <row r="320" spans="2:6" ht="12" customHeight="1" x14ac:dyDescent="0.15">
      <c r="B320" s="274"/>
      <c r="C320" s="273"/>
      <c r="D320" s="273"/>
      <c r="E320" s="273"/>
      <c r="F320" s="272"/>
    </row>
    <row r="321" spans="2:6" ht="12" customHeight="1" x14ac:dyDescent="0.15">
      <c r="B321" s="274"/>
      <c r="C321" s="273"/>
      <c r="D321" s="273"/>
      <c r="E321" s="273"/>
      <c r="F321" s="272"/>
    </row>
    <row r="322" spans="2:6" ht="12" customHeight="1" x14ac:dyDescent="0.15">
      <c r="B322" s="274"/>
      <c r="C322" s="273"/>
      <c r="D322" s="273"/>
      <c r="E322" s="273"/>
      <c r="F322" s="272"/>
    </row>
    <row r="323" spans="2:6" ht="12" customHeight="1" x14ac:dyDescent="0.15">
      <c r="B323" s="274"/>
      <c r="C323" s="273"/>
      <c r="D323" s="273"/>
      <c r="E323" s="273"/>
      <c r="F323" s="272"/>
    </row>
    <row r="324" spans="2:6" ht="12" customHeight="1" x14ac:dyDescent="0.15">
      <c r="B324" s="274"/>
      <c r="C324" s="273"/>
      <c r="D324" s="273"/>
      <c r="E324" s="273"/>
      <c r="F324" s="272"/>
    </row>
    <row r="325" spans="2:6" ht="12" customHeight="1" x14ac:dyDescent="0.15">
      <c r="B325" s="274"/>
      <c r="C325" s="273"/>
      <c r="D325" s="273"/>
      <c r="E325" s="273"/>
      <c r="F325" s="272"/>
    </row>
    <row r="326" spans="2:6" ht="12" customHeight="1" x14ac:dyDescent="0.15">
      <c r="B326" s="274"/>
      <c r="C326" s="273"/>
      <c r="D326" s="273"/>
      <c r="E326" s="273"/>
      <c r="F326" s="272"/>
    </row>
    <row r="327" spans="2:6" ht="12" customHeight="1" x14ac:dyDescent="0.15">
      <c r="B327" s="274"/>
      <c r="C327" s="273"/>
      <c r="D327" s="273"/>
      <c r="E327" s="273"/>
      <c r="F327" s="272"/>
    </row>
    <row r="328" spans="2:6" ht="12" customHeight="1" x14ac:dyDescent="0.15">
      <c r="B328" s="274"/>
      <c r="C328" s="273"/>
      <c r="D328" s="273"/>
      <c r="E328" s="273"/>
      <c r="F328" s="272"/>
    </row>
    <row r="329" spans="2:6" ht="12" customHeight="1" x14ac:dyDescent="0.15">
      <c r="B329" s="274"/>
      <c r="C329" s="273"/>
      <c r="D329" s="273"/>
      <c r="E329" s="273"/>
      <c r="F329" s="272"/>
    </row>
    <row r="330" spans="2:6" ht="12" customHeight="1" x14ac:dyDescent="0.15">
      <c r="B330" s="274"/>
      <c r="C330" s="273"/>
      <c r="D330" s="273"/>
      <c r="E330" s="273"/>
      <c r="F330" s="272"/>
    </row>
    <row r="331" spans="2:6" ht="12" customHeight="1" x14ac:dyDescent="0.15">
      <c r="B331" s="274"/>
      <c r="C331" s="273"/>
      <c r="D331" s="273"/>
      <c r="E331" s="273"/>
      <c r="F331" s="272"/>
    </row>
    <row r="332" spans="2:6" ht="12" customHeight="1" x14ac:dyDescent="0.15">
      <c r="B332" s="274"/>
      <c r="C332" s="273"/>
      <c r="D332" s="273"/>
      <c r="E332" s="273"/>
      <c r="F332" s="272"/>
    </row>
    <row r="333" spans="2:6" ht="12" customHeight="1" x14ac:dyDescent="0.15">
      <c r="B333" s="274"/>
      <c r="C333" s="273"/>
      <c r="D333" s="273"/>
      <c r="E333" s="273"/>
      <c r="F333" s="272"/>
    </row>
    <row r="334" spans="2:6" ht="12" customHeight="1" x14ac:dyDescent="0.15">
      <c r="B334" s="274"/>
      <c r="C334" s="273"/>
      <c r="D334" s="273"/>
      <c r="E334" s="273"/>
      <c r="F334" s="272"/>
    </row>
    <row r="335" spans="2:6" ht="12" customHeight="1" x14ac:dyDescent="0.15">
      <c r="B335" s="274"/>
      <c r="C335" s="273"/>
      <c r="D335" s="273"/>
      <c r="E335" s="273"/>
      <c r="F335" s="272"/>
    </row>
    <row r="336" spans="2:6" ht="12" customHeight="1" x14ac:dyDescent="0.15">
      <c r="B336" s="274"/>
      <c r="C336" s="273"/>
      <c r="D336" s="273"/>
      <c r="E336" s="273"/>
      <c r="F336" s="272"/>
    </row>
    <row r="337" spans="2:6" ht="12" customHeight="1" x14ac:dyDescent="0.15">
      <c r="B337" s="274"/>
      <c r="C337" s="273"/>
      <c r="D337" s="273"/>
      <c r="E337" s="273"/>
      <c r="F337" s="272"/>
    </row>
    <row r="338" spans="2:6" ht="12" customHeight="1" x14ac:dyDescent="0.15">
      <c r="B338" s="274"/>
      <c r="C338" s="273"/>
      <c r="D338" s="273"/>
      <c r="E338" s="273"/>
      <c r="F338" s="272"/>
    </row>
    <row r="339" spans="2:6" ht="12" customHeight="1" x14ac:dyDescent="0.15">
      <c r="B339" s="274"/>
      <c r="C339" s="273"/>
      <c r="D339" s="273"/>
      <c r="E339" s="273"/>
      <c r="F339" s="272"/>
    </row>
    <row r="340" spans="2:6" ht="12" customHeight="1" x14ac:dyDescent="0.15">
      <c r="B340" s="274"/>
      <c r="C340" s="273"/>
      <c r="D340" s="273"/>
      <c r="E340" s="273"/>
      <c r="F340" s="272"/>
    </row>
    <row r="341" spans="2:6" ht="12" customHeight="1" x14ac:dyDescent="0.15">
      <c r="B341" s="274"/>
      <c r="C341" s="273"/>
      <c r="D341" s="273"/>
      <c r="E341" s="273"/>
      <c r="F341" s="272"/>
    </row>
    <row r="342" spans="2:6" ht="12" customHeight="1" x14ac:dyDescent="0.15">
      <c r="B342" s="274"/>
      <c r="C342" s="273"/>
      <c r="D342" s="273"/>
      <c r="E342" s="273"/>
      <c r="F342" s="272"/>
    </row>
    <row r="343" spans="2:6" ht="12" customHeight="1" x14ac:dyDescent="0.15">
      <c r="B343" s="274"/>
      <c r="C343" s="273"/>
      <c r="D343" s="273"/>
      <c r="E343" s="273"/>
      <c r="F343" s="272"/>
    </row>
    <row r="344" spans="2:6" ht="12" customHeight="1" x14ac:dyDescent="0.15">
      <c r="B344" s="274"/>
      <c r="C344" s="273"/>
      <c r="D344" s="273"/>
      <c r="E344" s="273"/>
      <c r="F344" s="272"/>
    </row>
    <row r="345" spans="2:6" ht="12" customHeight="1" x14ac:dyDescent="0.15">
      <c r="B345" s="274"/>
      <c r="C345" s="273"/>
      <c r="D345" s="273"/>
      <c r="E345" s="273"/>
      <c r="F345" s="272"/>
    </row>
    <row r="346" spans="2:6" ht="12" customHeight="1" x14ac:dyDescent="0.15">
      <c r="B346" s="274"/>
      <c r="C346" s="273"/>
      <c r="D346" s="273"/>
      <c r="E346" s="273"/>
      <c r="F346" s="272"/>
    </row>
    <row r="347" spans="2:6" ht="12" customHeight="1" x14ac:dyDescent="0.15">
      <c r="B347" s="274"/>
      <c r="C347" s="273"/>
      <c r="D347" s="273"/>
      <c r="E347" s="273"/>
      <c r="F347" s="272"/>
    </row>
    <row r="348" spans="2:6" ht="12" customHeight="1" x14ac:dyDescent="0.15">
      <c r="B348" s="274"/>
      <c r="C348" s="273"/>
      <c r="D348" s="273"/>
      <c r="E348" s="273"/>
      <c r="F348" s="272"/>
    </row>
    <row r="349" spans="2:6" ht="12" customHeight="1" x14ac:dyDescent="0.15">
      <c r="B349" s="274"/>
      <c r="C349" s="273"/>
      <c r="D349" s="273"/>
      <c r="E349" s="273"/>
      <c r="F349" s="272"/>
    </row>
    <row r="350" spans="2:6" ht="12" customHeight="1" x14ac:dyDescent="0.15">
      <c r="B350" s="274"/>
      <c r="C350" s="273"/>
      <c r="D350" s="273"/>
      <c r="E350" s="273"/>
      <c r="F350" s="272"/>
    </row>
    <row r="351" spans="2:6" ht="12" customHeight="1" x14ac:dyDescent="0.15">
      <c r="B351" s="274"/>
      <c r="C351" s="273"/>
      <c r="D351" s="273"/>
      <c r="E351" s="273"/>
      <c r="F351" s="272"/>
    </row>
    <row r="352" spans="2:6" ht="12" customHeight="1" x14ac:dyDescent="0.15">
      <c r="B352" s="274"/>
      <c r="C352" s="273"/>
      <c r="D352" s="273"/>
      <c r="E352" s="273"/>
      <c r="F352" s="272"/>
    </row>
    <row r="353" spans="2:6" ht="12" customHeight="1" x14ac:dyDescent="0.15">
      <c r="B353" s="274"/>
      <c r="C353" s="273"/>
      <c r="D353" s="273"/>
      <c r="E353" s="273"/>
      <c r="F353" s="272"/>
    </row>
    <row r="354" spans="2:6" ht="12" customHeight="1" x14ac:dyDescent="0.15">
      <c r="B354" s="274"/>
      <c r="C354" s="273"/>
      <c r="D354" s="273"/>
      <c r="E354" s="273"/>
      <c r="F354" s="272"/>
    </row>
    <row r="355" spans="2:6" ht="12" customHeight="1" x14ac:dyDescent="0.15">
      <c r="B355" s="274"/>
      <c r="C355" s="273"/>
      <c r="D355" s="273"/>
      <c r="E355" s="273"/>
      <c r="F355" s="272"/>
    </row>
    <row r="356" spans="2:6" ht="12" customHeight="1" x14ac:dyDescent="0.15">
      <c r="B356" s="274"/>
      <c r="C356" s="273"/>
      <c r="D356" s="273"/>
      <c r="E356" s="273"/>
      <c r="F356" s="272"/>
    </row>
    <row r="357" spans="2:6" ht="12" customHeight="1" x14ac:dyDescent="0.15">
      <c r="B357" s="274"/>
      <c r="C357" s="273"/>
      <c r="D357" s="273"/>
      <c r="E357" s="273"/>
      <c r="F357" s="272"/>
    </row>
    <row r="358" spans="2:6" ht="12" customHeight="1" x14ac:dyDescent="0.15">
      <c r="B358" s="274"/>
      <c r="C358" s="273"/>
      <c r="D358" s="273"/>
      <c r="E358" s="273"/>
      <c r="F358" s="272"/>
    </row>
    <row r="359" spans="2:6" ht="12" customHeight="1" x14ac:dyDescent="0.15">
      <c r="B359" s="274"/>
      <c r="C359" s="273"/>
      <c r="D359" s="273"/>
      <c r="E359" s="273"/>
      <c r="F359" s="272"/>
    </row>
    <row r="360" spans="2:6" ht="12" customHeight="1" x14ac:dyDescent="0.15">
      <c r="B360" s="274"/>
      <c r="C360" s="273"/>
      <c r="D360" s="273"/>
      <c r="E360" s="273"/>
      <c r="F360" s="272"/>
    </row>
    <row r="361" spans="2:6" ht="12" customHeight="1" x14ac:dyDescent="0.15">
      <c r="B361" s="274"/>
      <c r="C361" s="273"/>
      <c r="D361" s="273"/>
      <c r="E361" s="273"/>
      <c r="F361" s="272"/>
    </row>
    <row r="362" spans="2:6" ht="12" customHeight="1" x14ac:dyDescent="0.15">
      <c r="B362" s="274"/>
      <c r="C362" s="273"/>
      <c r="D362" s="273"/>
      <c r="E362" s="273"/>
      <c r="F362" s="272"/>
    </row>
    <row r="363" spans="2:6" ht="12" customHeight="1" x14ac:dyDescent="0.15">
      <c r="B363" s="274"/>
      <c r="C363" s="273"/>
      <c r="D363" s="273"/>
      <c r="E363" s="273"/>
      <c r="F363" s="272"/>
    </row>
    <row r="364" spans="2:6" ht="12" customHeight="1" x14ac:dyDescent="0.15">
      <c r="B364" s="274"/>
      <c r="C364" s="273"/>
      <c r="D364" s="273"/>
      <c r="E364" s="273"/>
      <c r="F364" s="272"/>
    </row>
    <row r="365" spans="2:6" ht="12" customHeight="1" x14ac:dyDescent="0.15">
      <c r="B365" s="274"/>
      <c r="C365" s="273"/>
      <c r="D365" s="273"/>
      <c r="E365" s="273"/>
      <c r="F365" s="272"/>
    </row>
    <row r="366" spans="2:6" ht="12" customHeight="1" x14ac:dyDescent="0.15">
      <c r="B366" s="274"/>
      <c r="C366" s="273"/>
      <c r="D366" s="273"/>
      <c r="E366" s="273"/>
      <c r="F366" s="272"/>
    </row>
    <row r="367" spans="2:6" ht="12" customHeight="1" x14ac:dyDescent="0.15">
      <c r="B367" s="274"/>
      <c r="C367" s="273"/>
      <c r="D367" s="273"/>
      <c r="E367" s="273"/>
      <c r="F367" s="272"/>
    </row>
    <row r="368" spans="2:6" ht="12" customHeight="1" x14ac:dyDescent="0.15">
      <c r="B368" s="274"/>
      <c r="C368" s="273"/>
      <c r="D368" s="273"/>
      <c r="E368" s="273"/>
      <c r="F368" s="272"/>
    </row>
    <row r="369" spans="2:6" ht="12" customHeight="1" x14ac:dyDescent="0.15">
      <c r="B369" s="274"/>
      <c r="C369" s="273"/>
      <c r="D369" s="273"/>
      <c r="E369" s="273"/>
      <c r="F369" s="272"/>
    </row>
    <row r="370" spans="2:6" ht="12" customHeight="1" x14ac:dyDescent="0.15">
      <c r="B370" s="274"/>
      <c r="C370" s="273"/>
      <c r="D370" s="273"/>
      <c r="E370" s="273"/>
      <c r="F370" s="272"/>
    </row>
    <row r="371" spans="2:6" ht="12" customHeight="1" x14ac:dyDescent="0.15">
      <c r="B371" s="274"/>
      <c r="C371" s="273"/>
      <c r="D371" s="273"/>
      <c r="E371" s="273"/>
      <c r="F371" s="272"/>
    </row>
    <row r="372" spans="2:6" ht="12" customHeight="1" x14ac:dyDescent="0.15">
      <c r="B372" s="274"/>
      <c r="C372" s="273"/>
      <c r="D372" s="273"/>
      <c r="E372" s="273"/>
      <c r="F372" s="272"/>
    </row>
    <row r="373" spans="2:6" ht="12" customHeight="1" x14ac:dyDescent="0.15">
      <c r="B373" s="274"/>
      <c r="C373" s="273"/>
      <c r="D373" s="273"/>
      <c r="E373" s="273"/>
      <c r="F373" s="272"/>
    </row>
    <row r="374" spans="2:6" ht="12" customHeight="1" x14ac:dyDescent="0.15">
      <c r="B374" s="274"/>
      <c r="C374" s="273"/>
      <c r="D374" s="273"/>
      <c r="E374" s="273"/>
      <c r="F374" s="272"/>
    </row>
    <row r="375" spans="2:6" ht="12" customHeight="1" x14ac:dyDescent="0.15">
      <c r="B375" s="274"/>
      <c r="C375" s="273"/>
      <c r="D375" s="273"/>
      <c r="E375" s="273"/>
      <c r="F375" s="272"/>
    </row>
    <row r="376" spans="2:6" ht="12" customHeight="1" x14ac:dyDescent="0.15">
      <c r="B376" s="274"/>
      <c r="C376" s="273"/>
      <c r="D376" s="273"/>
      <c r="E376" s="273"/>
      <c r="F376" s="272"/>
    </row>
    <row r="377" spans="2:6" ht="12" customHeight="1" x14ac:dyDescent="0.15">
      <c r="B377" s="274"/>
      <c r="C377" s="273"/>
      <c r="D377" s="273"/>
      <c r="E377" s="273"/>
      <c r="F377" s="272"/>
    </row>
    <row r="378" spans="2:6" ht="12" customHeight="1" x14ac:dyDescent="0.15">
      <c r="B378" s="274"/>
      <c r="C378" s="273"/>
      <c r="D378" s="273"/>
      <c r="E378" s="273"/>
      <c r="F378" s="272"/>
    </row>
    <row r="379" spans="2:6" ht="12" customHeight="1" x14ac:dyDescent="0.15">
      <c r="B379" s="274"/>
      <c r="C379" s="273"/>
      <c r="D379" s="273"/>
      <c r="E379" s="273"/>
      <c r="F379" s="272"/>
    </row>
    <row r="380" spans="2:6" ht="12" customHeight="1" x14ac:dyDescent="0.15">
      <c r="B380" s="274"/>
      <c r="C380" s="273"/>
      <c r="D380" s="273"/>
      <c r="E380" s="273"/>
      <c r="F380" s="272"/>
    </row>
    <row r="381" spans="2:6" ht="12" customHeight="1" x14ac:dyDescent="0.15">
      <c r="B381" s="274"/>
      <c r="C381" s="273"/>
      <c r="D381" s="273"/>
      <c r="E381" s="273"/>
      <c r="F381" s="272"/>
    </row>
    <row r="382" spans="2:6" ht="12" customHeight="1" x14ac:dyDescent="0.15">
      <c r="B382" s="274"/>
      <c r="C382" s="273"/>
      <c r="D382" s="273"/>
      <c r="E382" s="273"/>
      <c r="F382" s="272"/>
    </row>
    <row r="383" spans="2:6" ht="12" customHeight="1" x14ac:dyDescent="0.15">
      <c r="B383" s="274"/>
      <c r="C383" s="273"/>
      <c r="D383" s="273"/>
      <c r="E383" s="273"/>
      <c r="F383" s="272"/>
    </row>
    <row r="384" spans="2:6" ht="12" customHeight="1" x14ac:dyDescent="0.15">
      <c r="B384" s="274"/>
      <c r="C384" s="273"/>
      <c r="D384" s="273"/>
      <c r="E384" s="273"/>
      <c r="F384" s="272"/>
    </row>
    <row r="385" spans="2:6" ht="12" customHeight="1" x14ac:dyDescent="0.15">
      <c r="B385" s="274"/>
      <c r="C385" s="273"/>
      <c r="D385" s="273"/>
      <c r="E385" s="273"/>
      <c r="F385" s="272"/>
    </row>
    <row r="386" spans="2:6" ht="12" customHeight="1" x14ac:dyDescent="0.15">
      <c r="B386" s="274"/>
      <c r="C386" s="273"/>
      <c r="D386" s="273"/>
      <c r="E386" s="273"/>
      <c r="F386" s="272"/>
    </row>
    <row r="387" spans="2:6" ht="12" customHeight="1" x14ac:dyDescent="0.15">
      <c r="B387" s="274"/>
      <c r="C387" s="273"/>
      <c r="D387" s="273"/>
      <c r="E387" s="273"/>
      <c r="F387" s="272"/>
    </row>
    <row r="388" spans="2:6" ht="12" customHeight="1" x14ac:dyDescent="0.15">
      <c r="B388" s="274"/>
      <c r="C388" s="273"/>
      <c r="D388" s="273"/>
      <c r="E388" s="273"/>
      <c r="F388" s="272"/>
    </row>
    <row r="389" spans="2:6" ht="12" customHeight="1" x14ac:dyDescent="0.15">
      <c r="B389" s="274"/>
      <c r="C389" s="273"/>
      <c r="D389" s="273"/>
      <c r="E389" s="273"/>
      <c r="F389" s="272"/>
    </row>
    <row r="390" spans="2:6" ht="12" customHeight="1" x14ac:dyDescent="0.15">
      <c r="B390" s="274"/>
      <c r="C390" s="273"/>
      <c r="D390" s="273"/>
      <c r="E390" s="273"/>
      <c r="F390" s="272"/>
    </row>
    <row r="391" spans="2:6" ht="12" customHeight="1" x14ac:dyDescent="0.15">
      <c r="B391" s="274"/>
      <c r="C391" s="273"/>
      <c r="D391" s="273"/>
      <c r="E391" s="273"/>
      <c r="F391" s="272"/>
    </row>
    <row r="392" spans="2:6" ht="12" customHeight="1" x14ac:dyDescent="0.15">
      <c r="B392" s="274"/>
      <c r="C392" s="273"/>
      <c r="D392" s="273"/>
      <c r="E392" s="273"/>
      <c r="F392" s="272"/>
    </row>
    <row r="393" spans="2:6" ht="12" customHeight="1" x14ac:dyDescent="0.15">
      <c r="B393" s="274"/>
      <c r="C393" s="273"/>
      <c r="D393" s="273"/>
      <c r="E393" s="273"/>
      <c r="F393" s="272"/>
    </row>
    <row r="394" spans="2:6" ht="12" customHeight="1" x14ac:dyDescent="0.15">
      <c r="B394" s="274"/>
      <c r="C394" s="273"/>
      <c r="D394" s="273"/>
      <c r="E394" s="273"/>
      <c r="F394" s="272"/>
    </row>
    <row r="395" spans="2:6" ht="12" customHeight="1" x14ac:dyDescent="0.15">
      <c r="B395" s="274"/>
      <c r="C395" s="273"/>
      <c r="D395" s="273"/>
      <c r="E395" s="273"/>
      <c r="F395" s="272"/>
    </row>
    <row r="396" spans="2:6" ht="12" customHeight="1" x14ac:dyDescent="0.15">
      <c r="B396" s="274"/>
      <c r="C396" s="273"/>
      <c r="D396" s="273"/>
      <c r="E396" s="273"/>
      <c r="F396" s="272"/>
    </row>
    <row r="397" spans="2:6" ht="12" customHeight="1" x14ac:dyDescent="0.15">
      <c r="B397" s="274"/>
      <c r="C397" s="273"/>
      <c r="D397" s="273"/>
      <c r="E397" s="273"/>
      <c r="F397" s="272"/>
    </row>
    <row r="398" spans="2:6" ht="12" customHeight="1" x14ac:dyDescent="0.15">
      <c r="B398" s="274"/>
      <c r="C398" s="273"/>
      <c r="D398" s="273"/>
      <c r="E398" s="273"/>
      <c r="F398" s="272"/>
    </row>
    <row r="399" spans="2:6" ht="12" customHeight="1" x14ac:dyDescent="0.15">
      <c r="B399" s="274"/>
      <c r="C399" s="273"/>
      <c r="D399" s="273"/>
      <c r="E399" s="273"/>
      <c r="F399" s="272"/>
    </row>
    <row r="400" spans="2:6" ht="12" customHeight="1" x14ac:dyDescent="0.15">
      <c r="B400" s="274"/>
      <c r="C400" s="273"/>
      <c r="D400" s="273"/>
      <c r="E400" s="273"/>
      <c r="F400" s="272"/>
    </row>
    <row r="401" spans="2:6" ht="12" customHeight="1" x14ac:dyDescent="0.15">
      <c r="B401" s="274"/>
      <c r="C401" s="273"/>
      <c r="D401" s="273"/>
      <c r="E401" s="273"/>
      <c r="F401" s="272"/>
    </row>
    <row r="402" spans="2:6" ht="12" customHeight="1" x14ac:dyDescent="0.15">
      <c r="B402" s="274"/>
      <c r="C402" s="273"/>
      <c r="D402" s="273"/>
      <c r="E402" s="273"/>
      <c r="F402" s="272"/>
    </row>
    <row r="403" spans="2:6" ht="12" customHeight="1" x14ac:dyDescent="0.15">
      <c r="B403" s="274"/>
      <c r="C403" s="273"/>
      <c r="D403" s="273"/>
      <c r="E403" s="273"/>
      <c r="F403" s="272"/>
    </row>
    <row r="404" spans="2:6" ht="12" customHeight="1" x14ac:dyDescent="0.15">
      <c r="B404" s="274"/>
      <c r="C404" s="273"/>
      <c r="D404" s="273"/>
      <c r="E404" s="273"/>
      <c r="F404" s="272"/>
    </row>
    <row r="405" spans="2:6" ht="12" customHeight="1" x14ac:dyDescent="0.15">
      <c r="B405" s="274"/>
      <c r="C405" s="273"/>
      <c r="D405" s="273"/>
      <c r="E405" s="273"/>
      <c r="F405" s="272"/>
    </row>
    <row r="406" spans="2:6" ht="12" customHeight="1" x14ac:dyDescent="0.15">
      <c r="B406" s="274"/>
      <c r="C406" s="273"/>
      <c r="D406" s="273"/>
      <c r="E406" s="273"/>
      <c r="F406" s="272"/>
    </row>
    <row r="407" spans="2:6" ht="12" customHeight="1" x14ac:dyDescent="0.15">
      <c r="B407" s="274"/>
      <c r="C407" s="273"/>
      <c r="D407" s="273"/>
      <c r="E407" s="273"/>
      <c r="F407" s="272"/>
    </row>
    <row r="408" spans="2:6" ht="12" customHeight="1" x14ac:dyDescent="0.15">
      <c r="B408" s="274"/>
      <c r="C408" s="273"/>
      <c r="D408" s="273"/>
      <c r="E408" s="273"/>
      <c r="F408" s="272"/>
    </row>
    <row r="409" spans="2:6" ht="12" customHeight="1" x14ac:dyDescent="0.15">
      <c r="B409" s="274"/>
      <c r="C409" s="273"/>
      <c r="D409" s="273"/>
      <c r="E409" s="273"/>
      <c r="F409" s="272"/>
    </row>
    <row r="410" spans="2:6" ht="12" customHeight="1" x14ac:dyDescent="0.15">
      <c r="B410" s="274"/>
      <c r="C410" s="273"/>
      <c r="D410" s="273"/>
      <c r="E410" s="273"/>
      <c r="F410" s="272"/>
    </row>
    <row r="411" spans="2:6" ht="12" customHeight="1" x14ac:dyDescent="0.15">
      <c r="B411" s="274"/>
      <c r="C411" s="273"/>
      <c r="D411" s="273"/>
      <c r="E411" s="273"/>
      <c r="F411" s="272"/>
    </row>
    <row r="412" spans="2:6" ht="12" customHeight="1" x14ac:dyDescent="0.15">
      <c r="B412" s="274"/>
      <c r="C412" s="273"/>
      <c r="D412" s="273"/>
      <c r="E412" s="273"/>
      <c r="F412" s="272"/>
    </row>
    <row r="413" spans="2:6" ht="12" customHeight="1" x14ac:dyDescent="0.15">
      <c r="B413" s="274"/>
      <c r="C413" s="273"/>
      <c r="D413" s="273"/>
      <c r="E413" s="273"/>
      <c r="F413" s="272"/>
    </row>
    <row r="414" spans="2:6" ht="12" customHeight="1" x14ac:dyDescent="0.15">
      <c r="B414" s="274"/>
      <c r="C414" s="273"/>
      <c r="D414" s="273"/>
      <c r="E414" s="273"/>
      <c r="F414" s="272"/>
    </row>
    <row r="415" spans="2:6" ht="12" customHeight="1" x14ac:dyDescent="0.15">
      <c r="B415" s="274"/>
      <c r="C415" s="273"/>
      <c r="D415" s="273"/>
      <c r="E415" s="273"/>
      <c r="F415" s="272"/>
    </row>
    <row r="416" spans="2:6" ht="12" customHeight="1" x14ac:dyDescent="0.15">
      <c r="B416" s="274"/>
      <c r="C416" s="273"/>
      <c r="D416" s="273"/>
      <c r="E416" s="273"/>
      <c r="F416" s="272"/>
    </row>
    <row r="417" spans="2:6" ht="12" customHeight="1" x14ac:dyDescent="0.15">
      <c r="B417" s="274"/>
      <c r="C417" s="273"/>
      <c r="D417" s="273"/>
      <c r="E417" s="273"/>
      <c r="F417" s="272"/>
    </row>
    <row r="418" spans="2:6" ht="12" customHeight="1" x14ac:dyDescent="0.15">
      <c r="B418" s="274"/>
      <c r="C418" s="273"/>
      <c r="D418" s="273"/>
      <c r="E418" s="273"/>
      <c r="F418" s="272"/>
    </row>
    <row r="419" spans="2:6" ht="12" customHeight="1" x14ac:dyDescent="0.15">
      <c r="B419" s="274"/>
      <c r="C419" s="273"/>
      <c r="D419" s="273"/>
      <c r="E419" s="273"/>
      <c r="F419" s="272"/>
    </row>
    <row r="420" spans="2:6" ht="12" customHeight="1" x14ac:dyDescent="0.15">
      <c r="B420" s="274"/>
      <c r="C420" s="273"/>
      <c r="D420" s="273"/>
      <c r="E420" s="273"/>
      <c r="F420" s="272"/>
    </row>
    <row r="421" spans="2:6" ht="12" customHeight="1" x14ac:dyDescent="0.15">
      <c r="B421" s="274"/>
      <c r="C421" s="273"/>
      <c r="D421" s="273"/>
      <c r="E421" s="273"/>
      <c r="F421" s="272"/>
    </row>
    <row r="422" spans="2:6" ht="12" customHeight="1" x14ac:dyDescent="0.15">
      <c r="B422" s="274"/>
      <c r="C422" s="273"/>
      <c r="D422" s="273"/>
      <c r="E422" s="273"/>
      <c r="F422" s="272"/>
    </row>
    <row r="423" spans="2:6" ht="12" customHeight="1" x14ac:dyDescent="0.15">
      <c r="B423" s="274"/>
      <c r="C423" s="273"/>
      <c r="D423" s="273"/>
      <c r="E423" s="273"/>
      <c r="F423" s="272"/>
    </row>
    <row r="424" spans="2:6" ht="12" customHeight="1" x14ac:dyDescent="0.15">
      <c r="B424" s="274"/>
      <c r="C424" s="273"/>
      <c r="D424" s="273"/>
      <c r="E424" s="273"/>
      <c r="F424" s="272"/>
    </row>
    <row r="425" spans="2:6" ht="12" customHeight="1" x14ac:dyDescent="0.15">
      <c r="B425" s="274"/>
      <c r="C425" s="273"/>
      <c r="D425" s="273"/>
      <c r="E425" s="273"/>
      <c r="F425" s="272"/>
    </row>
    <row r="426" spans="2:6" ht="12" customHeight="1" x14ac:dyDescent="0.15">
      <c r="B426" s="274"/>
      <c r="C426" s="273"/>
      <c r="D426" s="273"/>
      <c r="E426" s="273"/>
      <c r="F426" s="272"/>
    </row>
    <row r="427" spans="2:6" ht="12" customHeight="1" x14ac:dyDescent="0.15">
      <c r="B427" s="274"/>
      <c r="C427" s="273"/>
      <c r="D427" s="273"/>
      <c r="E427" s="273"/>
      <c r="F427" s="272"/>
    </row>
    <row r="428" spans="2:6" ht="12" customHeight="1" x14ac:dyDescent="0.15">
      <c r="B428" s="274"/>
      <c r="C428" s="273"/>
      <c r="D428" s="273"/>
      <c r="E428" s="273"/>
      <c r="F428" s="272"/>
    </row>
    <row r="429" spans="2:6" ht="12" customHeight="1" x14ac:dyDescent="0.15">
      <c r="B429" s="274"/>
      <c r="C429" s="273"/>
      <c r="D429" s="273"/>
      <c r="E429" s="273"/>
      <c r="F429" s="272"/>
    </row>
    <row r="430" spans="2:6" ht="12" customHeight="1" x14ac:dyDescent="0.15">
      <c r="B430" s="274"/>
      <c r="C430" s="273"/>
      <c r="D430" s="273"/>
      <c r="E430" s="273"/>
      <c r="F430" s="272"/>
    </row>
    <row r="431" spans="2:6" ht="12" customHeight="1" x14ac:dyDescent="0.15">
      <c r="B431" s="274"/>
      <c r="C431" s="273"/>
      <c r="D431" s="273"/>
      <c r="E431" s="273"/>
      <c r="F431" s="272"/>
    </row>
    <row r="432" spans="2:6" ht="12" customHeight="1" x14ac:dyDescent="0.15">
      <c r="B432" s="274"/>
      <c r="C432" s="273"/>
      <c r="D432" s="273"/>
      <c r="E432" s="273"/>
      <c r="F432" s="272"/>
    </row>
    <row r="433" spans="2:6" ht="12" customHeight="1" x14ac:dyDescent="0.15">
      <c r="B433" s="274"/>
      <c r="C433" s="273"/>
      <c r="D433" s="273"/>
      <c r="E433" s="273"/>
      <c r="F433" s="272"/>
    </row>
    <row r="434" spans="2:6" ht="12" customHeight="1" x14ac:dyDescent="0.15">
      <c r="B434" s="274"/>
      <c r="C434" s="273"/>
      <c r="D434" s="273"/>
      <c r="E434" s="273"/>
      <c r="F434" s="272"/>
    </row>
    <row r="435" spans="2:6" ht="12" customHeight="1" x14ac:dyDescent="0.15">
      <c r="B435" s="274"/>
      <c r="C435" s="273"/>
      <c r="D435" s="273"/>
      <c r="E435" s="273"/>
      <c r="F435" s="272"/>
    </row>
    <row r="436" spans="2:6" ht="12" customHeight="1" x14ac:dyDescent="0.15">
      <c r="B436" s="274"/>
      <c r="C436" s="273"/>
      <c r="D436" s="273"/>
      <c r="E436" s="273"/>
      <c r="F436" s="272"/>
    </row>
    <row r="437" spans="2:6" ht="12" customHeight="1" x14ac:dyDescent="0.15">
      <c r="B437" s="274"/>
      <c r="C437" s="273"/>
      <c r="D437" s="273"/>
      <c r="E437" s="273"/>
      <c r="F437" s="272"/>
    </row>
    <row r="438" spans="2:6" ht="12" customHeight="1" x14ac:dyDescent="0.15">
      <c r="B438" s="274"/>
      <c r="C438" s="273"/>
      <c r="D438" s="273"/>
      <c r="E438" s="273"/>
      <c r="F438" s="272"/>
    </row>
    <row r="439" spans="2:6" ht="12" customHeight="1" x14ac:dyDescent="0.15">
      <c r="B439" s="274"/>
      <c r="C439" s="273"/>
      <c r="D439" s="273"/>
      <c r="E439" s="273"/>
      <c r="F439" s="272"/>
    </row>
    <row r="440" spans="2:6" ht="12" customHeight="1" x14ac:dyDescent="0.15">
      <c r="B440" s="274"/>
      <c r="C440" s="273"/>
      <c r="D440" s="273"/>
      <c r="E440" s="273"/>
      <c r="F440" s="272"/>
    </row>
    <row r="441" spans="2:6" ht="12" customHeight="1" x14ac:dyDescent="0.15">
      <c r="B441" s="274"/>
      <c r="C441" s="273"/>
      <c r="D441" s="273"/>
      <c r="E441" s="273"/>
      <c r="F441" s="272"/>
    </row>
    <row r="442" spans="2:6" ht="12" customHeight="1" x14ac:dyDescent="0.15">
      <c r="B442" s="274"/>
      <c r="C442" s="273"/>
      <c r="D442" s="273"/>
      <c r="E442" s="273"/>
      <c r="F442" s="272"/>
    </row>
    <row r="443" spans="2:6" ht="12" customHeight="1" x14ac:dyDescent="0.15">
      <c r="B443" s="274"/>
      <c r="C443" s="273"/>
      <c r="D443" s="273"/>
      <c r="E443" s="273"/>
      <c r="F443" s="272"/>
    </row>
    <row r="444" spans="2:6" ht="12" customHeight="1" x14ac:dyDescent="0.15">
      <c r="B444" s="274"/>
      <c r="C444" s="273"/>
      <c r="D444" s="273"/>
      <c r="E444" s="273"/>
      <c r="F444" s="272"/>
    </row>
    <row r="445" spans="2:6" ht="12" customHeight="1" x14ac:dyDescent="0.15">
      <c r="B445" s="274"/>
      <c r="C445" s="273"/>
      <c r="D445" s="273"/>
      <c r="E445" s="273"/>
      <c r="F445" s="272"/>
    </row>
    <row r="446" spans="2:6" ht="12" customHeight="1" x14ac:dyDescent="0.15">
      <c r="B446" s="274"/>
      <c r="C446" s="273"/>
      <c r="D446" s="273"/>
      <c r="E446" s="273"/>
      <c r="F446" s="272"/>
    </row>
    <row r="447" spans="2:6" ht="12" customHeight="1" x14ac:dyDescent="0.15">
      <c r="B447" s="274"/>
      <c r="C447" s="273"/>
      <c r="D447" s="273"/>
      <c r="E447" s="273"/>
      <c r="F447" s="272"/>
    </row>
    <row r="448" spans="2:6" ht="12" customHeight="1" x14ac:dyDescent="0.15">
      <c r="B448" s="274"/>
      <c r="C448" s="273"/>
      <c r="D448" s="273"/>
      <c r="E448" s="273"/>
      <c r="F448" s="272"/>
    </row>
    <row r="449" spans="2:6" ht="12" customHeight="1" x14ac:dyDescent="0.15">
      <c r="B449" s="274"/>
      <c r="C449" s="273"/>
      <c r="D449" s="273"/>
      <c r="E449" s="273"/>
      <c r="F449" s="272"/>
    </row>
    <row r="450" spans="2:6" ht="12" customHeight="1" x14ac:dyDescent="0.15">
      <c r="B450" s="274"/>
      <c r="C450" s="273"/>
      <c r="D450" s="273"/>
      <c r="E450" s="273"/>
      <c r="F450" s="272"/>
    </row>
    <row r="451" spans="2:6" ht="12" customHeight="1" x14ac:dyDescent="0.15">
      <c r="B451" s="274"/>
      <c r="C451" s="273"/>
      <c r="D451" s="273"/>
      <c r="E451" s="273"/>
      <c r="F451" s="272"/>
    </row>
    <row r="452" spans="2:6" ht="12" customHeight="1" x14ac:dyDescent="0.15">
      <c r="B452" s="274"/>
      <c r="C452" s="273"/>
      <c r="D452" s="273"/>
      <c r="E452" s="273"/>
      <c r="F452" s="272"/>
    </row>
    <row r="453" spans="2:6" ht="12" customHeight="1" x14ac:dyDescent="0.15">
      <c r="B453" s="274"/>
      <c r="C453" s="273"/>
      <c r="D453" s="273"/>
      <c r="E453" s="273"/>
      <c r="F453" s="272"/>
    </row>
    <row r="454" spans="2:6" ht="12" customHeight="1" x14ac:dyDescent="0.15">
      <c r="B454" s="274"/>
      <c r="C454" s="273"/>
      <c r="D454" s="273"/>
      <c r="E454" s="273"/>
      <c r="F454" s="272"/>
    </row>
    <row r="455" spans="2:6" ht="12" customHeight="1" x14ac:dyDescent="0.15">
      <c r="B455" s="274"/>
      <c r="C455" s="273"/>
      <c r="D455" s="273"/>
      <c r="E455" s="273"/>
      <c r="F455" s="272"/>
    </row>
    <row r="456" spans="2:6" ht="12" customHeight="1" x14ac:dyDescent="0.15">
      <c r="B456" s="274"/>
      <c r="C456" s="273"/>
      <c r="D456" s="273"/>
      <c r="E456" s="273"/>
      <c r="F456" s="272"/>
    </row>
    <row r="457" spans="2:6" ht="12" customHeight="1" x14ac:dyDescent="0.15">
      <c r="B457" s="274"/>
      <c r="C457" s="273"/>
      <c r="D457" s="273"/>
      <c r="E457" s="273"/>
      <c r="F457" s="272"/>
    </row>
    <row r="458" spans="2:6" ht="12" customHeight="1" x14ac:dyDescent="0.15">
      <c r="B458" s="274"/>
      <c r="C458" s="273"/>
      <c r="D458" s="273"/>
      <c r="E458" s="273"/>
      <c r="F458" s="272"/>
    </row>
    <row r="459" spans="2:6" ht="12" customHeight="1" x14ac:dyDescent="0.15">
      <c r="B459" s="274"/>
      <c r="C459" s="273"/>
      <c r="D459" s="273"/>
      <c r="E459" s="273"/>
      <c r="F459" s="272"/>
    </row>
    <row r="460" spans="2:6" ht="12" customHeight="1" x14ac:dyDescent="0.15">
      <c r="B460" s="274"/>
      <c r="C460" s="273"/>
      <c r="D460" s="273"/>
      <c r="E460" s="273"/>
      <c r="F460" s="272"/>
    </row>
    <row r="461" spans="2:6" ht="12" customHeight="1" x14ac:dyDescent="0.15">
      <c r="B461" s="274"/>
      <c r="C461" s="273"/>
      <c r="D461" s="273"/>
      <c r="E461" s="273"/>
      <c r="F461" s="272"/>
    </row>
    <row r="462" spans="2:6" ht="12" customHeight="1" x14ac:dyDescent="0.15">
      <c r="B462" s="274"/>
      <c r="C462" s="273"/>
      <c r="D462" s="273"/>
      <c r="E462" s="273"/>
      <c r="F462" s="272"/>
    </row>
    <row r="463" spans="2:6" ht="12" customHeight="1" x14ac:dyDescent="0.15">
      <c r="B463" s="274"/>
      <c r="C463" s="273"/>
      <c r="D463" s="273"/>
      <c r="E463" s="273"/>
      <c r="F463" s="272"/>
    </row>
    <row r="464" spans="2:6" ht="12" customHeight="1" x14ac:dyDescent="0.15">
      <c r="B464" s="274"/>
      <c r="C464" s="273"/>
      <c r="D464" s="273"/>
      <c r="E464" s="273"/>
      <c r="F464" s="272"/>
    </row>
    <row r="465" spans="2:6" ht="12" customHeight="1" x14ac:dyDescent="0.15">
      <c r="B465" s="274"/>
      <c r="C465" s="273"/>
      <c r="D465" s="273"/>
      <c r="E465" s="273"/>
      <c r="F465" s="272"/>
    </row>
    <row r="466" spans="2:6" ht="12" customHeight="1" x14ac:dyDescent="0.15">
      <c r="B466" s="274"/>
      <c r="C466" s="273"/>
      <c r="D466" s="273"/>
      <c r="E466" s="273"/>
      <c r="F466" s="272"/>
    </row>
    <row r="467" spans="2:6" ht="12" customHeight="1" x14ac:dyDescent="0.15">
      <c r="B467" s="274"/>
      <c r="C467" s="273"/>
      <c r="D467" s="273"/>
      <c r="E467" s="273"/>
      <c r="F467" s="272"/>
    </row>
    <row r="468" spans="2:6" ht="12" customHeight="1" x14ac:dyDescent="0.15">
      <c r="B468" s="274"/>
      <c r="C468" s="273"/>
      <c r="D468" s="273"/>
      <c r="E468" s="273"/>
      <c r="F468" s="272"/>
    </row>
    <row r="469" spans="2:6" ht="12" customHeight="1" x14ac:dyDescent="0.15">
      <c r="B469" s="274"/>
      <c r="C469" s="273"/>
      <c r="D469" s="273"/>
      <c r="E469" s="273"/>
      <c r="F469" s="272"/>
    </row>
    <row r="470" spans="2:6" ht="12" customHeight="1" x14ac:dyDescent="0.15">
      <c r="B470" s="274"/>
      <c r="C470" s="273"/>
      <c r="D470" s="273"/>
      <c r="E470" s="273"/>
      <c r="F470" s="272"/>
    </row>
    <row r="471" spans="2:6" ht="12" customHeight="1" x14ac:dyDescent="0.15">
      <c r="B471" s="274"/>
      <c r="C471" s="273"/>
      <c r="D471" s="273"/>
      <c r="E471" s="273"/>
      <c r="F471" s="272"/>
    </row>
    <row r="472" spans="2:6" ht="12" customHeight="1" x14ac:dyDescent="0.15">
      <c r="B472" s="274"/>
      <c r="C472" s="273"/>
      <c r="D472" s="273"/>
      <c r="E472" s="273"/>
      <c r="F472" s="272"/>
    </row>
    <row r="473" spans="2:6" ht="12" customHeight="1" x14ac:dyDescent="0.15">
      <c r="B473" s="274"/>
      <c r="C473" s="273"/>
      <c r="D473" s="273"/>
      <c r="E473" s="273"/>
      <c r="F473" s="272"/>
    </row>
    <row r="474" spans="2:6" ht="12" customHeight="1" x14ac:dyDescent="0.15">
      <c r="B474" s="274"/>
      <c r="C474" s="273"/>
      <c r="D474" s="273"/>
      <c r="E474" s="273"/>
      <c r="F474" s="272"/>
    </row>
    <row r="475" spans="2:6" ht="12" customHeight="1" x14ac:dyDescent="0.15">
      <c r="B475" s="274"/>
      <c r="C475" s="273"/>
      <c r="D475" s="273"/>
      <c r="E475" s="273"/>
      <c r="F475" s="272"/>
    </row>
    <row r="476" spans="2:6" ht="12" customHeight="1" x14ac:dyDescent="0.15">
      <c r="B476" s="274"/>
      <c r="C476" s="273"/>
      <c r="D476" s="273"/>
      <c r="E476" s="273"/>
      <c r="F476" s="272"/>
    </row>
    <row r="477" spans="2:6" ht="12" customHeight="1" x14ac:dyDescent="0.15">
      <c r="B477" s="274"/>
      <c r="C477" s="273"/>
      <c r="D477" s="273"/>
      <c r="E477" s="273"/>
      <c r="F477" s="272"/>
    </row>
    <row r="478" spans="2:6" ht="12" customHeight="1" x14ac:dyDescent="0.15">
      <c r="B478" s="274"/>
      <c r="C478" s="273"/>
      <c r="D478" s="273"/>
      <c r="E478" s="273"/>
      <c r="F478" s="272"/>
    </row>
    <row r="479" spans="2:6" ht="12" customHeight="1" x14ac:dyDescent="0.15">
      <c r="B479" s="274"/>
      <c r="C479" s="273"/>
      <c r="D479" s="273"/>
      <c r="E479" s="273"/>
      <c r="F479" s="272"/>
    </row>
    <row r="480" spans="2:6" ht="12" customHeight="1" x14ac:dyDescent="0.15">
      <c r="B480" s="274"/>
      <c r="C480" s="273"/>
      <c r="D480" s="273"/>
      <c r="E480" s="273"/>
      <c r="F480" s="272"/>
    </row>
    <row r="481" spans="2:6" ht="12" customHeight="1" x14ac:dyDescent="0.15">
      <c r="B481" s="274"/>
      <c r="C481" s="273"/>
      <c r="D481" s="273"/>
      <c r="E481" s="273"/>
      <c r="F481" s="272"/>
    </row>
    <row r="482" spans="2:6" ht="12" customHeight="1" x14ac:dyDescent="0.15">
      <c r="B482" s="274"/>
      <c r="C482" s="273"/>
      <c r="D482" s="273"/>
      <c r="E482" s="273"/>
      <c r="F482" s="272"/>
    </row>
    <row r="483" spans="2:6" ht="12" customHeight="1" x14ac:dyDescent="0.15">
      <c r="B483" s="274"/>
      <c r="C483" s="273"/>
      <c r="D483" s="273"/>
      <c r="E483" s="273"/>
      <c r="F483" s="272"/>
    </row>
    <row r="484" spans="2:6" ht="12" customHeight="1" x14ac:dyDescent="0.15">
      <c r="B484" s="274"/>
      <c r="C484" s="273"/>
      <c r="D484" s="273"/>
      <c r="E484" s="273"/>
      <c r="F484" s="272"/>
    </row>
    <row r="485" spans="2:6" ht="12" customHeight="1" x14ac:dyDescent="0.15">
      <c r="B485" s="274"/>
      <c r="C485" s="273"/>
      <c r="D485" s="273"/>
      <c r="E485" s="273"/>
      <c r="F485" s="272"/>
    </row>
    <row r="486" spans="2:6" ht="12" customHeight="1" x14ac:dyDescent="0.15">
      <c r="B486" s="274"/>
      <c r="C486" s="273"/>
      <c r="D486" s="273"/>
      <c r="E486" s="273"/>
      <c r="F486" s="272"/>
    </row>
    <row r="487" spans="2:6" ht="12" customHeight="1" x14ac:dyDescent="0.15">
      <c r="B487" s="274"/>
      <c r="C487" s="273"/>
      <c r="D487" s="273"/>
      <c r="E487" s="273"/>
      <c r="F487" s="272"/>
    </row>
    <row r="488" spans="2:6" ht="12" customHeight="1" x14ac:dyDescent="0.15">
      <c r="B488" s="274"/>
      <c r="C488" s="273"/>
      <c r="D488" s="273"/>
      <c r="E488" s="273"/>
      <c r="F488" s="272"/>
    </row>
    <row r="489" spans="2:6" ht="12" customHeight="1" x14ac:dyDescent="0.15">
      <c r="B489" s="274"/>
      <c r="C489" s="273"/>
      <c r="D489" s="273"/>
      <c r="E489" s="273"/>
      <c r="F489" s="272"/>
    </row>
    <row r="490" spans="2:6" ht="12" customHeight="1" x14ac:dyDescent="0.15">
      <c r="B490" s="274"/>
      <c r="C490" s="273"/>
      <c r="D490" s="273"/>
      <c r="E490" s="273"/>
      <c r="F490" s="272"/>
    </row>
    <row r="491" spans="2:6" ht="12" customHeight="1" x14ac:dyDescent="0.15">
      <c r="B491" s="274"/>
      <c r="C491" s="273"/>
      <c r="D491" s="273"/>
      <c r="E491" s="273"/>
      <c r="F491" s="272"/>
    </row>
    <row r="492" spans="2:6" ht="12" customHeight="1" x14ac:dyDescent="0.15">
      <c r="B492" s="274"/>
      <c r="C492" s="273"/>
      <c r="D492" s="273"/>
      <c r="E492" s="273"/>
      <c r="F492" s="272"/>
    </row>
    <row r="493" spans="2:6" ht="12" customHeight="1" x14ac:dyDescent="0.15">
      <c r="B493" s="274"/>
      <c r="C493" s="273"/>
      <c r="D493" s="273"/>
      <c r="E493" s="273"/>
      <c r="F493" s="272"/>
    </row>
    <row r="494" spans="2:6" ht="12" customHeight="1" x14ac:dyDescent="0.15">
      <c r="B494" s="274"/>
      <c r="C494" s="273"/>
      <c r="D494" s="273"/>
      <c r="E494" s="273"/>
      <c r="F494" s="272"/>
    </row>
    <row r="495" spans="2:6" ht="12" customHeight="1" x14ac:dyDescent="0.15">
      <c r="B495" s="274"/>
      <c r="C495" s="273"/>
      <c r="D495" s="273"/>
      <c r="E495" s="273"/>
      <c r="F495" s="272"/>
    </row>
    <row r="496" spans="2:6" ht="12" customHeight="1" x14ac:dyDescent="0.15">
      <c r="B496" s="274"/>
      <c r="C496" s="273"/>
      <c r="D496" s="273"/>
      <c r="E496" s="273"/>
      <c r="F496" s="272"/>
    </row>
    <row r="497" spans="2:6" ht="12" customHeight="1" x14ac:dyDescent="0.15">
      <c r="B497" s="274"/>
      <c r="C497" s="273"/>
      <c r="D497" s="273"/>
      <c r="E497" s="273"/>
      <c r="F497" s="272"/>
    </row>
    <row r="498" spans="2:6" ht="12" customHeight="1" x14ac:dyDescent="0.15">
      <c r="B498" s="274"/>
      <c r="C498" s="273"/>
      <c r="D498" s="273"/>
      <c r="E498" s="273"/>
      <c r="F498" s="272"/>
    </row>
    <row r="499" spans="2:6" ht="12" customHeight="1" x14ac:dyDescent="0.15">
      <c r="B499" s="274"/>
      <c r="C499" s="273"/>
      <c r="D499" s="273"/>
      <c r="E499" s="273"/>
      <c r="F499" s="272"/>
    </row>
    <row r="500" spans="2:6" ht="12" customHeight="1" x14ac:dyDescent="0.15">
      <c r="B500" s="274"/>
      <c r="C500" s="273"/>
      <c r="D500" s="273"/>
      <c r="E500" s="273"/>
      <c r="F500" s="272"/>
    </row>
    <row r="501" spans="2:6" ht="12" customHeight="1" x14ac:dyDescent="0.15">
      <c r="B501" s="274"/>
      <c r="C501" s="273"/>
      <c r="D501" s="273"/>
      <c r="E501" s="273"/>
      <c r="F501" s="272"/>
    </row>
    <row r="502" spans="2:6" ht="12" customHeight="1" x14ac:dyDescent="0.15">
      <c r="B502" s="274"/>
      <c r="C502" s="273"/>
      <c r="D502" s="273"/>
      <c r="E502" s="273"/>
      <c r="F502" s="272"/>
    </row>
    <row r="503" spans="2:6" ht="12" customHeight="1" x14ac:dyDescent="0.15">
      <c r="B503" s="274"/>
      <c r="C503" s="273"/>
      <c r="D503" s="273"/>
      <c r="E503" s="273"/>
      <c r="F503" s="272"/>
    </row>
    <row r="504" spans="2:6" ht="12" customHeight="1" x14ac:dyDescent="0.15">
      <c r="B504" s="274"/>
      <c r="C504" s="273"/>
      <c r="D504" s="273"/>
      <c r="E504" s="273"/>
      <c r="F504" s="272"/>
    </row>
    <row r="505" spans="2:6" ht="12" customHeight="1" x14ac:dyDescent="0.15">
      <c r="B505" s="274"/>
      <c r="C505" s="273"/>
      <c r="D505" s="273"/>
      <c r="E505" s="273"/>
      <c r="F505" s="272"/>
    </row>
    <row r="506" spans="2:6" ht="12" customHeight="1" x14ac:dyDescent="0.15">
      <c r="B506" s="274"/>
      <c r="C506" s="273"/>
      <c r="D506" s="273"/>
      <c r="E506" s="273"/>
      <c r="F506" s="272"/>
    </row>
    <row r="507" spans="2:6" ht="12" customHeight="1" x14ac:dyDescent="0.15">
      <c r="B507" s="274"/>
      <c r="C507" s="273"/>
      <c r="D507" s="273"/>
      <c r="E507" s="273"/>
      <c r="F507" s="272"/>
    </row>
    <row r="508" spans="2:6" ht="12" customHeight="1" x14ac:dyDescent="0.15">
      <c r="B508" s="274"/>
      <c r="C508" s="273"/>
      <c r="D508" s="273"/>
      <c r="E508" s="273"/>
      <c r="F508" s="272"/>
    </row>
    <row r="509" spans="2:6" ht="12" customHeight="1" x14ac:dyDescent="0.15">
      <c r="B509" s="274"/>
      <c r="C509" s="273"/>
      <c r="D509" s="273"/>
      <c r="E509" s="273"/>
      <c r="F509" s="272"/>
    </row>
    <row r="510" spans="2:6" ht="12" customHeight="1" x14ac:dyDescent="0.15">
      <c r="B510" s="274"/>
      <c r="C510" s="273"/>
      <c r="D510" s="273"/>
      <c r="E510" s="273"/>
      <c r="F510" s="272"/>
    </row>
    <row r="511" spans="2:6" ht="12" customHeight="1" x14ac:dyDescent="0.15">
      <c r="B511" s="274"/>
      <c r="C511" s="273"/>
      <c r="D511" s="273"/>
      <c r="E511" s="273"/>
      <c r="F511" s="272"/>
    </row>
    <row r="512" spans="2:6" ht="12" customHeight="1" x14ac:dyDescent="0.15">
      <c r="B512" s="274"/>
      <c r="C512" s="273"/>
      <c r="D512" s="273"/>
      <c r="E512" s="273"/>
      <c r="F512" s="272"/>
    </row>
    <row r="513" spans="2:6" ht="12" customHeight="1" x14ac:dyDescent="0.15">
      <c r="B513" s="274"/>
      <c r="C513" s="273"/>
      <c r="D513" s="273"/>
      <c r="E513" s="273"/>
      <c r="F513" s="272"/>
    </row>
    <row r="514" spans="2:6" ht="12" customHeight="1" x14ac:dyDescent="0.15">
      <c r="B514" s="274"/>
      <c r="C514" s="273"/>
      <c r="D514" s="273"/>
      <c r="E514" s="273"/>
      <c r="F514" s="272"/>
    </row>
    <row r="515" spans="2:6" ht="12" customHeight="1" x14ac:dyDescent="0.15">
      <c r="B515" s="274"/>
      <c r="C515" s="273"/>
      <c r="D515" s="273"/>
      <c r="E515" s="273"/>
      <c r="F515" s="272"/>
    </row>
    <row r="516" spans="2:6" ht="12" customHeight="1" x14ac:dyDescent="0.15">
      <c r="B516" s="274"/>
      <c r="C516" s="273"/>
      <c r="D516" s="273"/>
      <c r="E516" s="273"/>
      <c r="F516" s="272"/>
    </row>
    <row r="517" spans="2:6" ht="12" customHeight="1" x14ac:dyDescent="0.15">
      <c r="B517" s="274"/>
      <c r="C517" s="273"/>
      <c r="D517" s="273"/>
      <c r="E517" s="273"/>
      <c r="F517" s="272"/>
    </row>
    <row r="518" spans="2:6" ht="12" customHeight="1" x14ac:dyDescent="0.15">
      <c r="B518" s="274"/>
      <c r="C518" s="273"/>
      <c r="D518" s="273"/>
      <c r="E518" s="273"/>
      <c r="F518" s="272"/>
    </row>
    <row r="519" spans="2:6" ht="12" customHeight="1" x14ac:dyDescent="0.15">
      <c r="B519" s="274"/>
      <c r="C519" s="273"/>
      <c r="D519" s="273"/>
      <c r="E519" s="273"/>
      <c r="F519" s="272"/>
    </row>
    <row r="520" spans="2:6" ht="12" customHeight="1" x14ac:dyDescent="0.15">
      <c r="B520" s="274"/>
      <c r="C520" s="273"/>
      <c r="D520" s="273"/>
      <c r="E520" s="273"/>
      <c r="F520" s="272"/>
    </row>
    <row r="521" spans="2:6" ht="12" customHeight="1" x14ac:dyDescent="0.15">
      <c r="B521" s="274"/>
      <c r="C521" s="273"/>
      <c r="D521" s="273"/>
      <c r="E521" s="273"/>
      <c r="F521" s="272"/>
    </row>
    <row r="522" spans="2:6" ht="12" customHeight="1" x14ac:dyDescent="0.15">
      <c r="B522" s="274"/>
      <c r="C522" s="273"/>
      <c r="D522" s="273"/>
      <c r="E522" s="273"/>
      <c r="F522" s="272"/>
    </row>
    <row r="523" spans="2:6" ht="12" customHeight="1" x14ac:dyDescent="0.15">
      <c r="B523" s="274"/>
      <c r="C523" s="273"/>
      <c r="D523" s="273"/>
      <c r="E523" s="273"/>
      <c r="F523" s="272"/>
    </row>
    <row r="524" spans="2:6" ht="12" customHeight="1" x14ac:dyDescent="0.15">
      <c r="B524" s="274"/>
      <c r="C524" s="273"/>
      <c r="D524" s="273"/>
      <c r="E524" s="273"/>
      <c r="F524" s="272"/>
    </row>
    <row r="525" spans="2:6" ht="12" customHeight="1" x14ac:dyDescent="0.15">
      <c r="B525" s="274"/>
      <c r="C525" s="273"/>
      <c r="D525" s="273"/>
      <c r="E525" s="273"/>
      <c r="F525" s="272"/>
    </row>
    <row r="526" spans="2:6" ht="12" customHeight="1" x14ac:dyDescent="0.15">
      <c r="B526" s="274"/>
      <c r="C526" s="273"/>
      <c r="D526" s="273"/>
      <c r="E526" s="273"/>
      <c r="F526" s="272"/>
    </row>
    <row r="527" spans="2:6" ht="12" customHeight="1" x14ac:dyDescent="0.15">
      <c r="B527" s="274"/>
      <c r="C527" s="273"/>
      <c r="D527" s="273"/>
      <c r="E527" s="273"/>
      <c r="F527" s="272"/>
    </row>
    <row r="528" spans="2:6" ht="12" customHeight="1" x14ac:dyDescent="0.15">
      <c r="B528" s="274"/>
      <c r="C528" s="273"/>
      <c r="D528" s="273"/>
      <c r="E528" s="273"/>
      <c r="F528" s="272"/>
    </row>
    <row r="529" spans="2:6" ht="12" customHeight="1" x14ac:dyDescent="0.15">
      <c r="B529" s="274"/>
      <c r="C529" s="273"/>
      <c r="D529" s="273"/>
      <c r="E529" s="273"/>
      <c r="F529" s="272"/>
    </row>
    <row r="530" spans="2:6" ht="12" customHeight="1" x14ac:dyDescent="0.15">
      <c r="B530" s="274"/>
      <c r="C530" s="273"/>
      <c r="D530" s="273"/>
      <c r="E530" s="273"/>
      <c r="F530" s="272"/>
    </row>
    <row r="531" spans="2:6" ht="12" customHeight="1" x14ac:dyDescent="0.15">
      <c r="B531" s="274"/>
      <c r="C531" s="273"/>
      <c r="D531" s="273"/>
      <c r="E531" s="273"/>
      <c r="F531" s="272"/>
    </row>
    <row r="532" spans="2:6" ht="12" customHeight="1" x14ac:dyDescent="0.15">
      <c r="B532" s="274"/>
      <c r="C532" s="273"/>
      <c r="D532" s="273"/>
      <c r="E532" s="273"/>
      <c r="F532" s="272"/>
    </row>
    <row r="533" spans="2:6" ht="12" customHeight="1" x14ac:dyDescent="0.15">
      <c r="B533" s="274"/>
      <c r="C533" s="273"/>
      <c r="D533" s="273"/>
      <c r="E533" s="273"/>
      <c r="F533" s="272"/>
    </row>
    <row r="534" spans="2:6" ht="12" customHeight="1" x14ac:dyDescent="0.15">
      <c r="B534" s="274"/>
      <c r="C534" s="273"/>
      <c r="D534" s="273"/>
      <c r="E534" s="273"/>
      <c r="F534" s="272"/>
    </row>
    <row r="535" spans="2:6" ht="12" customHeight="1" x14ac:dyDescent="0.15">
      <c r="B535" s="274"/>
      <c r="C535" s="273"/>
      <c r="D535" s="273"/>
      <c r="E535" s="273"/>
      <c r="F535" s="272"/>
    </row>
    <row r="536" spans="2:6" ht="12" customHeight="1" x14ac:dyDescent="0.15">
      <c r="B536" s="274"/>
      <c r="C536" s="273"/>
      <c r="D536" s="273"/>
      <c r="E536" s="273"/>
      <c r="F536" s="272"/>
    </row>
    <row r="537" spans="2:6" ht="12" customHeight="1" x14ac:dyDescent="0.15">
      <c r="B537" s="274"/>
      <c r="C537" s="273"/>
      <c r="D537" s="273"/>
      <c r="E537" s="273"/>
      <c r="F537" s="272"/>
    </row>
    <row r="538" spans="2:6" ht="12" customHeight="1" x14ac:dyDescent="0.15">
      <c r="B538" s="274"/>
      <c r="C538" s="273"/>
      <c r="D538" s="273"/>
      <c r="E538" s="273"/>
      <c r="F538" s="272"/>
    </row>
    <row r="539" spans="2:6" ht="12" customHeight="1" x14ac:dyDescent="0.15">
      <c r="B539" s="274"/>
      <c r="C539" s="273"/>
      <c r="D539" s="273"/>
      <c r="E539" s="273"/>
      <c r="F539" s="272"/>
    </row>
    <row r="540" spans="2:6" ht="12" customHeight="1" x14ac:dyDescent="0.15">
      <c r="B540" s="274"/>
      <c r="C540" s="273"/>
      <c r="D540" s="273"/>
      <c r="E540" s="273"/>
      <c r="F540" s="272"/>
    </row>
    <row r="541" spans="2:6" ht="12" customHeight="1" x14ac:dyDescent="0.15">
      <c r="B541" s="274"/>
      <c r="C541" s="273"/>
      <c r="D541" s="273"/>
      <c r="E541" s="273"/>
      <c r="F541" s="272"/>
    </row>
    <row r="542" spans="2:6" ht="12" customHeight="1" x14ac:dyDescent="0.15">
      <c r="B542" s="274"/>
      <c r="C542" s="273"/>
      <c r="D542" s="273"/>
      <c r="E542" s="273"/>
      <c r="F542" s="272"/>
    </row>
    <row r="543" spans="2:6" ht="12" customHeight="1" x14ac:dyDescent="0.15">
      <c r="B543" s="274"/>
      <c r="C543" s="273"/>
      <c r="D543" s="273"/>
      <c r="E543" s="273"/>
      <c r="F543" s="272"/>
    </row>
    <row r="544" spans="2:6" ht="12" customHeight="1" x14ac:dyDescent="0.15">
      <c r="B544" s="274"/>
      <c r="C544" s="273"/>
      <c r="D544" s="273"/>
      <c r="E544" s="273"/>
      <c r="F544" s="272"/>
    </row>
    <row r="545" spans="2:6" ht="12" customHeight="1" x14ac:dyDescent="0.15">
      <c r="B545" s="274"/>
      <c r="C545" s="273"/>
      <c r="D545" s="273"/>
      <c r="E545" s="273"/>
      <c r="F545" s="272"/>
    </row>
    <row r="546" spans="2:6" ht="12" customHeight="1" x14ac:dyDescent="0.15">
      <c r="B546" s="274"/>
      <c r="C546" s="273"/>
      <c r="D546" s="273"/>
      <c r="E546" s="273"/>
      <c r="F546" s="272"/>
    </row>
    <row r="547" spans="2:6" ht="12" customHeight="1" x14ac:dyDescent="0.15">
      <c r="B547" s="274"/>
      <c r="C547" s="273"/>
      <c r="D547" s="273"/>
      <c r="E547" s="273"/>
      <c r="F547" s="272"/>
    </row>
    <row r="548" spans="2:6" ht="12" customHeight="1" x14ac:dyDescent="0.15">
      <c r="B548" s="274"/>
      <c r="C548" s="273"/>
      <c r="D548" s="273"/>
      <c r="E548" s="273"/>
      <c r="F548" s="272"/>
    </row>
    <row r="549" spans="2:6" ht="12" customHeight="1" x14ac:dyDescent="0.15">
      <c r="B549" s="274"/>
      <c r="C549" s="273"/>
      <c r="D549" s="273"/>
      <c r="E549" s="273"/>
      <c r="F549" s="272"/>
    </row>
    <row r="550" spans="2:6" ht="12" customHeight="1" x14ac:dyDescent="0.15">
      <c r="B550" s="274"/>
      <c r="C550" s="273"/>
      <c r="D550" s="273"/>
      <c r="E550" s="273"/>
      <c r="F550" s="272"/>
    </row>
    <row r="551" spans="2:6" ht="12" customHeight="1" x14ac:dyDescent="0.15">
      <c r="B551" s="274"/>
      <c r="C551" s="273"/>
      <c r="D551" s="273"/>
      <c r="E551" s="273"/>
      <c r="F551" s="272"/>
    </row>
    <row r="552" spans="2:6" ht="12" customHeight="1" x14ac:dyDescent="0.15">
      <c r="B552" s="274"/>
      <c r="C552" s="273"/>
      <c r="D552" s="273"/>
      <c r="E552" s="273"/>
      <c r="F552" s="272"/>
    </row>
    <row r="553" spans="2:6" ht="12" customHeight="1" x14ac:dyDescent="0.15">
      <c r="B553" s="274"/>
      <c r="C553" s="273"/>
      <c r="D553" s="273"/>
      <c r="E553" s="273"/>
      <c r="F553" s="272"/>
    </row>
    <row r="554" spans="2:6" ht="12" customHeight="1" x14ac:dyDescent="0.15">
      <c r="B554" s="274"/>
      <c r="C554" s="273"/>
      <c r="D554" s="273"/>
      <c r="E554" s="273"/>
      <c r="F554" s="272"/>
    </row>
    <row r="555" spans="2:6" ht="12" customHeight="1" x14ac:dyDescent="0.15">
      <c r="B555" s="274"/>
      <c r="C555" s="273"/>
      <c r="D555" s="273"/>
      <c r="E555" s="273"/>
      <c r="F555" s="272"/>
    </row>
    <row r="556" spans="2:6" ht="12" customHeight="1" x14ac:dyDescent="0.15">
      <c r="B556" s="274"/>
      <c r="C556" s="273"/>
      <c r="D556" s="273"/>
      <c r="E556" s="273"/>
      <c r="F556" s="272"/>
    </row>
    <row r="557" spans="2:6" ht="12" customHeight="1" x14ac:dyDescent="0.15">
      <c r="B557" s="274"/>
      <c r="C557" s="273"/>
      <c r="D557" s="273"/>
      <c r="E557" s="273"/>
      <c r="F557" s="272"/>
    </row>
    <row r="558" spans="2:6" ht="12" customHeight="1" x14ac:dyDescent="0.15">
      <c r="B558" s="274"/>
      <c r="C558" s="273"/>
      <c r="D558" s="273"/>
      <c r="E558" s="273"/>
      <c r="F558" s="272"/>
    </row>
    <row r="559" spans="2:6" ht="12" customHeight="1" x14ac:dyDescent="0.15">
      <c r="B559" s="274"/>
      <c r="C559" s="273"/>
      <c r="D559" s="273"/>
      <c r="E559" s="273"/>
      <c r="F559" s="272"/>
    </row>
    <row r="560" spans="2:6" ht="12" customHeight="1" x14ac:dyDescent="0.15">
      <c r="B560" s="274"/>
      <c r="C560" s="273"/>
      <c r="D560" s="273"/>
      <c r="E560" s="273"/>
      <c r="F560" s="272"/>
    </row>
    <row r="561" spans="2:6" ht="12" customHeight="1" x14ac:dyDescent="0.15">
      <c r="B561" s="274"/>
      <c r="C561" s="273"/>
      <c r="D561" s="273"/>
      <c r="E561" s="273"/>
      <c r="F561" s="272"/>
    </row>
    <row r="562" spans="2:6" ht="12" customHeight="1" x14ac:dyDescent="0.15">
      <c r="B562" s="274"/>
      <c r="C562" s="273"/>
      <c r="D562" s="273"/>
      <c r="E562" s="273"/>
      <c r="F562" s="272"/>
    </row>
    <row r="563" spans="2:6" ht="12" customHeight="1" x14ac:dyDescent="0.15">
      <c r="B563" s="274"/>
      <c r="C563" s="273"/>
      <c r="D563" s="273"/>
      <c r="E563" s="273"/>
      <c r="F563" s="272"/>
    </row>
    <row r="564" spans="2:6" ht="12" customHeight="1" x14ac:dyDescent="0.15">
      <c r="B564" s="274"/>
      <c r="C564" s="273"/>
      <c r="D564" s="273"/>
      <c r="E564" s="273"/>
      <c r="F564" s="272"/>
    </row>
    <row r="565" spans="2:6" ht="12" customHeight="1" x14ac:dyDescent="0.15">
      <c r="B565" s="274"/>
      <c r="C565" s="273"/>
      <c r="D565" s="273"/>
      <c r="E565" s="273"/>
      <c r="F565" s="272"/>
    </row>
    <row r="566" spans="2:6" ht="12" customHeight="1" x14ac:dyDescent="0.15">
      <c r="B566" s="274"/>
      <c r="C566" s="273"/>
      <c r="D566" s="273"/>
      <c r="E566" s="273"/>
      <c r="F566" s="272"/>
    </row>
    <row r="567" spans="2:6" ht="12" customHeight="1" x14ac:dyDescent="0.15">
      <c r="B567" s="274"/>
      <c r="C567" s="273"/>
      <c r="D567" s="273"/>
      <c r="E567" s="273"/>
      <c r="F567" s="272"/>
    </row>
    <row r="568" spans="2:6" ht="12" customHeight="1" x14ac:dyDescent="0.15">
      <c r="B568" s="274"/>
      <c r="C568" s="273"/>
      <c r="D568" s="273"/>
      <c r="E568" s="273"/>
      <c r="F568" s="272"/>
    </row>
    <row r="569" spans="2:6" ht="12" customHeight="1" x14ac:dyDescent="0.15">
      <c r="B569" s="274"/>
      <c r="C569" s="273"/>
      <c r="D569" s="273"/>
      <c r="E569" s="273"/>
      <c r="F569" s="272"/>
    </row>
    <row r="570" spans="2:6" ht="12" customHeight="1" x14ac:dyDescent="0.15">
      <c r="B570" s="274"/>
      <c r="C570" s="273"/>
      <c r="D570" s="273"/>
      <c r="E570" s="273"/>
      <c r="F570" s="272"/>
    </row>
    <row r="571" spans="2:6" ht="12" customHeight="1" x14ac:dyDescent="0.15">
      <c r="B571" s="274"/>
      <c r="C571" s="273"/>
      <c r="D571" s="273"/>
      <c r="E571" s="273"/>
      <c r="F571" s="272"/>
    </row>
    <row r="572" spans="2:6" ht="12" customHeight="1" x14ac:dyDescent="0.15">
      <c r="B572" s="274"/>
      <c r="C572" s="273"/>
      <c r="D572" s="273"/>
      <c r="E572" s="273"/>
      <c r="F572" s="272"/>
    </row>
    <row r="573" spans="2:6" ht="12" customHeight="1" x14ac:dyDescent="0.15">
      <c r="B573" s="274"/>
      <c r="C573" s="273"/>
      <c r="D573" s="273"/>
      <c r="E573" s="273"/>
      <c r="F573" s="272"/>
    </row>
    <row r="574" spans="2:6" ht="12" customHeight="1" x14ac:dyDescent="0.15">
      <c r="B574" s="274"/>
      <c r="C574" s="273"/>
      <c r="D574" s="273"/>
      <c r="E574" s="273"/>
      <c r="F574" s="272"/>
    </row>
    <row r="575" spans="2:6" ht="12" customHeight="1" x14ac:dyDescent="0.15">
      <c r="B575" s="274"/>
      <c r="C575" s="273"/>
      <c r="D575" s="273"/>
      <c r="E575" s="273"/>
      <c r="F575" s="272"/>
    </row>
    <row r="576" spans="2:6" ht="12" customHeight="1" x14ac:dyDescent="0.15">
      <c r="B576" s="274"/>
      <c r="C576" s="273"/>
      <c r="D576" s="273"/>
      <c r="E576" s="273"/>
      <c r="F576" s="272"/>
    </row>
    <row r="577" spans="2:6" ht="12" customHeight="1" x14ac:dyDescent="0.15">
      <c r="B577" s="274"/>
      <c r="C577" s="273"/>
      <c r="D577" s="273"/>
      <c r="E577" s="273"/>
      <c r="F577" s="272"/>
    </row>
    <row r="578" spans="2:6" ht="12" customHeight="1" x14ac:dyDescent="0.15">
      <c r="B578" s="274"/>
      <c r="C578" s="273"/>
      <c r="D578" s="273"/>
      <c r="E578" s="273"/>
      <c r="F578" s="272"/>
    </row>
    <row r="579" spans="2:6" ht="12" customHeight="1" x14ac:dyDescent="0.15">
      <c r="B579" s="274"/>
      <c r="C579" s="273"/>
      <c r="D579" s="273"/>
      <c r="E579" s="273"/>
      <c r="F579" s="272"/>
    </row>
    <row r="580" spans="2:6" ht="12" customHeight="1" x14ac:dyDescent="0.15">
      <c r="B580" s="274"/>
      <c r="C580" s="273"/>
      <c r="D580" s="273"/>
      <c r="E580" s="273"/>
      <c r="F580" s="272"/>
    </row>
    <row r="581" spans="2:6" ht="12" customHeight="1" x14ac:dyDescent="0.15">
      <c r="B581" s="274"/>
      <c r="C581" s="273"/>
      <c r="D581" s="273"/>
      <c r="E581" s="273"/>
      <c r="F581" s="272"/>
    </row>
    <row r="582" spans="2:6" ht="12" customHeight="1" x14ac:dyDescent="0.15">
      <c r="B582" s="274"/>
      <c r="C582" s="273"/>
      <c r="D582" s="273"/>
      <c r="E582" s="273"/>
      <c r="F582" s="272"/>
    </row>
    <row r="583" spans="2:6" ht="12" customHeight="1" x14ac:dyDescent="0.15">
      <c r="B583" s="274"/>
      <c r="C583" s="273"/>
      <c r="D583" s="273"/>
      <c r="E583" s="273"/>
      <c r="F583" s="272"/>
    </row>
    <row r="584" spans="2:6" ht="12" customHeight="1" x14ac:dyDescent="0.15">
      <c r="B584" s="274"/>
      <c r="C584" s="273"/>
      <c r="D584" s="273"/>
      <c r="E584" s="273"/>
      <c r="F584" s="272"/>
    </row>
    <row r="585" spans="2:6" ht="12" customHeight="1" x14ac:dyDescent="0.15">
      <c r="B585" s="274"/>
      <c r="C585" s="273"/>
      <c r="D585" s="273"/>
      <c r="E585" s="273"/>
      <c r="F585" s="272"/>
    </row>
    <row r="586" spans="2:6" ht="12" customHeight="1" x14ac:dyDescent="0.15">
      <c r="B586" s="274"/>
      <c r="C586" s="273"/>
      <c r="D586" s="273"/>
      <c r="E586" s="273"/>
      <c r="F586" s="272"/>
    </row>
    <row r="587" spans="2:6" ht="12" customHeight="1" x14ac:dyDescent="0.15">
      <c r="B587" s="274"/>
      <c r="C587" s="273"/>
      <c r="D587" s="273"/>
      <c r="E587" s="273"/>
      <c r="F587" s="272"/>
    </row>
    <row r="588" spans="2:6" ht="12" customHeight="1" x14ac:dyDescent="0.15">
      <c r="B588" s="274"/>
      <c r="C588" s="273"/>
      <c r="D588" s="273"/>
      <c r="E588" s="273"/>
      <c r="F588" s="272"/>
    </row>
    <row r="589" spans="2:6" ht="12" customHeight="1" x14ac:dyDescent="0.15">
      <c r="B589" s="274"/>
      <c r="C589" s="273"/>
      <c r="D589" s="273"/>
      <c r="E589" s="273"/>
      <c r="F589" s="272"/>
    </row>
    <row r="590" spans="2:6" ht="12" customHeight="1" x14ac:dyDescent="0.15">
      <c r="B590" s="274"/>
      <c r="C590" s="273"/>
      <c r="D590" s="273"/>
      <c r="E590" s="273"/>
      <c r="F590" s="272"/>
    </row>
    <row r="591" spans="2:6" ht="12" customHeight="1" x14ac:dyDescent="0.15">
      <c r="B591" s="274"/>
      <c r="C591" s="273"/>
      <c r="D591" s="273"/>
      <c r="E591" s="273"/>
      <c r="F591" s="272"/>
    </row>
    <row r="592" spans="2:6" ht="12" customHeight="1" x14ac:dyDescent="0.15">
      <c r="B592" s="274"/>
      <c r="C592" s="273"/>
      <c r="D592" s="273"/>
      <c r="E592" s="273"/>
      <c r="F592" s="272"/>
    </row>
    <row r="593" spans="2:6" ht="12" customHeight="1" x14ac:dyDescent="0.15">
      <c r="B593" s="274"/>
      <c r="C593" s="273"/>
      <c r="D593" s="273"/>
      <c r="E593" s="273"/>
      <c r="F593" s="272"/>
    </row>
    <row r="594" spans="2:6" ht="12" customHeight="1" x14ac:dyDescent="0.15">
      <c r="B594" s="274"/>
      <c r="C594" s="273"/>
      <c r="D594" s="273"/>
      <c r="E594" s="273"/>
      <c r="F594" s="272"/>
    </row>
    <row r="595" spans="2:6" ht="12" customHeight="1" x14ac:dyDescent="0.15">
      <c r="B595" s="274"/>
      <c r="C595" s="273"/>
      <c r="D595" s="273"/>
      <c r="E595" s="273"/>
      <c r="F595" s="272"/>
    </row>
    <row r="596" spans="2:6" ht="12" customHeight="1" x14ac:dyDescent="0.15">
      <c r="B596" s="274"/>
      <c r="C596" s="273"/>
      <c r="D596" s="273"/>
      <c r="E596" s="273"/>
      <c r="F596" s="272"/>
    </row>
    <row r="597" spans="2:6" ht="12" customHeight="1" x14ac:dyDescent="0.15">
      <c r="B597" s="274"/>
      <c r="C597" s="273"/>
      <c r="D597" s="273"/>
      <c r="E597" s="273"/>
      <c r="F597" s="272"/>
    </row>
    <row r="598" spans="2:6" ht="12" customHeight="1" x14ac:dyDescent="0.15">
      <c r="B598" s="274"/>
      <c r="C598" s="273"/>
      <c r="D598" s="273"/>
      <c r="E598" s="273"/>
      <c r="F598" s="272"/>
    </row>
    <row r="599" spans="2:6" ht="12" customHeight="1" x14ac:dyDescent="0.15">
      <c r="B599" s="274"/>
      <c r="C599" s="273"/>
      <c r="D599" s="273"/>
      <c r="E599" s="273"/>
      <c r="F599" s="272"/>
    </row>
    <row r="600" spans="2:6" ht="12" customHeight="1" x14ac:dyDescent="0.15">
      <c r="B600" s="274"/>
      <c r="C600" s="273"/>
      <c r="D600" s="273"/>
      <c r="E600" s="273"/>
      <c r="F600" s="272"/>
    </row>
    <row r="601" spans="2:6" ht="12" customHeight="1" x14ac:dyDescent="0.15">
      <c r="B601" s="274"/>
      <c r="C601" s="273"/>
      <c r="D601" s="273"/>
      <c r="E601" s="273"/>
      <c r="F601" s="272"/>
    </row>
    <row r="602" spans="2:6" ht="12" customHeight="1" x14ac:dyDescent="0.15">
      <c r="B602" s="274"/>
      <c r="C602" s="273"/>
      <c r="D602" s="273"/>
      <c r="E602" s="273"/>
      <c r="F602" s="272"/>
    </row>
    <row r="603" spans="2:6" ht="12" customHeight="1" x14ac:dyDescent="0.15">
      <c r="B603" s="274"/>
      <c r="C603" s="273"/>
      <c r="D603" s="273"/>
      <c r="E603" s="273"/>
      <c r="F603" s="272"/>
    </row>
    <row r="604" spans="2:6" ht="12" customHeight="1" x14ac:dyDescent="0.15">
      <c r="B604" s="274"/>
      <c r="C604" s="273"/>
      <c r="D604" s="273"/>
      <c r="E604" s="273"/>
      <c r="F604" s="272"/>
    </row>
    <row r="605" spans="2:6" ht="12" customHeight="1" x14ac:dyDescent="0.15">
      <c r="B605" s="274"/>
      <c r="C605" s="273"/>
      <c r="D605" s="273"/>
      <c r="E605" s="273"/>
      <c r="F605" s="272"/>
    </row>
    <row r="606" spans="2:6" ht="12" customHeight="1" x14ac:dyDescent="0.15">
      <c r="B606" s="274"/>
      <c r="C606" s="273"/>
      <c r="D606" s="273"/>
      <c r="E606" s="273"/>
      <c r="F606" s="272"/>
    </row>
    <row r="607" spans="2:6" ht="12" customHeight="1" x14ac:dyDescent="0.15">
      <c r="B607" s="274"/>
      <c r="C607" s="273"/>
      <c r="D607" s="273"/>
      <c r="E607" s="273"/>
      <c r="F607" s="272"/>
    </row>
    <row r="608" spans="2:6" ht="12" customHeight="1" x14ac:dyDescent="0.15">
      <c r="B608" s="274"/>
      <c r="C608" s="273"/>
      <c r="D608" s="273"/>
      <c r="E608" s="273"/>
      <c r="F608" s="272"/>
    </row>
    <row r="609" spans="2:6" ht="12" customHeight="1" x14ac:dyDescent="0.15">
      <c r="B609" s="274"/>
      <c r="C609" s="273"/>
      <c r="D609" s="273"/>
      <c r="E609" s="273"/>
      <c r="F609" s="272"/>
    </row>
    <row r="610" spans="2:6" ht="12" customHeight="1" x14ac:dyDescent="0.15">
      <c r="B610" s="274"/>
      <c r="C610" s="273"/>
      <c r="D610" s="273"/>
      <c r="E610" s="273"/>
      <c r="F610" s="272"/>
    </row>
    <row r="611" spans="2:6" ht="12" customHeight="1" x14ac:dyDescent="0.15">
      <c r="B611" s="274"/>
      <c r="C611" s="273"/>
      <c r="D611" s="273"/>
      <c r="E611" s="273"/>
      <c r="F611" s="272"/>
    </row>
    <row r="612" spans="2:6" ht="12" customHeight="1" x14ac:dyDescent="0.15">
      <c r="B612" s="274"/>
      <c r="C612" s="273"/>
      <c r="D612" s="273"/>
      <c r="E612" s="273"/>
      <c r="F612" s="272"/>
    </row>
    <row r="613" spans="2:6" ht="12" customHeight="1" x14ac:dyDescent="0.15">
      <c r="B613" s="274"/>
      <c r="C613" s="273"/>
      <c r="D613" s="273"/>
      <c r="E613" s="273"/>
      <c r="F613" s="272"/>
    </row>
    <row r="614" spans="2:6" ht="12" customHeight="1" x14ac:dyDescent="0.15">
      <c r="B614" s="274"/>
      <c r="C614" s="273"/>
      <c r="D614" s="273"/>
      <c r="E614" s="273"/>
      <c r="F614" s="272"/>
    </row>
    <row r="615" spans="2:6" ht="12" customHeight="1" x14ac:dyDescent="0.15">
      <c r="B615" s="274"/>
      <c r="C615" s="273"/>
      <c r="D615" s="273"/>
      <c r="E615" s="273"/>
      <c r="F615" s="272"/>
    </row>
    <row r="616" spans="2:6" ht="12" customHeight="1" x14ac:dyDescent="0.15">
      <c r="B616" s="274"/>
      <c r="C616" s="273"/>
      <c r="D616" s="273"/>
      <c r="E616" s="273"/>
      <c r="F616" s="272"/>
    </row>
    <row r="617" spans="2:6" ht="12" customHeight="1" x14ac:dyDescent="0.15">
      <c r="B617" s="274"/>
      <c r="C617" s="273"/>
      <c r="D617" s="273"/>
      <c r="E617" s="273"/>
      <c r="F617" s="272"/>
    </row>
    <row r="618" spans="2:6" ht="12" customHeight="1" x14ac:dyDescent="0.15">
      <c r="B618" s="274"/>
      <c r="C618" s="273"/>
      <c r="D618" s="273"/>
      <c r="E618" s="273"/>
      <c r="F618" s="272"/>
    </row>
    <row r="619" spans="2:6" ht="12" customHeight="1" x14ac:dyDescent="0.15">
      <c r="B619" s="274"/>
      <c r="C619" s="273"/>
      <c r="D619" s="273"/>
      <c r="E619" s="273"/>
      <c r="F619" s="272"/>
    </row>
    <row r="620" spans="2:6" ht="12" customHeight="1" x14ac:dyDescent="0.15">
      <c r="B620" s="274"/>
      <c r="C620" s="273"/>
      <c r="D620" s="273"/>
      <c r="E620" s="273"/>
      <c r="F620" s="272"/>
    </row>
    <row r="621" spans="2:6" ht="12" customHeight="1" x14ac:dyDescent="0.15">
      <c r="B621" s="274"/>
      <c r="C621" s="273"/>
      <c r="D621" s="273"/>
      <c r="E621" s="273"/>
      <c r="F621" s="272"/>
    </row>
    <row r="622" spans="2:6" ht="12" customHeight="1" x14ac:dyDescent="0.15">
      <c r="B622" s="274"/>
      <c r="C622" s="273"/>
      <c r="D622" s="273"/>
      <c r="E622" s="273"/>
      <c r="F622" s="272"/>
    </row>
    <row r="623" spans="2:6" ht="12" customHeight="1" x14ac:dyDescent="0.15">
      <c r="B623" s="274"/>
      <c r="C623" s="273"/>
      <c r="D623" s="273"/>
      <c r="E623" s="273"/>
      <c r="F623" s="272"/>
    </row>
    <row r="624" spans="2:6" ht="12" customHeight="1" x14ac:dyDescent="0.15">
      <c r="B624" s="274"/>
      <c r="C624" s="273"/>
      <c r="D624" s="273"/>
      <c r="E624" s="273"/>
      <c r="F624" s="272"/>
    </row>
    <row r="625" spans="2:6" ht="12" customHeight="1" x14ac:dyDescent="0.15">
      <c r="B625" s="274"/>
      <c r="C625" s="273"/>
      <c r="D625" s="273"/>
      <c r="E625" s="273"/>
      <c r="F625" s="272"/>
    </row>
    <row r="626" spans="2:6" ht="12" customHeight="1" x14ac:dyDescent="0.15">
      <c r="B626" s="274"/>
      <c r="C626" s="273"/>
      <c r="D626" s="273"/>
      <c r="E626" s="273"/>
      <c r="F626" s="272"/>
    </row>
    <row r="627" spans="2:6" ht="12" customHeight="1" x14ac:dyDescent="0.15">
      <c r="B627" s="274"/>
      <c r="C627" s="273"/>
      <c r="D627" s="273"/>
      <c r="E627" s="273"/>
      <c r="F627" s="272"/>
    </row>
    <row r="628" spans="2:6" ht="12" customHeight="1" x14ac:dyDescent="0.15">
      <c r="B628" s="274"/>
      <c r="C628" s="273"/>
      <c r="D628" s="273"/>
      <c r="E628" s="273"/>
      <c r="F628" s="272"/>
    </row>
    <row r="629" spans="2:6" ht="12" customHeight="1" x14ac:dyDescent="0.15">
      <c r="B629" s="274"/>
      <c r="C629" s="273"/>
      <c r="D629" s="273"/>
      <c r="E629" s="273"/>
      <c r="F629" s="272"/>
    </row>
    <row r="630" spans="2:6" ht="12" customHeight="1" x14ac:dyDescent="0.15">
      <c r="B630" s="274"/>
      <c r="C630" s="273"/>
      <c r="D630" s="273"/>
      <c r="E630" s="273"/>
      <c r="F630" s="272"/>
    </row>
    <row r="631" spans="2:6" ht="12" customHeight="1" x14ac:dyDescent="0.15">
      <c r="B631" s="274"/>
      <c r="C631" s="273"/>
      <c r="D631" s="273"/>
      <c r="E631" s="273"/>
      <c r="F631" s="272"/>
    </row>
    <row r="632" spans="2:6" ht="12" customHeight="1" x14ac:dyDescent="0.15">
      <c r="B632" s="274"/>
      <c r="C632" s="273"/>
      <c r="D632" s="273"/>
      <c r="E632" s="273"/>
      <c r="F632" s="272"/>
    </row>
    <row r="633" spans="2:6" ht="12" customHeight="1" x14ac:dyDescent="0.15">
      <c r="B633" s="274"/>
      <c r="C633" s="273"/>
      <c r="D633" s="273"/>
      <c r="E633" s="273"/>
      <c r="F633" s="272"/>
    </row>
    <row r="634" spans="2:6" ht="12" customHeight="1" x14ac:dyDescent="0.15">
      <c r="B634" s="274"/>
      <c r="C634" s="273"/>
      <c r="D634" s="273"/>
      <c r="E634" s="273"/>
      <c r="F634" s="272"/>
    </row>
    <row r="635" spans="2:6" ht="12" customHeight="1" x14ac:dyDescent="0.15">
      <c r="B635" s="274"/>
      <c r="C635" s="273"/>
      <c r="D635" s="273"/>
      <c r="E635" s="273"/>
      <c r="F635" s="272"/>
    </row>
    <row r="636" spans="2:6" ht="12" customHeight="1" x14ac:dyDescent="0.15">
      <c r="B636" s="274"/>
      <c r="C636" s="273"/>
      <c r="D636" s="273"/>
      <c r="E636" s="273"/>
      <c r="F636" s="272"/>
    </row>
    <row r="637" spans="2:6" ht="12" customHeight="1" x14ac:dyDescent="0.15">
      <c r="B637" s="274"/>
      <c r="C637" s="273"/>
      <c r="D637" s="273"/>
      <c r="E637" s="273"/>
      <c r="F637" s="272"/>
    </row>
    <row r="638" spans="2:6" ht="12" customHeight="1" x14ac:dyDescent="0.15">
      <c r="B638" s="274"/>
      <c r="C638" s="273"/>
      <c r="D638" s="273"/>
      <c r="E638" s="273"/>
      <c r="F638" s="272"/>
    </row>
    <row r="639" spans="2:6" ht="12" customHeight="1" x14ac:dyDescent="0.15">
      <c r="B639" s="274"/>
      <c r="C639" s="273"/>
      <c r="D639" s="273"/>
      <c r="E639" s="273"/>
      <c r="F639" s="272"/>
    </row>
    <row r="640" spans="2:6" ht="12" customHeight="1" x14ac:dyDescent="0.15">
      <c r="B640" s="274"/>
      <c r="C640" s="273"/>
      <c r="D640" s="273"/>
      <c r="E640" s="273"/>
      <c r="F640" s="272"/>
    </row>
    <row r="641" spans="2:6" ht="12" customHeight="1" x14ac:dyDescent="0.15">
      <c r="B641" s="274"/>
      <c r="C641" s="273"/>
      <c r="D641" s="273"/>
      <c r="E641" s="273"/>
      <c r="F641" s="272"/>
    </row>
    <row r="642" spans="2:6" ht="12" customHeight="1" x14ac:dyDescent="0.15">
      <c r="B642" s="274"/>
      <c r="C642" s="273"/>
      <c r="D642" s="273"/>
      <c r="E642" s="273"/>
      <c r="F642" s="272"/>
    </row>
    <row r="643" spans="2:6" ht="12" customHeight="1" x14ac:dyDescent="0.15">
      <c r="B643" s="274"/>
      <c r="C643" s="273"/>
      <c r="D643" s="273"/>
      <c r="E643" s="273"/>
      <c r="F643" s="272"/>
    </row>
    <row r="644" spans="2:6" ht="12" customHeight="1" x14ac:dyDescent="0.15">
      <c r="B644" s="274"/>
      <c r="C644" s="273"/>
      <c r="D644" s="273"/>
      <c r="E644" s="273"/>
      <c r="F644" s="272"/>
    </row>
    <row r="645" spans="2:6" ht="12" customHeight="1" x14ac:dyDescent="0.15">
      <c r="B645" s="274"/>
      <c r="C645" s="273"/>
      <c r="D645" s="273"/>
      <c r="E645" s="273"/>
      <c r="F645" s="272"/>
    </row>
    <row r="646" spans="2:6" ht="12" customHeight="1" x14ac:dyDescent="0.15">
      <c r="B646" s="274"/>
      <c r="C646" s="273"/>
      <c r="D646" s="273"/>
      <c r="E646" s="273"/>
      <c r="F646" s="272"/>
    </row>
    <row r="647" spans="2:6" ht="12" customHeight="1" x14ac:dyDescent="0.15">
      <c r="B647" s="274"/>
      <c r="C647" s="273"/>
      <c r="D647" s="273"/>
      <c r="E647" s="273"/>
      <c r="F647" s="272"/>
    </row>
    <row r="648" spans="2:6" ht="12" customHeight="1" x14ac:dyDescent="0.15">
      <c r="B648" s="274"/>
      <c r="C648" s="273"/>
      <c r="D648" s="273"/>
      <c r="E648" s="273"/>
      <c r="F648" s="272"/>
    </row>
    <row r="649" spans="2:6" ht="12" customHeight="1" x14ac:dyDescent="0.15">
      <c r="B649" s="274"/>
      <c r="C649" s="273"/>
      <c r="D649" s="273"/>
      <c r="E649" s="273"/>
      <c r="F649" s="272"/>
    </row>
    <row r="650" spans="2:6" ht="12" customHeight="1" x14ac:dyDescent="0.15">
      <c r="B650" s="274"/>
      <c r="C650" s="273"/>
      <c r="D650" s="273"/>
      <c r="E650" s="273"/>
      <c r="F650" s="272"/>
    </row>
    <row r="651" spans="2:6" ht="12" customHeight="1" x14ac:dyDescent="0.15">
      <c r="B651" s="274"/>
      <c r="C651" s="273"/>
      <c r="D651" s="273"/>
      <c r="E651" s="273"/>
      <c r="F651" s="272"/>
    </row>
    <row r="652" spans="2:6" ht="12" customHeight="1" x14ac:dyDescent="0.15">
      <c r="B652" s="274"/>
      <c r="C652" s="273"/>
      <c r="D652" s="273"/>
      <c r="E652" s="273"/>
      <c r="F652" s="272"/>
    </row>
    <row r="653" spans="2:6" ht="12" customHeight="1" x14ac:dyDescent="0.15">
      <c r="B653" s="274"/>
      <c r="C653" s="273"/>
      <c r="D653" s="273"/>
      <c r="E653" s="273"/>
      <c r="F653" s="272"/>
    </row>
    <row r="654" spans="2:6" ht="12" customHeight="1" x14ac:dyDescent="0.15">
      <c r="B654" s="274"/>
      <c r="C654" s="273"/>
      <c r="D654" s="273"/>
      <c r="E654" s="273"/>
      <c r="F654" s="272"/>
    </row>
    <row r="655" spans="2:6" ht="12" customHeight="1" x14ac:dyDescent="0.15">
      <c r="B655" s="274"/>
      <c r="C655" s="273"/>
      <c r="D655" s="273"/>
      <c r="E655" s="273"/>
      <c r="F655" s="272"/>
    </row>
    <row r="656" spans="2:6" ht="12" customHeight="1" x14ac:dyDescent="0.15">
      <c r="B656" s="274"/>
      <c r="C656" s="273"/>
      <c r="D656" s="273"/>
      <c r="E656" s="273"/>
      <c r="F656" s="272"/>
    </row>
    <row r="657" spans="2:6" ht="12" customHeight="1" x14ac:dyDescent="0.15">
      <c r="B657" s="274"/>
      <c r="C657" s="273"/>
      <c r="D657" s="273"/>
      <c r="E657" s="273"/>
      <c r="F657" s="272"/>
    </row>
    <row r="658" spans="2:6" ht="12" customHeight="1" x14ac:dyDescent="0.15">
      <c r="B658" s="274"/>
      <c r="C658" s="273"/>
      <c r="D658" s="273"/>
      <c r="E658" s="273"/>
      <c r="F658" s="272"/>
    </row>
    <row r="659" spans="2:6" ht="12" customHeight="1" x14ac:dyDescent="0.15">
      <c r="B659" s="274"/>
      <c r="C659" s="273"/>
      <c r="D659" s="273"/>
      <c r="E659" s="273"/>
      <c r="F659" s="272"/>
    </row>
    <row r="660" spans="2:6" ht="12" customHeight="1" x14ac:dyDescent="0.15">
      <c r="B660" s="274"/>
      <c r="C660" s="273"/>
      <c r="D660" s="273"/>
      <c r="E660" s="273"/>
      <c r="F660" s="272"/>
    </row>
    <row r="661" spans="2:6" ht="12" customHeight="1" x14ac:dyDescent="0.15">
      <c r="B661" s="274"/>
      <c r="C661" s="273"/>
      <c r="D661" s="273"/>
      <c r="E661" s="273"/>
      <c r="F661" s="272"/>
    </row>
    <row r="662" spans="2:6" ht="12" customHeight="1" x14ac:dyDescent="0.15">
      <c r="B662" s="274"/>
      <c r="C662" s="273"/>
      <c r="D662" s="273"/>
      <c r="E662" s="273"/>
      <c r="F662" s="272"/>
    </row>
    <row r="663" spans="2:6" ht="12" customHeight="1" x14ac:dyDescent="0.15">
      <c r="B663" s="274"/>
      <c r="C663" s="273"/>
      <c r="D663" s="273"/>
      <c r="E663" s="273"/>
      <c r="F663" s="272"/>
    </row>
    <row r="664" spans="2:6" ht="12" customHeight="1" x14ac:dyDescent="0.15">
      <c r="B664" s="274"/>
      <c r="C664" s="273"/>
      <c r="D664" s="273"/>
      <c r="E664" s="273"/>
      <c r="F664" s="272"/>
    </row>
    <row r="665" spans="2:6" ht="12" customHeight="1" x14ac:dyDescent="0.15">
      <c r="B665" s="274"/>
      <c r="C665" s="273"/>
      <c r="D665" s="273"/>
      <c r="E665" s="273"/>
      <c r="F665" s="272"/>
    </row>
    <row r="666" spans="2:6" ht="12" customHeight="1" x14ac:dyDescent="0.15">
      <c r="B666" s="274"/>
      <c r="C666" s="273"/>
      <c r="D666" s="273"/>
      <c r="E666" s="273"/>
      <c r="F666" s="272"/>
    </row>
    <row r="667" spans="2:6" ht="12" customHeight="1" x14ac:dyDescent="0.15">
      <c r="B667" s="274"/>
      <c r="C667" s="273"/>
      <c r="D667" s="273"/>
      <c r="E667" s="273"/>
      <c r="F667" s="272"/>
    </row>
    <row r="668" spans="2:6" ht="12" customHeight="1" x14ac:dyDescent="0.15">
      <c r="B668" s="274"/>
      <c r="C668" s="273"/>
      <c r="D668" s="273"/>
      <c r="E668" s="273"/>
      <c r="F668" s="272"/>
    </row>
    <row r="669" spans="2:6" ht="12" customHeight="1" x14ac:dyDescent="0.15">
      <c r="B669" s="274"/>
      <c r="C669" s="273"/>
      <c r="D669" s="273"/>
      <c r="E669" s="273"/>
      <c r="F669" s="272"/>
    </row>
    <row r="670" spans="2:6" ht="12" customHeight="1" x14ac:dyDescent="0.15">
      <c r="B670" s="274"/>
      <c r="C670" s="273"/>
      <c r="D670" s="273"/>
      <c r="E670" s="273"/>
      <c r="F670" s="272"/>
    </row>
    <row r="671" spans="2:6" ht="12" customHeight="1" x14ac:dyDescent="0.15">
      <c r="B671" s="274"/>
      <c r="C671" s="273"/>
      <c r="D671" s="273"/>
      <c r="E671" s="273"/>
      <c r="F671" s="272"/>
    </row>
    <row r="672" spans="2:6" ht="12" customHeight="1" x14ac:dyDescent="0.15">
      <c r="B672" s="274"/>
      <c r="C672" s="273"/>
      <c r="D672" s="273"/>
      <c r="E672" s="273"/>
      <c r="F672" s="272"/>
    </row>
    <row r="673" spans="2:6" ht="12" customHeight="1" x14ac:dyDescent="0.15">
      <c r="B673" s="274"/>
      <c r="C673" s="273"/>
      <c r="D673" s="273"/>
      <c r="E673" s="273"/>
      <c r="F673" s="272"/>
    </row>
    <row r="674" spans="2:6" ht="12" customHeight="1" x14ac:dyDescent="0.15">
      <c r="B674" s="274"/>
      <c r="C674" s="273"/>
      <c r="D674" s="273"/>
      <c r="E674" s="273"/>
      <c r="F674" s="272"/>
    </row>
    <row r="675" spans="2:6" ht="12" customHeight="1" x14ac:dyDescent="0.15">
      <c r="B675" s="274"/>
      <c r="C675" s="273"/>
      <c r="D675" s="273"/>
      <c r="E675" s="273"/>
      <c r="F675" s="272"/>
    </row>
    <row r="676" spans="2:6" ht="12" customHeight="1" x14ac:dyDescent="0.15">
      <c r="B676" s="274"/>
      <c r="C676" s="273"/>
      <c r="D676" s="273"/>
      <c r="E676" s="273"/>
      <c r="F676" s="272"/>
    </row>
    <row r="677" spans="2:6" ht="12" customHeight="1" x14ac:dyDescent="0.15">
      <c r="B677" s="274"/>
      <c r="C677" s="273"/>
      <c r="D677" s="273"/>
      <c r="E677" s="273"/>
      <c r="F677" s="272"/>
    </row>
    <row r="678" spans="2:6" ht="12" customHeight="1" x14ac:dyDescent="0.15">
      <c r="B678" s="274"/>
      <c r="C678" s="273"/>
      <c r="D678" s="273"/>
      <c r="E678" s="273"/>
      <c r="F678" s="272"/>
    </row>
    <row r="679" spans="2:6" ht="12" customHeight="1" x14ac:dyDescent="0.15">
      <c r="B679" s="274"/>
      <c r="C679" s="273"/>
      <c r="D679" s="273"/>
      <c r="E679" s="273"/>
      <c r="F679" s="272"/>
    </row>
    <row r="680" spans="2:6" ht="12" customHeight="1" x14ac:dyDescent="0.15">
      <c r="B680" s="274"/>
      <c r="C680" s="273"/>
      <c r="D680" s="273"/>
      <c r="E680" s="273"/>
      <c r="F680" s="272"/>
    </row>
    <row r="681" spans="2:6" ht="12" customHeight="1" x14ac:dyDescent="0.15">
      <c r="B681" s="274"/>
      <c r="C681" s="273"/>
      <c r="D681" s="273"/>
      <c r="E681" s="273"/>
      <c r="F681" s="272"/>
    </row>
    <row r="682" spans="2:6" ht="12" customHeight="1" x14ac:dyDescent="0.15">
      <c r="B682" s="274"/>
      <c r="C682" s="273"/>
      <c r="D682" s="273"/>
      <c r="E682" s="273"/>
      <c r="F682" s="272"/>
    </row>
    <row r="683" spans="2:6" ht="12" customHeight="1" x14ac:dyDescent="0.15">
      <c r="B683" s="274"/>
      <c r="C683" s="273"/>
      <c r="D683" s="273"/>
      <c r="E683" s="273"/>
      <c r="F683" s="272"/>
    </row>
    <row r="684" spans="2:6" ht="12" customHeight="1" x14ac:dyDescent="0.15">
      <c r="B684" s="274"/>
      <c r="C684" s="273"/>
      <c r="D684" s="273"/>
      <c r="E684" s="273"/>
      <c r="F684" s="272"/>
    </row>
    <row r="685" spans="2:6" ht="12" customHeight="1" x14ac:dyDescent="0.15">
      <c r="B685" s="274"/>
      <c r="C685" s="273"/>
      <c r="D685" s="273"/>
      <c r="E685" s="273"/>
      <c r="F685" s="272"/>
    </row>
    <row r="686" spans="2:6" ht="12" customHeight="1" x14ac:dyDescent="0.15">
      <c r="B686" s="274"/>
      <c r="C686" s="273"/>
      <c r="D686" s="273"/>
      <c r="E686" s="273"/>
      <c r="F686" s="272"/>
    </row>
    <row r="687" spans="2:6" ht="12" customHeight="1" x14ac:dyDescent="0.15">
      <c r="B687" s="274"/>
      <c r="C687" s="273"/>
      <c r="D687" s="273"/>
      <c r="E687" s="273"/>
      <c r="F687" s="272"/>
    </row>
    <row r="688" spans="2:6" ht="12" customHeight="1" x14ac:dyDescent="0.15">
      <c r="B688" s="274"/>
      <c r="C688" s="273"/>
      <c r="D688" s="273"/>
      <c r="E688" s="273"/>
      <c r="F688" s="272"/>
    </row>
    <row r="689" spans="2:6" ht="12" customHeight="1" x14ac:dyDescent="0.15">
      <c r="B689" s="274"/>
      <c r="C689" s="273"/>
      <c r="D689" s="273"/>
      <c r="E689" s="273"/>
      <c r="F689" s="272"/>
    </row>
    <row r="690" spans="2:6" ht="12" customHeight="1" x14ac:dyDescent="0.15">
      <c r="B690" s="274"/>
      <c r="C690" s="273"/>
      <c r="D690" s="273"/>
      <c r="E690" s="273"/>
      <c r="F690" s="272"/>
    </row>
    <row r="691" spans="2:6" ht="12" customHeight="1" x14ac:dyDescent="0.15">
      <c r="B691" s="274"/>
      <c r="C691" s="273"/>
      <c r="D691" s="273"/>
      <c r="E691" s="273"/>
      <c r="F691" s="272"/>
    </row>
    <row r="692" spans="2:6" ht="12" customHeight="1" x14ac:dyDescent="0.15">
      <c r="B692" s="274"/>
      <c r="C692" s="273"/>
      <c r="D692" s="273"/>
      <c r="E692" s="273"/>
      <c r="F692" s="272"/>
    </row>
    <row r="693" spans="2:6" ht="12" customHeight="1" x14ac:dyDescent="0.15">
      <c r="B693" s="274"/>
      <c r="C693" s="273"/>
      <c r="D693" s="273"/>
      <c r="E693" s="273"/>
      <c r="F693" s="272"/>
    </row>
    <row r="694" spans="2:6" ht="12" customHeight="1" x14ac:dyDescent="0.15">
      <c r="B694" s="274"/>
      <c r="C694" s="273"/>
      <c r="D694" s="273"/>
      <c r="E694" s="273"/>
      <c r="F694" s="272"/>
    </row>
    <row r="695" spans="2:6" ht="12" customHeight="1" x14ac:dyDescent="0.15">
      <c r="B695" s="274"/>
      <c r="C695" s="273"/>
      <c r="D695" s="273"/>
      <c r="E695" s="273"/>
      <c r="F695" s="272"/>
    </row>
    <row r="696" spans="2:6" ht="12" customHeight="1" x14ac:dyDescent="0.15">
      <c r="B696" s="274"/>
      <c r="C696" s="273"/>
      <c r="D696" s="273"/>
      <c r="E696" s="273"/>
      <c r="F696" s="272"/>
    </row>
    <row r="697" spans="2:6" ht="12" customHeight="1" x14ac:dyDescent="0.15">
      <c r="B697" s="274"/>
      <c r="C697" s="273"/>
      <c r="D697" s="273"/>
      <c r="E697" s="273"/>
      <c r="F697" s="272"/>
    </row>
    <row r="698" spans="2:6" ht="12" customHeight="1" x14ac:dyDescent="0.15">
      <c r="B698" s="274"/>
      <c r="C698" s="273"/>
      <c r="D698" s="273"/>
      <c r="E698" s="273"/>
      <c r="F698" s="272"/>
    </row>
    <row r="699" spans="2:6" ht="12" customHeight="1" x14ac:dyDescent="0.15">
      <c r="B699" s="274"/>
      <c r="C699" s="273"/>
      <c r="D699" s="273"/>
      <c r="E699" s="273"/>
      <c r="F699" s="272"/>
    </row>
    <row r="700" spans="2:6" ht="12" customHeight="1" x14ac:dyDescent="0.15">
      <c r="B700" s="274"/>
      <c r="C700" s="273"/>
      <c r="D700" s="273"/>
      <c r="E700" s="273"/>
      <c r="F700" s="272"/>
    </row>
    <row r="701" spans="2:6" ht="12" customHeight="1" x14ac:dyDescent="0.15">
      <c r="B701" s="274"/>
      <c r="C701" s="273"/>
      <c r="D701" s="273"/>
      <c r="E701" s="273"/>
      <c r="F701" s="272"/>
    </row>
    <row r="702" spans="2:6" ht="12" customHeight="1" x14ac:dyDescent="0.15">
      <c r="B702" s="274"/>
      <c r="C702" s="273"/>
      <c r="D702" s="273"/>
      <c r="E702" s="273"/>
      <c r="F702" s="272"/>
    </row>
    <row r="703" spans="2:6" ht="12" customHeight="1" x14ac:dyDescent="0.15">
      <c r="B703" s="274"/>
      <c r="C703" s="273"/>
      <c r="D703" s="273"/>
      <c r="E703" s="273"/>
      <c r="F703" s="272"/>
    </row>
    <row r="704" spans="2:6" ht="12" customHeight="1" x14ac:dyDescent="0.15">
      <c r="B704" s="274"/>
      <c r="C704" s="273"/>
      <c r="D704" s="273"/>
      <c r="E704" s="273"/>
      <c r="F704" s="272"/>
    </row>
    <row r="705" spans="2:6" ht="12" customHeight="1" x14ac:dyDescent="0.15">
      <c r="B705" s="274"/>
      <c r="C705" s="273"/>
      <c r="D705" s="273"/>
      <c r="E705" s="273"/>
      <c r="F705" s="272"/>
    </row>
    <row r="706" spans="2:6" ht="12" customHeight="1" x14ac:dyDescent="0.15">
      <c r="B706" s="274"/>
      <c r="C706" s="273"/>
      <c r="D706" s="273"/>
      <c r="E706" s="273"/>
      <c r="F706" s="272"/>
    </row>
    <row r="707" spans="2:6" ht="12" customHeight="1" x14ac:dyDescent="0.15">
      <c r="B707" s="274"/>
      <c r="C707" s="273"/>
      <c r="D707" s="273"/>
      <c r="E707" s="273"/>
      <c r="F707" s="272"/>
    </row>
    <row r="708" spans="2:6" ht="12" customHeight="1" x14ac:dyDescent="0.15">
      <c r="B708" s="274"/>
      <c r="C708" s="273"/>
      <c r="D708" s="273"/>
      <c r="E708" s="273"/>
      <c r="F708" s="272"/>
    </row>
    <row r="709" spans="2:6" ht="12" customHeight="1" x14ac:dyDescent="0.15">
      <c r="B709" s="274"/>
      <c r="C709" s="273"/>
      <c r="D709" s="273"/>
      <c r="E709" s="273"/>
      <c r="F709" s="272"/>
    </row>
    <row r="710" spans="2:6" ht="12" customHeight="1" x14ac:dyDescent="0.15">
      <c r="B710" s="274"/>
      <c r="C710" s="273"/>
      <c r="D710" s="273"/>
      <c r="E710" s="273"/>
      <c r="F710" s="272"/>
    </row>
    <row r="711" spans="2:6" ht="12" customHeight="1" x14ac:dyDescent="0.15">
      <c r="B711" s="274"/>
      <c r="C711" s="273"/>
      <c r="D711" s="273"/>
      <c r="E711" s="273"/>
      <c r="F711" s="272"/>
    </row>
    <row r="712" spans="2:6" ht="12" customHeight="1" x14ac:dyDescent="0.15">
      <c r="B712" s="274"/>
      <c r="C712" s="273"/>
      <c r="D712" s="273"/>
      <c r="E712" s="273"/>
      <c r="F712" s="272"/>
    </row>
    <row r="713" spans="2:6" ht="12" customHeight="1" x14ac:dyDescent="0.15">
      <c r="B713" s="274"/>
      <c r="C713" s="273"/>
      <c r="D713" s="273"/>
      <c r="E713" s="273"/>
      <c r="F713" s="272"/>
    </row>
    <row r="714" spans="2:6" ht="12" customHeight="1" x14ac:dyDescent="0.15">
      <c r="B714" s="274"/>
      <c r="C714" s="273"/>
      <c r="D714" s="273"/>
      <c r="E714" s="273"/>
      <c r="F714" s="272"/>
    </row>
    <row r="715" spans="2:6" ht="12" customHeight="1" x14ac:dyDescent="0.15">
      <c r="B715" s="274"/>
      <c r="C715" s="273"/>
      <c r="D715" s="273"/>
      <c r="E715" s="273"/>
      <c r="F715" s="272"/>
    </row>
    <row r="716" spans="2:6" ht="12" customHeight="1" x14ac:dyDescent="0.15">
      <c r="B716" s="274"/>
      <c r="C716" s="273"/>
      <c r="D716" s="273"/>
      <c r="E716" s="273"/>
      <c r="F716" s="272"/>
    </row>
    <row r="717" spans="2:6" ht="12" customHeight="1" x14ac:dyDescent="0.15">
      <c r="B717" s="274"/>
      <c r="C717" s="273"/>
      <c r="D717" s="273"/>
      <c r="E717" s="273"/>
      <c r="F717" s="272"/>
    </row>
    <row r="718" spans="2:6" ht="12" customHeight="1" x14ac:dyDescent="0.15">
      <c r="B718" s="274"/>
      <c r="C718" s="273"/>
      <c r="D718" s="273"/>
      <c r="E718" s="273"/>
      <c r="F718" s="272"/>
    </row>
    <row r="719" spans="2:6" ht="12" customHeight="1" x14ac:dyDescent="0.15">
      <c r="B719" s="274"/>
      <c r="C719" s="273"/>
      <c r="D719" s="273"/>
      <c r="E719" s="273"/>
      <c r="F719" s="272"/>
    </row>
    <row r="720" spans="2:6" ht="12" customHeight="1" x14ac:dyDescent="0.15">
      <c r="B720" s="274"/>
      <c r="C720" s="273"/>
      <c r="D720" s="273"/>
      <c r="E720" s="273"/>
      <c r="F720" s="272"/>
    </row>
    <row r="721" spans="2:6" ht="12" customHeight="1" x14ac:dyDescent="0.15">
      <c r="B721" s="274"/>
      <c r="C721" s="273"/>
      <c r="D721" s="273"/>
      <c r="E721" s="273"/>
      <c r="F721" s="272"/>
    </row>
    <row r="722" spans="2:6" ht="12" customHeight="1" x14ac:dyDescent="0.15">
      <c r="B722" s="274"/>
      <c r="C722" s="273"/>
      <c r="D722" s="273"/>
      <c r="E722" s="273"/>
      <c r="F722" s="272"/>
    </row>
    <row r="723" spans="2:6" ht="12" customHeight="1" x14ac:dyDescent="0.15">
      <c r="B723" s="274"/>
      <c r="C723" s="273"/>
      <c r="D723" s="273"/>
      <c r="E723" s="273"/>
      <c r="F723" s="272"/>
    </row>
    <row r="724" spans="2:6" ht="12" customHeight="1" x14ac:dyDescent="0.15">
      <c r="B724" s="274"/>
      <c r="C724" s="273"/>
      <c r="D724" s="273"/>
      <c r="E724" s="273"/>
      <c r="F724" s="272"/>
    </row>
    <row r="725" spans="2:6" ht="12" customHeight="1" x14ac:dyDescent="0.15">
      <c r="B725" s="274"/>
      <c r="C725" s="273"/>
      <c r="D725" s="273"/>
      <c r="E725" s="273"/>
      <c r="F725" s="272"/>
    </row>
    <row r="726" spans="2:6" ht="12" customHeight="1" x14ac:dyDescent="0.15">
      <c r="B726" s="274"/>
      <c r="C726" s="273"/>
      <c r="D726" s="273"/>
      <c r="E726" s="273"/>
      <c r="F726" s="272"/>
    </row>
    <row r="727" spans="2:6" ht="12" customHeight="1" x14ac:dyDescent="0.15">
      <c r="B727" s="274"/>
      <c r="C727" s="273"/>
      <c r="D727" s="273"/>
      <c r="E727" s="273"/>
      <c r="F727" s="272"/>
    </row>
    <row r="728" spans="2:6" ht="12" customHeight="1" x14ac:dyDescent="0.15">
      <c r="B728" s="274"/>
      <c r="C728" s="273"/>
      <c r="D728" s="273"/>
      <c r="E728" s="273"/>
      <c r="F728" s="272"/>
    </row>
    <row r="729" spans="2:6" ht="12" customHeight="1" x14ac:dyDescent="0.15">
      <c r="B729" s="274"/>
      <c r="C729" s="273"/>
      <c r="D729" s="273"/>
      <c r="E729" s="273"/>
      <c r="F729" s="272"/>
    </row>
    <row r="730" spans="2:6" ht="12" customHeight="1" x14ac:dyDescent="0.15">
      <c r="B730" s="274"/>
      <c r="C730" s="273"/>
      <c r="D730" s="273"/>
      <c r="E730" s="273"/>
      <c r="F730" s="272"/>
    </row>
    <row r="731" spans="2:6" ht="12" customHeight="1" x14ac:dyDescent="0.15">
      <c r="B731" s="274"/>
      <c r="C731" s="273"/>
      <c r="D731" s="273"/>
      <c r="E731" s="273"/>
      <c r="F731" s="272"/>
    </row>
    <row r="732" spans="2:6" ht="12" customHeight="1" x14ac:dyDescent="0.15">
      <c r="B732" s="274"/>
      <c r="C732" s="273"/>
      <c r="D732" s="273"/>
      <c r="E732" s="273"/>
      <c r="F732" s="272"/>
    </row>
    <row r="733" spans="2:6" ht="12" customHeight="1" x14ac:dyDescent="0.15">
      <c r="B733" s="274"/>
      <c r="C733" s="273"/>
      <c r="D733" s="273"/>
      <c r="E733" s="273"/>
      <c r="F733" s="272"/>
    </row>
    <row r="734" spans="2:6" ht="12" customHeight="1" x14ac:dyDescent="0.15">
      <c r="B734" s="274"/>
      <c r="C734" s="273"/>
      <c r="D734" s="273"/>
      <c r="E734" s="273"/>
      <c r="F734" s="272"/>
    </row>
    <row r="735" spans="2:6" ht="12" customHeight="1" x14ac:dyDescent="0.15">
      <c r="B735" s="274"/>
      <c r="C735" s="273"/>
      <c r="D735" s="273"/>
      <c r="E735" s="273"/>
      <c r="F735" s="272"/>
    </row>
    <row r="736" spans="2:6" ht="12" customHeight="1" x14ac:dyDescent="0.15">
      <c r="B736" s="274"/>
      <c r="C736" s="273"/>
      <c r="D736" s="273"/>
      <c r="E736" s="273"/>
      <c r="F736" s="272"/>
    </row>
    <row r="737" spans="2:6" ht="12" customHeight="1" x14ac:dyDescent="0.15">
      <c r="B737" s="274"/>
      <c r="C737" s="273"/>
      <c r="D737" s="273"/>
      <c r="E737" s="273"/>
      <c r="F737" s="272"/>
    </row>
    <row r="738" spans="2:6" ht="12" customHeight="1" x14ac:dyDescent="0.15">
      <c r="B738" s="274"/>
      <c r="C738" s="273"/>
      <c r="D738" s="273"/>
      <c r="E738" s="273"/>
      <c r="F738" s="272"/>
    </row>
    <row r="739" spans="2:6" ht="12" customHeight="1" x14ac:dyDescent="0.15">
      <c r="B739" s="274"/>
      <c r="C739" s="273"/>
      <c r="D739" s="273"/>
      <c r="E739" s="273"/>
      <c r="F739" s="272"/>
    </row>
    <row r="740" spans="2:6" ht="12" customHeight="1" x14ac:dyDescent="0.15">
      <c r="B740" s="274"/>
      <c r="C740" s="273"/>
      <c r="D740" s="273"/>
      <c r="E740" s="273"/>
      <c r="F740" s="272"/>
    </row>
    <row r="741" spans="2:6" ht="12" customHeight="1" x14ac:dyDescent="0.15">
      <c r="B741" s="274"/>
      <c r="C741" s="273"/>
      <c r="D741" s="273"/>
      <c r="E741" s="273"/>
      <c r="F741" s="272"/>
    </row>
    <row r="742" spans="2:6" ht="12" customHeight="1" x14ac:dyDescent="0.15">
      <c r="B742" s="274"/>
      <c r="C742" s="273"/>
      <c r="D742" s="273"/>
      <c r="E742" s="273"/>
      <c r="F742" s="272"/>
    </row>
    <row r="743" spans="2:6" ht="12" customHeight="1" x14ac:dyDescent="0.15">
      <c r="B743" s="274"/>
      <c r="C743" s="273"/>
      <c r="D743" s="273"/>
      <c r="E743" s="273"/>
      <c r="F743" s="272"/>
    </row>
    <row r="744" spans="2:6" ht="12" customHeight="1" x14ac:dyDescent="0.15">
      <c r="B744" s="274"/>
      <c r="C744" s="273"/>
      <c r="D744" s="273"/>
      <c r="E744" s="273"/>
      <c r="F744" s="272"/>
    </row>
    <row r="745" spans="2:6" ht="12" customHeight="1" x14ac:dyDescent="0.15">
      <c r="B745" s="274"/>
      <c r="C745" s="273"/>
      <c r="D745" s="273"/>
      <c r="E745" s="273"/>
      <c r="F745" s="272"/>
    </row>
    <row r="746" spans="2:6" ht="12" customHeight="1" x14ac:dyDescent="0.15">
      <c r="B746" s="274"/>
      <c r="C746" s="273"/>
      <c r="D746" s="273"/>
      <c r="E746" s="273"/>
      <c r="F746" s="272"/>
    </row>
    <row r="747" spans="2:6" ht="12" customHeight="1" x14ac:dyDescent="0.15">
      <c r="B747" s="274"/>
      <c r="C747" s="273"/>
      <c r="D747" s="273"/>
      <c r="E747" s="273"/>
      <c r="F747" s="272"/>
    </row>
    <row r="748" spans="2:6" ht="12" customHeight="1" x14ac:dyDescent="0.15">
      <c r="B748" s="274"/>
      <c r="C748" s="273"/>
      <c r="D748" s="273"/>
      <c r="E748" s="273"/>
      <c r="F748" s="272"/>
    </row>
    <row r="749" spans="2:6" ht="12" customHeight="1" x14ac:dyDescent="0.15">
      <c r="B749" s="274"/>
      <c r="C749" s="273"/>
      <c r="D749" s="273"/>
      <c r="E749" s="273"/>
      <c r="F749" s="272"/>
    </row>
    <row r="750" spans="2:6" ht="12" customHeight="1" x14ac:dyDescent="0.15">
      <c r="B750" s="274"/>
      <c r="C750" s="273"/>
      <c r="D750" s="273"/>
      <c r="E750" s="273"/>
      <c r="F750" s="272"/>
    </row>
    <row r="751" spans="2:6" ht="12" customHeight="1" x14ac:dyDescent="0.15">
      <c r="B751" s="274"/>
      <c r="C751" s="273"/>
      <c r="D751" s="273"/>
      <c r="E751" s="273"/>
      <c r="F751" s="272"/>
    </row>
    <row r="752" spans="2:6" ht="12" customHeight="1" x14ac:dyDescent="0.15">
      <c r="B752" s="274"/>
      <c r="C752" s="273"/>
      <c r="D752" s="273"/>
      <c r="E752" s="273"/>
      <c r="F752" s="272"/>
    </row>
    <row r="753" spans="2:6" ht="12" customHeight="1" x14ac:dyDescent="0.15">
      <c r="B753" s="274"/>
      <c r="C753" s="273"/>
      <c r="D753" s="273"/>
      <c r="E753" s="273"/>
      <c r="F753" s="272"/>
    </row>
    <row r="754" spans="2:6" ht="12" customHeight="1" x14ac:dyDescent="0.15">
      <c r="B754" s="274"/>
      <c r="C754" s="273"/>
      <c r="D754" s="273"/>
      <c r="E754" s="273"/>
      <c r="F754" s="272"/>
    </row>
    <row r="755" spans="2:6" ht="12" customHeight="1" x14ac:dyDescent="0.15">
      <c r="B755" s="274"/>
      <c r="C755" s="273"/>
      <c r="D755" s="273"/>
      <c r="E755" s="273"/>
      <c r="F755" s="272"/>
    </row>
    <row r="756" spans="2:6" ht="12" customHeight="1" x14ac:dyDescent="0.15">
      <c r="B756" s="274"/>
      <c r="C756" s="273"/>
      <c r="D756" s="273"/>
      <c r="E756" s="273"/>
      <c r="F756" s="272"/>
    </row>
    <row r="757" spans="2:6" ht="12" customHeight="1" x14ac:dyDescent="0.15">
      <c r="B757" s="274"/>
      <c r="C757" s="273"/>
      <c r="D757" s="273"/>
      <c r="E757" s="273"/>
      <c r="F757" s="272"/>
    </row>
    <row r="758" spans="2:6" ht="12" customHeight="1" x14ac:dyDescent="0.15">
      <c r="B758" s="274"/>
      <c r="C758" s="273"/>
      <c r="D758" s="273"/>
      <c r="E758" s="273"/>
      <c r="F758" s="272"/>
    </row>
    <row r="759" spans="2:6" ht="12" customHeight="1" x14ac:dyDescent="0.15">
      <c r="B759" s="274"/>
      <c r="C759" s="273"/>
      <c r="D759" s="273"/>
      <c r="E759" s="273"/>
      <c r="F759" s="272"/>
    </row>
    <row r="760" spans="2:6" ht="12" customHeight="1" x14ac:dyDescent="0.15">
      <c r="B760" s="274"/>
      <c r="C760" s="273"/>
      <c r="D760" s="273"/>
      <c r="E760" s="273"/>
      <c r="F760" s="272"/>
    </row>
    <row r="761" spans="2:6" ht="12" customHeight="1" x14ac:dyDescent="0.15">
      <c r="B761" s="274"/>
      <c r="C761" s="273"/>
      <c r="D761" s="273"/>
      <c r="E761" s="273"/>
      <c r="F761" s="272"/>
    </row>
    <row r="762" spans="2:6" ht="12" customHeight="1" x14ac:dyDescent="0.15">
      <c r="B762" s="274"/>
      <c r="C762" s="273"/>
      <c r="D762" s="273"/>
      <c r="E762" s="273"/>
      <c r="F762" s="272"/>
    </row>
    <row r="763" spans="2:6" ht="12" customHeight="1" x14ac:dyDescent="0.15">
      <c r="B763" s="274"/>
      <c r="C763" s="273"/>
      <c r="D763" s="273"/>
      <c r="E763" s="273"/>
      <c r="F763" s="272"/>
    </row>
    <row r="764" spans="2:6" ht="12" customHeight="1" x14ac:dyDescent="0.15">
      <c r="B764" s="274"/>
      <c r="C764" s="273"/>
      <c r="D764" s="273"/>
      <c r="E764" s="273"/>
      <c r="F764" s="272"/>
    </row>
    <row r="765" spans="2:6" ht="12" customHeight="1" x14ac:dyDescent="0.15">
      <c r="B765" s="274"/>
      <c r="C765" s="273"/>
      <c r="D765" s="273"/>
      <c r="E765" s="273"/>
      <c r="F765" s="272"/>
    </row>
    <row r="766" spans="2:6" ht="12" customHeight="1" x14ac:dyDescent="0.15">
      <c r="B766" s="274"/>
      <c r="C766" s="273"/>
      <c r="D766" s="273"/>
      <c r="E766" s="273"/>
      <c r="F766" s="272"/>
    </row>
    <row r="767" spans="2:6" ht="12" customHeight="1" x14ac:dyDescent="0.15">
      <c r="B767" s="274"/>
      <c r="C767" s="273"/>
      <c r="D767" s="273"/>
      <c r="E767" s="273"/>
      <c r="F767" s="272"/>
    </row>
    <row r="768" spans="2:6" ht="12" customHeight="1" x14ac:dyDescent="0.15">
      <c r="B768" s="274"/>
      <c r="C768" s="273"/>
      <c r="D768" s="273"/>
      <c r="E768" s="273"/>
      <c r="F768" s="272"/>
    </row>
    <row r="769" spans="2:6" ht="12" customHeight="1" x14ac:dyDescent="0.15">
      <c r="B769" s="274"/>
      <c r="C769" s="273"/>
      <c r="D769" s="273"/>
      <c r="E769" s="273"/>
      <c r="F769" s="272"/>
    </row>
    <row r="770" spans="2:6" ht="12" customHeight="1" x14ac:dyDescent="0.15">
      <c r="B770" s="274"/>
      <c r="C770" s="273"/>
      <c r="D770" s="273"/>
      <c r="E770" s="273"/>
      <c r="F770" s="272"/>
    </row>
    <row r="771" spans="2:6" ht="12" customHeight="1" x14ac:dyDescent="0.15">
      <c r="B771" s="274"/>
      <c r="C771" s="273"/>
      <c r="D771" s="273"/>
      <c r="E771" s="273"/>
      <c r="F771" s="272"/>
    </row>
    <row r="772" spans="2:6" ht="12" customHeight="1" x14ac:dyDescent="0.15">
      <c r="B772" s="274"/>
      <c r="C772" s="273"/>
      <c r="D772" s="273"/>
      <c r="E772" s="273"/>
      <c r="F772" s="272"/>
    </row>
    <row r="773" spans="2:6" ht="12" customHeight="1" x14ac:dyDescent="0.15">
      <c r="B773" s="274"/>
      <c r="C773" s="273"/>
      <c r="D773" s="273"/>
      <c r="E773" s="273"/>
      <c r="F773" s="272"/>
    </row>
    <row r="774" spans="2:6" ht="12" customHeight="1" x14ac:dyDescent="0.15">
      <c r="B774" s="274"/>
      <c r="C774" s="273"/>
      <c r="D774" s="273"/>
      <c r="E774" s="273"/>
      <c r="F774" s="272"/>
    </row>
    <row r="775" spans="2:6" ht="12" customHeight="1" x14ac:dyDescent="0.15">
      <c r="B775" s="274"/>
      <c r="C775" s="273"/>
      <c r="D775" s="273"/>
      <c r="E775" s="273"/>
      <c r="F775" s="272"/>
    </row>
    <row r="776" spans="2:6" ht="12" customHeight="1" x14ac:dyDescent="0.15">
      <c r="B776" s="274"/>
      <c r="C776" s="273"/>
      <c r="D776" s="273"/>
      <c r="E776" s="273"/>
      <c r="F776" s="272"/>
    </row>
    <row r="777" spans="2:6" ht="12" customHeight="1" x14ac:dyDescent="0.15">
      <c r="B777" s="274"/>
      <c r="C777" s="273"/>
      <c r="D777" s="273"/>
      <c r="E777" s="273"/>
      <c r="F777" s="272"/>
    </row>
    <row r="778" spans="2:6" ht="12" customHeight="1" x14ac:dyDescent="0.15">
      <c r="B778" s="274"/>
      <c r="C778" s="273"/>
      <c r="D778" s="273"/>
      <c r="E778" s="273"/>
      <c r="F778" s="272"/>
    </row>
    <row r="779" spans="2:6" ht="12" customHeight="1" x14ac:dyDescent="0.15">
      <c r="B779" s="274"/>
      <c r="C779" s="273"/>
      <c r="D779" s="273"/>
      <c r="E779" s="273"/>
      <c r="F779" s="272"/>
    </row>
    <row r="780" spans="2:6" ht="12" customHeight="1" x14ac:dyDescent="0.15">
      <c r="B780" s="274"/>
      <c r="C780" s="273"/>
      <c r="D780" s="273"/>
      <c r="E780" s="273"/>
      <c r="F780" s="272"/>
    </row>
    <row r="781" spans="2:6" ht="12" customHeight="1" x14ac:dyDescent="0.15">
      <c r="B781" s="274"/>
      <c r="C781" s="273"/>
      <c r="D781" s="273"/>
      <c r="E781" s="273"/>
      <c r="F781" s="272"/>
    </row>
    <row r="782" spans="2:6" ht="12" customHeight="1" x14ac:dyDescent="0.15">
      <c r="B782" s="274"/>
      <c r="C782" s="273"/>
      <c r="D782" s="273"/>
      <c r="E782" s="273"/>
      <c r="F782" s="272"/>
    </row>
    <row r="783" spans="2:6" ht="12" customHeight="1" x14ac:dyDescent="0.15">
      <c r="B783" s="274"/>
      <c r="C783" s="273"/>
      <c r="D783" s="273"/>
      <c r="E783" s="273"/>
      <c r="F783" s="272"/>
    </row>
    <row r="784" spans="2:6" ht="12" customHeight="1" x14ac:dyDescent="0.15">
      <c r="B784" s="274"/>
      <c r="C784" s="273"/>
      <c r="D784" s="273"/>
      <c r="E784" s="273"/>
      <c r="F784" s="272"/>
    </row>
    <row r="785" spans="2:6" ht="12" customHeight="1" x14ac:dyDescent="0.15">
      <c r="B785" s="274"/>
      <c r="C785" s="273"/>
      <c r="D785" s="273"/>
      <c r="E785" s="273"/>
      <c r="F785" s="272"/>
    </row>
    <row r="786" spans="2:6" ht="12" customHeight="1" x14ac:dyDescent="0.15">
      <c r="B786" s="274"/>
      <c r="C786" s="273"/>
      <c r="D786" s="273"/>
      <c r="E786" s="273"/>
      <c r="F786" s="272"/>
    </row>
    <row r="787" spans="2:6" ht="12" customHeight="1" x14ac:dyDescent="0.15">
      <c r="B787" s="274"/>
      <c r="C787" s="273"/>
      <c r="D787" s="273"/>
      <c r="E787" s="273"/>
      <c r="F787" s="272"/>
    </row>
    <row r="788" spans="2:6" ht="12" customHeight="1" x14ac:dyDescent="0.15">
      <c r="B788" s="274"/>
      <c r="C788" s="273"/>
      <c r="D788" s="273"/>
      <c r="E788" s="273"/>
      <c r="F788" s="272"/>
    </row>
    <row r="789" spans="2:6" ht="12" customHeight="1" x14ac:dyDescent="0.15">
      <c r="B789" s="274"/>
      <c r="C789" s="273"/>
      <c r="D789" s="273"/>
      <c r="E789" s="273"/>
      <c r="F789" s="272"/>
    </row>
    <row r="790" spans="2:6" ht="12" customHeight="1" x14ac:dyDescent="0.15">
      <c r="B790" s="274"/>
      <c r="C790" s="273"/>
      <c r="D790" s="273"/>
      <c r="E790" s="273"/>
      <c r="F790" s="272"/>
    </row>
    <row r="791" spans="2:6" ht="12" customHeight="1" x14ac:dyDescent="0.15">
      <c r="B791" s="274"/>
      <c r="C791" s="273"/>
      <c r="D791" s="273"/>
      <c r="E791" s="273"/>
      <c r="F791" s="272"/>
    </row>
    <row r="792" spans="2:6" ht="12" customHeight="1" x14ac:dyDescent="0.15">
      <c r="B792" s="274"/>
      <c r="C792" s="273"/>
      <c r="D792" s="273"/>
      <c r="E792" s="273"/>
      <c r="F792" s="272"/>
    </row>
    <row r="793" spans="2:6" ht="12" customHeight="1" x14ac:dyDescent="0.15">
      <c r="B793" s="274"/>
      <c r="C793" s="273"/>
      <c r="D793" s="273"/>
      <c r="E793" s="273"/>
      <c r="F793" s="272"/>
    </row>
    <row r="794" spans="2:6" ht="12" customHeight="1" x14ac:dyDescent="0.15">
      <c r="B794" s="274"/>
      <c r="C794" s="273"/>
      <c r="D794" s="273"/>
      <c r="E794" s="273"/>
      <c r="F794" s="272"/>
    </row>
    <row r="795" spans="2:6" ht="12" customHeight="1" x14ac:dyDescent="0.15">
      <c r="B795" s="274"/>
      <c r="C795" s="273"/>
      <c r="D795" s="273"/>
      <c r="E795" s="273"/>
      <c r="F795" s="272"/>
    </row>
    <row r="796" spans="2:6" ht="12" customHeight="1" x14ac:dyDescent="0.15">
      <c r="B796" s="274"/>
      <c r="C796" s="273"/>
      <c r="D796" s="273"/>
      <c r="E796" s="273"/>
      <c r="F796" s="272"/>
    </row>
    <row r="797" spans="2:6" ht="12" customHeight="1" x14ac:dyDescent="0.15">
      <c r="B797" s="274"/>
      <c r="C797" s="273"/>
      <c r="D797" s="273"/>
      <c r="E797" s="273"/>
      <c r="F797" s="272"/>
    </row>
    <row r="798" spans="2:6" ht="12" customHeight="1" x14ac:dyDescent="0.15">
      <c r="B798" s="274"/>
      <c r="C798" s="273"/>
      <c r="D798" s="273"/>
      <c r="E798" s="273"/>
      <c r="F798" s="272"/>
    </row>
    <row r="799" spans="2:6" ht="12" customHeight="1" x14ac:dyDescent="0.15">
      <c r="B799" s="274"/>
      <c r="C799" s="273"/>
      <c r="D799" s="273"/>
      <c r="E799" s="273"/>
      <c r="F799" s="272"/>
    </row>
    <row r="800" spans="2:6" ht="12" customHeight="1" x14ac:dyDescent="0.15">
      <c r="B800" s="274"/>
      <c r="C800" s="273"/>
      <c r="D800" s="273"/>
      <c r="E800" s="273"/>
      <c r="F800" s="272"/>
    </row>
    <row r="801" spans="2:6" ht="12" customHeight="1" x14ac:dyDescent="0.15">
      <c r="B801" s="274"/>
      <c r="C801" s="273"/>
      <c r="D801" s="273"/>
      <c r="E801" s="273"/>
      <c r="F801" s="272"/>
    </row>
    <row r="802" spans="2:6" ht="12" customHeight="1" x14ac:dyDescent="0.15">
      <c r="B802" s="274"/>
      <c r="C802" s="273"/>
      <c r="D802" s="273"/>
      <c r="E802" s="273"/>
      <c r="F802" s="272"/>
    </row>
    <row r="803" spans="2:6" ht="12" customHeight="1" x14ac:dyDescent="0.15">
      <c r="B803" s="274"/>
      <c r="C803" s="273"/>
      <c r="D803" s="273"/>
      <c r="E803" s="273"/>
      <c r="F803" s="272"/>
    </row>
    <row r="804" spans="2:6" ht="12" customHeight="1" x14ac:dyDescent="0.15">
      <c r="B804" s="274"/>
      <c r="C804" s="273"/>
      <c r="D804" s="273"/>
      <c r="E804" s="273"/>
      <c r="F804" s="272"/>
    </row>
    <row r="805" spans="2:6" ht="12" customHeight="1" x14ac:dyDescent="0.15">
      <c r="B805" s="274"/>
      <c r="C805" s="273"/>
      <c r="D805" s="273"/>
      <c r="E805" s="273"/>
      <c r="F805" s="272"/>
    </row>
    <row r="806" spans="2:6" ht="12" customHeight="1" x14ac:dyDescent="0.15">
      <c r="B806" s="274"/>
      <c r="C806" s="273"/>
      <c r="D806" s="273"/>
      <c r="E806" s="273"/>
      <c r="F806" s="272"/>
    </row>
    <row r="807" spans="2:6" ht="12" customHeight="1" x14ac:dyDescent="0.15">
      <c r="B807" s="274"/>
      <c r="C807" s="273"/>
      <c r="D807" s="273"/>
      <c r="E807" s="273"/>
      <c r="F807" s="272"/>
    </row>
    <row r="808" spans="2:6" ht="12" customHeight="1" x14ac:dyDescent="0.15">
      <c r="B808" s="274"/>
      <c r="C808" s="273"/>
      <c r="D808" s="273"/>
      <c r="E808" s="273"/>
      <c r="F808" s="272"/>
    </row>
    <row r="809" spans="2:6" ht="12" customHeight="1" x14ac:dyDescent="0.15">
      <c r="B809" s="274"/>
      <c r="C809" s="273"/>
      <c r="D809" s="273"/>
      <c r="E809" s="273"/>
      <c r="F809" s="272"/>
    </row>
    <row r="810" spans="2:6" ht="12" customHeight="1" x14ac:dyDescent="0.15">
      <c r="B810" s="274"/>
      <c r="C810" s="273"/>
      <c r="D810" s="273"/>
      <c r="E810" s="273"/>
      <c r="F810" s="272"/>
    </row>
    <row r="811" spans="2:6" ht="12" customHeight="1" x14ac:dyDescent="0.15">
      <c r="B811" s="274"/>
      <c r="C811" s="273"/>
      <c r="D811" s="273"/>
      <c r="E811" s="273"/>
      <c r="F811" s="272"/>
    </row>
    <row r="812" spans="2:6" ht="12" customHeight="1" x14ac:dyDescent="0.15">
      <c r="B812" s="274"/>
      <c r="C812" s="273"/>
      <c r="D812" s="273"/>
      <c r="E812" s="273"/>
      <c r="F812" s="272"/>
    </row>
    <row r="813" spans="2:6" ht="12" customHeight="1" x14ac:dyDescent="0.15">
      <c r="B813" s="274"/>
      <c r="C813" s="273"/>
      <c r="D813" s="273"/>
      <c r="E813" s="273"/>
      <c r="F813" s="272"/>
    </row>
    <row r="814" spans="2:6" ht="12" customHeight="1" x14ac:dyDescent="0.15">
      <c r="B814" s="274"/>
      <c r="C814" s="273"/>
      <c r="D814" s="273"/>
      <c r="E814" s="273"/>
      <c r="F814" s="272"/>
    </row>
    <row r="815" spans="2:6" ht="12" customHeight="1" x14ac:dyDescent="0.15">
      <c r="B815" s="274"/>
      <c r="C815" s="273"/>
      <c r="D815" s="273"/>
      <c r="E815" s="273"/>
      <c r="F815" s="272"/>
    </row>
    <row r="816" spans="2:6" ht="12" customHeight="1" x14ac:dyDescent="0.15">
      <c r="B816" s="274"/>
      <c r="C816" s="273"/>
      <c r="D816" s="273"/>
      <c r="E816" s="273"/>
      <c r="F816" s="272"/>
    </row>
    <row r="817" spans="2:6" ht="12" customHeight="1" x14ac:dyDescent="0.15">
      <c r="B817" s="274"/>
      <c r="C817" s="273"/>
      <c r="D817" s="273"/>
      <c r="E817" s="273"/>
      <c r="F817" s="272"/>
    </row>
    <row r="818" spans="2:6" ht="12" customHeight="1" x14ac:dyDescent="0.15">
      <c r="B818" s="274"/>
      <c r="C818" s="273"/>
      <c r="D818" s="273"/>
      <c r="E818" s="273"/>
      <c r="F818" s="272"/>
    </row>
    <row r="819" spans="2:6" ht="12" customHeight="1" x14ac:dyDescent="0.15">
      <c r="B819" s="274"/>
      <c r="C819" s="273"/>
      <c r="D819" s="273"/>
      <c r="E819" s="273"/>
      <c r="F819" s="272"/>
    </row>
    <row r="820" spans="2:6" ht="12" customHeight="1" x14ac:dyDescent="0.15">
      <c r="B820" s="274"/>
      <c r="C820" s="273"/>
      <c r="D820" s="273"/>
      <c r="E820" s="273"/>
      <c r="F820" s="272"/>
    </row>
    <row r="821" spans="2:6" ht="12" customHeight="1" x14ac:dyDescent="0.15">
      <c r="B821" s="274"/>
      <c r="C821" s="273"/>
      <c r="D821" s="273"/>
      <c r="E821" s="273"/>
      <c r="F821" s="272"/>
    </row>
    <row r="822" spans="2:6" ht="12" customHeight="1" x14ac:dyDescent="0.15">
      <c r="B822" s="274"/>
      <c r="C822" s="273"/>
      <c r="D822" s="273"/>
      <c r="E822" s="273"/>
      <c r="F822" s="272"/>
    </row>
    <row r="823" spans="2:6" ht="12" customHeight="1" x14ac:dyDescent="0.15">
      <c r="B823" s="274"/>
      <c r="C823" s="273"/>
      <c r="D823" s="273"/>
      <c r="E823" s="273"/>
      <c r="F823" s="272"/>
    </row>
    <row r="824" spans="2:6" ht="12" customHeight="1" x14ac:dyDescent="0.15">
      <c r="B824" s="274"/>
      <c r="C824" s="273"/>
      <c r="D824" s="273"/>
      <c r="E824" s="273"/>
      <c r="F824" s="272"/>
    </row>
    <row r="825" spans="2:6" ht="12" customHeight="1" x14ac:dyDescent="0.15">
      <c r="B825" s="274"/>
      <c r="C825" s="273"/>
      <c r="D825" s="273"/>
      <c r="E825" s="273"/>
      <c r="F825" s="272"/>
    </row>
    <row r="826" spans="2:6" ht="12" customHeight="1" x14ac:dyDescent="0.15">
      <c r="B826" s="274"/>
      <c r="C826" s="273"/>
      <c r="D826" s="273"/>
      <c r="E826" s="273"/>
      <c r="F826" s="272"/>
    </row>
    <row r="827" spans="2:6" ht="12" customHeight="1" x14ac:dyDescent="0.15">
      <c r="B827" s="274"/>
      <c r="C827" s="273"/>
      <c r="D827" s="273"/>
      <c r="E827" s="273"/>
      <c r="F827" s="272"/>
    </row>
    <row r="828" spans="2:6" ht="12" customHeight="1" x14ac:dyDescent="0.15">
      <c r="B828" s="274"/>
      <c r="C828" s="273"/>
      <c r="D828" s="273"/>
      <c r="E828" s="273"/>
      <c r="F828" s="272"/>
    </row>
    <row r="829" spans="2:6" ht="12" customHeight="1" x14ac:dyDescent="0.15">
      <c r="B829" s="274"/>
      <c r="C829" s="273"/>
      <c r="D829" s="273"/>
      <c r="E829" s="273"/>
      <c r="F829" s="272"/>
    </row>
    <row r="830" spans="2:6" ht="12" customHeight="1" x14ac:dyDescent="0.15">
      <c r="B830" s="274"/>
      <c r="C830" s="273"/>
      <c r="D830" s="273"/>
      <c r="E830" s="273"/>
      <c r="F830" s="272"/>
    </row>
    <row r="831" spans="2:6" ht="12" customHeight="1" x14ac:dyDescent="0.15">
      <c r="B831" s="274"/>
      <c r="C831" s="273"/>
      <c r="D831" s="273"/>
      <c r="E831" s="273"/>
      <c r="F831" s="272"/>
    </row>
    <row r="832" spans="2:6" ht="12" customHeight="1" x14ac:dyDescent="0.15">
      <c r="B832" s="274"/>
      <c r="C832" s="273"/>
      <c r="D832" s="273"/>
      <c r="E832" s="273"/>
      <c r="F832" s="272"/>
    </row>
    <row r="833" spans="2:6" ht="12" customHeight="1" x14ac:dyDescent="0.15">
      <c r="B833" s="274"/>
      <c r="C833" s="273"/>
      <c r="D833" s="273"/>
      <c r="E833" s="273"/>
      <c r="F833" s="272"/>
    </row>
    <row r="834" spans="2:6" ht="12" customHeight="1" x14ac:dyDescent="0.15">
      <c r="B834" s="274"/>
      <c r="C834" s="273"/>
      <c r="D834" s="273"/>
      <c r="E834" s="273"/>
      <c r="F834" s="272"/>
    </row>
    <row r="835" spans="2:6" ht="12" customHeight="1" x14ac:dyDescent="0.15">
      <c r="B835" s="274"/>
      <c r="C835" s="273"/>
      <c r="D835" s="273"/>
      <c r="E835" s="273"/>
      <c r="F835" s="272"/>
    </row>
    <row r="836" spans="2:6" ht="12" customHeight="1" x14ac:dyDescent="0.15">
      <c r="B836" s="274"/>
      <c r="C836" s="273"/>
      <c r="D836" s="273"/>
      <c r="E836" s="273"/>
      <c r="F836" s="272"/>
    </row>
    <row r="837" spans="2:6" ht="12" customHeight="1" x14ac:dyDescent="0.15">
      <c r="B837" s="274"/>
      <c r="C837" s="273"/>
      <c r="D837" s="273"/>
      <c r="E837" s="273"/>
      <c r="F837" s="272"/>
    </row>
    <row r="838" spans="2:6" ht="12" customHeight="1" x14ac:dyDescent="0.15">
      <c r="B838" s="274"/>
      <c r="C838" s="273"/>
      <c r="D838" s="273"/>
      <c r="E838" s="273"/>
      <c r="F838" s="272"/>
    </row>
    <row r="839" spans="2:6" ht="12" customHeight="1" x14ac:dyDescent="0.15">
      <c r="B839" s="274"/>
      <c r="C839" s="273"/>
      <c r="D839" s="273"/>
      <c r="E839" s="273"/>
      <c r="F839" s="272"/>
    </row>
    <row r="840" spans="2:6" ht="12" customHeight="1" x14ac:dyDescent="0.15">
      <c r="B840" s="274"/>
      <c r="C840" s="273"/>
      <c r="D840" s="273"/>
      <c r="E840" s="273"/>
      <c r="F840" s="272"/>
    </row>
    <row r="841" spans="2:6" ht="12" customHeight="1" x14ac:dyDescent="0.15">
      <c r="B841" s="274"/>
      <c r="C841" s="273"/>
      <c r="D841" s="273"/>
      <c r="E841" s="273"/>
      <c r="F841" s="272"/>
    </row>
    <row r="842" spans="2:6" ht="12" customHeight="1" x14ac:dyDescent="0.15">
      <c r="B842" s="274"/>
      <c r="C842" s="273"/>
      <c r="D842" s="273"/>
      <c r="E842" s="273"/>
      <c r="F842" s="272"/>
    </row>
    <row r="843" spans="2:6" ht="12" customHeight="1" x14ac:dyDescent="0.15">
      <c r="B843" s="274"/>
      <c r="C843" s="273"/>
      <c r="D843" s="273"/>
      <c r="E843" s="273"/>
      <c r="F843" s="272"/>
    </row>
    <row r="844" spans="2:6" ht="12" customHeight="1" x14ac:dyDescent="0.15">
      <c r="B844" s="274"/>
      <c r="C844" s="273"/>
      <c r="D844" s="273"/>
      <c r="E844" s="273"/>
      <c r="F844" s="272"/>
    </row>
    <row r="845" spans="2:6" ht="12" customHeight="1" x14ac:dyDescent="0.15">
      <c r="B845" s="274"/>
      <c r="C845" s="273"/>
      <c r="D845" s="273"/>
      <c r="E845" s="273"/>
      <c r="F845" s="272"/>
    </row>
    <row r="846" spans="2:6" ht="12" customHeight="1" x14ac:dyDescent="0.15">
      <c r="B846" s="274"/>
      <c r="C846" s="273"/>
      <c r="D846" s="273"/>
      <c r="E846" s="273"/>
      <c r="F846" s="272"/>
    </row>
    <row r="847" spans="2:6" ht="12" customHeight="1" x14ac:dyDescent="0.15">
      <c r="B847" s="274"/>
      <c r="C847" s="273"/>
      <c r="D847" s="273"/>
      <c r="E847" s="273"/>
      <c r="F847" s="272"/>
    </row>
    <row r="848" spans="2:6" ht="12" customHeight="1" x14ac:dyDescent="0.15">
      <c r="B848" s="274"/>
      <c r="C848" s="273"/>
      <c r="D848" s="273"/>
      <c r="E848" s="273"/>
      <c r="F848" s="272"/>
    </row>
    <row r="849" spans="2:6" ht="12" customHeight="1" x14ac:dyDescent="0.15">
      <c r="B849" s="274"/>
      <c r="C849" s="273"/>
      <c r="D849" s="273"/>
      <c r="E849" s="273"/>
      <c r="F849" s="272"/>
    </row>
    <row r="850" spans="2:6" ht="12" customHeight="1" x14ac:dyDescent="0.15">
      <c r="B850" s="274"/>
      <c r="C850" s="273"/>
      <c r="D850" s="273"/>
      <c r="E850" s="273"/>
      <c r="F850" s="272"/>
    </row>
    <row r="851" spans="2:6" ht="12" customHeight="1" x14ac:dyDescent="0.15">
      <c r="B851" s="274"/>
      <c r="C851" s="273"/>
      <c r="D851" s="273"/>
      <c r="E851" s="273"/>
      <c r="F851" s="272"/>
    </row>
    <row r="852" spans="2:6" ht="12" customHeight="1" x14ac:dyDescent="0.15">
      <c r="B852" s="274"/>
      <c r="C852" s="273"/>
      <c r="D852" s="273"/>
      <c r="E852" s="273"/>
      <c r="F852" s="272"/>
    </row>
    <row r="853" spans="2:6" ht="12" customHeight="1" x14ac:dyDescent="0.15">
      <c r="B853" s="274"/>
      <c r="C853" s="273"/>
      <c r="D853" s="273"/>
      <c r="E853" s="273"/>
      <c r="F853" s="272"/>
    </row>
    <row r="854" spans="2:6" ht="12" customHeight="1" x14ac:dyDescent="0.15">
      <c r="B854" s="274"/>
      <c r="C854" s="273"/>
      <c r="D854" s="273"/>
      <c r="E854" s="273"/>
      <c r="F854" s="272"/>
    </row>
    <row r="855" spans="2:6" ht="12" customHeight="1" x14ac:dyDescent="0.15">
      <c r="B855" s="274"/>
      <c r="C855" s="273"/>
      <c r="D855" s="273"/>
      <c r="E855" s="273"/>
      <c r="F855" s="272"/>
    </row>
    <row r="856" spans="2:6" ht="12" customHeight="1" x14ac:dyDescent="0.15">
      <c r="B856" s="274"/>
      <c r="C856" s="273"/>
      <c r="D856" s="273"/>
      <c r="E856" s="273"/>
      <c r="F856" s="272"/>
    </row>
    <row r="857" spans="2:6" ht="12" customHeight="1" x14ac:dyDescent="0.15">
      <c r="B857" s="274"/>
      <c r="C857" s="273"/>
      <c r="D857" s="273"/>
      <c r="E857" s="273"/>
      <c r="F857" s="272"/>
    </row>
    <row r="858" spans="2:6" ht="12" customHeight="1" x14ac:dyDescent="0.15">
      <c r="B858" s="274"/>
      <c r="C858" s="273"/>
      <c r="D858" s="273"/>
      <c r="E858" s="273"/>
      <c r="F858" s="272"/>
    </row>
    <row r="859" spans="2:6" ht="12" customHeight="1" x14ac:dyDescent="0.15">
      <c r="B859" s="274"/>
      <c r="C859" s="273"/>
      <c r="D859" s="273"/>
      <c r="E859" s="273"/>
      <c r="F859" s="272"/>
    </row>
    <row r="860" spans="2:6" ht="12" customHeight="1" x14ac:dyDescent="0.15">
      <c r="B860" s="274"/>
      <c r="C860" s="273"/>
      <c r="D860" s="273"/>
      <c r="E860" s="273"/>
      <c r="F860" s="272"/>
    </row>
    <row r="861" spans="2:6" ht="12" customHeight="1" x14ac:dyDescent="0.15">
      <c r="B861" s="274"/>
      <c r="C861" s="273"/>
      <c r="D861" s="273"/>
      <c r="E861" s="273"/>
      <c r="F861" s="272"/>
    </row>
    <row r="862" spans="2:6" ht="12" customHeight="1" x14ac:dyDescent="0.15">
      <c r="B862" s="274"/>
      <c r="C862" s="273"/>
      <c r="D862" s="273"/>
      <c r="E862" s="273"/>
      <c r="F862" s="272"/>
    </row>
    <row r="863" spans="2:6" ht="12" customHeight="1" x14ac:dyDescent="0.15">
      <c r="B863" s="274"/>
      <c r="C863" s="273"/>
      <c r="D863" s="273"/>
      <c r="E863" s="273"/>
      <c r="F863" s="272"/>
    </row>
    <row r="864" spans="2:6" ht="12" customHeight="1" x14ac:dyDescent="0.15">
      <c r="B864" s="274"/>
      <c r="C864" s="273"/>
      <c r="D864" s="273"/>
      <c r="E864" s="273"/>
      <c r="F864" s="272"/>
    </row>
    <row r="865" spans="2:6" ht="12" customHeight="1" x14ac:dyDescent="0.15">
      <c r="B865" s="274"/>
      <c r="C865" s="273"/>
      <c r="D865" s="273"/>
      <c r="E865" s="273"/>
      <c r="F865" s="272"/>
    </row>
    <row r="866" spans="2:6" ht="12" customHeight="1" x14ac:dyDescent="0.15">
      <c r="B866" s="274"/>
      <c r="C866" s="273"/>
      <c r="D866" s="273"/>
      <c r="E866" s="273"/>
      <c r="F866" s="272"/>
    </row>
    <row r="867" spans="2:6" ht="12" customHeight="1" x14ac:dyDescent="0.15">
      <c r="B867" s="274"/>
      <c r="C867" s="273"/>
      <c r="D867" s="273"/>
      <c r="E867" s="273"/>
      <c r="F867" s="272"/>
    </row>
    <row r="868" spans="2:6" ht="12" customHeight="1" x14ac:dyDescent="0.15">
      <c r="B868" s="274"/>
      <c r="C868" s="273"/>
      <c r="D868" s="273"/>
      <c r="E868" s="273"/>
      <c r="F868" s="272"/>
    </row>
    <row r="869" spans="2:6" ht="12" customHeight="1" x14ac:dyDescent="0.15">
      <c r="B869" s="274"/>
      <c r="C869" s="273"/>
      <c r="D869" s="273"/>
      <c r="E869" s="273"/>
      <c r="F869" s="272"/>
    </row>
    <row r="870" spans="2:6" ht="12" customHeight="1" x14ac:dyDescent="0.15">
      <c r="B870" s="274"/>
      <c r="C870" s="273"/>
      <c r="D870" s="273"/>
      <c r="E870" s="273"/>
      <c r="F870" s="272"/>
    </row>
    <row r="871" spans="2:6" ht="12" customHeight="1" x14ac:dyDescent="0.15">
      <c r="B871" s="274"/>
      <c r="C871" s="273"/>
      <c r="D871" s="273"/>
      <c r="E871" s="273"/>
      <c r="F871" s="272"/>
    </row>
    <row r="872" spans="2:6" ht="12" customHeight="1" x14ac:dyDescent="0.15">
      <c r="B872" s="274"/>
      <c r="C872" s="273"/>
      <c r="D872" s="273"/>
      <c r="E872" s="273"/>
      <c r="F872" s="272"/>
    </row>
    <row r="873" spans="2:6" ht="12" customHeight="1" x14ac:dyDescent="0.15">
      <c r="B873" s="274"/>
      <c r="C873" s="273"/>
      <c r="D873" s="273"/>
      <c r="E873" s="273"/>
      <c r="F873" s="272"/>
    </row>
    <row r="874" spans="2:6" ht="12" customHeight="1" x14ac:dyDescent="0.15">
      <c r="B874" s="274"/>
      <c r="C874" s="273"/>
      <c r="D874" s="273"/>
      <c r="E874" s="273"/>
      <c r="F874" s="272"/>
    </row>
    <row r="875" spans="2:6" ht="12" customHeight="1" x14ac:dyDescent="0.15">
      <c r="B875" s="274"/>
      <c r="C875" s="273"/>
      <c r="D875" s="273"/>
      <c r="E875" s="273"/>
      <c r="F875" s="272"/>
    </row>
    <row r="876" spans="2:6" ht="12" customHeight="1" x14ac:dyDescent="0.15">
      <c r="B876" s="274"/>
      <c r="C876" s="273"/>
      <c r="D876" s="273"/>
      <c r="E876" s="273"/>
      <c r="F876" s="272"/>
    </row>
    <row r="877" spans="2:6" ht="12" customHeight="1" x14ac:dyDescent="0.15">
      <c r="B877" s="274"/>
      <c r="C877" s="273"/>
      <c r="D877" s="273"/>
      <c r="E877" s="273"/>
      <c r="F877" s="272"/>
    </row>
    <row r="878" spans="2:6" ht="12" customHeight="1" x14ac:dyDescent="0.15">
      <c r="B878" s="274"/>
      <c r="C878" s="273"/>
      <c r="D878" s="273"/>
      <c r="E878" s="273"/>
      <c r="F878" s="272"/>
    </row>
    <row r="879" spans="2:6" ht="12" customHeight="1" x14ac:dyDescent="0.15">
      <c r="B879" s="274"/>
      <c r="C879" s="273"/>
      <c r="D879" s="273"/>
      <c r="E879" s="273"/>
      <c r="F879" s="272"/>
    </row>
    <row r="880" spans="2:6" ht="12" customHeight="1" x14ac:dyDescent="0.15">
      <c r="B880" s="274"/>
      <c r="C880" s="273"/>
      <c r="D880" s="273"/>
      <c r="E880" s="273"/>
      <c r="F880" s="272"/>
    </row>
    <row r="881" spans="2:6" ht="12" customHeight="1" x14ac:dyDescent="0.15">
      <c r="B881" s="274"/>
      <c r="C881" s="273"/>
      <c r="D881" s="273"/>
      <c r="E881" s="273"/>
      <c r="F881" s="272"/>
    </row>
    <row r="882" spans="2:6" ht="12" customHeight="1" x14ac:dyDescent="0.15">
      <c r="B882" s="274"/>
      <c r="C882" s="273"/>
      <c r="D882" s="273"/>
      <c r="E882" s="273"/>
      <c r="F882" s="272"/>
    </row>
    <row r="883" spans="2:6" ht="12" customHeight="1" x14ac:dyDescent="0.15">
      <c r="B883" s="274"/>
      <c r="C883" s="273"/>
      <c r="D883" s="273"/>
      <c r="E883" s="273"/>
      <c r="F883" s="272"/>
    </row>
    <row r="884" spans="2:6" ht="12" customHeight="1" x14ac:dyDescent="0.15">
      <c r="B884" s="274"/>
      <c r="C884" s="273"/>
      <c r="D884" s="273"/>
      <c r="E884" s="273"/>
      <c r="F884" s="272"/>
    </row>
    <row r="885" spans="2:6" ht="12" customHeight="1" x14ac:dyDescent="0.15">
      <c r="B885" s="274"/>
      <c r="C885" s="273"/>
      <c r="D885" s="273"/>
      <c r="E885" s="273"/>
      <c r="F885" s="272"/>
    </row>
    <row r="886" spans="2:6" ht="12" customHeight="1" x14ac:dyDescent="0.15">
      <c r="B886" s="274"/>
      <c r="C886" s="273"/>
      <c r="D886" s="273"/>
      <c r="E886" s="273"/>
      <c r="F886" s="272"/>
    </row>
    <row r="887" spans="2:6" ht="12" customHeight="1" x14ac:dyDescent="0.15">
      <c r="B887" s="274"/>
      <c r="C887" s="273"/>
      <c r="D887" s="273"/>
      <c r="E887" s="273"/>
      <c r="F887" s="272"/>
    </row>
    <row r="888" spans="2:6" ht="12" customHeight="1" x14ac:dyDescent="0.15">
      <c r="B888" s="274"/>
      <c r="C888" s="273"/>
      <c r="D888" s="273"/>
      <c r="E888" s="273"/>
      <c r="F888" s="272"/>
    </row>
    <row r="889" spans="2:6" ht="12" customHeight="1" x14ac:dyDescent="0.15">
      <c r="B889" s="274"/>
      <c r="C889" s="273"/>
      <c r="D889" s="273"/>
      <c r="E889" s="273"/>
      <c r="F889" s="272"/>
    </row>
    <row r="890" spans="2:6" ht="12" customHeight="1" x14ac:dyDescent="0.15">
      <c r="B890" s="274"/>
      <c r="C890" s="273"/>
      <c r="D890" s="273"/>
      <c r="E890" s="273"/>
      <c r="F890" s="272"/>
    </row>
    <row r="891" spans="2:6" ht="12" customHeight="1" x14ac:dyDescent="0.15">
      <c r="B891" s="274"/>
      <c r="C891" s="273"/>
      <c r="D891" s="273"/>
      <c r="E891" s="273"/>
      <c r="F891" s="272"/>
    </row>
    <row r="892" spans="2:6" ht="12" customHeight="1" x14ac:dyDescent="0.15">
      <c r="B892" s="274"/>
      <c r="C892" s="273"/>
      <c r="D892" s="273"/>
      <c r="E892" s="273"/>
      <c r="F892" s="272"/>
    </row>
    <row r="893" spans="2:6" ht="12" customHeight="1" x14ac:dyDescent="0.15">
      <c r="B893" s="274"/>
      <c r="C893" s="273"/>
      <c r="D893" s="273"/>
      <c r="E893" s="273"/>
      <c r="F893" s="272"/>
    </row>
    <row r="894" spans="2:6" ht="12" customHeight="1" x14ac:dyDescent="0.15">
      <c r="B894" s="274"/>
      <c r="C894" s="273"/>
      <c r="D894" s="273"/>
      <c r="E894" s="273"/>
      <c r="F894" s="272"/>
    </row>
    <row r="895" spans="2:6" ht="12" customHeight="1" x14ac:dyDescent="0.15">
      <c r="B895" s="274"/>
      <c r="C895" s="273"/>
      <c r="D895" s="273"/>
      <c r="E895" s="273"/>
      <c r="F895" s="272"/>
    </row>
    <row r="896" spans="2:6" ht="12" customHeight="1" x14ac:dyDescent="0.15">
      <c r="B896" s="274"/>
      <c r="C896" s="273"/>
      <c r="D896" s="273"/>
      <c r="E896" s="273"/>
      <c r="F896" s="272"/>
    </row>
    <row r="897" spans="2:6" ht="12" customHeight="1" x14ac:dyDescent="0.15">
      <c r="B897" s="274"/>
      <c r="C897" s="273"/>
      <c r="D897" s="273"/>
      <c r="E897" s="273"/>
      <c r="F897" s="272"/>
    </row>
    <row r="898" spans="2:6" ht="12" customHeight="1" x14ac:dyDescent="0.15">
      <c r="B898" s="274"/>
      <c r="C898" s="273"/>
      <c r="D898" s="273"/>
      <c r="E898" s="273"/>
      <c r="F898" s="272"/>
    </row>
    <row r="899" spans="2:6" ht="12" customHeight="1" x14ac:dyDescent="0.15">
      <c r="B899" s="274"/>
      <c r="C899" s="273"/>
      <c r="D899" s="273"/>
      <c r="E899" s="273"/>
      <c r="F899" s="272"/>
    </row>
    <row r="900" spans="2:6" ht="12" customHeight="1" x14ac:dyDescent="0.15">
      <c r="B900" s="274"/>
      <c r="C900" s="273"/>
      <c r="D900" s="273"/>
      <c r="E900" s="273"/>
      <c r="F900" s="272"/>
    </row>
    <row r="901" spans="2:6" ht="12" customHeight="1" x14ac:dyDescent="0.15">
      <c r="B901" s="274"/>
      <c r="C901" s="273"/>
      <c r="D901" s="273"/>
      <c r="E901" s="273"/>
      <c r="F901" s="272"/>
    </row>
    <row r="902" spans="2:6" ht="12" customHeight="1" x14ac:dyDescent="0.15">
      <c r="B902" s="274"/>
      <c r="C902" s="273"/>
      <c r="D902" s="273"/>
      <c r="E902" s="273"/>
      <c r="F902" s="272"/>
    </row>
    <row r="903" spans="2:6" ht="12" customHeight="1" x14ac:dyDescent="0.15">
      <c r="B903" s="274"/>
      <c r="C903" s="273"/>
      <c r="D903" s="273"/>
      <c r="E903" s="273"/>
      <c r="F903" s="272"/>
    </row>
    <row r="904" spans="2:6" ht="12" customHeight="1" x14ac:dyDescent="0.15">
      <c r="B904" s="274"/>
      <c r="C904" s="273"/>
      <c r="D904" s="273"/>
      <c r="E904" s="273"/>
      <c r="F904" s="272"/>
    </row>
    <row r="905" spans="2:6" ht="12" customHeight="1" x14ac:dyDescent="0.15">
      <c r="B905" s="274"/>
      <c r="C905" s="273"/>
      <c r="D905" s="273"/>
      <c r="E905" s="273"/>
      <c r="F905" s="272"/>
    </row>
    <row r="906" spans="2:6" ht="12" customHeight="1" x14ac:dyDescent="0.15">
      <c r="B906" s="274"/>
      <c r="C906" s="273"/>
      <c r="D906" s="273"/>
      <c r="E906" s="273"/>
      <c r="F906" s="272"/>
    </row>
    <row r="907" spans="2:6" ht="12" customHeight="1" x14ac:dyDescent="0.15">
      <c r="B907" s="274"/>
      <c r="C907" s="273"/>
      <c r="D907" s="273"/>
      <c r="E907" s="273"/>
      <c r="F907" s="272"/>
    </row>
    <row r="908" spans="2:6" ht="12" customHeight="1" x14ac:dyDescent="0.15">
      <c r="B908" s="274"/>
      <c r="C908" s="273"/>
      <c r="D908" s="273"/>
      <c r="E908" s="273"/>
      <c r="F908" s="272"/>
    </row>
    <row r="909" spans="2:6" ht="12" customHeight="1" x14ac:dyDescent="0.15">
      <c r="B909" s="274"/>
      <c r="C909" s="273"/>
      <c r="D909" s="273"/>
      <c r="E909" s="273"/>
      <c r="F909" s="272"/>
    </row>
    <row r="910" spans="2:6" ht="12" customHeight="1" x14ac:dyDescent="0.15">
      <c r="B910" s="274"/>
      <c r="C910" s="273"/>
      <c r="D910" s="273"/>
      <c r="E910" s="273"/>
      <c r="F910" s="272"/>
    </row>
    <row r="911" spans="2:6" ht="12" customHeight="1" x14ac:dyDescent="0.15">
      <c r="B911" s="274"/>
      <c r="C911" s="273"/>
      <c r="D911" s="273"/>
      <c r="E911" s="273"/>
      <c r="F911" s="272"/>
    </row>
    <row r="912" spans="2:6" ht="12" customHeight="1" x14ac:dyDescent="0.15">
      <c r="B912" s="274"/>
      <c r="C912" s="273"/>
      <c r="D912" s="273"/>
      <c r="E912" s="273"/>
      <c r="F912" s="272"/>
    </row>
    <row r="913" spans="2:6" ht="12" customHeight="1" x14ac:dyDescent="0.15">
      <c r="B913" s="274"/>
      <c r="C913" s="273"/>
      <c r="D913" s="273"/>
      <c r="E913" s="273"/>
      <c r="F913" s="272"/>
    </row>
    <row r="914" spans="2:6" ht="12" customHeight="1" x14ac:dyDescent="0.15">
      <c r="B914" s="274"/>
      <c r="C914" s="273"/>
      <c r="D914" s="273"/>
      <c r="E914" s="273"/>
      <c r="F914" s="272"/>
    </row>
    <row r="915" spans="2:6" ht="12" customHeight="1" x14ac:dyDescent="0.15">
      <c r="B915" s="274"/>
      <c r="C915" s="273"/>
      <c r="D915" s="273"/>
      <c r="E915" s="273"/>
      <c r="F915" s="272"/>
    </row>
    <row r="916" spans="2:6" ht="12" customHeight="1" x14ac:dyDescent="0.15">
      <c r="B916" s="274"/>
      <c r="C916" s="273"/>
      <c r="D916" s="273"/>
      <c r="E916" s="273"/>
      <c r="F916" s="272"/>
    </row>
    <row r="917" spans="2:6" ht="12" customHeight="1" x14ac:dyDescent="0.15">
      <c r="B917" s="274"/>
      <c r="C917" s="273"/>
      <c r="D917" s="273"/>
      <c r="E917" s="273"/>
      <c r="F917" s="272"/>
    </row>
    <row r="918" spans="2:6" ht="12" customHeight="1" x14ac:dyDescent="0.15">
      <c r="B918" s="274"/>
      <c r="C918" s="273"/>
      <c r="D918" s="273"/>
      <c r="E918" s="273"/>
      <c r="F918" s="272"/>
    </row>
    <row r="919" spans="2:6" ht="12" customHeight="1" x14ac:dyDescent="0.15">
      <c r="B919" s="274"/>
      <c r="C919" s="273"/>
      <c r="D919" s="273"/>
      <c r="E919" s="273"/>
      <c r="F919" s="272"/>
    </row>
    <row r="920" spans="2:6" ht="12" customHeight="1" x14ac:dyDescent="0.15">
      <c r="B920" s="274"/>
      <c r="C920" s="273"/>
      <c r="D920" s="273"/>
      <c r="E920" s="273"/>
      <c r="F920" s="272"/>
    </row>
    <row r="921" spans="2:6" ht="12" customHeight="1" x14ac:dyDescent="0.15">
      <c r="B921" s="274"/>
      <c r="C921" s="273"/>
      <c r="D921" s="273"/>
      <c r="E921" s="273"/>
      <c r="F921" s="272"/>
    </row>
    <row r="922" spans="2:6" ht="12" customHeight="1" x14ac:dyDescent="0.15">
      <c r="B922" s="274"/>
      <c r="C922" s="273"/>
      <c r="D922" s="273"/>
      <c r="E922" s="273"/>
      <c r="F922" s="272"/>
    </row>
    <row r="923" spans="2:6" ht="12" customHeight="1" x14ac:dyDescent="0.15">
      <c r="B923" s="274"/>
      <c r="C923" s="273"/>
      <c r="D923" s="273"/>
      <c r="E923" s="273"/>
      <c r="F923" s="272"/>
    </row>
    <row r="924" spans="2:6" ht="12" customHeight="1" x14ac:dyDescent="0.15">
      <c r="B924" s="274"/>
      <c r="C924" s="273"/>
      <c r="D924" s="273"/>
      <c r="E924" s="273"/>
      <c r="F924" s="272"/>
    </row>
    <row r="925" spans="2:6" ht="12" customHeight="1" x14ac:dyDescent="0.15">
      <c r="B925" s="274"/>
      <c r="C925" s="273"/>
      <c r="D925" s="273"/>
      <c r="E925" s="273"/>
      <c r="F925" s="272"/>
    </row>
    <row r="926" spans="2:6" ht="12" customHeight="1" x14ac:dyDescent="0.15">
      <c r="B926" s="274"/>
      <c r="C926" s="273"/>
      <c r="D926" s="273"/>
      <c r="E926" s="273"/>
      <c r="F926" s="272"/>
    </row>
    <row r="927" spans="2:6" ht="12" customHeight="1" x14ac:dyDescent="0.15">
      <c r="B927" s="274"/>
      <c r="C927" s="273"/>
      <c r="D927" s="273"/>
      <c r="E927" s="273"/>
      <c r="F927" s="272"/>
    </row>
    <row r="928" spans="2:6" ht="12" customHeight="1" x14ac:dyDescent="0.15">
      <c r="B928" s="274"/>
      <c r="C928" s="273"/>
      <c r="D928" s="273"/>
      <c r="E928" s="273"/>
      <c r="F928" s="272"/>
    </row>
    <row r="929" spans="2:6" ht="12" customHeight="1" x14ac:dyDescent="0.15">
      <c r="B929" s="274"/>
      <c r="C929" s="273"/>
      <c r="D929" s="273"/>
      <c r="E929" s="273"/>
      <c r="F929" s="272"/>
    </row>
    <row r="930" spans="2:6" ht="12" customHeight="1" x14ac:dyDescent="0.15">
      <c r="B930" s="274"/>
      <c r="C930" s="273"/>
      <c r="D930" s="273"/>
      <c r="E930" s="273"/>
      <c r="F930" s="272"/>
    </row>
    <row r="931" spans="2:6" ht="12" customHeight="1" x14ac:dyDescent="0.15">
      <c r="B931" s="274"/>
      <c r="C931" s="273"/>
      <c r="D931" s="273"/>
      <c r="E931" s="273"/>
      <c r="F931" s="272"/>
    </row>
    <row r="932" spans="2:6" ht="12" customHeight="1" x14ac:dyDescent="0.15">
      <c r="B932" s="274"/>
      <c r="C932" s="273"/>
      <c r="D932" s="273"/>
      <c r="E932" s="273"/>
      <c r="F932" s="272"/>
    </row>
    <row r="933" spans="2:6" ht="12" customHeight="1" x14ac:dyDescent="0.15">
      <c r="B933" s="274"/>
      <c r="C933" s="273"/>
      <c r="D933" s="273"/>
      <c r="E933" s="273"/>
      <c r="F933" s="272"/>
    </row>
    <row r="934" spans="2:6" ht="12" customHeight="1" x14ac:dyDescent="0.15">
      <c r="B934" s="274"/>
      <c r="C934" s="273"/>
      <c r="D934" s="273"/>
      <c r="E934" s="273"/>
      <c r="F934" s="272"/>
    </row>
    <row r="935" spans="2:6" ht="12" customHeight="1" x14ac:dyDescent="0.15">
      <c r="B935" s="274"/>
      <c r="C935" s="273"/>
      <c r="D935" s="273"/>
      <c r="E935" s="273"/>
      <c r="F935" s="272"/>
    </row>
    <row r="936" spans="2:6" ht="12" customHeight="1" x14ac:dyDescent="0.15">
      <c r="B936" s="274"/>
      <c r="C936" s="273"/>
      <c r="D936" s="273"/>
      <c r="E936" s="273"/>
      <c r="F936" s="272"/>
    </row>
    <row r="937" spans="2:6" ht="12" customHeight="1" x14ac:dyDescent="0.15">
      <c r="B937" s="274"/>
      <c r="C937" s="273"/>
      <c r="D937" s="273"/>
      <c r="E937" s="273"/>
      <c r="F937" s="272"/>
    </row>
    <row r="938" spans="2:6" ht="12" customHeight="1" x14ac:dyDescent="0.15">
      <c r="B938" s="274"/>
      <c r="C938" s="273"/>
      <c r="D938" s="273"/>
      <c r="E938" s="273"/>
      <c r="F938" s="272"/>
    </row>
    <row r="939" spans="2:6" ht="12" customHeight="1" x14ac:dyDescent="0.15">
      <c r="B939" s="274"/>
      <c r="C939" s="273"/>
      <c r="D939" s="273"/>
      <c r="E939" s="273"/>
      <c r="F939" s="272"/>
    </row>
    <row r="940" spans="2:6" ht="12" customHeight="1" x14ac:dyDescent="0.15">
      <c r="B940" s="274"/>
      <c r="C940" s="273"/>
      <c r="D940" s="273"/>
      <c r="E940" s="273"/>
      <c r="F940" s="272"/>
    </row>
    <row r="941" spans="2:6" ht="12" customHeight="1" x14ac:dyDescent="0.15">
      <c r="B941" s="274"/>
      <c r="C941" s="273"/>
      <c r="D941" s="273"/>
      <c r="E941" s="273"/>
      <c r="F941" s="272"/>
    </row>
    <row r="942" spans="2:6" ht="12" customHeight="1" x14ac:dyDescent="0.15">
      <c r="B942" s="274"/>
      <c r="C942" s="273"/>
      <c r="D942" s="273"/>
      <c r="E942" s="273"/>
      <c r="F942" s="272"/>
    </row>
    <row r="943" spans="2:6" ht="12" customHeight="1" x14ac:dyDescent="0.15">
      <c r="B943" s="274"/>
      <c r="C943" s="273"/>
      <c r="D943" s="273"/>
      <c r="E943" s="273"/>
      <c r="F943" s="272"/>
    </row>
    <row r="944" spans="2:6" ht="12" customHeight="1" x14ac:dyDescent="0.15">
      <c r="B944" s="274"/>
      <c r="C944" s="273"/>
      <c r="D944" s="273"/>
      <c r="E944" s="273"/>
      <c r="F944" s="272"/>
    </row>
    <row r="945" spans="2:6" ht="12" customHeight="1" x14ac:dyDescent="0.15">
      <c r="B945" s="274"/>
      <c r="C945" s="273"/>
      <c r="D945" s="273"/>
      <c r="E945" s="273"/>
      <c r="F945" s="272"/>
    </row>
    <row r="946" spans="2:6" ht="12" customHeight="1" x14ac:dyDescent="0.15">
      <c r="B946" s="274"/>
      <c r="C946" s="273"/>
      <c r="D946" s="273"/>
      <c r="E946" s="273"/>
      <c r="F946" s="272"/>
    </row>
    <row r="947" spans="2:6" ht="12" customHeight="1" x14ac:dyDescent="0.15">
      <c r="B947" s="274"/>
      <c r="C947" s="273"/>
      <c r="D947" s="273"/>
      <c r="E947" s="273"/>
      <c r="F947" s="272"/>
    </row>
    <row r="948" spans="2:6" ht="12" customHeight="1" x14ac:dyDescent="0.15">
      <c r="B948" s="274"/>
      <c r="C948" s="273"/>
      <c r="D948" s="273"/>
      <c r="E948" s="273"/>
      <c r="F948" s="272"/>
    </row>
    <row r="949" spans="2:6" ht="12" customHeight="1" x14ac:dyDescent="0.15">
      <c r="B949" s="274"/>
      <c r="C949" s="273"/>
      <c r="D949" s="273"/>
      <c r="E949" s="273"/>
      <c r="F949" s="272"/>
    </row>
    <row r="950" spans="2:6" ht="12" customHeight="1" x14ac:dyDescent="0.15">
      <c r="B950" s="274"/>
      <c r="C950" s="273"/>
      <c r="D950" s="273"/>
      <c r="E950" s="273"/>
      <c r="F950" s="272"/>
    </row>
    <row r="951" spans="2:6" ht="12" customHeight="1" x14ac:dyDescent="0.15">
      <c r="B951" s="274"/>
      <c r="C951" s="273"/>
      <c r="D951" s="273"/>
      <c r="E951" s="273"/>
      <c r="F951" s="272"/>
    </row>
    <row r="952" spans="2:6" ht="12" customHeight="1" x14ac:dyDescent="0.15">
      <c r="B952" s="274"/>
      <c r="C952" s="273"/>
      <c r="D952" s="273"/>
      <c r="E952" s="273"/>
      <c r="F952" s="272"/>
    </row>
    <row r="953" spans="2:6" ht="12" customHeight="1" x14ac:dyDescent="0.15">
      <c r="B953" s="274"/>
      <c r="C953" s="273"/>
      <c r="D953" s="273"/>
      <c r="E953" s="273"/>
      <c r="F953" s="272"/>
    </row>
    <row r="954" spans="2:6" ht="12" customHeight="1" x14ac:dyDescent="0.15">
      <c r="B954" s="274"/>
      <c r="C954" s="273"/>
      <c r="D954" s="273"/>
      <c r="E954" s="273"/>
      <c r="F954" s="272"/>
    </row>
    <row r="955" spans="2:6" ht="12" customHeight="1" x14ac:dyDescent="0.15">
      <c r="B955" s="274"/>
      <c r="C955" s="273"/>
      <c r="D955" s="273"/>
      <c r="E955" s="273"/>
      <c r="F955" s="272"/>
    </row>
    <row r="956" spans="2:6" ht="12" customHeight="1" x14ac:dyDescent="0.15">
      <c r="B956" s="274"/>
      <c r="C956" s="273"/>
      <c r="D956" s="273"/>
      <c r="E956" s="273"/>
      <c r="F956" s="272"/>
    </row>
    <row r="957" spans="2:6" ht="12" customHeight="1" x14ac:dyDescent="0.15">
      <c r="B957" s="274"/>
      <c r="C957" s="273"/>
      <c r="D957" s="273"/>
      <c r="E957" s="273"/>
      <c r="F957" s="272"/>
    </row>
    <row r="958" spans="2:6" ht="12" customHeight="1" x14ac:dyDescent="0.15">
      <c r="B958" s="274"/>
      <c r="C958" s="273"/>
      <c r="D958" s="273"/>
      <c r="E958" s="273"/>
      <c r="F958" s="272"/>
    </row>
    <row r="959" spans="2:6" ht="12" customHeight="1" x14ac:dyDescent="0.15">
      <c r="B959" s="274"/>
      <c r="C959" s="273"/>
      <c r="D959" s="273"/>
      <c r="E959" s="273"/>
      <c r="F959" s="272"/>
    </row>
    <row r="960" spans="2:6" ht="12" customHeight="1" x14ac:dyDescent="0.15">
      <c r="B960" s="274"/>
      <c r="C960" s="273"/>
      <c r="D960" s="273"/>
      <c r="E960" s="273"/>
      <c r="F960" s="272"/>
    </row>
    <row r="961" spans="2:6" ht="12" customHeight="1" x14ac:dyDescent="0.15">
      <c r="B961" s="274"/>
      <c r="C961" s="273"/>
      <c r="D961" s="273"/>
      <c r="E961" s="273"/>
      <c r="F961" s="272"/>
    </row>
    <row r="962" spans="2:6" ht="12" customHeight="1" x14ac:dyDescent="0.15">
      <c r="B962" s="274"/>
      <c r="C962" s="273"/>
      <c r="D962" s="273"/>
      <c r="E962" s="273"/>
      <c r="F962" s="272"/>
    </row>
    <row r="963" spans="2:6" ht="12" customHeight="1" x14ac:dyDescent="0.15">
      <c r="B963" s="274"/>
      <c r="C963" s="273"/>
      <c r="D963" s="273"/>
      <c r="E963" s="273"/>
      <c r="F963" s="272"/>
    </row>
    <row r="964" spans="2:6" ht="12" customHeight="1" x14ac:dyDescent="0.15">
      <c r="B964" s="274"/>
      <c r="C964" s="273"/>
      <c r="D964" s="273"/>
      <c r="E964" s="273"/>
      <c r="F964" s="272"/>
    </row>
    <row r="965" spans="2:6" ht="12" customHeight="1" x14ac:dyDescent="0.15">
      <c r="B965" s="274"/>
      <c r="C965" s="273"/>
      <c r="D965" s="273"/>
      <c r="E965" s="273"/>
      <c r="F965" s="272"/>
    </row>
    <row r="966" spans="2:6" ht="12" customHeight="1" x14ac:dyDescent="0.15">
      <c r="B966" s="274"/>
      <c r="C966" s="273"/>
      <c r="D966" s="273"/>
      <c r="E966" s="273"/>
      <c r="F966" s="272"/>
    </row>
    <row r="967" spans="2:6" ht="12" customHeight="1" x14ac:dyDescent="0.15">
      <c r="B967" s="274"/>
      <c r="C967" s="273"/>
      <c r="D967" s="273"/>
      <c r="E967" s="273"/>
      <c r="F967" s="272"/>
    </row>
    <row r="968" spans="2:6" ht="12" customHeight="1" x14ac:dyDescent="0.15">
      <c r="B968" s="274"/>
      <c r="C968" s="273"/>
      <c r="D968" s="273"/>
      <c r="E968" s="273"/>
      <c r="F968" s="272"/>
    </row>
    <row r="969" spans="2:6" ht="12" customHeight="1" x14ac:dyDescent="0.15">
      <c r="B969" s="274"/>
      <c r="C969" s="273"/>
      <c r="D969" s="273"/>
      <c r="E969" s="273"/>
      <c r="F969" s="272"/>
    </row>
    <row r="970" spans="2:6" ht="12" customHeight="1" x14ac:dyDescent="0.15">
      <c r="B970" s="274"/>
      <c r="C970" s="273"/>
      <c r="D970" s="273"/>
      <c r="E970" s="273"/>
      <c r="F970" s="272"/>
    </row>
    <row r="971" spans="2:6" ht="12" customHeight="1" x14ac:dyDescent="0.15">
      <c r="B971" s="274"/>
      <c r="C971" s="273"/>
      <c r="D971" s="273"/>
      <c r="E971" s="273"/>
      <c r="F971" s="272"/>
    </row>
    <row r="972" spans="2:6" ht="12" customHeight="1" x14ac:dyDescent="0.15">
      <c r="B972" s="274"/>
      <c r="C972" s="273"/>
      <c r="D972" s="273"/>
      <c r="E972" s="273"/>
      <c r="F972" s="272"/>
    </row>
    <row r="973" spans="2:6" ht="12" customHeight="1" x14ac:dyDescent="0.15">
      <c r="B973" s="274"/>
      <c r="C973" s="273"/>
      <c r="D973" s="273"/>
      <c r="E973" s="273"/>
      <c r="F973" s="272"/>
    </row>
    <row r="974" spans="2:6" ht="12" customHeight="1" x14ac:dyDescent="0.15">
      <c r="B974" s="274"/>
      <c r="C974" s="273"/>
      <c r="D974" s="273"/>
      <c r="E974" s="273"/>
      <c r="F974" s="272"/>
    </row>
    <row r="975" spans="2:6" ht="12" customHeight="1" x14ac:dyDescent="0.15">
      <c r="B975" s="274"/>
      <c r="C975" s="273"/>
      <c r="D975" s="273"/>
      <c r="E975" s="273"/>
      <c r="F975" s="272"/>
    </row>
    <row r="976" spans="2:6" ht="12" customHeight="1" x14ac:dyDescent="0.15">
      <c r="B976" s="274"/>
      <c r="C976" s="273"/>
      <c r="D976" s="273"/>
      <c r="E976" s="273"/>
      <c r="F976" s="272"/>
    </row>
    <row r="977" spans="2:6" ht="12" customHeight="1" x14ac:dyDescent="0.15">
      <c r="B977" s="274"/>
      <c r="C977" s="273"/>
      <c r="D977" s="273"/>
      <c r="E977" s="273"/>
      <c r="F977" s="272"/>
    </row>
    <row r="978" spans="2:6" ht="12" customHeight="1" x14ac:dyDescent="0.15">
      <c r="B978" s="274"/>
      <c r="C978" s="273"/>
      <c r="D978" s="273"/>
      <c r="E978" s="273"/>
      <c r="F978" s="272"/>
    </row>
    <row r="979" spans="2:6" ht="12" customHeight="1" x14ac:dyDescent="0.15">
      <c r="B979" s="274"/>
      <c r="C979" s="273"/>
      <c r="D979" s="273"/>
      <c r="E979" s="273"/>
      <c r="F979" s="272"/>
    </row>
    <row r="980" spans="2:6" ht="12" customHeight="1" x14ac:dyDescent="0.15">
      <c r="B980" s="274"/>
      <c r="C980" s="273"/>
      <c r="D980" s="273"/>
      <c r="E980" s="273"/>
      <c r="F980" s="272"/>
    </row>
    <row r="981" spans="2:6" ht="12" customHeight="1" x14ac:dyDescent="0.15">
      <c r="B981" s="274"/>
      <c r="C981" s="273"/>
      <c r="D981" s="273"/>
      <c r="E981" s="273"/>
      <c r="F981" s="272"/>
    </row>
    <row r="982" spans="2:6" ht="12" customHeight="1" x14ac:dyDescent="0.15">
      <c r="B982" s="274"/>
      <c r="C982" s="273"/>
      <c r="D982" s="273"/>
      <c r="E982" s="273"/>
      <c r="F982" s="272"/>
    </row>
    <row r="983" spans="2:6" ht="12" customHeight="1" x14ac:dyDescent="0.15">
      <c r="B983" s="274"/>
      <c r="C983" s="273"/>
      <c r="D983" s="273"/>
      <c r="E983" s="273"/>
      <c r="F983" s="272"/>
    </row>
    <row r="984" spans="2:6" ht="12" customHeight="1" x14ac:dyDescent="0.15">
      <c r="B984" s="274"/>
      <c r="C984" s="273"/>
      <c r="D984" s="273"/>
      <c r="E984" s="273"/>
      <c r="F984" s="272"/>
    </row>
    <row r="985" spans="2:6" ht="12" customHeight="1" x14ac:dyDescent="0.15">
      <c r="B985" s="274"/>
      <c r="C985" s="273"/>
      <c r="D985" s="273"/>
      <c r="E985" s="273"/>
      <c r="F985" s="272"/>
    </row>
    <row r="986" spans="2:6" ht="12" customHeight="1" x14ac:dyDescent="0.15">
      <c r="B986" s="274"/>
      <c r="C986" s="273"/>
      <c r="D986" s="273"/>
      <c r="E986" s="273"/>
      <c r="F986" s="272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C272-FABE-49AE-9ED2-046487F882A3}">
  <sheetPr>
    <tabColor theme="7"/>
    <pageSetUpPr fitToPage="1"/>
  </sheetPr>
  <dimension ref="A1:Z985"/>
  <sheetViews>
    <sheetView tabSelected="1" workbookViewId="0">
      <selection activeCell="H29" sqref="H29"/>
    </sheetView>
  </sheetViews>
  <sheetFormatPr baseColWidth="10" defaultColWidth="12.5" defaultRowHeight="15" customHeight="1" x14ac:dyDescent="0.15"/>
  <cols>
    <col min="1" max="1" width="4.5" style="271" customWidth="1"/>
    <col min="2" max="2" width="43.6640625" style="271" customWidth="1"/>
    <col min="3" max="3" width="13.1640625" style="271" customWidth="1"/>
    <col min="4" max="4" width="13" style="271" customWidth="1"/>
    <col min="5" max="5" width="15.5" style="271" customWidth="1"/>
    <col min="6" max="6" width="13" style="271" customWidth="1"/>
    <col min="7" max="7" width="4.5" style="271" customWidth="1"/>
    <col min="8" max="16384" width="12.5" style="271"/>
  </cols>
  <sheetData>
    <row r="1" spans="1:26" ht="54" customHeight="1" x14ac:dyDescent="0.15">
      <c r="A1" s="414"/>
      <c r="B1" s="415"/>
      <c r="C1" s="415"/>
      <c r="D1" s="415"/>
      <c r="E1" s="415"/>
      <c r="F1" s="415"/>
    </row>
    <row r="2" spans="1:26" ht="12" customHeight="1" x14ac:dyDescent="0.15">
      <c r="B2" s="274"/>
      <c r="C2" s="273"/>
      <c r="D2" s="273"/>
      <c r="E2" s="273"/>
      <c r="F2" s="272"/>
    </row>
    <row r="3" spans="1:26" ht="18.75" customHeight="1" x14ac:dyDescent="0.2">
      <c r="A3" s="344" t="s">
        <v>0</v>
      </c>
      <c r="C3" s="273"/>
      <c r="D3" s="273"/>
      <c r="E3" s="273"/>
      <c r="F3" s="272"/>
    </row>
    <row r="4" spans="1:26" ht="12" customHeight="1" x14ac:dyDescent="0.15">
      <c r="A4" s="274" t="s">
        <v>1</v>
      </c>
      <c r="C4" s="273"/>
      <c r="D4" s="273"/>
      <c r="E4" s="273"/>
      <c r="F4" s="272"/>
    </row>
    <row r="5" spans="1:26" ht="12" customHeight="1" x14ac:dyDescent="0.15">
      <c r="A5" s="274"/>
      <c r="B5" s="343" t="s">
        <v>134</v>
      </c>
      <c r="C5" s="273"/>
      <c r="D5" s="273"/>
      <c r="E5" s="273"/>
      <c r="F5" s="272"/>
    </row>
    <row r="6" spans="1:26" ht="12" customHeight="1" x14ac:dyDescent="0.15">
      <c r="A6" s="274"/>
      <c r="B6" s="342" t="s">
        <v>39</v>
      </c>
      <c r="C6" s="273"/>
      <c r="D6" s="410" t="s">
        <v>270</v>
      </c>
      <c r="E6" s="411"/>
      <c r="F6" s="341"/>
      <c r="G6" s="272"/>
    </row>
    <row r="7" spans="1:26" ht="12" customHeight="1" x14ac:dyDescent="0.15">
      <c r="A7" s="274"/>
      <c r="B7" s="340" t="s">
        <v>135</v>
      </c>
      <c r="C7" s="273"/>
      <c r="D7" s="273"/>
      <c r="E7" s="273"/>
      <c r="F7" s="272"/>
    </row>
    <row r="8" spans="1:26" ht="12" customHeight="1" x14ac:dyDescent="0.15">
      <c r="B8" s="274"/>
      <c r="C8" s="273"/>
      <c r="D8" s="273"/>
      <c r="E8" s="273"/>
      <c r="F8" s="272"/>
    </row>
    <row r="9" spans="1:26" ht="12" customHeight="1" x14ac:dyDescent="0.15">
      <c r="B9" s="339"/>
      <c r="C9" s="273"/>
      <c r="D9" s="273"/>
      <c r="E9" s="273"/>
      <c r="F9" s="272"/>
      <c r="G9" s="338" t="s">
        <v>245</v>
      </c>
    </row>
    <row r="10" spans="1:26" ht="17.25" customHeight="1" x14ac:dyDescent="0.15">
      <c r="A10" s="302"/>
      <c r="B10" s="337" t="s">
        <v>98</v>
      </c>
      <c r="C10" s="336"/>
      <c r="D10" s="336"/>
      <c r="E10" s="336"/>
      <c r="F10" s="335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</row>
    <row r="11" spans="1:26" ht="12" customHeight="1" x14ac:dyDescent="0.15">
      <c r="B11" s="274"/>
      <c r="C11" s="273"/>
      <c r="D11" s="273"/>
      <c r="E11" s="273"/>
      <c r="F11" s="272"/>
    </row>
    <row r="12" spans="1:26" ht="15" customHeight="1" x14ac:dyDescent="0.15">
      <c r="B12" s="334" t="s">
        <v>3</v>
      </c>
      <c r="C12" s="333" t="s">
        <v>4</v>
      </c>
      <c r="D12" s="333" t="s">
        <v>99</v>
      </c>
      <c r="E12" s="332" t="s">
        <v>100</v>
      </c>
      <c r="F12" s="332" t="s">
        <v>101</v>
      </c>
    </row>
    <row r="13" spans="1:26" ht="12" customHeight="1" x14ac:dyDescent="0.15">
      <c r="B13" s="329" t="s">
        <v>136</v>
      </c>
      <c r="C13" s="352">
        <v>45335</v>
      </c>
      <c r="D13" s="311"/>
      <c r="E13" s="311">
        <v>24134</v>
      </c>
      <c r="F13" s="310">
        <f>E13</f>
        <v>24134</v>
      </c>
    </row>
    <row r="14" spans="1:26" ht="12" customHeight="1" x14ac:dyDescent="0.15">
      <c r="B14" s="329" t="s">
        <v>136</v>
      </c>
      <c r="C14" s="322">
        <v>45358</v>
      </c>
      <c r="D14" s="311"/>
      <c r="E14" s="311">
        <v>17600</v>
      </c>
      <c r="F14" s="310">
        <f t="shared" ref="F14:F27" si="0">F13-D14+E14</f>
        <v>41734</v>
      </c>
    </row>
    <row r="15" spans="1:26" ht="12" customHeight="1" x14ac:dyDescent="0.15">
      <c r="B15" s="329" t="s">
        <v>136</v>
      </c>
      <c r="C15" s="346">
        <v>45412</v>
      </c>
      <c r="D15" s="311"/>
      <c r="E15" s="311">
        <v>33000</v>
      </c>
      <c r="F15" s="310">
        <f t="shared" si="0"/>
        <v>74734</v>
      </c>
    </row>
    <row r="16" spans="1:26" ht="12" customHeight="1" x14ac:dyDescent="0.15">
      <c r="B16" s="329" t="s">
        <v>136</v>
      </c>
      <c r="C16" s="346">
        <v>45490</v>
      </c>
      <c r="D16" s="311"/>
      <c r="E16" s="311">
        <v>20900</v>
      </c>
      <c r="F16" s="310">
        <f t="shared" si="0"/>
        <v>95634</v>
      </c>
    </row>
    <row r="17" spans="2:8" ht="12" customHeight="1" x14ac:dyDescent="0.15">
      <c r="B17" s="329" t="s">
        <v>136</v>
      </c>
      <c r="C17" s="346">
        <v>45534</v>
      </c>
      <c r="D17" s="311"/>
      <c r="E17" s="311">
        <v>11100</v>
      </c>
      <c r="F17" s="310">
        <f t="shared" si="0"/>
        <v>106734</v>
      </c>
    </row>
    <row r="18" spans="2:8" ht="12" customHeight="1" x14ac:dyDescent="0.15">
      <c r="B18" s="329" t="s">
        <v>136</v>
      </c>
      <c r="C18" s="346">
        <v>45570</v>
      </c>
      <c r="D18" s="311"/>
      <c r="E18" s="311">
        <v>21000</v>
      </c>
      <c r="F18" s="310">
        <f t="shared" si="0"/>
        <v>127734</v>
      </c>
    </row>
    <row r="19" spans="2:8" ht="33" customHeight="1" x14ac:dyDescent="0.15">
      <c r="B19" s="297" t="s">
        <v>137</v>
      </c>
      <c r="C19" s="317">
        <v>45597</v>
      </c>
      <c r="D19" s="311">
        <v>3000</v>
      </c>
      <c r="E19" s="311"/>
      <c r="F19" s="310">
        <f t="shared" si="0"/>
        <v>124734</v>
      </c>
    </row>
    <row r="20" spans="2:8" ht="42" customHeight="1" x14ac:dyDescent="0.15">
      <c r="B20" s="297" t="s">
        <v>208</v>
      </c>
      <c r="C20" s="317">
        <v>45608</v>
      </c>
      <c r="D20" s="311">
        <v>500</v>
      </c>
      <c r="E20" s="311"/>
      <c r="F20" s="310">
        <f t="shared" si="0"/>
        <v>124234</v>
      </c>
    </row>
    <row r="21" spans="2:8" ht="19" customHeight="1" x14ac:dyDescent="0.15">
      <c r="B21" s="328" t="s">
        <v>244</v>
      </c>
      <c r="C21" s="333"/>
      <c r="D21" s="325">
        <v>133657.79999999999</v>
      </c>
      <c r="E21" s="311"/>
      <c r="F21" s="310">
        <f t="shared" si="0"/>
        <v>-9423.7999999999884</v>
      </c>
    </row>
    <row r="22" spans="2:8" ht="29" customHeight="1" x14ac:dyDescent="0.15">
      <c r="B22" s="383" t="s">
        <v>257</v>
      </c>
      <c r="C22" s="379">
        <v>45658</v>
      </c>
      <c r="D22" s="384"/>
      <c r="E22" s="381"/>
      <c r="F22" s="382">
        <f>F21</f>
        <v>-9423.7999999999884</v>
      </c>
    </row>
    <row r="23" spans="2:8" ht="32" customHeight="1" x14ac:dyDescent="0.15">
      <c r="B23" s="315" t="s">
        <v>204</v>
      </c>
      <c r="C23" s="313">
        <v>45664</v>
      </c>
      <c r="D23" s="311">
        <v>7287.158323807781</v>
      </c>
      <c r="E23" s="311"/>
      <c r="F23" s="310">
        <f>F21-D23+E23</f>
        <v>-16710.958323807768</v>
      </c>
    </row>
    <row r="24" spans="2:8" ht="37" customHeight="1" x14ac:dyDescent="0.15">
      <c r="B24" s="315" t="s">
        <v>205</v>
      </c>
      <c r="C24" s="313">
        <v>45664</v>
      </c>
      <c r="D24" s="311">
        <v>17344.062022769875</v>
      </c>
      <c r="E24" s="311"/>
      <c r="F24" s="310">
        <f t="shared" si="0"/>
        <v>-34055.020346577643</v>
      </c>
    </row>
    <row r="25" spans="2:8" ht="24" customHeight="1" x14ac:dyDescent="0.15">
      <c r="B25" s="316" t="s">
        <v>206</v>
      </c>
      <c r="C25" s="313">
        <v>45664</v>
      </c>
      <c r="D25" s="311">
        <v>6534.7067271729675</v>
      </c>
      <c r="E25" s="311"/>
      <c r="F25" s="310">
        <f t="shared" si="0"/>
        <v>-40589.727073750611</v>
      </c>
    </row>
    <row r="26" spans="2:8" ht="28" customHeight="1" x14ac:dyDescent="0.15">
      <c r="B26" s="323" t="s">
        <v>136</v>
      </c>
      <c r="C26" s="313">
        <v>45680</v>
      </c>
      <c r="D26" s="311"/>
      <c r="E26" s="311">
        <v>34510</v>
      </c>
      <c r="F26" s="310">
        <f t="shared" si="0"/>
        <v>-6079.7270737506115</v>
      </c>
    </row>
    <row r="27" spans="2:8" ht="42" customHeight="1" x14ac:dyDescent="0.15">
      <c r="B27" s="314" t="s">
        <v>243</v>
      </c>
      <c r="C27" s="404">
        <v>45730</v>
      </c>
      <c r="D27" s="311">
        <v>21201.41</v>
      </c>
      <c r="E27" s="311"/>
      <c r="F27" s="310">
        <f t="shared" si="0"/>
        <v>-27281.137073750611</v>
      </c>
    </row>
    <row r="28" spans="2:8" s="378" customFormat="1" ht="42" customHeight="1" x14ac:dyDescent="0.15">
      <c r="B28" s="314" t="s">
        <v>261</v>
      </c>
      <c r="C28" s="404">
        <v>45730</v>
      </c>
      <c r="D28" s="311">
        <v>16740</v>
      </c>
      <c r="E28" s="311"/>
      <c r="F28" s="310">
        <f>F27-D28</f>
        <v>-44021.137073750608</v>
      </c>
      <c r="H28" s="416">
        <f>44050+E26</f>
        <v>78560</v>
      </c>
    </row>
    <row r="29" spans="2:8" ht="15" customHeight="1" x14ac:dyDescent="0.15">
      <c r="B29" s="386" t="s">
        <v>258</v>
      </c>
      <c r="C29" s="387"/>
      <c r="D29" s="385">
        <f>SUM(D13:D28)</f>
        <v>206265.13707375064</v>
      </c>
      <c r="E29" s="385">
        <f>SUM(E13:E28)</f>
        <v>162244</v>
      </c>
      <c r="F29" s="324">
        <f>E29-D29</f>
        <v>-44021.137073750637</v>
      </c>
    </row>
    <row r="30" spans="2:8" ht="15" customHeight="1" x14ac:dyDescent="0.15">
      <c r="B30" s="351"/>
      <c r="C30" s="350"/>
      <c r="D30" s="349"/>
      <c r="E30" s="349"/>
      <c r="F30" s="348"/>
    </row>
    <row r="31" spans="2:8" ht="12" customHeight="1" x14ac:dyDescent="0.15">
      <c r="B31" s="274"/>
      <c r="C31" s="273"/>
      <c r="D31" s="273"/>
      <c r="E31" s="273"/>
      <c r="F31" s="272"/>
    </row>
    <row r="32" spans="2:8" ht="12" customHeight="1" x14ac:dyDescent="0.15">
      <c r="B32" s="286" t="s">
        <v>121</v>
      </c>
      <c r="C32" s="273"/>
      <c r="D32" s="273"/>
      <c r="E32" s="273"/>
      <c r="F32" s="272"/>
    </row>
    <row r="33" spans="2:6" ht="12" customHeight="1" x14ac:dyDescent="0.15">
      <c r="B33" s="274" t="s">
        <v>246</v>
      </c>
      <c r="C33" s="273"/>
      <c r="D33" s="273"/>
      <c r="E33" s="273"/>
      <c r="F33" s="272"/>
    </row>
    <row r="34" spans="2:6" ht="12" customHeight="1" x14ac:dyDescent="0.15">
      <c r="B34" s="284"/>
      <c r="C34" s="273"/>
      <c r="D34" s="273"/>
      <c r="E34" s="273"/>
      <c r="F34" s="272"/>
    </row>
    <row r="35" spans="2:6" ht="12" customHeight="1" x14ac:dyDescent="0.15">
      <c r="B35" s="283" t="s">
        <v>123</v>
      </c>
      <c r="C35" s="282"/>
      <c r="D35" s="281"/>
      <c r="E35" s="273"/>
      <c r="F35" s="272"/>
    </row>
    <row r="36" spans="2:6" ht="12" customHeight="1" x14ac:dyDescent="0.15">
      <c r="B36" s="280" t="s">
        <v>124</v>
      </c>
      <c r="C36" s="273"/>
      <c r="D36" s="279"/>
      <c r="E36" s="273"/>
      <c r="F36" s="272"/>
    </row>
    <row r="37" spans="2:6" ht="12" customHeight="1" x14ac:dyDescent="0.15">
      <c r="B37" s="280" t="s">
        <v>125</v>
      </c>
      <c r="C37" s="273"/>
      <c r="D37" s="279"/>
      <c r="E37" s="273"/>
      <c r="F37" s="272"/>
    </row>
    <row r="38" spans="2:6" ht="12" customHeight="1" x14ac:dyDescent="0.15">
      <c r="B38" s="278" t="s">
        <v>126</v>
      </c>
      <c r="C38" s="277"/>
      <c r="D38" s="276"/>
      <c r="E38" s="273"/>
      <c r="F38" s="272"/>
    </row>
    <row r="39" spans="2:6" ht="12" customHeight="1" x14ac:dyDescent="0.15">
      <c r="B39" s="274"/>
      <c r="C39" s="273"/>
      <c r="D39" s="273"/>
      <c r="E39" s="273"/>
      <c r="F39" s="272"/>
    </row>
    <row r="40" spans="2:6" ht="12" customHeight="1" x14ac:dyDescent="0.15">
      <c r="B40" s="274"/>
      <c r="C40" s="273"/>
      <c r="D40" s="273"/>
      <c r="E40" s="273"/>
      <c r="F40" s="272"/>
    </row>
    <row r="41" spans="2:6" ht="12" customHeight="1" x14ac:dyDescent="0.15">
      <c r="B41" s="274"/>
      <c r="C41" s="273"/>
      <c r="D41" s="273"/>
      <c r="E41" s="273"/>
      <c r="F41" s="272"/>
    </row>
    <row r="42" spans="2:6" ht="12" customHeight="1" x14ac:dyDescent="0.15">
      <c r="B42" s="274"/>
      <c r="C42" s="273"/>
      <c r="D42" s="273"/>
      <c r="E42" s="273"/>
      <c r="F42" s="272"/>
    </row>
    <row r="43" spans="2:6" ht="12" customHeight="1" x14ac:dyDescent="0.15">
      <c r="B43" s="274"/>
      <c r="C43" s="273"/>
      <c r="D43" s="273"/>
      <c r="E43" s="273"/>
      <c r="F43" s="272"/>
    </row>
    <row r="44" spans="2:6" ht="12" customHeight="1" x14ac:dyDescent="0.15">
      <c r="B44" s="274"/>
      <c r="C44" s="273"/>
      <c r="D44" s="273"/>
      <c r="E44" s="273"/>
      <c r="F44" s="272"/>
    </row>
    <row r="45" spans="2:6" ht="12" customHeight="1" x14ac:dyDescent="0.15">
      <c r="B45" s="274"/>
      <c r="C45" s="273"/>
      <c r="D45" s="273"/>
      <c r="E45" s="273"/>
      <c r="F45" s="272"/>
    </row>
    <row r="46" spans="2:6" ht="12" customHeight="1" x14ac:dyDescent="0.15">
      <c r="B46" s="274"/>
      <c r="C46" s="273"/>
      <c r="D46" s="273"/>
      <c r="E46" s="273"/>
      <c r="F46" s="272"/>
    </row>
    <row r="47" spans="2:6" ht="12" customHeight="1" x14ac:dyDescent="0.15">
      <c r="B47" s="274"/>
      <c r="C47" s="273"/>
      <c r="D47" s="273"/>
      <c r="E47" s="273"/>
      <c r="F47" s="272"/>
    </row>
    <row r="48" spans="2:6" ht="12" customHeight="1" x14ac:dyDescent="0.15">
      <c r="B48" s="274"/>
      <c r="C48" s="273"/>
      <c r="D48" s="273"/>
      <c r="E48" s="273"/>
      <c r="F48" s="272"/>
    </row>
    <row r="49" spans="2:6" ht="12" customHeight="1" x14ac:dyDescent="0.15">
      <c r="B49" s="274"/>
      <c r="C49" s="273"/>
      <c r="D49" s="273"/>
      <c r="E49" s="273"/>
      <c r="F49" s="272"/>
    </row>
    <row r="50" spans="2:6" ht="12" customHeight="1" x14ac:dyDescent="0.15">
      <c r="B50" s="274"/>
      <c r="C50" s="273"/>
      <c r="D50" s="273"/>
      <c r="E50" s="273"/>
      <c r="F50" s="272"/>
    </row>
    <row r="51" spans="2:6" ht="12" customHeight="1" x14ac:dyDescent="0.15">
      <c r="B51" s="274"/>
      <c r="C51" s="273"/>
      <c r="D51" s="273"/>
      <c r="E51" s="273"/>
      <c r="F51" s="272"/>
    </row>
    <row r="52" spans="2:6" ht="12" customHeight="1" x14ac:dyDescent="0.15">
      <c r="B52" s="274"/>
      <c r="C52" s="273"/>
      <c r="D52" s="273"/>
      <c r="E52" s="273"/>
      <c r="F52" s="272"/>
    </row>
    <row r="53" spans="2:6" ht="12" customHeight="1" x14ac:dyDescent="0.15">
      <c r="B53" s="274"/>
      <c r="C53" s="273"/>
      <c r="D53" s="273"/>
      <c r="E53" s="273"/>
      <c r="F53" s="272"/>
    </row>
    <row r="54" spans="2:6" ht="12" customHeight="1" x14ac:dyDescent="0.15">
      <c r="B54" s="274"/>
      <c r="C54" s="273"/>
      <c r="D54" s="273"/>
      <c r="E54" s="273"/>
      <c r="F54" s="272"/>
    </row>
    <row r="55" spans="2:6" ht="12" customHeight="1" x14ac:dyDescent="0.15">
      <c r="B55" s="274"/>
      <c r="C55" s="273"/>
      <c r="D55" s="273"/>
      <c r="E55" s="273"/>
      <c r="F55" s="272"/>
    </row>
    <row r="56" spans="2:6" ht="12" customHeight="1" x14ac:dyDescent="0.15">
      <c r="B56" s="274"/>
      <c r="C56" s="273"/>
      <c r="D56" s="273"/>
      <c r="E56" s="273"/>
      <c r="F56" s="272"/>
    </row>
    <row r="57" spans="2:6" ht="12" customHeight="1" x14ac:dyDescent="0.15">
      <c r="B57" s="274"/>
      <c r="C57" s="273"/>
      <c r="D57" s="273"/>
      <c r="E57" s="273"/>
      <c r="F57" s="272"/>
    </row>
    <row r="58" spans="2:6" ht="12" customHeight="1" x14ac:dyDescent="0.15">
      <c r="B58" s="274"/>
      <c r="C58" s="273"/>
      <c r="D58" s="273"/>
      <c r="E58" s="273"/>
      <c r="F58" s="272"/>
    </row>
    <row r="59" spans="2:6" ht="12" customHeight="1" x14ac:dyDescent="0.15">
      <c r="B59" s="274"/>
      <c r="C59" s="273"/>
      <c r="D59" s="273"/>
      <c r="E59" s="273"/>
      <c r="F59" s="272"/>
    </row>
    <row r="60" spans="2:6" ht="12" customHeight="1" x14ac:dyDescent="0.15">
      <c r="B60" s="274"/>
      <c r="C60" s="273"/>
      <c r="D60" s="273"/>
      <c r="E60" s="273"/>
      <c r="F60" s="272"/>
    </row>
    <row r="61" spans="2:6" ht="12" customHeight="1" x14ac:dyDescent="0.15">
      <c r="B61" s="274"/>
      <c r="C61" s="273"/>
      <c r="D61" s="273"/>
      <c r="E61" s="273"/>
      <c r="F61" s="272"/>
    </row>
    <row r="62" spans="2:6" ht="12" customHeight="1" x14ac:dyDescent="0.15">
      <c r="B62" s="274"/>
      <c r="C62" s="273"/>
      <c r="D62" s="273"/>
      <c r="E62" s="273"/>
      <c r="F62" s="272"/>
    </row>
    <row r="63" spans="2:6" ht="12" customHeight="1" x14ac:dyDescent="0.15">
      <c r="B63" s="274"/>
      <c r="C63" s="273"/>
      <c r="D63" s="273"/>
      <c r="E63" s="273"/>
      <c r="F63" s="272"/>
    </row>
    <row r="64" spans="2:6" ht="12" customHeight="1" x14ac:dyDescent="0.15">
      <c r="B64" s="274"/>
      <c r="C64" s="273"/>
      <c r="D64" s="273"/>
      <c r="E64" s="273"/>
      <c r="F64" s="272"/>
    </row>
    <row r="65" spans="2:6" ht="12" customHeight="1" x14ac:dyDescent="0.15">
      <c r="B65" s="274"/>
      <c r="C65" s="273"/>
      <c r="D65" s="273"/>
      <c r="E65" s="273"/>
      <c r="F65" s="272"/>
    </row>
    <row r="66" spans="2:6" ht="12" customHeight="1" x14ac:dyDescent="0.15">
      <c r="B66" s="274"/>
      <c r="C66" s="273"/>
      <c r="D66" s="273"/>
      <c r="E66" s="273"/>
      <c r="F66" s="272"/>
    </row>
    <row r="67" spans="2:6" ht="12" customHeight="1" x14ac:dyDescent="0.15">
      <c r="B67" s="274"/>
      <c r="C67" s="273"/>
      <c r="D67" s="273"/>
      <c r="E67" s="273"/>
      <c r="F67" s="272"/>
    </row>
    <row r="68" spans="2:6" ht="12" customHeight="1" x14ac:dyDescent="0.15">
      <c r="B68" s="274"/>
      <c r="C68" s="273"/>
      <c r="D68" s="273"/>
      <c r="E68" s="273"/>
      <c r="F68" s="272"/>
    </row>
    <row r="69" spans="2:6" ht="12" customHeight="1" x14ac:dyDescent="0.15">
      <c r="B69" s="274"/>
      <c r="C69" s="273"/>
      <c r="D69" s="273"/>
      <c r="E69" s="273"/>
      <c r="F69" s="272"/>
    </row>
    <row r="70" spans="2:6" ht="12" customHeight="1" x14ac:dyDescent="0.15">
      <c r="B70" s="274"/>
      <c r="C70" s="273"/>
      <c r="D70" s="273"/>
      <c r="E70" s="273"/>
      <c r="F70" s="272"/>
    </row>
    <row r="71" spans="2:6" ht="12" customHeight="1" x14ac:dyDescent="0.15">
      <c r="B71" s="274"/>
      <c r="C71" s="273"/>
      <c r="D71" s="273"/>
      <c r="E71" s="273"/>
      <c r="F71" s="272"/>
    </row>
    <row r="72" spans="2:6" ht="12" customHeight="1" x14ac:dyDescent="0.15">
      <c r="B72" s="274"/>
      <c r="C72" s="273"/>
      <c r="D72" s="273"/>
      <c r="E72" s="273"/>
      <c r="F72" s="272"/>
    </row>
    <row r="73" spans="2:6" ht="12" customHeight="1" x14ac:dyDescent="0.15">
      <c r="B73" s="274"/>
      <c r="C73" s="273"/>
      <c r="D73" s="273"/>
      <c r="E73" s="273"/>
      <c r="F73" s="272"/>
    </row>
    <row r="74" spans="2:6" ht="12" customHeight="1" x14ac:dyDescent="0.15">
      <c r="B74" s="274"/>
      <c r="C74" s="273"/>
      <c r="D74" s="273"/>
      <c r="E74" s="273"/>
      <c r="F74" s="272"/>
    </row>
    <row r="75" spans="2:6" ht="12" customHeight="1" x14ac:dyDescent="0.15">
      <c r="B75" s="274"/>
      <c r="C75" s="273"/>
      <c r="D75" s="273"/>
      <c r="E75" s="273"/>
      <c r="F75" s="272"/>
    </row>
    <row r="76" spans="2:6" ht="12" customHeight="1" x14ac:dyDescent="0.15">
      <c r="B76" s="274"/>
      <c r="C76" s="273"/>
      <c r="D76" s="273"/>
      <c r="E76" s="273"/>
      <c r="F76" s="272"/>
    </row>
    <row r="77" spans="2:6" ht="12" customHeight="1" x14ac:dyDescent="0.15">
      <c r="B77" s="274"/>
      <c r="C77" s="273"/>
      <c r="D77" s="273"/>
      <c r="E77" s="273"/>
      <c r="F77" s="272"/>
    </row>
    <row r="78" spans="2:6" ht="12" customHeight="1" x14ac:dyDescent="0.15">
      <c r="B78" s="274"/>
      <c r="C78" s="273"/>
      <c r="D78" s="273"/>
      <c r="E78" s="273"/>
      <c r="F78" s="272"/>
    </row>
    <row r="79" spans="2:6" ht="12" customHeight="1" x14ac:dyDescent="0.15">
      <c r="B79" s="274"/>
      <c r="C79" s="273"/>
      <c r="D79" s="273"/>
      <c r="E79" s="273"/>
      <c r="F79" s="272"/>
    </row>
    <row r="80" spans="2:6" ht="12" customHeight="1" x14ac:dyDescent="0.15">
      <c r="B80" s="274"/>
      <c r="C80" s="273"/>
      <c r="D80" s="273"/>
      <c r="E80" s="273"/>
      <c r="F80" s="272"/>
    </row>
    <row r="81" spans="2:6" ht="12" customHeight="1" x14ac:dyDescent="0.15">
      <c r="B81" s="274"/>
      <c r="C81" s="273"/>
      <c r="D81" s="273"/>
      <c r="E81" s="273"/>
      <c r="F81" s="272"/>
    </row>
    <row r="82" spans="2:6" ht="12" customHeight="1" x14ac:dyDescent="0.15">
      <c r="B82" s="274"/>
      <c r="C82" s="273"/>
      <c r="D82" s="273"/>
      <c r="E82" s="273"/>
      <c r="F82" s="272"/>
    </row>
    <row r="83" spans="2:6" ht="12" customHeight="1" x14ac:dyDescent="0.15">
      <c r="B83" s="274"/>
      <c r="C83" s="273"/>
      <c r="D83" s="273"/>
      <c r="E83" s="273"/>
      <c r="F83" s="272"/>
    </row>
    <row r="84" spans="2:6" ht="12" customHeight="1" x14ac:dyDescent="0.15">
      <c r="B84" s="274"/>
      <c r="C84" s="273"/>
      <c r="D84" s="273"/>
      <c r="E84" s="273"/>
      <c r="F84" s="272"/>
    </row>
    <row r="85" spans="2:6" ht="12" customHeight="1" x14ac:dyDescent="0.15">
      <c r="B85" s="274"/>
      <c r="C85" s="273"/>
      <c r="D85" s="273"/>
      <c r="E85" s="273"/>
      <c r="F85" s="272"/>
    </row>
    <row r="86" spans="2:6" ht="12" customHeight="1" x14ac:dyDescent="0.15">
      <c r="B86" s="274"/>
      <c r="C86" s="273"/>
      <c r="D86" s="273"/>
      <c r="E86" s="273"/>
      <c r="F86" s="272"/>
    </row>
    <row r="87" spans="2:6" ht="12" customHeight="1" x14ac:dyDescent="0.15">
      <c r="B87" s="274"/>
      <c r="C87" s="273"/>
      <c r="D87" s="273"/>
      <c r="E87" s="273"/>
      <c r="F87" s="272"/>
    </row>
    <row r="88" spans="2:6" ht="12" customHeight="1" x14ac:dyDescent="0.15">
      <c r="B88" s="274"/>
      <c r="C88" s="273"/>
      <c r="D88" s="273"/>
      <c r="E88" s="273"/>
      <c r="F88" s="272"/>
    </row>
    <row r="89" spans="2:6" ht="12" customHeight="1" x14ac:dyDescent="0.15">
      <c r="B89" s="274"/>
      <c r="C89" s="273"/>
      <c r="D89" s="273"/>
      <c r="E89" s="273"/>
      <c r="F89" s="272"/>
    </row>
    <row r="90" spans="2:6" ht="12" customHeight="1" x14ac:dyDescent="0.15">
      <c r="B90" s="274"/>
      <c r="C90" s="273"/>
      <c r="D90" s="273"/>
      <c r="E90" s="273"/>
      <c r="F90" s="272"/>
    </row>
    <row r="91" spans="2:6" ht="12" customHeight="1" x14ac:dyDescent="0.15">
      <c r="B91" s="274"/>
      <c r="C91" s="273"/>
      <c r="D91" s="273"/>
      <c r="E91" s="273"/>
      <c r="F91" s="272"/>
    </row>
    <row r="92" spans="2:6" ht="12" customHeight="1" x14ac:dyDescent="0.15">
      <c r="B92" s="274"/>
      <c r="C92" s="273"/>
      <c r="D92" s="273"/>
      <c r="E92" s="273"/>
      <c r="F92" s="272"/>
    </row>
    <row r="93" spans="2:6" ht="12" customHeight="1" x14ac:dyDescent="0.15">
      <c r="B93" s="274"/>
      <c r="C93" s="273"/>
      <c r="D93" s="273"/>
      <c r="E93" s="273"/>
      <c r="F93" s="272"/>
    </row>
    <row r="94" spans="2:6" ht="12" customHeight="1" x14ac:dyDescent="0.15">
      <c r="B94" s="274"/>
      <c r="C94" s="273"/>
      <c r="D94" s="273"/>
      <c r="E94" s="273"/>
      <c r="F94" s="272"/>
    </row>
    <row r="95" spans="2:6" ht="12" customHeight="1" x14ac:dyDescent="0.15">
      <c r="B95" s="274"/>
      <c r="C95" s="273"/>
      <c r="D95" s="273"/>
      <c r="E95" s="273"/>
      <c r="F95" s="272"/>
    </row>
    <row r="96" spans="2:6" ht="12" customHeight="1" x14ac:dyDescent="0.15">
      <c r="B96" s="274"/>
      <c r="C96" s="273"/>
      <c r="D96" s="273"/>
      <c r="E96" s="273"/>
      <c r="F96" s="272"/>
    </row>
    <row r="97" spans="2:6" ht="12" customHeight="1" x14ac:dyDescent="0.15">
      <c r="B97" s="274"/>
      <c r="C97" s="273"/>
      <c r="D97" s="273"/>
      <c r="E97" s="273"/>
      <c r="F97" s="272"/>
    </row>
    <row r="98" spans="2:6" ht="12" customHeight="1" x14ac:dyDescent="0.15">
      <c r="B98" s="274"/>
      <c r="C98" s="273"/>
      <c r="D98" s="273"/>
      <c r="E98" s="273"/>
      <c r="F98" s="272"/>
    </row>
    <row r="99" spans="2:6" ht="12" customHeight="1" x14ac:dyDescent="0.15">
      <c r="B99" s="274"/>
      <c r="C99" s="273"/>
      <c r="D99" s="273"/>
      <c r="E99" s="273"/>
      <c r="F99" s="272"/>
    </row>
    <row r="100" spans="2:6" ht="12" customHeight="1" x14ac:dyDescent="0.15">
      <c r="B100" s="274"/>
      <c r="C100" s="273"/>
      <c r="D100" s="273"/>
      <c r="E100" s="273"/>
      <c r="F100" s="272"/>
    </row>
    <row r="101" spans="2:6" ht="12" customHeight="1" x14ac:dyDescent="0.15">
      <c r="B101" s="274"/>
      <c r="C101" s="273"/>
      <c r="D101" s="273"/>
      <c r="E101" s="273"/>
      <c r="F101" s="272"/>
    </row>
    <row r="102" spans="2:6" ht="12" customHeight="1" x14ac:dyDescent="0.15">
      <c r="B102" s="274"/>
      <c r="C102" s="273"/>
      <c r="D102" s="273"/>
      <c r="E102" s="273"/>
      <c r="F102" s="272"/>
    </row>
    <row r="103" spans="2:6" ht="12" customHeight="1" x14ac:dyDescent="0.15">
      <c r="B103" s="274"/>
      <c r="C103" s="273"/>
      <c r="D103" s="273"/>
      <c r="E103" s="273"/>
      <c r="F103" s="272"/>
    </row>
    <row r="104" spans="2:6" ht="12" customHeight="1" x14ac:dyDescent="0.15">
      <c r="B104" s="274"/>
      <c r="C104" s="273"/>
      <c r="D104" s="273"/>
      <c r="E104" s="273"/>
      <c r="F104" s="272"/>
    </row>
    <row r="105" spans="2:6" ht="12" customHeight="1" x14ac:dyDescent="0.15">
      <c r="B105" s="274"/>
      <c r="C105" s="273"/>
      <c r="D105" s="273"/>
      <c r="E105" s="273"/>
      <c r="F105" s="272"/>
    </row>
    <row r="106" spans="2:6" ht="12" customHeight="1" x14ac:dyDescent="0.15">
      <c r="B106" s="274"/>
      <c r="C106" s="273"/>
      <c r="D106" s="273"/>
      <c r="E106" s="273"/>
      <c r="F106" s="272"/>
    </row>
    <row r="107" spans="2:6" ht="12" customHeight="1" x14ac:dyDescent="0.15">
      <c r="B107" s="274"/>
      <c r="C107" s="273"/>
      <c r="D107" s="273"/>
      <c r="E107" s="273"/>
      <c r="F107" s="272"/>
    </row>
    <row r="108" spans="2:6" ht="12" customHeight="1" x14ac:dyDescent="0.15">
      <c r="B108" s="274"/>
      <c r="C108" s="273"/>
      <c r="D108" s="273"/>
      <c r="E108" s="273"/>
      <c r="F108" s="272"/>
    </row>
    <row r="109" spans="2:6" ht="12" customHeight="1" x14ac:dyDescent="0.15">
      <c r="B109" s="274"/>
      <c r="C109" s="273"/>
      <c r="D109" s="273"/>
      <c r="E109" s="273"/>
      <c r="F109" s="272"/>
    </row>
    <row r="110" spans="2:6" ht="12" customHeight="1" x14ac:dyDescent="0.15">
      <c r="B110" s="274"/>
      <c r="C110" s="273"/>
      <c r="D110" s="273"/>
      <c r="E110" s="273"/>
      <c r="F110" s="272"/>
    </row>
    <row r="111" spans="2:6" ht="12" customHeight="1" x14ac:dyDescent="0.15">
      <c r="B111" s="274"/>
      <c r="C111" s="273"/>
      <c r="D111" s="273"/>
      <c r="E111" s="273"/>
      <c r="F111" s="272"/>
    </row>
    <row r="112" spans="2:6" ht="12" customHeight="1" x14ac:dyDescent="0.15">
      <c r="B112" s="274"/>
      <c r="C112" s="273"/>
      <c r="D112" s="273"/>
      <c r="E112" s="273"/>
      <c r="F112" s="272"/>
    </row>
    <row r="113" spans="2:6" ht="12" customHeight="1" x14ac:dyDescent="0.15">
      <c r="B113" s="274"/>
      <c r="C113" s="273"/>
      <c r="D113" s="273"/>
      <c r="E113" s="273"/>
      <c r="F113" s="272"/>
    </row>
    <row r="114" spans="2:6" ht="12" customHeight="1" x14ac:dyDescent="0.15">
      <c r="B114" s="274"/>
      <c r="C114" s="273"/>
      <c r="D114" s="273"/>
      <c r="E114" s="273"/>
      <c r="F114" s="272"/>
    </row>
    <row r="115" spans="2:6" ht="12" customHeight="1" x14ac:dyDescent="0.15">
      <c r="B115" s="274"/>
      <c r="C115" s="273"/>
      <c r="D115" s="273"/>
      <c r="E115" s="273"/>
      <c r="F115" s="272"/>
    </row>
    <row r="116" spans="2:6" ht="12" customHeight="1" x14ac:dyDescent="0.15">
      <c r="B116" s="274"/>
      <c r="C116" s="273"/>
      <c r="D116" s="273"/>
      <c r="E116" s="273"/>
      <c r="F116" s="272"/>
    </row>
    <row r="117" spans="2:6" ht="12" customHeight="1" x14ac:dyDescent="0.15">
      <c r="B117" s="274"/>
      <c r="C117" s="273"/>
      <c r="D117" s="273"/>
      <c r="E117" s="273"/>
      <c r="F117" s="272"/>
    </row>
    <row r="118" spans="2:6" ht="12" customHeight="1" x14ac:dyDescent="0.15">
      <c r="B118" s="274"/>
      <c r="C118" s="273"/>
      <c r="D118" s="273"/>
      <c r="E118" s="273"/>
      <c r="F118" s="272"/>
    </row>
    <row r="119" spans="2:6" ht="12" customHeight="1" x14ac:dyDescent="0.15">
      <c r="B119" s="274"/>
      <c r="C119" s="273"/>
      <c r="D119" s="273"/>
      <c r="E119" s="273"/>
      <c r="F119" s="272"/>
    </row>
    <row r="120" spans="2:6" ht="12" customHeight="1" x14ac:dyDescent="0.15">
      <c r="B120" s="274"/>
      <c r="C120" s="273"/>
      <c r="D120" s="273"/>
      <c r="E120" s="273"/>
      <c r="F120" s="272"/>
    </row>
    <row r="121" spans="2:6" ht="12" customHeight="1" x14ac:dyDescent="0.15">
      <c r="B121" s="274"/>
      <c r="C121" s="273"/>
      <c r="D121" s="273"/>
      <c r="E121" s="273"/>
      <c r="F121" s="272"/>
    </row>
    <row r="122" spans="2:6" ht="12" customHeight="1" x14ac:dyDescent="0.15">
      <c r="B122" s="274"/>
      <c r="C122" s="273"/>
      <c r="D122" s="273"/>
      <c r="E122" s="273"/>
      <c r="F122" s="272"/>
    </row>
    <row r="123" spans="2:6" ht="12" customHeight="1" x14ac:dyDescent="0.15">
      <c r="B123" s="274"/>
      <c r="C123" s="273"/>
      <c r="D123" s="273"/>
      <c r="E123" s="273"/>
      <c r="F123" s="272"/>
    </row>
    <row r="124" spans="2:6" ht="12" customHeight="1" x14ac:dyDescent="0.15">
      <c r="B124" s="274"/>
      <c r="C124" s="273"/>
      <c r="D124" s="273"/>
      <c r="E124" s="273"/>
      <c r="F124" s="272"/>
    </row>
    <row r="125" spans="2:6" ht="12" customHeight="1" x14ac:dyDescent="0.15">
      <c r="B125" s="274"/>
      <c r="C125" s="273"/>
      <c r="D125" s="273"/>
      <c r="E125" s="273"/>
      <c r="F125" s="272"/>
    </row>
    <row r="126" spans="2:6" ht="12" customHeight="1" x14ac:dyDescent="0.15">
      <c r="B126" s="274"/>
      <c r="C126" s="273"/>
      <c r="D126" s="273"/>
      <c r="E126" s="273"/>
      <c r="F126" s="272"/>
    </row>
    <row r="127" spans="2:6" ht="12" customHeight="1" x14ac:dyDescent="0.15">
      <c r="B127" s="274"/>
      <c r="C127" s="273"/>
      <c r="D127" s="273"/>
      <c r="E127" s="273"/>
      <c r="F127" s="272"/>
    </row>
    <row r="128" spans="2:6" ht="12" customHeight="1" x14ac:dyDescent="0.15">
      <c r="B128" s="274"/>
      <c r="C128" s="273"/>
      <c r="D128" s="273"/>
      <c r="E128" s="273"/>
      <c r="F128" s="272"/>
    </row>
    <row r="129" spans="2:6" ht="12" customHeight="1" x14ac:dyDescent="0.15">
      <c r="B129" s="274"/>
      <c r="C129" s="273"/>
      <c r="D129" s="273"/>
      <c r="E129" s="273"/>
      <c r="F129" s="272"/>
    </row>
    <row r="130" spans="2:6" ht="12" customHeight="1" x14ac:dyDescent="0.15">
      <c r="B130" s="274"/>
      <c r="C130" s="273"/>
      <c r="D130" s="273"/>
      <c r="E130" s="273"/>
      <c r="F130" s="272"/>
    </row>
    <row r="131" spans="2:6" ht="12" customHeight="1" x14ac:dyDescent="0.15">
      <c r="B131" s="274"/>
      <c r="C131" s="273"/>
      <c r="D131" s="273"/>
      <c r="E131" s="273"/>
      <c r="F131" s="272"/>
    </row>
    <row r="132" spans="2:6" ht="12" customHeight="1" x14ac:dyDescent="0.15">
      <c r="B132" s="274"/>
      <c r="C132" s="273"/>
      <c r="D132" s="273"/>
      <c r="E132" s="273"/>
      <c r="F132" s="272"/>
    </row>
    <row r="133" spans="2:6" ht="12" customHeight="1" x14ac:dyDescent="0.15">
      <c r="B133" s="274"/>
      <c r="C133" s="273"/>
      <c r="D133" s="273"/>
      <c r="E133" s="273"/>
      <c r="F133" s="272"/>
    </row>
    <row r="134" spans="2:6" ht="12" customHeight="1" x14ac:dyDescent="0.15">
      <c r="B134" s="274"/>
      <c r="C134" s="273"/>
      <c r="D134" s="273"/>
      <c r="E134" s="273"/>
      <c r="F134" s="272"/>
    </row>
    <row r="135" spans="2:6" ht="12" customHeight="1" x14ac:dyDescent="0.15">
      <c r="B135" s="274"/>
      <c r="C135" s="273"/>
      <c r="D135" s="273"/>
      <c r="E135" s="273"/>
      <c r="F135" s="272"/>
    </row>
    <row r="136" spans="2:6" ht="12" customHeight="1" x14ac:dyDescent="0.15">
      <c r="B136" s="274"/>
      <c r="C136" s="273"/>
      <c r="D136" s="273"/>
      <c r="E136" s="273"/>
      <c r="F136" s="272"/>
    </row>
    <row r="137" spans="2:6" ht="12" customHeight="1" x14ac:dyDescent="0.15">
      <c r="B137" s="274"/>
      <c r="C137" s="273"/>
      <c r="D137" s="273"/>
      <c r="E137" s="273"/>
      <c r="F137" s="272"/>
    </row>
    <row r="138" spans="2:6" ht="12" customHeight="1" x14ac:dyDescent="0.15">
      <c r="B138" s="274"/>
      <c r="C138" s="273"/>
      <c r="D138" s="273"/>
      <c r="E138" s="273"/>
      <c r="F138" s="272"/>
    </row>
    <row r="139" spans="2:6" ht="12" customHeight="1" x14ac:dyDescent="0.15">
      <c r="B139" s="274"/>
      <c r="C139" s="273"/>
      <c r="D139" s="273"/>
      <c r="E139" s="273"/>
      <c r="F139" s="272"/>
    </row>
    <row r="140" spans="2:6" ht="12" customHeight="1" x14ac:dyDescent="0.15">
      <c r="B140" s="274"/>
      <c r="C140" s="273"/>
      <c r="D140" s="273"/>
      <c r="E140" s="273"/>
      <c r="F140" s="272"/>
    </row>
    <row r="141" spans="2:6" ht="12" customHeight="1" x14ac:dyDescent="0.15">
      <c r="B141" s="274"/>
      <c r="C141" s="273"/>
      <c r="D141" s="273"/>
      <c r="E141" s="273"/>
      <c r="F141" s="272"/>
    </row>
    <row r="142" spans="2:6" ht="12" customHeight="1" x14ac:dyDescent="0.15">
      <c r="B142" s="274"/>
      <c r="C142" s="273"/>
      <c r="D142" s="273"/>
      <c r="E142" s="273"/>
      <c r="F142" s="272"/>
    </row>
    <row r="143" spans="2:6" ht="12" customHeight="1" x14ac:dyDescent="0.15">
      <c r="B143" s="274"/>
      <c r="C143" s="273"/>
      <c r="D143" s="273"/>
      <c r="E143" s="273"/>
      <c r="F143" s="272"/>
    </row>
    <row r="144" spans="2:6" ht="12" customHeight="1" x14ac:dyDescent="0.15">
      <c r="B144" s="274"/>
      <c r="C144" s="273"/>
      <c r="D144" s="273"/>
      <c r="E144" s="273"/>
      <c r="F144" s="272"/>
    </row>
    <row r="145" spans="2:6" ht="12" customHeight="1" x14ac:dyDescent="0.15">
      <c r="B145" s="274"/>
      <c r="C145" s="273"/>
      <c r="D145" s="273"/>
      <c r="E145" s="273"/>
      <c r="F145" s="272"/>
    </row>
    <row r="146" spans="2:6" ht="12" customHeight="1" x14ac:dyDescent="0.15">
      <c r="B146" s="274"/>
      <c r="C146" s="273"/>
      <c r="D146" s="273"/>
      <c r="E146" s="273"/>
      <c r="F146" s="272"/>
    </row>
    <row r="147" spans="2:6" ht="12" customHeight="1" x14ac:dyDescent="0.15">
      <c r="B147" s="274"/>
      <c r="C147" s="273"/>
      <c r="D147" s="273"/>
      <c r="E147" s="273"/>
      <c r="F147" s="272"/>
    </row>
    <row r="148" spans="2:6" ht="12" customHeight="1" x14ac:dyDescent="0.15">
      <c r="B148" s="274"/>
      <c r="C148" s="273"/>
      <c r="D148" s="273"/>
      <c r="E148" s="273"/>
      <c r="F148" s="272"/>
    </row>
    <row r="149" spans="2:6" ht="12" customHeight="1" x14ac:dyDescent="0.15">
      <c r="B149" s="274"/>
      <c r="C149" s="273"/>
      <c r="D149" s="273"/>
      <c r="E149" s="273"/>
      <c r="F149" s="272"/>
    </row>
    <row r="150" spans="2:6" ht="12" customHeight="1" x14ac:dyDescent="0.15">
      <c r="B150" s="274"/>
      <c r="C150" s="273"/>
      <c r="D150" s="273"/>
      <c r="E150" s="273"/>
      <c r="F150" s="272"/>
    </row>
    <row r="151" spans="2:6" ht="12" customHeight="1" x14ac:dyDescent="0.15">
      <c r="B151" s="274"/>
      <c r="C151" s="273"/>
      <c r="D151" s="273"/>
      <c r="E151" s="273"/>
      <c r="F151" s="272"/>
    </row>
    <row r="152" spans="2:6" ht="12" customHeight="1" x14ac:dyDescent="0.15">
      <c r="B152" s="274"/>
      <c r="C152" s="273"/>
      <c r="D152" s="273"/>
      <c r="E152" s="273"/>
      <c r="F152" s="272"/>
    </row>
    <row r="153" spans="2:6" ht="12" customHeight="1" x14ac:dyDescent="0.15">
      <c r="B153" s="274"/>
      <c r="C153" s="273"/>
      <c r="D153" s="273"/>
      <c r="E153" s="273"/>
      <c r="F153" s="272"/>
    </row>
    <row r="154" spans="2:6" ht="12" customHeight="1" x14ac:dyDescent="0.15">
      <c r="B154" s="274"/>
      <c r="C154" s="273"/>
      <c r="D154" s="273"/>
      <c r="E154" s="273"/>
      <c r="F154" s="272"/>
    </row>
    <row r="155" spans="2:6" ht="12" customHeight="1" x14ac:dyDescent="0.15">
      <c r="B155" s="274"/>
      <c r="C155" s="273"/>
      <c r="D155" s="273"/>
      <c r="E155" s="273"/>
      <c r="F155" s="272"/>
    </row>
    <row r="156" spans="2:6" ht="12" customHeight="1" x14ac:dyDescent="0.15">
      <c r="B156" s="274"/>
      <c r="C156" s="273"/>
      <c r="D156" s="273"/>
      <c r="E156" s="273"/>
      <c r="F156" s="272"/>
    </row>
    <row r="157" spans="2:6" ht="12" customHeight="1" x14ac:dyDescent="0.15">
      <c r="B157" s="274"/>
      <c r="C157" s="273"/>
      <c r="D157" s="273"/>
      <c r="E157" s="273"/>
      <c r="F157" s="272"/>
    </row>
    <row r="158" spans="2:6" ht="12" customHeight="1" x14ac:dyDescent="0.15">
      <c r="B158" s="274"/>
      <c r="C158" s="273"/>
      <c r="D158" s="273"/>
      <c r="E158" s="273"/>
      <c r="F158" s="272"/>
    </row>
    <row r="159" spans="2:6" ht="12" customHeight="1" x14ac:dyDescent="0.15">
      <c r="B159" s="274"/>
      <c r="C159" s="273"/>
      <c r="D159" s="273"/>
      <c r="E159" s="273"/>
      <c r="F159" s="272"/>
    </row>
    <row r="160" spans="2:6" ht="12" customHeight="1" x14ac:dyDescent="0.15">
      <c r="B160" s="274"/>
      <c r="C160" s="273"/>
      <c r="D160" s="273"/>
      <c r="E160" s="273"/>
      <c r="F160" s="272"/>
    </row>
    <row r="161" spans="2:6" ht="12" customHeight="1" x14ac:dyDescent="0.15">
      <c r="B161" s="274"/>
      <c r="C161" s="273"/>
      <c r="D161" s="273"/>
      <c r="E161" s="273"/>
      <c r="F161" s="272"/>
    </row>
    <row r="162" spans="2:6" ht="12" customHeight="1" x14ac:dyDescent="0.15">
      <c r="B162" s="274"/>
      <c r="C162" s="273"/>
      <c r="D162" s="273"/>
      <c r="E162" s="273"/>
      <c r="F162" s="272"/>
    </row>
    <row r="163" spans="2:6" ht="12" customHeight="1" x14ac:dyDescent="0.15">
      <c r="B163" s="274"/>
      <c r="C163" s="273"/>
      <c r="D163" s="273"/>
      <c r="E163" s="273"/>
      <c r="F163" s="272"/>
    </row>
    <row r="164" spans="2:6" ht="12" customHeight="1" x14ac:dyDescent="0.15">
      <c r="B164" s="274"/>
      <c r="C164" s="273"/>
      <c r="D164" s="273"/>
      <c r="E164" s="273"/>
      <c r="F164" s="272"/>
    </row>
    <row r="165" spans="2:6" ht="12" customHeight="1" x14ac:dyDescent="0.15">
      <c r="B165" s="274"/>
      <c r="C165" s="273"/>
      <c r="D165" s="273"/>
      <c r="E165" s="273"/>
      <c r="F165" s="272"/>
    </row>
    <row r="166" spans="2:6" ht="12" customHeight="1" x14ac:dyDescent="0.15">
      <c r="B166" s="274"/>
      <c r="C166" s="273"/>
      <c r="D166" s="273"/>
      <c r="E166" s="273"/>
      <c r="F166" s="272"/>
    </row>
    <row r="167" spans="2:6" ht="12" customHeight="1" x14ac:dyDescent="0.15">
      <c r="B167" s="274"/>
      <c r="C167" s="273"/>
      <c r="D167" s="273"/>
      <c r="E167" s="273"/>
      <c r="F167" s="272"/>
    </row>
    <row r="168" spans="2:6" ht="12" customHeight="1" x14ac:dyDescent="0.15">
      <c r="B168" s="274"/>
      <c r="C168" s="273"/>
      <c r="D168" s="273"/>
      <c r="E168" s="273"/>
      <c r="F168" s="272"/>
    </row>
    <row r="169" spans="2:6" ht="12" customHeight="1" x14ac:dyDescent="0.15">
      <c r="B169" s="274"/>
      <c r="C169" s="273"/>
      <c r="D169" s="273"/>
      <c r="E169" s="273"/>
      <c r="F169" s="272"/>
    </row>
    <row r="170" spans="2:6" ht="12" customHeight="1" x14ac:dyDescent="0.15">
      <c r="B170" s="274"/>
      <c r="C170" s="273"/>
      <c r="D170" s="273"/>
      <c r="E170" s="273"/>
      <c r="F170" s="272"/>
    </row>
    <row r="171" spans="2:6" ht="12" customHeight="1" x14ac:dyDescent="0.15">
      <c r="B171" s="274"/>
      <c r="C171" s="273"/>
      <c r="D171" s="273"/>
      <c r="E171" s="273"/>
      <c r="F171" s="272"/>
    </row>
    <row r="172" spans="2:6" ht="12" customHeight="1" x14ac:dyDescent="0.15">
      <c r="B172" s="274"/>
      <c r="C172" s="273"/>
      <c r="D172" s="273"/>
      <c r="E172" s="273"/>
      <c r="F172" s="272"/>
    </row>
    <row r="173" spans="2:6" ht="12" customHeight="1" x14ac:dyDescent="0.15">
      <c r="B173" s="274"/>
      <c r="C173" s="273"/>
      <c r="D173" s="273"/>
      <c r="E173" s="273"/>
      <c r="F173" s="272"/>
    </row>
    <row r="174" spans="2:6" ht="12" customHeight="1" x14ac:dyDescent="0.15">
      <c r="B174" s="274"/>
      <c r="C174" s="273"/>
      <c r="D174" s="273"/>
      <c r="E174" s="273"/>
      <c r="F174" s="272"/>
    </row>
    <row r="175" spans="2:6" ht="12" customHeight="1" x14ac:dyDescent="0.15">
      <c r="B175" s="274"/>
      <c r="C175" s="273"/>
      <c r="D175" s="273"/>
      <c r="E175" s="273"/>
      <c r="F175" s="272"/>
    </row>
    <row r="176" spans="2:6" ht="12" customHeight="1" x14ac:dyDescent="0.15">
      <c r="B176" s="274"/>
      <c r="C176" s="273"/>
      <c r="D176" s="273"/>
      <c r="E176" s="273"/>
      <c r="F176" s="272"/>
    </row>
    <row r="177" spans="2:6" ht="12" customHeight="1" x14ac:dyDescent="0.15">
      <c r="B177" s="274"/>
      <c r="C177" s="273"/>
      <c r="D177" s="273"/>
      <c r="E177" s="273"/>
      <c r="F177" s="272"/>
    </row>
    <row r="178" spans="2:6" ht="12" customHeight="1" x14ac:dyDescent="0.15">
      <c r="B178" s="274"/>
      <c r="C178" s="273"/>
      <c r="D178" s="273"/>
      <c r="E178" s="273"/>
      <c r="F178" s="272"/>
    </row>
    <row r="179" spans="2:6" ht="12" customHeight="1" x14ac:dyDescent="0.15">
      <c r="B179" s="274"/>
      <c r="C179" s="273"/>
      <c r="D179" s="273"/>
      <c r="E179" s="273"/>
      <c r="F179" s="272"/>
    </row>
    <row r="180" spans="2:6" ht="12" customHeight="1" x14ac:dyDescent="0.15">
      <c r="B180" s="274"/>
      <c r="C180" s="273"/>
      <c r="D180" s="273"/>
      <c r="E180" s="273"/>
      <c r="F180" s="272"/>
    </row>
    <row r="181" spans="2:6" ht="12" customHeight="1" x14ac:dyDescent="0.15">
      <c r="B181" s="274"/>
      <c r="C181" s="273"/>
      <c r="D181" s="273"/>
      <c r="E181" s="273"/>
      <c r="F181" s="272"/>
    </row>
    <row r="182" spans="2:6" ht="12" customHeight="1" x14ac:dyDescent="0.15">
      <c r="B182" s="274"/>
      <c r="C182" s="273"/>
      <c r="D182" s="273"/>
      <c r="E182" s="273"/>
      <c r="F182" s="272"/>
    </row>
    <row r="183" spans="2:6" ht="12" customHeight="1" x14ac:dyDescent="0.15">
      <c r="B183" s="274"/>
      <c r="C183" s="273"/>
      <c r="D183" s="273"/>
      <c r="E183" s="273"/>
      <c r="F183" s="272"/>
    </row>
    <row r="184" spans="2:6" ht="12" customHeight="1" x14ac:dyDescent="0.15">
      <c r="B184" s="274"/>
      <c r="C184" s="273"/>
      <c r="D184" s="273"/>
      <c r="E184" s="273"/>
      <c r="F184" s="272"/>
    </row>
    <row r="185" spans="2:6" ht="12" customHeight="1" x14ac:dyDescent="0.15">
      <c r="B185" s="274"/>
      <c r="C185" s="273"/>
      <c r="D185" s="273"/>
      <c r="E185" s="273"/>
      <c r="F185" s="272"/>
    </row>
    <row r="186" spans="2:6" ht="12" customHeight="1" x14ac:dyDescent="0.15">
      <c r="B186" s="274"/>
      <c r="C186" s="273"/>
      <c r="D186" s="273"/>
      <c r="E186" s="273"/>
      <c r="F186" s="272"/>
    </row>
    <row r="187" spans="2:6" ht="12" customHeight="1" x14ac:dyDescent="0.15">
      <c r="B187" s="274"/>
      <c r="C187" s="273"/>
      <c r="D187" s="273"/>
      <c r="E187" s="273"/>
      <c r="F187" s="272"/>
    </row>
    <row r="188" spans="2:6" ht="12" customHeight="1" x14ac:dyDescent="0.15">
      <c r="B188" s="274"/>
      <c r="C188" s="273"/>
      <c r="D188" s="273"/>
      <c r="E188" s="273"/>
      <c r="F188" s="272"/>
    </row>
    <row r="189" spans="2:6" ht="12" customHeight="1" x14ac:dyDescent="0.15">
      <c r="B189" s="274"/>
      <c r="C189" s="273"/>
      <c r="D189" s="273"/>
      <c r="E189" s="273"/>
      <c r="F189" s="272"/>
    </row>
    <row r="190" spans="2:6" ht="12" customHeight="1" x14ac:dyDescent="0.15">
      <c r="B190" s="274"/>
      <c r="C190" s="273"/>
      <c r="D190" s="273"/>
      <c r="E190" s="273"/>
      <c r="F190" s="272"/>
    </row>
    <row r="191" spans="2:6" ht="12" customHeight="1" x14ac:dyDescent="0.15">
      <c r="B191" s="274"/>
      <c r="C191" s="273"/>
      <c r="D191" s="273"/>
      <c r="E191" s="273"/>
      <c r="F191" s="272"/>
    </row>
    <row r="192" spans="2:6" ht="12" customHeight="1" x14ac:dyDescent="0.15">
      <c r="B192" s="274"/>
      <c r="C192" s="273"/>
      <c r="D192" s="273"/>
      <c r="E192" s="273"/>
      <c r="F192" s="272"/>
    </row>
    <row r="193" spans="2:6" ht="12" customHeight="1" x14ac:dyDescent="0.15">
      <c r="B193" s="274"/>
      <c r="C193" s="273"/>
      <c r="D193" s="273"/>
      <c r="E193" s="273"/>
      <c r="F193" s="272"/>
    </row>
    <row r="194" spans="2:6" ht="12" customHeight="1" x14ac:dyDescent="0.15">
      <c r="B194" s="274"/>
      <c r="C194" s="273"/>
      <c r="D194" s="273"/>
      <c r="E194" s="273"/>
      <c r="F194" s="272"/>
    </row>
    <row r="195" spans="2:6" ht="12" customHeight="1" x14ac:dyDescent="0.15">
      <c r="B195" s="274"/>
      <c r="C195" s="273"/>
      <c r="D195" s="273"/>
      <c r="E195" s="273"/>
      <c r="F195" s="272"/>
    </row>
    <row r="196" spans="2:6" ht="12" customHeight="1" x14ac:dyDescent="0.15">
      <c r="B196" s="274"/>
      <c r="C196" s="273"/>
      <c r="D196" s="273"/>
      <c r="E196" s="273"/>
      <c r="F196" s="272"/>
    </row>
    <row r="197" spans="2:6" ht="12" customHeight="1" x14ac:dyDescent="0.15">
      <c r="B197" s="274"/>
      <c r="C197" s="273"/>
      <c r="D197" s="273"/>
      <c r="E197" s="273"/>
      <c r="F197" s="272"/>
    </row>
    <row r="198" spans="2:6" ht="12" customHeight="1" x14ac:dyDescent="0.15">
      <c r="B198" s="274"/>
      <c r="C198" s="273"/>
      <c r="D198" s="273"/>
      <c r="E198" s="273"/>
      <c r="F198" s="272"/>
    </row>
    <row r="199" spans="2:6" ht="12" customHeight="1" x14ac:dyDescent="0.15">
      <c r="B199" s="274"/>
      <c r="C199" s="273"/>
      <c r="D199" s="273"/>
      <c r="E199" s="273"/>
      <c r="F199" s="272"/>
    </row>
    <row r="200" spans="2:6" ht="12" customHeight="1" x14ac:dyDescent="0.15">
      <c r="B200" s="274"/>
      <c r="C200" s="273"/>
      <c r="D200" s="273"/>
      <c r="E200" s="273"/>
      <c r="F200" s="272"/>
    </row>
    <row r="201" spans="2:6" ht="12" customHeight="1" x14ac:dyDescent="0.15">
      <c r="B201" s="274"/>
      <c r="C201" s="273"/>
      <c r="D201" s="273"/>
      <c r="E201" s="273"/>
      <c r="F201" s="272"/>
    </row>
    <row r="202" spans="2:6" ht="12" customHeight="1" x14ac:dyDescent="0.15">
      <c r="B202" s="274"/>
      <c r="C202" s="273"/>
      <c r="D202" s="273"/>
      <c r="E202" s="273"/>
      <c r="F202" s="272"/>
    </row>
    <row r="203" spans="2:6" ht="12" customHeight="1" x14ac:dyDescent="0.15">
      <c r="B203" s="274"/>
      <c r="C203" s="273"/>
      <c r="D203" s="273"/>
      <c r="E203" s="273"/>
      <c r="F203" s="272"/>
    </row>
    <row r="204" spans="2:6" ht="12" customHeight="1" x14ac:dyDescent="0.15">
      <c r="B204" s="274"/>
      <c r="C204" s="273"/>
      <c r="D204" s="273"/>
      <c r="E204" s="273"/>
      <c r="F204" s="272"/>
    </row>
    <row r="205" spans="2:6" ht="12" customHeight="1" x14ac:dyDescent="0.15">
      <c r="B205" s="274"/>
      <c r="C205" s="273"/>
      <c r="D205" s="273"/>
      <c r="E205" s="273"/>
      <c r="F205" s="272"/>
    </row>
    <row r="206" spans="2:6" ht="12" customHeight="1" x14ac:dyDescent="0.15">
      <c r="B206" s="274"/>
      <c r="C206" s="273"/>
      <c r="D206" s="273"/>
      <c r="E206" s="273"/>
      <c r="F206" s="272"/>
    </row>
    <row r="207" spans="2:6" ht="12" customHeight="1" x14ac:dyDescent="0.15">
      <c r="B207" s="274"/>
      <c r="C207" s="273"/>
      <c r="D207" s="273"/>
      <c r="E207" s="273"/>
      <c r="F207" s="272"/>
    </row>
    <row r="208" spans="2:6" ht="12" customHeight="1" x14ac:dyDescent="0.15">
      <c r="B208" s="274"/>
      <c r="C208" s="273"/>
      <c r="D208" s="273"/>
      <c r="E208" s="273"/>
      <c r="F208" s="272"/>
    </row>
    <row r="209" spans="2:6" ht="12" customHeight="1" x14ac:dyDescent="0.15">
      <c r="B209" s="274"/>
      <c r="C209" s="273"/>
      <c r="D209" s="273"/>
      <c r="E209" s="273"/>
      <c r="F209" s="272"/>
    </row>
    <row r="210" spans="2:6" ht="12" customHeight="1" x14ac:dyDescent="0.15">
      <c r="B210" s="274"/>
      <c r="C210" s="273"/>
      <c r="D210" s="273"/>
      <c r="E210" s="273"/>
      <c r="F210" s="272"/>
    </row>
    <row r="211" spans="2:6" ht="12" customHeight="1" x14ac:dyDescent="0.15">
      <c r="B211" s="274"/>
      <c r="C211" s="273"/>
      <c r="D211" s="273"/>
      <c r="E211" s="273"/>
      <c r="F211" s="272"/>
    </row>
    <row r="212" spans="2:6" ht="12" customHeight="1" x14ac:dyDescent="0.15">
      <c r="B212" s="274"/>
      <c r="C212" s="273"/>
      <c r="D212" s="273"/>
      <c r="E212" s="273"/>
      <c r="F212" s="272"/>
    </row>
    <row r="213" spans="2:6" ht="12" customHeight="1" x14ac:dyDescent="0.15">
      <c r="B213" s="274"/>
      <c r="C213" s="273"/>
      <c r="D213" s="273"/>
      <c r="E213" s="273"/>
      <c r="F213" s="272"/>
    </row>
    <row r="214" spans="2:6" ht="12" customHeight="1" x14ac:dyDescent="0.15">
      <c r="B214" s="274"/>
      <c r="C214" s="273"/>
      <c r="D214" s="273"/>
      <c r="E214" s="273"/>
      <c r="F214" s="272"/>
    </row>
    <row r="215" spans="2:6" ht="12" customHeight="1" x14ac:dyDescent="0.15">
      <c r="B215" s="274"/>
      <c r="C215" s="273"/>
      <c r="D215" s="273"/>
      <c r="E215" s="273"/>
      <c r="F215" s="272"/>
    </row>
    <row r="216" spans="2:6" ht="12" customHeight="1" x14ac:dyDescent="0.15">
      <c r="B216" s="274"/>
      <c r="C216" s="273"/>
      <c r="D216" s="273"/>
      <c r="E216" s="273"/>
      <c r="F216" s="272"/>
    </row>
    <row r="217" spans="2:6" ht="12" customHeight="1" x14ac:dyDescent="0.15">
      <c r="B217" s="274"/>
      <c r="C217" s="273"/>
      <c r="D217" s="273"/>
      <c r="E217" s="273"/>
      <c r="F217" s="272"/>
    </row>
    <row r="218" spans="2:6" ht="12" customHeight="1" x14ac:dyDescent="0.15">
      <c r="B218" s="274"/>
      <c r="C218" s="273"/>
      <c r="D218" s="273"/>
      <c r="E218" s="273"/>
      <c r="F218" s="272"/>
    </row>
    <row r="219" spans="2:6" ht="12" customHeight="1" x14ac:dyDescent="0.15">
      <c r="B219" s="274"/>
      <c r="C219" s="273"/>
      <c r="D219" s="273"/>
      <c r="E219" s="273"/>
      <c r="F219" s="272"/>
    </row>
    <row r="220" spans="2:6" ht="12" customHeight="1" x14ac:dyDescent="0.15">
      <c r="B220" s="274"/>
      <c r="C220" s="273"/>
      <c r="D220" s="273"/>
      <c r="E220" s="273"/>
      <c r="F220" s="272"/>
    </row>
    <row r="221" spans="2:6" ht="12" customHeight="1" x14ac:dyDescent="0.15">
      <c r="B221" s="274"/>
      <c r="C221" s="273"/>
      <c r="D221" s="273"/>
      <c r="E221" s="273"/>
      <c r="F221" s="272"/>
    </row>
    <row r="222" spans="2:6" ht="12" customHeight="1" x14ac:dyDescent="0.15">
      <c r="B222" s="274"/>
      <c r="C222" s="273"/>
      <c r="D222" s="273"/>
      <c r="E222" s="273"/>
      <c r="F222" s="272"/>
    </row>
    <row r="223" spans="2:6" ht="12" customHeight="1" x14ac:dyDescent="0.15">
      <c r="B223" s="274"/>
      <c r="C223" s="273"/>
      <c r="D223" s="273"/>
      <c r="E223" s="273"/>
      <c r="F223" s="272"/>
    </row>
    <row r="224" spans="2:6" ht="12" customHeight="1" x14ac:dyDescent="0.15">
      <c r="B224" s="274"/>
      <c r="C224" s="273"/>
      <c r="D224" s="273"/>
      <c r="E224" s="273"/>
      <c r="F224" s="272"/>
    </row>
    <row r="225" spans="2:6" ht="12" customHeight="1" x14ac:dyDescent="0.15">
      <c r="B225" s="274"/>
      <c r="C225" s="273"/>
      <c r="D225" s="273"/>
      <c r="E225" s="273"/>
      <c r="F225" s="272"/>
    </row>
    <row r="226" spans="2:6" ht="12" customHeight="1" x14ac:dyDescent="0.15">
      <c r="B226" s="274"/>
      <c r="C226" s="273"/>
      <c r="D226" s="273"/>
      <c r="E226" s="273"/>
      <c r="F226" s="272"/>
    </row>
    <row r="227" spans="2:6" ht="12" customHeight="1" x14ac:dyDescent="0.15">
      <c r="B227" s="274"/>
      <c r="C227" s="273"/>
      <c r="D227" s="273"/>
      <c r="E227" s="273"/>
      <c r="F227" s="272"/>
    </row>
    <row r="228" spans="2:6" ht="12" customHeight="1" x14ac:dyDescent="0.15">
      <c r="B228" s="274"/>
      <c r="C228" s="273"/>
      <c r="D228" s="273"/>
      <c r="E228" s="273"/>
      <c r="F228" s="272"/>
    </row>
    <row r="229" spans="2:6" ht="12" customHeight="1" x14ac:dyDescent="0.15">
      <c r="B229" s="274"/>
      <c r="C229" s="273"/>
      <c r="D229" s="273"/>
      <c r="E229" s="273"/>
      <c r="F229" s="272"/>
    </row>
    <row r="230" spans="2:6" ht="12" customHeight="1" x14ac:dyDescent="0.15">
      <c r="B230" s="274"/>
      <c r="C230" s="273"/>
      <c r="D230" s="273"/>
      <c r="E230" s="273"/>
      <c r="F230" s="272"/>
    </row>
    <row r="231" spans="2:6" ht="12" customHeight="1" x14ac:dyDescent="0.15">
      <c r="B231" s="274"/>
      <c r="C231" s="273"/>
      <c r="D231" s="273"/>
      <c r="E231" s="273"/>
      <c r="F231" s="272"/>
    </row>
    <row r="232" spans="2:6" ht="12" customHeight="1" x14ac:dyDescent="0.15">
      <c r="B232" s="274"/>
      <c r="C232" s="273"/>
      <c r="D232" s="273"/>
      <c r="E232" s="273"/>
      <c r="F232" s="272"/>
    </row>
    <row r="233" spans="2:6" ht="12" customHeight="1" x14ac:dyDescent="0.15">
      <c r="B233" s="274"/>
      <c r="C233" s="273"/>
      <c r="D233" s="273"/>
      <c r="E233" s="273"/>
      <c r="F233" s="272"/>
    </row>
    <row r="234" spans="2:6" ht="12" customHeight="1" x14ac:dyDescent="0.15">
      <c r="B234" s="274"/>
      <c r="C234" s="273"/>
      <c r="D234" s="273"/>
      <c r="E234" s="273"/>
      <c r="F234" s="272"/>
    </row>
    <row r="235" spans="2:6" ht="12" customHeight="1" x14ac:dyDescent="0.15">
      <c r="B235" s="274"/>
      <c r="C235" s="273"/>
      <c r="D235" s="273"/>
      <c r="E235" s="273"/>
      <c r="F235" s="272"/>
    </row>
    <row r="236" spans="2:6" ht="12" customHeight="1" x14ac:dyDescent="0.15">
      <c r="B236" s="274"/>
      <c r="C236" s="273"/>
      <c r="D236" s="273"/>
      <c r="E236" s="273"/>
      <c r="F236" s="272"/>
    </row>
    <row r="237" spans="2:6" ht="12" customHeight="1" x14ac:dyDescent="0.15">
      <c r="B237" s="274"/>
      <c r="C237" s="273"/>
      <c r="D237" s="273"/>
      <c r="E237" s="273"/>
      <c r="F237" s="272"/>
    </row>
    <row r="238" spans="2:6" ht="12" customHeight="1" x14ac:dyDescent="0.15">
      <c r="B238" s="274"/>
      <c r="C238" s="273"/>
      <c r="D238" s="273"/>
      <c r="E238" s="273"/>
      <c r="F238" s="272"/>
    </row>
    <row r="239" spans="2:6" ht="12" customHeight="1" x14ac:dyDescent="0.15">
      <c r="B239" s="274"/>
      <c r="C239" s="273"/>
      <c r="D239" s="273"/>
      <c r="E239" s="273"/>
      <c r="F239" s="272"/>
    </row>
    <row r="240" spans="2:6" ht="12" customHeight="1" x14ac:dyDescent="0.15">
      <c r="B240" s="274"/>
      <c r="C240" s="273"/>
      <c r="D240" s="273"/>
      <c r="E240" s="273"/>
      <c r="F240" s="272"/>
    </row>
    <row r="241" spans="2:6" ht="12" customHeight="1" x14ac:dyDescent="0.15">
      <c r="B241" s="274"/>
      <c r="C241" s="273"/>
      <c r="D241" s="273"/>
      <c r="E241" s="273"/>
      <c r="F241" s="272"/>
    </row>
    <row r="242" spans="2:6" ht="12" customHeight="1" x14ac:dyDescent="0.15">
      <c r="B242" s="274"/>
      <c r="C242" s="273"/>
      <c r="D242" s="273"/>
      <c r="E242" s="273"/>
      <c r="F242" s="272"/>
    </row>
    <row r="243" spans="2:6" ht="12" customHeight="1" x14ac:dyDescent="0.15">
      <c r="B243" s="274"/>
      <c r="C243" s="273"/>
      <c r="D243" s="273"/>
      <c r="E243" s="273"/>
      <c r="F243" s="272"/>
    </row>
    <row r="244" spans="2:6" ht="12" customHeight="1" x14ac:dyDescent="0.15">
      <c r="B244" s="274"/>
      <c r="C244" s="273"/>
      <c r="D244" s="273"/>
      <c r="E244" s="273"/>
      <c r="F244" s="272"/>
    </row>
    <row r="245" spans="2:6" ht="12" customHeight="1" x14ac:dyDescent="0.15">
      <c r="B245" s="274"/>
      <c r="C245" s="273"/>
      <c r="D245" s="273"/>
      <c r="E245" s="273"/>
      <c r="F245" s="272"/>
    </row>
    <row r="246" spans="2:6" ht="12" customHeight="1" x14ac:dyDescent="0.15">
      <c r="B246" s="274"/>
      <c r="C246" s="273"/>
      <c r="D246" s="273"/>
      <c r="E246" s="273"/>
      <c r="F246" s="272"/>
    </row>
    <row r="247" spans="2:6" ht="12" customHeight="1" x14ac:dyDescent="0.15">
      <c r="B247" s="274"/>
      <c r="C247" s="273"/>
      <c r="D247" s="273"/>
      <c r="E247" s="273"/>
      <c r="F247" s="272"/>
    </row>
    <row r="248" spans="2:6" ht="12" customHeight="1" x14ac:dyDescent="0.15">
      <c r="B248" s="274"/>
      <c r="C248" s="273"/>
      <c r="D248" s="273"/>
      <c r="E248" s="273"/>
      <c r="F248" s="272"/>
    </row>
    <row r="249" spans="2:6" ht="12" customHeight="1" x14ac:dyDescent="0.15">
      <c r="B249" s="274"/>
      <c r="C249" s="273"/>
      <c r="D249" s="273"/>
      <c r="E249" s="273"/>
      <c r="F249" s="272"/>
    </row>
    <row r="250" spans="2:6" ht="12" customHeight="1" x14ac:dyDescent="0.15">
      <c r="B250" s="274"/>
      <c r="C250" s="273"/>
      <c r="D250" s="273"/>
      <c r="E250" s="273"/>
      <c r="F250" s="272"/>
    </row>
    <row r="251" spans="2:6" ht="12" customHeight="1" x14ac:dyDescent="0.15">
      <c r="B251" s="274"/>
      <c r="C251" s="273"/>
      <c r="D251" s="273"/>
      <c r="E251" s="273"/>
      <c r="F251" s="272"/>
    </row>
    <row r="252" spans="2:6" ht="12" customHeight="1" x14ac:dyDescent="0.15">
      <c r="B252" s="274"/>
      <c r="C252" s="273"/>
      <c r="D252" s="273"/>
      <c r="E252" s="273"/>
      <c r="F252" s="272"/>
    </row>
    <row r="253" spans="2:6" ht="12" customHeight="1" x14ac:dyDescent="0.15">
      <c r="B253" s="274"/>
      <c r="C253" s="273"/>
      <c r="D253" s="273"/>
      <c r="E253" s="273"/>
      <c r="F253" s="272"/>
    </row>
    <row r="254" spans="2:6" ht="12" customHeight="1" x14ac:dyDescent="0.15">
      <c r="B254" s="274"/>
      <c r="C254" s="273"/>
      <c r="D254" s="273"/>
      <c r="E254" s="273"/>
      <c r="F254" s="272"/>
    </row>
    <row r="255" spans="2:6" ht="12" customHeight="1" x14ac:dyDescent="0.15">
      <c r="B255" s="274"/>
      <c r="C255" s="273"/>
      <c r="D255" s="273"/>
      <c r="E255" s="273"/>
      <c r="F255" s="272"/>
    </row>
    <row r="256" spans="2:6" ht="12" customHeight="1" x14ac:dyDescent="0.15">
      <c r="B256" s="274"/>
      <c r="C256" s="273"/>
      <c r="D256" s="273"/>
      <c r="E256" s="273"/>
      <c r="F256" s="272"/>
    </row>
    <row r="257" spans="2:6" ht="12" customHeight="1" x14ac:dyDescent="0.15">
      <c r="B257" s="274"/>
      <c r="C257" s="273"/>
      <c r="D257" s="273"/>
      <c r="E257" s="273"/>
      <c r="F257" s="272"/>
    </row>
    <row r="258" spans="2:6" ht="12" customHeight="1" x14ac:dyDescent="0.15">
      <c r="B258" s="274"/>
      <c r="C258" s="273"/>
      <c r="D258" s="273"/>
      <c r="E258" s="273"/>
      <c r="F258" s="272"/>
    </row>
    <row r="259" spans="2:6" ht="12" customHeight="1" x14ac:dyDescent="0.15">
      <c r="B259" s="274"/>
      <c r="C259" s="273"/>
      <c r="D259" s="273"/>
      <c r="E259" s="273"/>
      <c r="F259" s="272"/>
    </row>
    <row r="260" spans="2:6" ht="12" customHeight="1" x14ac:dyDescent="0.15">
      <c r="B260" s="274"/>
      <c r="C260" s="273"/>
      <c r="D260" s="273"/>
      <c r="E260" s="273"/>
      <c r="F260" s="272"/>
    </row>
    <row r="261" spans="2:6" ht="12" customHeight="1" x14ac:dyDescent="0.15">
      <c r="B261" s="274"/>
      <c r="C261" s="273"/>
      <c r="D261" s="273"/>
      <c r="E261" s="273"/>
      <c r="F261" s="272"/>
    </row>
    <row r="262" spans="2:6" ht="12" customHeight="1" x14ac:dyDescent="0.15">
      <c r="B262" s="274"/>
      <c r="C262" s="273"/>
      <c r="D262" s="273"/>
      <c r="E262" s="273"/>
      <c r="F262" s="272"/>
    </row>
    <row r="263" spans="2:6" ht="12" customHeight="1" x14ac:dyDescent="0.15">
      <c r="B263" s="274"/>
      <c r="C263" s="273"/>
      <c r="D263" s="273"/>
      <c r="E263" s="273"/>
      <c r="F263" s="272"/>
    </row>
    <row r="264" spans="2:6" ht="12" customHeight="1" x14ac:dyDescent="0.15">
      <c r="B264" s="274"/>
      <c r="C264" s="273"/>
      <c r="D264" s="273"/>
      <c r="E264" s="273"/>
      <c r="F264" s="272"/>
    </row>
    <row r="265" spans="2:6" ht="12" customHeight="1" x14ac:dyDescent="0.15">
      <c r="B265" s="274"/>
      <c r="C265" s="273"/>
      <c r="D265" s="273"/>
      <c r="E265" s="273"/>
      <c r="F265" s="272"/>
    </row>
    <row r="266" spans="2:6" ht="12" customHeight="1" x14ac:dyDescent="0.15">
      <c r="B266" s="274"/>
      <c r="C266" s="273"/>
      <c r="D266" s="273"/>
      <c r="E266" s="273"/>
      <c r="F266" s="272"/>
    </row>
    <row r="267" spans="2:6" ht="12" customHeight="1" x14ac:dyDescent="0.15">
      <c r="B267" s="274"/>
      <c r="C267" s="273"/>
      <c r="D267" s="273"/>
      <c r="E267" s="273"/>
      <c r="F267" s="272"/>
    </row>
    <row r="268" spans="2:6" ht="12" customHeight="1" x14ac:dyDescent="0.15">
      <c r="B268" s="274"/>
      <c r="C268" s="273"/>
      <c r="D268" s="273"/>
      <c r="E268" s="273"/>
      <c r="F268" s="272"/>
    </row>
    <row r="269" spans="2:6" ht="12" customHeight="1" x14ac:dyDescent="0.15">
      <c r="B269" s="274"/>
      <c r="C269" s="273"/>
      <c r="D269" s="273"/>
      <c r="E269" s="273"/>
      <c r="F269" s="272"/>
    </row>
    <row r="270" spans="2:6" ht="12" customHeight="1" x14ac:dyDescent="0.15">
      <c r="B270" s="274"/>
      <c r="C270" s="273"/>
      <c r="D270" s="273"/>
      <c r="E270" s="273"/>
      <c r="F270" s="272"/>
    </row>
    <row r="271" spans="2:6" ht="12" customHeight="1" x14ac:dyDescent="0.15">
      <c r="B271" s="274"/>
      <c r="C271" s="273"/>
      <c r="D271" s="273"/>
      <c r="E271" s="273"/>
      <c r="F271" s="272"/>
    </row>
    <row r="272" spans="2:6" ht="12" customHeight="1" x14ac:dyDescent="0.15">
      <c r="B272" s="274"/>
      <c r="C272" s="273"/>
      <c r="D272" s="273"/>
      <c r="E272" s="273"/>
      <c r="F272" s="272"/>
    </row>
    <row r="273" spans="2:6" ht="12" customHeight="1" x14ac:dyDescent="0.15">
      <c r="B273" s="274"/>
      <c r="C273" s="273"/>
      <c r="D273" s="273"/>
      <c r="E273" s="273"/>
      <c r="F273" s="272"/>
    </row>
    <row r="274" spans="2:6" ht="12" customHeight="1" x14ac:dyDescent="0.15">
      <c r="B274" s="274"/>
      <c r="C274" s="273"/>
      <c r="D274" s="273"/>
      <c r="E274" s="273"/>
      <c r="F274" s="272"/>
    </row>
    <row r="275" spans="2:6" ht="12" customHeight="1" x14ac:dyDescent="0.15">
      <c r="B275" s="274"/>
      <c r="C275" s="273"/>
      <c r="D275" s="273"/>
      <c r="E275" s="273"/>
      <c r="F275" s="272"/>
    </row>
    <row r="276" spans="2:6" ht="12" customHeight="1" x14ac:dyDescent="0.15">
      <c r="B276" s="274"/>
      <c r="C276" s="273"/>
      <c r="D276" s="273"/>
      <c r="E276" s="273"/>
      <c r="F276" s="272"/>
    </row>
    <row r="277" spans="2:6" ht="12" customHeight="1" x14ac:dyDescent="0.15">
      <c r="B277" s="274"/>
      <c r="C277" s="273"/>
      <c r="D277" s="273"/>
      <c r="E277" s="273"/>
      <c r="F277" s="272"/>
    </row>
    <row r="278" spans="2:6" ht="12" customHeight="1" x14ac:dyDescent="0.15">
      <c r="B278" s="274"/>
      <c r="C278" s="273"/>
      <c r="D278" s="273"/>
      <c r="E278" s="273"/>
      <c r="F278" s="272"/>
    </row>
    <row r="279" spans="2:6" ht="12" customHeight="1" x14ac:dyDescent="0.15">
      <c r="B279" s="274"/>
      <c r="C279" s="273"/>
      <c r="D279" s="273"/>
      <c r="E279" s="273"/>
      <c r="F279" s="272"/>
    </row>
    <row r="280" spans="2:6" ht="12" customHeight="1" x14ac:dyDescent="0.15">
      <c r="B280" s="274"/>
      <c r="C280" s="273"/>
      <c r="D280" s="273"/>
      <c r="E280" s="273"/>
      <c r="F280" s="272"/>
    </row>
    <row r="281" spans="2:6" ht="12" customHeight="1" x14ac:dyDescent="0.15">
      <c r="B281" s="274"/>
      <c r="C281" s="273"/>
      <c r="D281" s="273"/>
      <c r="E281" s="273"/>
      <c r="F281" s="272"/>
    </row>
    <row r="282" spans="2:6" ht="12" customHeight="1" x14ac:dyDescent="0.15">
      <c r="B282" s="274"/>
      <c r="C282" s="273"/>
      <c r="D282" s="273"/>
      <c r="E282" s="273"/>
      <c r="F282" s="272"/>
    </row>
    <row r="283" spans="2:6" ht="12" customHeight="1" x14ac:dyDescent="0.15">
      <c r="B283" s="274"/>
      <c r="C283" s="273"/>
      <c r="D283" s="273"/>
      <c r="E283" s="273"/>
      <c r="F283" s="272"/>
    </row>
    <row r="284" spans="2:6" ht="12" customHeight="1" x14ac:dyDescent="0.15">
      <c r="B284" s="274"/>
      <c r="C284" s="273"/>
      <c r="D284" s="273"/>
      <c r="E284" s="273"/>
      <c r="F284" s="272"/>
    </row>
    <row r="285" spans="2:6" ht="12" customHeight="1" x14ac:dyDescent="0.15">
      <c r="B285" s="274"/>
      <c r="C285" s="273"/>
      <c r="D285" s="273"/>
      <c r="E285" s="273"/>
      <c r="F285" s="272"/>
    </row>
    <row r="286" spans="2:6" ht="12" customHeight="1" x14ac:dyDescent="0.15">
      <c r="B286" s="274"/>
      <c r="C286" s="273"/>
      <c r="D286" s="273"/>
      <c r="E286" s="273"/>
      <c r="F286" s="272"/>
    </row>
    <row r="287" spans="2:6" ht="12" customHeight="1" x14ac:dyDescent="0.15">
      <c r="B287" s="274"/>
      <c r="C287" s="273"/>
      <c r="D287" s="273"/>
      <c r="E287" s="273"/>
      <c r="F287" s="272"/>
    </row>
    <row r="288" spans="2:6" ht="12" customHeight="1" x14ac:dyDescent="0.15">
      <c r="B288" s="274"/>
      <c r="C288" s="273"/>
      <c r="D288" s="273"/>
      <c r="E288" s="273"/>
      <c r="F288" s="272"/>
    </row>
    <row r="289" spans="2:6" ht="12" customHeight="1" x14ac:dyDescent="0.15">
      <c r="B289" s="274"/>
      <c r="C289" s="273"/>
      <c r="D289" s="273"/>
      <c r="E289" s="273"/>
      <c r="F289" s="272"/>
    </row>
    <row r="290" spans="2:6" ht="12" customHeight="1" x14ac:dyDescent="0.15">
      <c r="B290" s="274"/>
      <c r="C290" s="273"/>
      <c r="D290" s="273"/>
      <c r="E290" s="273"/>
      <c r="F290" s="272"/>
    </row>
    <row r="291" spans="2:6" ht="12" customHeight="1" x14ac:dyDescent="0.15">
      <c r="B291" s="274"/>
      <c r="C291" s="273"/>
      <c r="D291" s="273"/>
      <c r="E291" s="273"/>
      <c r="F291" s="272"/>
    </row>
    <row r="292" spans="2:6" ht="12" customHeight="1" x14ac:dyDescent="0.15">
      <c r="B292" s="274"/>
      <c r="C292" s="273"/>
      <c r="D292" s="273"/>
      <c r="E292" s="273"/>
      <c r="F292" s="272"/>
    </row>
    <row r="293" spans="2:6" ht="12" customHeight="1" x14ac:dyDescent="0.15">
      <c r="B293" s="274"/>
      <c r="C293" s="273"/>
      <c r="D293" s="273"/>
      <c r="E293" s="273"/>
      <c r="F293" s="272"/>
    </row>
    <row r="294" spans="2:6" ht="12" customHeight="1" x14ac:dyDescent="0.15">
      <c r="B294" s="274"/>
      <c r="C294" s="273"/>
      <c r="D294" s="273"/>
      <c r="E294" s="273"/>
      <c r="F294" s="272"/>
    </row>
    <row r="295" spans="2:6" ht="12" customHeight="1" x14ac:dyDescent="0.15">
      <c r="B295" s="274"/>
      <c r="C295" s="273"/>
      <c r="D295" s="273"/>
      <c r="E295" s="273"/>
      <c r="F295" s="272"/>
    </row>
    <row r="296" spans="2:6" ht="12" customHeight="1" x14ac:dyDescent="0.15">
      <c r="B296" s="274"/>
      <c r="C296" s="273"/>
      <c r="D296" s="273"/>
      <c r="E296" s="273"/>
      <c r="F296" s="272"/>
    </row>
    <row r="297" spans="2:6" ht="12" customHeight="1" x14ac:dyDescent="0.15">
      <c r="B297" s="274"/>
      <c r="C297" s="273"/>
      <c r="D297" s="273"/>
      <c r="E297" s="273"/>
      <c r="F297" s="272"/>
    </row>
    <row r="298" spans="2:6" ht="12" customHeight="1" x14ac:dyDescent="0.15">
      <c r="B298" s="274"/>
      <c r="C298" s="273"/>
      <c r="D298" s="273"/>
      <c r="E298" s="273"/>
      <c r="F298" s="272"/>
    </row>
    <row r="299" spans="2:6" ht="12" customHeight="1" x14ac:dyDescent="0.15">
      <c r="B299" s="274"/>
      <c r="C299" s="273"/>
      <c r="D299" s="273"/>
      <c r="E299" s="273"/>
      <c r="F299" s="272"/>
    </row>
    <row r="300" spans="2:6" ht="12" customHeight="1" x14ac:dyDescent="0.15">
      <c r="B300" s="274"/>
      <c r="C300" s="273"/>
      <c r="D300" s="273"/>
      <c r="E300" s="273"/>
      <c r="F300" s="272"/>
    </row>
    <row r="301" spans="2:6" ht="12" customHeight="1" x14ac:dyDescent="0.15">
      <c r="B301" s="274"/>
      <c r="C301" s="273"/>
      <c r="D301" s="273"/>
      <c r="E301" s="273"/>
      <c r="F301" s="272"/>
    </row>
    <row r="302" spans="2:6" ht="12" customHeight="1" x14ac:dyDescent="0.15">
      <c r="B302" s="274"/>
      <c r="C302" s="273"/>
      <c r="D302" s="273"/>
      <c r="E302" s="273"/>
      <c r="F302" s="272"/>
    </row>
    <row r="303" spans="2:6" ht="12" customHeight="1" x14ac:dyDescent="0.15">
      <c r="B303" s="274"/>
      <c r="C303" s="273"/>
      <c r="D303" s="273"/>
      <c r="E303" s="273"/>
      <c r="F303" s="272"/>
    </row>
    <row r="304" spans="2:6" ht="12" customHeight="1" x14ac:dyDescent="0.15">
      <c r="B304" s="274"/>
      <c r="C304" s="273"/>
      <c r="D304" s="273"/>
      <c r="E304" s="273"/>
      <c r="F304" s="272"/>
    </row>
    <row r="305" spans="2:6" ht="12" customHeight="1" x14ac:dyDescent="0.15">
      <c r="B305" s="274"/>
      <c r="C305" s="273"/>
      <c r="D305" s="273"/>
      <c r="E305" s="273"/>
      <c r="F305" s="272"/>
    </row>
    <row r="306" spans="2:6" ht="12" customHeight="1" x14ac:dyDescent="0.15">
      <c r="B306" s="274"/>
      <c r="C306" s="273"/>
      <c r="D306" s="273"/>
      <c r="E306" s="273"/>
      <c r="F306" s="272"/>
    </row>
    <row r="307" spans="2:6" ht="12" customHeight="1" x14ac:dyDescent="0.15">
      <c r="B307" s="274"/>
      <c r="C307" s="273"/>
      <c r="D307" s="273"/>
      <c r="E307" s="273"/>
      <c r="F307" s="272"/>
    </row>
    <row r="308" spans="2:6" ht="12" customHeight="1" x14ac:dyDescent="0.15">
      <c r="B308" s="274"/>
      <c r="C308" s="273"/>
      <c r="D308" s="273"/>
      <c r="E308" s="273"/>
      <c r="F308" s="272"/>
    </row>
    <row r="309" spans="2:6" ht="12" customHeight="1" x14ac:dyDescent="0.15">
      <c r="B309" s="274"/>
      <c r="C309" s="273"/>
      <c r="D309" s="273"/>
      <c r="E309" s="273"/>
      <c r="F309" s="272"/>
    </row>
    <row r="310" spans="2:6" ht="12" customHeight="1" x14ac:dyDescent="0.15">
      <c r="B310" s="274"/>
      <c r="C310" s="273"/>
      <c r="D310" s="273"/>
      <c r="E310" s="273"/>
      <c r="F310" s="272"/>
    </row>
    <row r="311" spans="2:6" ht="12" customHeight="1" x14ac:dyDescent="0.15">
      <c r="B311" s="274"/>
      <c r="C311" s="273"/>
      <c r="D311" s="273"/>
      <c r="E311" s="273"/>
      <c r="F311" s="272"/>
    </row>
    <row r="312" spans="2:6" ht="12" customHeight="1" x14ac:dyDescent="0.15">
      <c r="B312" s="274"/>
      <c r="C312" s="273"/>
      <c r="D312" s="273"/>
      <c r="E312" s="273"/>
      <c r="F312" s="272"/>
    </row>
    <row r="313" spans="2:6" ht="12" customHeight="1" x14ac:dyDescent="0.15">
      <c r="B313" s="274"/>
      <c r="C313" s="273"/>
      <c r="D313" s="273"/>
      <c r="E313" s="273"/>
      <c r="F313" s="272"/>
    </row>
    <row r="314" spans="2:6" ht="12" customHeight="1" x14ac:dyDescent="0.15">
      <c r="B314" s="274"/>
      <c r="C314" s="273"/>
      <c r="D314" s="273"/>
      <c r="E314" s="273"/>
      <c r="F314" s="272"/>
    </row>
    <row r="315" spans="2:6" ht="12" customHeight="1" x14ac:dyDescent="0.15">
      <c r="B315" s="274"/>
      <c r="C315" s="273"/>
      <c r="D315" s="273"/>
      <c r="E315" s="273"/>
      <c r="F315" s="272"/>
    </row>
    <row r="316" spans="2:6" ht="12" customHeight="1" x14ac:dyDescent="0.15">
      <c r="B316" s="274"/>
      <c r="C316" s="273"/>
      <c r="D316" s="273"/>
      <c r="E316" s="273"/>
      <c r="F316" s="272"/>
    </row>
    <row r="317" spans="2:6" ht="12" customHeight="1" x14ac:dyDescent="0.15">
      <c r="B317" s="274"/>
      <c r="C317" s="273"/>
      <c r="D317" s="273"/>
      <c r="E317" s="273"/>
      <c r="F317" s="272"/>
    </row>
    <row r="318" spans="2:6" ht="12" customHeight="1" x14ac:dyDescent="0.15">
      <c r="B318" s="274"/>
      <c r="C318" s="273"/>
      <c r="D318" s="273"/>
      <c r="E318" s="273"/>
      <c r="F318" s="272"/>
    </row>
    <row r="319" spans="2:6" ht="12" customHeight="1" x14ac:dyDescent="0.15">
      <c r="B319" s="274"/>
      <c r="C319" s="273"/>
      <c r="D319" s="273"/>
      <c r="E319" s="273"/>
      <c r="F319" s="272"/>
    </row>
    <row r="320" spans="2:6" ht="12" customHeight="1" x14ac:dyDescent="0.15">
      <c r="B320" s="274"/>
      <c r="C320" s="273"/>
      <c r="D320" s="273"/>
      <c r="E320" s="273"/>
      <c r="F320" s="272"/>
    </row>
    <row r="321" spans="2:6" ht="12" customHeight="1" x14ac:dyDescent="0.15">
      <c r="B321" s="274"/>
      <c r="C321" s="273"/>
      <c r="D321" s="273"/>
      <c r="E321" s="273"/>
      <c r="F321" s="272"/>
    </row>
    <row r="322" spans="2:6" ht="12" customHeight="1" x14ac:dyDescent="0.15">
      <c r="B322" s="274"/>
      <c r="C322" s="273"/>
      <c r="D322" s="273"/>
      <c r="E322" s="273"/>
      <c r="F322" s="272"/>
    </row>
    <row r="323" spans="2:6" ht="12" customHeight="1" x14ac:dyDescent="0.15">
      <c r="B323" s="274"/>
      <c r="C323" s="273"/>
      <c r="D323" s="273"/>
      <c r="E323" s="273"/>
      <c r="F323" s="272"/>
    </row>
    <row r="324" spans="2:6" ht="12" customHeight="1" x14ac:dyDescent="0.15">
      <c r="B324" s="274"/>
      <c r="C324" s="273"/>
      <c r="D324" s="273"/>
      <c r="E324" s="273"/>
      <c r="F324" s="272"/>
    </row>
    <row r="325" spans="2:6" ht="12" customHeight="1" x14ac:dyDescent="0.15">
      <c r="B325" s="274"/>
      <c r="C325" s="273"/>
      <c r="D325" s="273"/>
      <c r="E325" s="273"/>
      <c r="F325" s="272"/>
    </row>
    <row r="326" spans="2:6" ht="12" customHeight="1" x14ac:dyDescent="0.15">
      <c r="B326" s="274"/>
      <c r="C326" s="273"/>
      <c r="D326" s="273"/>
      <c r="E326" s="273"/>
      <c r="F326" s="272"/>
    </row>
    <row r="327" spans="2:6" ht="12" customHeight="1" x14ac:dyDescent="0.15">
      <c r="B327" s="274"/>
      <c r="C327" s="273"/>
      <c r="D327" s="273"/>
      <c r="E327" s="273"/>
      <c r="F327" s="272"/>
    </row>
    <row r="328" spans="2:6" ht="12" customHeight="1" x14ac:dyDescent="0.15">
      <c r="B328" s="274"/>
      <c r="C328" s="273"/>
      <c r="D328" s="273"/>
      <c r="E328" s="273"/>
      <c r="F328" s="272"/>
    </row>
    <row r="329" spans="2:6" ht="12" customHeight="1" x14ac:dyDescent="0.15">
      <c r="B329" s="274"/>
      <c r="C329" s="273"/>
      <c r="D329" s="273"/>
      <c r="E329" s="273"/>
      <c r="F329" s="272"/>
    </row>
    <row r="330" spans="2:6" ht="12" customHeight="1" x14ac:dyDescent="0.15">
      <c r="B330" s="274"/>
      <c r="C330" s="273"/>
      <c r="D330" s="273"/>
      <c r="E330" s="273"/>
      <c r="F330" s="272"/>
    </row>
    <row r="331" spans="2:6" ht="12" customHeight="1" x14ac:dyDescent="0.15">
      <c r="B331" s="274"/>
      <c r="C331" s="273"/>
      <c r="D331" s="273"/>
      <c r="E331" s="273"/>
      <c r="F331" s="272"/>
    </row>
    <row r="332" spans="2:6" ht="12" customHeight="1" x14ac:dyDescent="0.15">
      <c r="B332" s="274"/>
      <c r="C332" s="273"/>
      <c r="D332" s="273"/>
      <c r="E332" s="273"/>
      <c r="F332" s="272"/>
    </row>
    <row r="333" spans="2:6" ht="12" customHeight="1" x14ac:dyDescent="0.15">
      <c r="B333" s="274"/>
      <c r="C333" s="273"/>
      <c r="D333" s="273"/>
      <c r="E333" s="273"/>
      <c r="F333" s="272"/>
    </row>
    <row r="334" spans="2:6" ht="12" customHeight="1" x14ac:dyDescent="0.15">
      <c r="B334" s="274"/>
      <c r="C334" s="273"/>
      <c r="D334" s="273"/>
      <c r="E334" s="273"/>
      <c r="F334" s="272"/>
    </row>
    <row r="335" spans="2:6" ht="12" customHeight="1" x14ac:dyDescent="0.15">
      <c r="B335" s="274"/>
      <c r="C335" s="273"/>
      <c r="D335" s="273"/>
      <c r="E335" s="273"/>
      <c r="F335" s="272"/>
    </row>
    <row r="336" spans="2:6" ht="12" customHeight="1" x14ac:dyDescent="0.15">
      <c r="B336" s="274"/>
      <c r="C336" s="273"/>
      <c r="D336" s="273"/>
      <c r="E336" s="273"/>
      <c r="F336" s="272"/>
    </row>
    <row r="337" spans="2:6" ht="12" customHeight="1" x14ac:dyDescent="0.15">
      <c r="B337" s="274"/>
      <c r="C337" s="273"/>
      <c r="D337" s="273"/>
      <c r="E337" s="273"/>
      <c r="F337" s="272"/>
    </row>
    <row r="338" spans="2:6" ht="12" customHeight="1" x14ac:dyDescent="0.15">
      <c r="B338" s="274"/>
      <c r="C338" s="273"/>
      <c r="D338" s="273"/>
      <c r="E338" s="273"/>
      <c r="F338" s="272"/>
    </row>
    <row r="339" spans="2:6" ht="12" customHeight="1" x14ac:dyDescent="0.15">
      <c r="B339" s="274"/>
      <c r="C339" s="273"/>
      <c r="D339" s="273"/>
      <c r="E339" s="273"/>
      <c r="F339" s="272"/>
    </row>
    <row r="340" spans="2:6" ht="12" customHeight="1" x14ac:dyDescent="0.15">
      <c r="B340" s="274"/>
      <c r="C340" s="273"/>
      <c r="D340" s="273"/>
      <c r="E340" s="273"/>
      <c r="F340" s="272"/>
    </row>
    <row r="341" spans="2:6" ht="12" customHeight="1" x14ac:dyDescent="0.15">
      <c r="B341" s="274"/>
      <c r="C341" s="273"/>
      <c r="D341" s="273"/>
      <c r="E341" s="273"/>
      <c r="F341" s="272"/>
    </row>
    <row r="342" spans="2:6" ht="12" customHeight="1" x14ac:dyDescent="0.15">
      <c r="B342" s="274"/>
      <c r="C342" s="273"/>
      <c r="D342" s="273"/>
      <c r="E342" s="273"/>
      <c r="F342" s="272"/>
    </row>
    <row r="343" spans="2:6" ht="12" customHeight="1" x14ac:dyDescent="0.15">
      <c r="B343" s="274"/>
      <c r="C343" s="273"/>
      <c r="D343" s="273"/>
      <c r="E343" s="273"/>
      <c r="F343" s="272"/>
    </row>
    <row r="344" spans="2:6" ht="12" customHeight="1" x14ac:dyDescent="0.15">
      <c r="B344" s="274"/>
      <c r="C344" s="273"/>
      <c r="D344" s="273"/>
      <c r="E344" s="273"/>
      <c r="F344" s="272"/>
    </row>
    <row r="345" spans="2:6" ht="12" customHeight="1" x14ac:dyDescent="0.15">
      <c r="B345" s="274"/>
      <c r="C345" s="273"/>
      <c r="D345" s="273"/>
      <c r="E345" s="273"/>
      <c r="F345" s="272"/>
    </row>
    <row r="346" spans="2:6" ht="12" customHeight="1" x14ac:dyDescent="0.15">
      <c r="B346" s="274"/>
      <c r="C346" s="273"/>
      <c r="D346" s="273"/>
      <c r="E346" s="273"/>
      <c r="F346" s="272"/>
    </row>
    <row r="347" spans="2:6" ht="12" customHeight="1" x14ac:dyDescent="0.15">
      <c r="B347" s="274"/>
      <c r="C347" s="273"/>
      <c r="D347" s="273"/>
      <c r="E347" s="273"/>
      <c r="F347" s="272"/>
    </row>
    <row r="348" spans="2:6" ht="12" customHeight="1" x14ac:dyDescent="0.15">
      <c r="B348" s="274"/>
      <c r="C348" s="273"/>
      <c r="D348" s="273"/>
      <c r="E348" s="273"/>
      <c r="F348" s="272"/>
    </row>
    <row r="349" spans="2:6" ht="12" customHeight="1" x14ac:dyDescent="0.15">
      <c r="B349" s="274"/>
      <c r="C349" s="273"/>
      <c r="D349" s="273"/>
      <c r="E349" s="273"/>
      <c r="F349" s="272"/>
    </row>
    <row r="350" spans="2:6" ht="12" customHeight="1" x14ac:dyDescent="0.15">
      <c r="B350" s="274"/>
      <c r="C350" s="273"/>
      <c r="D350" s="273"/>
      <c r="E350" s="273"/>
      <c r="F350" s="272"/>
    </row>
    <row r="351" spans="2:6" ht="12" customHeight="1" x14ac:dyDescent="0.15">
      <c r="B351" s="274"/>
      <c r="C351" s="273"/>
      <c r="D351" s="273"/>
      <c r="E351" s="273"/>
      <c r="F351" s="272"/>
    </row>
    <row r="352" spans="2:6" ht="12" customHeight="1" x14ac:dyDescent="0.15">
      <c r="B352" s="274"/>
      <c r="C352" s="273"/>
      <c r="D352" s="273"/>
      <c r="E352" s="273"/>
      <c r="F352" s="272"/>
    </row>
    <row r="353" spans="2:6" ht="12" customHeight="1" x14ac:dyDescent="0.15">
      <c r="B353" s="274"/>
      <c r="C353" s="273"/>
      <c r="D353" s="273"/>
      <c r="E353" s="273"/>
      <c r="F353" s="272"/>
    </row>
    <row r="354" spans="2:6" ht="12" customHeight="1" x14ac:dyDescent="0.15">
      <c r="B354" s="274"/>
      <c r="C354" s="273"/>
      <c r="D354" s="273"/>
      <c r="E354" s="273"/>
      <c r="F354" s="272"/>
    </row>
    <row r="355" spans="2:6" ht="12" customHeight="1" x14ac:dyDescent="0.15">
      <c r="B355" s="274"/>
      <c r="C355" s="273"/>
      <c r="D355" s="273"/>
      <c r="E355" s="273"/>
      <c r="F355" s="272"/>
    </row>
    <row r="356" spans="2:6" ht="12" customHeight="1" x14ac:dyDescent="0.15">
      <c r="B356" s="274"/>
      <c r="C356" s="273"/>
      <c r="D356" s="273"/>
      <c r="E356" s="273"/>
      <c r="F356" s="272"/>
    </row>
    <row r="357" spans="2:6" ht="12" customHeight="1" x14ac:dyDescent="0.15">
      <c r="B357" s="274"/>
      <c r="C357" s="273"/>
      <c r="D357" s="273"/>
      <c r="E357" s="273"/>
      <c r="F357" s="272"/>
    </row>
    <row r="358" spans="2:6" ht="12" customHeight="1" x14ac:dyDescent="0.15">
      <c r="B358" s="274"/>
      <c r="C358" s="273"/>
      <c r="D358" s="273"/>
      <c r="E358" s="273"/>
      <c r="F358" s="272"/>
    </row>
    <row r="359" spans="2:6" ht="12" customHeight="1" x14ac:dyDescent="0.15">
      <c r="B359" s="274"/>
      <c r="C359" s="273"/>
      <c r="D359" s="273"/>
      <c r="E359" s="273"/>
      <c r="F359" s="272"/>
    </row>
    <row r="360" spans="2:6" ht="12" customHeight="1" x14ac:dyDescent="0.15">
      <c r="B360" s="274"/>
      <c r="C360" s="273"/>
      <c r="D360" s="273"/>
      <c r="E360" s="273"/>
      <c r="F360" s="272"/>
    </row>
    <row r="361" spans="2:6" ht="12" customHeight="1" x14ac:dyDescent="0.15">
      <c r="B361" s="274"/>
      <c r="C361" s="273"/>
      <c r="D361" s="273"/>
      <c r="E361" s="273"/>
      <c r="F361" s="272"/>
    </row>
    <row r="362" spans="2:6" ht="12" customHeight="1" x14ac:dyDescent="0.15">
      <c r="B362" s="274"/>
      <c r="C362" s="273"/>
      <c r="D362" s="273"/>
      <c r="E362" s="273"/>
      <c r="F362" s="272"/>
    </row>
    <row r="363" spans="2:6" ht="12" customHeight="1" x14ac:dyDescent="0.15">
      <c r="B363" s="274"/>
      <c r="C363" s="273"/>
      <c r="D363" s="273"/>
      <c r="E363" s="273"/>
      <c r="F363" s="272"/>
    </row>
    <row r="364" spans="2:6" ht="12" customHeight="1" x14ac:dyDescent="0.15">
      <c r="B364" s="274"/>
      <c r="C364" s="273"/>
      <c r="D364" s="273"/>
      <c r="E364" s="273"/>
      <c r="F364" s="272"/>
    </row>
    <row r="365" spans="2:6" ht="12" customHeight="1" x14ac:dyDescent="0.15">
      <c r="B365" s="274"/>
      <c r="C365" s="273"/>
      <c r="D365" s="273"/>
      <c r="E365" s="273"/>
      <c r="F365" s="272"/>
    </row>
    <row r="366" spans="2:6" ht="12" customHeight="1" x14ac:dyDescent="0.15">
      <c r="B366" s="274"/>
      <c r="C366" s="273"/>
      <c r="D366" s="273"/>
      <c r="E366" s="273"/>
      <c r="F366" s="272"/>
    </row>
    <row r="367" spans="2:6" ht="12" customHeight="1" x14ac:dyDescent="0.15">
      <c r="B367" s="274"/>
      <c r="C367" s="273"/>
      <c r="D367" s="273"/>
      <c r="E367" s="273"/>
      <c r="F367" s="272"/>
    </row>
    <row r="368" spans="2:6" ht="12" customHeight="1" x14ac:dyDescent="0.15">
      <c r="B368" s="274"/>
      <c r="C368" s="273"/>
      <c r="D368" s="273"/>
      <c r="E368" s="273"/>
      <c r="F368" s="272"/>
    </row>
    <row r="369" spans="2:6" ht="12" customHeight="1" x14ac:dyDescent="0.15">
      <c r="B369" s="274"/>
      <c r="C369" s="273"/>
      <c r="D369" s="273"/>
      <c r="E369" s="273"/>
      <c r="F369" s="272"/>
    </row>
    <row r="370" spans="2:6" ht="12" customHeight="1" x14ac:dyDescent="0.15">
      <c r="B370" s="274"/>
      <c r="C370" s="273"/>
      <c r="D370" s="273"/>
      <c r="E370" s="273"/>
      <c r="F370" s="272"/>
    </row>
    <row r="371" spans="2:6" ht="12" customHeight="1" x14ac:dyDescent="0.15">
      <c r="B371" s="274"/>
      <c r="C371" s="273"/>
      <c r="D371" s="273"/>
      <c r="E371" s="273"/>
      <c r="F371" s="272"/>
    </row>
    <row r="372" spans="2:6" ht="12" customHeight="1" x14ac:dyDescent="0.15">
      <c r="B372" s="274"/>
      <c r="C372" s="273"/>
      <c r="D372" s="273"/>
      <c r="E372" s="273"/>
      <c r="F372" s="272"/>
    </row>
    <row r="373" spans="2:6" ht="12" customHeight="1" x14ac:dyDescent="0.15">
      <c r="B373" s="274"/>
      <c r="C373" s="273"/>
      <c r="D373" s="273"/>
      <c r="E373" s="273"/>
      <c r="F373" s="272"/>
    </row>
    <row r="374" spans="2:6" ht="12" customHeight="1" x14ac:dyDescent="0.15">
      <c r="B374" s="274"/>
      <c r="C374" s="273"/>
      <c r="D374" s="273"/>
      <c r="E374" s="273"/>
      <c r="F374" s="272"/>
    </row>
    <row r="375" spans="2:6" ht="12" customHeight="1" x14ac:dyDescent="0.15">
      <c r="B375" s="274"/>
      <c r="C375" s="273"/>
      <c r="D375" s="273"/>
      <c r="E375" s="273"/>
      <c r="F375" s="272"/>
    </row>
    <row r="376" spans="2:6" ht="12" customHeight="1" x14ac:dyDescent="0.15">
      <c r="B376" s="274"/>
      <c r="C376" s="273"/>
      <c r="D376" s="273"/>
      <c r="E376" s="273"/>
      <c r="F376" s="272"/>
    </row>
    <row r="377" spans="2:6" ht="12" customHeight="1" x14ac:dyDescent="0.15">
      <c r="B377" s="274"/>
      <c r="C377" s="273"/>
      <c r="D377" s="273"/>
      <c r="E377" s="273"/>
      <c r="F377" s="272"/>
    </row>
    <row r="378" spans="2:6" ht="12" customHeight="1" x14ac:dyDescent="0.15">
      <c r="B378" s="274"/>
      <c r="C378" s="273"/>
      <c r="D378" s="273"/>
      <c r="E378" s="273"/>
      <c r="F378" s="272"/>
    </row>
    <row r="379" spans="2:6" ht="12" customHeight="1" x14ac:dyDescent="0.15">
      <c r="B379" s="274"/>
      <c r="C379" s="273"/>
      <c r="D379" s="273"/>
      <c r="E379" s="273"/>
      <c r="F379" s="272"/>
    </row>
    <row r="380" spans="2:6" ht="12" customHeight="1" x14ac:dyDescent="0.15">
      <c r="B380" s="274"/>
      <c r="C380" s="273"/>
      <c r="D380" s="273"/>
      <c r="E380" s="273"/>
      <c r="F380" s="272"/>
    </row>
    <row r="381" spans="2:6" ht="12" customHeight="1" x14ac:dyDescent="0.15">
      <c r="B381" s="274"/>
      <c r="C381" s="273"/>
      <c r="D381" s="273"/>
      <c r="E381" s="273"/>
      <c r="F381" s="272"/>
    </row>
    <row r="382" spans="2:6" ht="12" customHeight="1" x14ac:dyDescent="0.15">
      <c r="B382" s="274"/>
      <c r="C382" s="273"/>
      <c r="D382" s="273"/>
      <c r="E382" s="273"/>
      <c r="F382" s="272"/>
    </row>
    <row r="383" spans="2:6" ht="12" customHeight="1" x14ac:dyDescent="0.15">
      <c r="B383" s="274"/>
      <c r="C383" s="273"/>
      <c r="D383" s="273"/>
      <c r="E383" s="273"/>
      <c r="F383" s="272"/>
    </row>
    <row r="384" spans="2:6" ht="12" customHeight="1" x14ac:dyDescent="0.15">
      <c r="B384" s="274"/>
      <c r="C384" s="273"/>
      <c r="D384" s="273"/>
      <c r="E384" s="273"/>
      <c r="F384" s="272"/>
    </row>
    <row r="385" spans="2:6" ht="12" customHeight="1" x14ac:dyDescent="0.15">
      <c r="B385" s="274"/>
      <c r="C385" s="273"/>
      <c r="D385" s="273"/>
      <c r="E385" s="273"/>
      <c r="F385" s="272"/>
    </row>
    <row r="386" spans="2:6" ht="12" customHeight="1" x14ac:dyDescent="0.15">
      <c r="B386" s="274"/>
      <c r="C386" s="273"/>
      <c r="D386" s="273"/>
      <c r="E386" s="273"/>
      <c r="F386" s="272"/>
    </row>
    <row r="387" spans="2:6" ht="12" customHeight="1" x14ac:dyDescent="0.15">
      <c r="B387" s="274"/>
      <c r="C387" s="273"/>
      <c r="D387" s="273"/>
      <c r="E387" s="273"/>
      <c r="F387" s="272"/>
    </row>
    <row r="388" spans="2:6" ht="12" customHeight="1" x14ac:dyDescent="0.15">
      <c r="B388" s="274"/>
      <c r="C388" s="273"/>
      <c r="D388" s="273"/>
      <c r="E388" s="273"/>
      <c r="F388" s="272"/>
    </row>
    <row r="389" spans="2:6" ht="12" customHeight="1" x14ac:dyDescent="0.15">
      <c r="B389" s="274"/>
      <c r="C389" s="273"/>
      <c r="D389" s="273"/>
      <c r="E389" s="273"/>
      <c r="F389" s="272"/>
    </row>
    <row r="390" spans="2:6" ht="12" customHeight="1" x14ac:dyDescent="0.15">
      <c r="B390" s="274"/>
      <c r="C390" s="273"/>
      <c r="D390" s="273"/>
      <c r="E390" s="273"/>
      <c r="F390" s="272"/>
    </row>
    <row r="391" spans="2:6" ht="12" customHeight="1" x14ac:dyDescent="0.15">
      <c r="B391" s="274"/>
      <c r="C391" s="273"/>
      <c r="D391" s="273"/>
      <c r="E391" s="273"/>
      <c r="F391" s="272"/>
    </row>
    <row r="392" spans="2:6" ht="12" customHeight="1" x14ac:dyDescent="0.15">
      <c r="B392" s="274"/>
      <c r="C392" s="273"/>
      <c r="D392" s="273"/>
      <c r="E392" s="273"/>
      <c r="F392" s="272"/>
    </row>
    <row r="393" spans="2:6" ht="12" customHeight="1" x14ac:dyDescent="0.15">
      <c r="B393" s="274"/>
      <c r="C393" s="273"/>
      <c r="D393" s="273"/>
      <c r="E393" s="273"/>
      <c r="F393" s="272"/>
    </row>
    <row r="394" spans="2:6" ht="12" customHeight="1" x14ac:dyDescent="0.15">
      <c r="B394" s="274"/>
      <c r="C394" s="273"/>
      <c r="D394" s="273"/>
      <c r="E394" s="273"/>
      <c r="F394" s="272"/>
    </row>
    <row r="395" spans="2:6" ht="12" customHeight="1" x14ac:dyDescent="0.15">
      <c r="B395" s="274"/>
      <c r="C395" s="273"/>
      <c r="D395" s="273"/>
      <c r="E395" s="273"/>
      <c r="F395" s="272"/>
    </row>
    <row r="396" spans="2:6" ht="12" customHeight="1" x14ac:dyDescent="0.15">
      <c r="B396" s="274"/>
      <c r="C396" s="273"/>
      <c r="D396" s="273"/>
      <c r="E396" s="273"/>
      <c r="F396" s="272"/>
    </row>
    <row r="397" spans="2:6" ht="12" customHeight="1" x14ac:dyDescent="0.15">
      <c r="B397" s="274"/>
      <c r="C397" s="273"/>
      <c r="D397" s="273"/>
      <c r="E397" s="273"/>
      <c r="F397" s="272"/>
    </row>
    <row r="398" spans="2:6" ht="12" customHeight="1" x14ac:dyDescent="0.15">
      <c r="B398" s="274"/>
      <c r="C398" s="273"/>
      <c r="D398" s="273"/>
      <c r="E398" s="273"/>
      <c r="F398" s="272"/>
    </row>
    <row r="399" spans="2:6" ht="12" customHeight="1" x14ac:dyDescent="0.15">
      <c r="B399" s="274"/>
      <c r="C399" s="273"/>
      <c r="D399" s="273"/>
      <c r="E399" s="273"/>
      <c r="F399" s="272"/>
    </row>
    <row r="400" spans="2:6" ht="12" customHeight="1" x14ac:dyDescent="0.15">
      <c r="B400" s="274"/>
      <c r="C400" s="273"/>
      <c r="D400" s="273"/>
      <c r="E400" s="273"/>
      <c r="F400" s="272"/>
    </row>
    <row r="401" spans="2:6" ht="12" customHeight="1" x14ac:dyDescent="0.15">
      <c r="B401" s="274"/>
      <c r="C401" s="273"/>
      <c r="D401" s="273"/>
      <c r="E401" s="273"/>
      <c r="F401" s="272"/>
    </row>
    <row r="402" spans="2:6" ht="12" customHeight="1" x14ac:dyDescent="0.15">
      <c r="B402" s="274"/>
      <c r="C402" s="273"/>
      <c r="D402" s="273"/>
      <c r="E402" s="273"/>
      <c r="F402" s="272"/>
    </row>
    <row r="403" spans="2:6" ht="12" customHeight="1" x14ac:dyDescent="0.15">
      <c r="B403" s="274"/>
      <c r="C403" s="273"/>
      <c r="D403" s="273"/>
      <c r="E403" s="273"/>
      <c r="F403" s="272"/>
    </row>
    <row r="404" spans="2:6" ht="12" customHeight="1" x14ac:dyDescent="0.15">
      <c r="B404" s="274"/>
      <c r="C404" s="273"/>
      <c r="D404" s="273"/>
      <c r="E404" s="273"/>
      <c r="F404" s="272"/>
    </row>
    <row r="405" spans="2:6" ht="12" customHeight="1" x14ac:dyDescent="0.15">
      <c r="B405" s="274"/>
      <c r="C405" s="273"/>
      <c r="D405" s="273"/>
      <c r="E405" s="273"/>
      <c r="F405" s="272"/>
    </row>
    <row r="406" spans="2:6" ht="12" customHeight="1" x14ac:dyDescent="0.15">
      <c r="B406" s="274"/>
      <c r="C406" s="273"/>
      <c r="D406" s="273"/>
      <c r="E406" s="273"/>
      <c r="F406" s="272"/>
    </row>
    <row r="407" spans="2:6" ht="12" customHeight="1" x14ac:dyDescent="0.15">
      <c r="B407" s="274"/>
      <c r="C407" s="273"/>
      <c r="D407" s="273"/>
      <c r="E407" s="273"/>
      <c r="F407" s="272"/>
    </row>
    <row r="408" spans="2:6" ht="12" customHeight="1" x14ac:dyDescent="0.15">
      <c r="B408" s="274"/>
      <c r="C408" s="273"/>
      <c r="D408" s="273"/>
      <c r="E408" s="273"/>
      <c r="F408" s="272"/>
    </row>
    <row r="409" spans="2:6" ht="12" customHeight="1" x14ac:dyDescent="0.15">
      <c r="B409" s="274"/>
      <c r="C409" s="273"/>
      <c r="D409" s="273"/>
      <c r="E409" s="273"/>
      <c r="F409" s="272"/>
    </row>
    <row r="410" spans="2:6" ht="12" customHeight="1" x14ac:dyDescent="0.15">
      <c r="B410" s="274"/>
      <c r="C410" s="273"/>
      <c r="D410" s="273"/>
      <c r="E410" s="273"/>
      <c r="F410" s="272"/>
    </row>
    <row r="411" spans="2:6" ht="12" customHeight="1" x14ac:dyDescent="0.15">
      <c r="B411" s="274"/>
      <c r="C411" s="273"/>
      <c r="D411" s="273"/>
      <c r="E411" s="273"/>
      <c r="F411" s="272"/>
    </row>
    <row r="412" spans="2:6" ht="12" customHeight="1" x14ac:dyDescent="0.15">
      <c r="B412" s="274"/>
      <c r="C412" s="273"/>
      <c r="D412" s="273"/>
      <c r="E412" s="273"/>
      <c r="F412" s="272"/>
    </row>
    <row r="413" spans="2:6" ht="12" customHeight="1" x14ac:dyDescent="0.15">
      <c r="B413" s="274"/>
      <c r="C413" s="273"/>
      <c r="D413" s="273"/>
      <c r="E413" s="273"/>
      <c r="F413" s="272"/>
    </row>
    <row r="414" spans="2:6" ht="12" customHeight="1" x14ac:dyDescent="0.15">
      <c r="B414" s="274"/>
      <c r="C414" s="273"/>
      <c r="D414" s="273"/>
      <c r="E414" s="273"/>
      <c r="F414" s="272"/>
    </row>
    <row r="415" spans="2:6" ht="12" customHeight="1" x14ac:dyDescent="0.15">
      <c r="B415" s="274"/>
      <c r="C415" s="273"/>
      <c r="D415" s="273"/>
      <c r="E415" s="273"/>
      <c r="F415" s="272"/>
    </row>
    <row r="416" spans="2:6" ht="12" customHeight="1" x14ac:dyDescent="0.15">
      <c r="B416" s="274"/>
      <c r="C416" s="273"/>
      <c r="D416" s="273"/>
      <c r="E416" s="273"/>
      <c r="F416" s="272"/>
    </row>
    <row r="417" spans="2:6" ht="12" customHeight="1" x14ac:dyDescent="0.15">
      <c r="B417" s="274"/>
      <c r="C417" s="273"/>
      <c r="D417" s="273"/>
      <c r="E417" s="273"/>
      <c r="F417" s="272"/>
    </row>
    <row r="418" spans="2:6" ht="12" customHeight="1" x14ac:dyDescent="0.15">
      <c r="B418" s="274"/>
      <c r="C418" s="273"/>
      <c r="D418" s="273"/>
      <c r="E418" s="273"/>
      <c r="F418" s="272"/>
    </row>
    <row r="419" spans="2:6" ht="12" customHeight="1" x14ac:dyDescent="0.15">
      <c r="B419" s="274"/>
      <c r="C419" s="273"/>
      <c r="D419" s="273"/>
      <c r="E419" s="273"/>
      <c r="F419" s="272"/>
    </row>
    <row r="420" spans="2:6" ht="12" customHeight="1" x14ac:dyDescent="0.15">
      <c r="B420" s="274"/>
      <c r="C420" s="273"/>
      <c r="D420" s="273"/>
      <c r="E420" s="273"/>
      <c r="F420" s="272"/>
    </row>
    <row r="421" spans="2:6" ht="12" customHeight="1" x14ac:dyDescent="0.15">
      <c r="B421" s="274"/>
      <c r="C421" s="273"/>
      <c r="D421" s="273"/>
      <c r="E421" s="273"/>
      <c r="F421" s="272"/>
    </row>
    <row r="422" spans="2:6" ht="12" customHeight="1" x14ac:dyDescent="0.15">
      <c r="B422" s="274"/>
      <c r="C422" s="273"/>
      <c r="D422" s="273"/>
      <c r="E422" s="273"/>
      <c r="F422" s="272"/>
    </row>
    <row r="423" spans="2:6" ht="12" customHeight="1" x14ac:dyDescent="0.15">
      <c r="B423" s="274"/>
      <c r="C423" s="273"/>
      <c r="D423" s="273"/>
      <c r="E423" s="273"/>
      <c r="F423" s="272"/>
    </row>
    <row r="424" spans="2:6" ht="12" customHeight="1" x14ac:dyDescent="0.15">
      <c r="B424" s="274"/>
      <c r="C424" s="273"/>
      <c r="D424" s="273"/>
      <c r="E424" s="273"/>
      <c r="F424" s="272"/>
    </row>
    <row r="425" spans="2:6" ht="12" customHeight="1" x14ac:dyDescent="0.15">
      <c r="B425" s="274"/>
      <c r="C425" s="273"/>
      <c r="D425" s="273"/>
      <c r="E425" s="273"/>
      <c r="F425" s="272"/>
    </row>
    <row r="426" spans="2:6" ht="12" customHeight="1" x14ac:dyDescent="0.15">
      <c r="B426" s="274"/>
      <c r="C426" s="273"/>
      <c r="D426" s="273"/>
      <c r="E426" s="273"/>
      <c r="F426" s="272"/>
    </row>
    <row r="427" spans="2:6" ht="12" customHeight="1" x14ac:dyDescent="0.15">
      <c r="B427" s="274"/>
      <c r="C427" s="273"/>
      <c r="D427" s="273"/>
      <c r="E427" s="273"/>
      <c r="F427" s="272"/>
    </row>
    <row r="428" spans="2:6" ht="12" customHeight="1" x14ac:dyDescent="0.15">
      <c r="B428" s="274"/>
      <c r="C428" s="273"/>
      <c r="D428" s="273"/>
      <c r="E428" s="273"/>
      <c r="F428" s="272"/>
    </row>
    <row r="429" spans="2:6" ht="12" customHeight="1" x14ac:dyDescent="0.15">
      <c r="B429" s="274"/>
      <c r="C429" s="273"/>
      <c r="D429" s="273"/>
      <c r="E429" s="273"/>
      <c r="F429" s="272"/>
    </row>
    <row r="430" spans="2:6" ht="12" customHeight="1" x14ac:dyDescent="0.15">
      <c r="B430" s="274"/>
      <c r="C430" s="273"/>
      <c r="D430" s="273"/>
      <c r="E430" s="273"/>
      <c r="F430" s="272"/>
    </row>
    <row r="431" spans="2:6" ht="12" customHeight="1" x14ac:dyDescent="0.15">
      <c r="B431" s="274"/>
      <c r="C431" s="273"/>
      <c r="D431" s="273"/>
      <c r="E431" s="273"/>
      <c r="F431" s="272"/>
    </row>
    <row r="432" spans="2:6" ht="12" customHeight="1" x14ac:dyDescent="0.15">
      <c r="B432" s="274"/>
      <c r="C432" s="273"/>
      <c r="D432" s="273"/>
      <c r="E432" s="273"/>
      <c r="F432" s="272"/>
    </row>
    <row r="433" spans="2:6" ht="12" customHeight="1" x14ac:dyDescent="0.15">
      <c r="B433" s="274"/>
      <c r="C433" s="273"/>
      <c r="D433" s="273"/>
      <c r="E433" s="273"/>
      <c r="F433" s="272"/>
    </row>
    <row r="434" spans="2:6" ht="12" customHeight="1" x14ac:dyDescent="0.15">
      <c r="B434" s="274"/>
      <c r="C434" s="273"/>
      <c r="D434" s="273"/>
      <c r="E434" s="273"/>
      <c r="F434" s="272"/>
    </row>
    <row r="435" spans="2:6" ht="12" customHeight="1" x14ac:dyDescent="0.15">
      <c r="B435" s="274"/>
      <c r="C435" s="273"/>
      <c r="D435" s="273"/>
      <c r="E435" s="273"/>
      <c r="F435" s="272"/>
    </row>
    <row r="436" spans="2:6" ht="12" customHeight="1" x14ac:dyDescent="0.15">
      <c r="B436" s="274"/>
      <c r="C436" s="273"/>
      <c r="D436" s="273"/>
      <c r="E436" s="273"/>
      <c r="F436" s="272"/>
    </row>
    <row r="437" spans="2:6" ht="12" customHeight="1" x14ac:dyDescent="0.15">
      <c r="B437" s="274"/>
      <c r="C437" s="273"/>
      <c r="D437" s="273"/>
      <c r="E437" s="273"/>
      <c r="F437" s="272"/>
    </row>
    <row r="438" spans="2:6" ht="12" customHeight="1" x14ac:dyDescent="0.15">
      <c r="B438" s="274"/>
      <c r="C438" s="273"/>
      <c r="D438" s="273"/>
      <c r="E438" s="273"/>
      <c r="F438" s="272"/>
    </row>
    <row r="439" spans="2:6" ht="12" customHeight="1" x14ac:dyDescent="0.15">
      <c r="B439" s="274"/>
      <c r="C439" s="273"/>
      <c r="D439" s="273"/>
      <c r="E439" s="273"/>
      <c r="F439" s="272"/>
    </row>
    <row r="440" spans="2:6" ht="12" customHeight="1" x14ac:dyDescent="0.15">
      <c r="B440" s="274"/>
      <c r="C440" s="273"/>
      <c r="D440" s="273"/>
      <c r="E440" s="273"/>
      <c r="F440" s="272"/>
    </row>
    <row r="441" spans="2:6" ht="12" customHeight="1" x14ac:dyDescent="0.15">
      <c r="B441" s="274"/>
      <c r="C441" s="273"/>
      <c r="D441" s="273"/>
      <c r="E441" s="273"/>
      <c r="F441" s="272"/>
    </row>
    <row r="442" spans="2:6" ht="12" customHeight="1" x14ac:dyDescent="0.15">
      <c r="B442" s="274"/>
      <c r="C442" s="273"/>
      <c r="D442" s="273"/>
      <c r="E442" s="273"/>
      <c r="F442" s="272"/>
    </row>
    <row r="443" spans="2:6" ht="12" customHeight="1" x14ac:dyDescent="0.15">
      <c r="B443" s="274"/>
      <c r="C443" s="273"/>
      <c r="D443" s="273"/>
      <c r="E443" s="273"/>
      <c r="F443" s="272"/>
    </row>
    <row r="444" spans="2:6" ht="12" customHeight="1" x14ac:dyDescent="0.15">
      <c r="B444" s="274"/>
      <c r="C444" s="273"/>
      <c r="D444" s="273"/>
      <c r="E444" s="273"/>
      <c r="F444" s="272"/>
    </row>
    <row r="445" spans="2:6" ht="12" customHeight="1" x14ac:dyDescent="0.15">
      <c r="B445" s="274"/>
      <c r="C445" s="273"/>
      <c r="D445" s="273"/>
      <c r="E445" s="273"/>
      <c r="F445" s="272"/>
    </row>
    <row r="446" spans="2:6" ht="12" customHeight="1" x14ac:dyDescent="0.15">
      <c r="B446" s="274"/>
      <c r="C446" s="273"/>
      <c r="D446" s="273"/>
      <c r="E446" s="273"/>
      <c r="F446" s="272"/>
    </row>
    <row r="447" spans="2:6" ht="12" customHeight="1" x14ac:dyDescent="0.15">
      <c r="B447" s="274"/>
      <c r="C447" s="273"/>
      <c r="D447" s="273"/>
      <c r="E447" s="273"/>
      <c r="F447" s="272"/>
    </row>
    <row r="448" spans="2:6" ht="12" customHeight="1" x14ac:dyDescent="0.15">
      <c r="B448" s="274"/>
      <c r="C448" s="273"/>
      <c r="D448" s="273"/>
      <c r="E448" s="273"/>
      <c r="F448" s="272"/>
    </row>
    <row r="449" spans="2:6" ht="12" customHeight="1" x14ac:dyDescent="0.15">
      <c r="B449" s="274"/>
      <c r="C449" s="273"/>
      <c r="D449" s="273"/>
      <c r="E449" s="273"/>
      <c r="F449" s="272"/>
    </row>
    <row r="450" spans="2:6" ht="12" customHeight="1" x14ac:dyDescent="0.15">
      <c r="B450" s="274"/>
      <c r="C450" s="273"/>
      <c r="D450" s="273"/>
      <c r="E450" s="273"/>
      <c r="F450" s="272"/>
    </row>
    <row r="451" spans="2:6" ht="12" customHeight="1" x14ac:dyDescent="0.15">
      <c r="B451" s="274"/>
      <c r="C451" s="273"/>
      <c r="D451" s="273"/>
      <c r="E451" s="273"/>
      <c r="F451" s="272"/>
    </row>
    <row r="452" spans="2:6" ht="12" customHeight="1" x14ac:dyDescent="0.15">
      <c r="B452" s="274"/>
      <c r="C452" s="273"/>
      <c r="D452" s="273"/>
      <c r="E452" s="273"/>
      <c r="F452" s="272"/>
    </row>
    <row r="453" spans="2:6" ht="12" customHeight="1" x14ac:dyDescent="0.15">
      <c r="B453" s="274"/>
      <c r="C453" s="273"/>
      <c r="D453" s="273"/>
      <c r="E453" s="273"/>
      <c r="F453" s="272"/>
    </row>
    <row r="454" spans="2:6" ht="12" customHeight="1" x14ac:dyDescent="0.15">
      <c r="B454" s="274"/>
      <c r="C454" s="273"/>
      <c r="D454" s="273"/>
      <c r="E454" s="273"/>
      <c r="F454" s="272"/>
    </row>
    <row r="455" spans="2:6" ht="12" customHeight="1" x14ac:dyDescent="0.15">
      <c r="B455" s="274"/>
      <c r="C455" s="273"/>
      <c r="D455" s="273"/>
      <c r="E455" s="273"/>
      <c r="F455" s="272"/>
    </row>
    <row r="456" spans="2:6" ht="12" customHeight="1" x14ac:dyDescent="0.15">
      <c r="B456" s="274"/>
      <c r="C456" s="273"/>
      <c r="D456" s="273"/>
      <c r="E456" s="273"/>
      <c r="F456" s="272"/>
    </row>
    <row r="457" spans="2:6" ht="12" customHeight="1" x14ac:dyDescent="0.15">
      <c r="B457" s="274"/>
      <c r="C457" s="273"/>
      <c r="D457" s="273"/>
      <c r="E457" s="273"/>
      <c r="F457" s="272"/>
    </row>
    <row r="458" spans="2:6" ht="12" customHeight="1" x14ac:dyDescent="0.15">
      <c r="B458" s="274"/>
      <c r="C458" s="273"/>
      <c r="D458" s="273"/>
      <c r="E458" s="273"/>
      <c r="F458" s="272"/>
    </row>
    <row r="459" spans="2:6" ht="12" customHeight="1" x14ac:dyDescent="0.15">
      <c r="B459" s="274"/>
      <c r="C459" s="273"/>
      <c r="D459" s="273"/>
      <c r="E459" s="273"/>
      <c r="F459" s="272"/>
    </row>
    <row r="460" spans="2:6" ht="12" customHeight="1" x14ac:dyDescent="0.15">
      <c r="B460" s="274"/>
      <c r="C460" s="273"/>
      <c r="D460" s="273"/>
      <c r="E460" s="273"/>
      <c r="F460" s="272"/>
    </row>
    <row r="461" spans="2:6" ht="12" customHeight="1" x14ac:dyDescent="0.15">
      <c r="B461" s="274"/>
      <c r="C461" s="273"/>
      <c r="D461" s="273"/>
      <c r="E461" s="273"/>
      <c r="F461" s="272"/>
    </row>
    <row r="462" spans="2:6" ht="12" customHeight="1" x14ac:dyDescent="0.15">
      <c r="B462" s="274"/>
      <c r="C462" s="273"/>
      <c r="D462" s="273"/>
      <c r="E462" s="273"/>
      <c r="F462" s="272"/>
    </row>
    <row r="463" spans="2:6" ht="12" customHeight="1" x14ac:dyDescent="0.15">
      <c r="B463" s="274"/>
      <c r="C463" s="273"/>
      <c r="D463" s="273"/>
      <c r="E463" s="273"/>
      <c r="F463" s="272"/>
    </row>
    <row r="464" spans="2:6" ht="12" customHeight="1" x14ac:dyDescent="0.15">
      <c r="B464" s="274"/>
      <c r="C464" s="273"/>
      <c r="D464" s="273"/>
      <c r="E464" s="273"/>
      <c r="F464" s="272"/>
    </row>
    <row r="465" spans="2:6" ht="12" customHeight="1" x14ac:dyDescent="0.15">
      <c r="B465" s="274"/>
      <c r="C465" s="273"/>
      <c r="D465" s="273"/>
      <c r="E465" s="273"/>
      <c r="F465" s="272"/>
    </row>
    <row r="466" spans="2:6" ht="12" customHeight="1" x14ac:dyDescent="0.15">
      <c r="B466" s="274"/>
      <c r="C466" s="273"/>
      <c r="D466" s="273"/>
      <c r="E466" s="273"/>
      <c r="F466" s="272"/>
    </row>
    <row r="467" spans="2:6" ht="12" customHeight="1" x14ac:dyDescent="0.15">
      <c r="B467" s="274"/>
      <c r="C467" s="273"/>
      <c r="D467" s="273"/>
      <c r="E467" s="273"/>
      <c r="F467" s="272"/>
    </row>
    <row r="468" spans="2:6" ht="12" customHeight="1" x14ac:dyDescent="0.15">
      <c r="B468" s="274"/>
      <c r="C468" s="273"/>
      <c r="D468" s="273"/>
      <c r="E468" s="273"/>
      <c r="F468" s="272"/>
    </row>
    <row r="469" spans="2:6" ht="12" customHeight="1" x14ac:dyDescent="0.15">
      <c r="B469" s="274"/>
      <c r="C469" s="273"/>
      <c r="D469" s="273"/>
      <c r="E469" s="273"/>
      <c r="F469" s="272"/>
    </row>
    <row r="470" spans="2:6" ht="12" customHeight="1" x14ac:dyDescent="0.15">
      <c r="B470" s="274"/>
      <c r="C470" s="273"/>
      <c r="D470" s="273"/>
      <c r="E470" s="273"/>
      <c r="F470" s="272"/>
    </row>
    <row r="471" spans="2:6" ht="12" customHeight="1" x14ac:dyDescent="0.15">
      <c r="B471" s="274"/>
      <c r="C471" s="273"/>
      <c r="D471" s="273"/>
      <c r="E471" s="273"/>
      <c r="F471" s="272"/>
    </row>
    <row r="472" spans="2:6" ht="12" customHeight="1" x14ac:dyDescent="0.15">
      <c r="B472" s="274"/>
      <c r="C472" s="273"/>
      <c r="D472" s="273"/>
      <c r="E472" s="273"/>
      <c r="F472" s="272"/>
    </row>
    <row r="473" spans="2:6" ht="12" customHeight="1" x14ac:dyDescent="0.15">
      <c r="B473" s="274"/>
      <c r="C473" s="273"/>
      <c r="D473" s="273"/>
      <c r="E473" s="273"/>
      <c r="F473" s="272"/>
    </row>
    <row r="474" spans="2:6" ht="12" customHeight="1" x14ac:dyDescent="0.15">
      <c r="B474" s="274"/>
      <c r="C474" s="273"/>
      <c r="D474" s="273"/>
      <c r="E474" s="273"/>
      <c r="F474" s="272"/>
    </row>
    <row r="475" spans="2:6" ht="12" customHeight="1" x14ac:dyDescent="0.15">
      <c r="B475" s="274"/>
      <c r="C475" s="273"/>
      <c r="D475" s="273"/>
      <c r="E475" s="273"/>
      <c r="F475" s="272"/>
    </row>
    <row r="476" spans="2:6" ht="12" customHeight="1" x14ac:dyDescent="0.15">
      <c r="B476" s="274"/>
      <c r="C476" s="273"/>
      <c r="D476" s="273"/>
      <c r="E476" s="273"/>
      <c r="F476" s="272"/>
    </row>
    <row r="477" spans="2:6" ht="12" customHeight="1" x14ac:dyDescent="0.15">
      <c r="B477" s="274"/>
      <c r="C477" s="273"/>
      <c r="D477" s="273"/>
      <c r="E477" s="273"/>
      <c r="F477" s="272"/>
    </row>
    <row r="478" spans="2:6" ht="12" customHeight="1" x14ac:dyDescent="0.15">
      <c r="B478" s="274"/>
      <c r="C478" s="273"/>
      <c r="D478" s="273"/>
      <c r="E478" s="273"/>
      <c r="F478" s="272"/>
    </row>
    <row r="479" spans="2:6" ht="12" customHeight="1" x14ac:dyDescent="0.15">
      <c r="B479" s="274"/>
      <c r="C479" s="273"/>
      <c r="D479" s="273"/>
      <c r="E479" s="273"/>
      <c r="F479" s="272"/>
    </row>
    <row r="480" spans="2:6" ht="12" customHeight="1" x14ac:dyDescent="0.15">
      <c r="B480" s="274"/>
      <c r="C480" s="273"/>
      <c r="D480" s="273"/>
      <c r="E480" s="273"/>
      <c r="F480" s="272"/>
    </row>
    <row r="481" spans="2:6" ht="12" customHeight="1" x14ac:dyDescent="0.15">
      <c r="B481" s="274"/>
      <c r="C481" s="273"/>
      <c r="D481" s="273"/>
      <c r="E481" s="273"/>
      <c r="F481" s="272"/>
    </row>
    <row r="482" spans="2:6" ht="12" customHeight="1" x14ac:dyDescent="0.15">
      <c r="B482" s="274"/>
      <c r="C482" s="273"/>
      <c r="D482" s="273"/>
      <c r="E482" s="273"/>
      <c r="F482" s="272"/>
    </row>
    <row r="483" spans="2:6" ht="12" customHeight="1" x14ac:dyDescent="0.15">
      <c r="B483" s="274"/>
      <c r="C483" s="273"/>
      <c r="D483" s="273"/>
      <c r="E483" s="273"/>
      <c r="F483" s="272"/>
    </row>
    <row r="484" spans="2:6" ht="12" customHeight="1" x14ac:dyDescent="0.15">
      <c r="B484" s="274"/>
      <c r="C484" s="273"/>
      <c r="D484" s="273"/>
      <c r="E484" s="273"/>
      <c r="F484" s="272"/>
    </row>
    <row r="485" spans="2:6" ht="12" customHeight="1" x14ac:dyDescent="0.15">
      <c r="B485" s="274"/>
      <c r="C485" s="273"/>
      <c r="D485" s="273"/>
      <c r="E485" s="273"/>
      <c r="F485" s="272"/>
    </row>
    <row r="486" spans="2:6" ht="12" customHeight="1" x14ac:dyDescent="0.15">
      <c r="B486" s="274"/>
      <c r="C486" s="273"/>
      <c r="D486" s="273"/>
      <c r="E486" s="273"/>
      <c r="F486" s="272"/>
    </row>
    <row r="487" spans="2:6" ht="12" customHeight="1" x14ac:dyDescent="0.15">
      <c r="B487" s="274"/>
      <c r="C487" s="273"/>
      <c r="D487" s="273"/>
      <c r="E487" s="273"/>
      <c r="F487" s="272"/>
    </row>
    <row r="488" spans="2:6" ht="12" customHeight="1" x14ac:dyDescent="0.15">
      <c r="B488" s="274"/>
      <c r="C488" s="273"/>
      <c r="D488" s="273"/>
      <c r="E488" s="273"/>
      <c r="F488" s="272"/>
    </row>
    <row r="489" spans="2:6" ht="12" customHeight="1" x14ac:dyDescent="0.15">
      <c r="B489" s="274"/>
      <c r="C489" s="273"/>
      <c r="D489" s="273"/>
      <c r="E489" s="273"/>
      <c r="F489" s="272"/>
    </row>
    <row r="490" spans="2:6" ht="12" customHeight="1" x14ac:dyDescent="0.15">
      <c r="B490" s="274"/>
      <c r="C490" s="273"/>
      <c r="D490" s="273"/>
      <c r="E490" s="273"/>
      <c r="F490" s="272"/>
    </row>
    <row r="491" spans="2:6" ht="12" customHeight="1" x14ac:dyDescent="0.15">
      <c r="B491" s="274"/>
      <c r="C491" s="273"/>
      <c r="D491" s="273"/>
      <c r="E491" s="273"/>
      <c r="F491" s="272"/>
    </row>
    <row r="492" spans="2:6" ht="12" customHeight="1" x14ac:dyDescent="0.15">
      <c r="B492" s="274"/>
      <c r="C492" s="273"/>
      <c r="D492" s="273"/>
      <c r="E492" s="273"/>
      <c r="F492" s="272"/>
    </row>
    <row r="493" spans="2:6" ht="12" customHeight="1" x14ac:dyDescent="0.15">
      <c r="B493" s="274"/>
      <c r="C493" s="273"/>
      <c r="D493" s="273"/>
      <c r="E493" s="273"/>
      <c r="F493" s="272"/>
    </row>
    <row r="494" spans="2:6" ht="12" customHeight="1" x14ac:dyDescent="0.15">
      <c r="B494" s="274"/>
      <c r="C494" s="273"/>
      <c r="D494" s="273"/>
      <c r="E494" s="273"/>
      <c r="F494" s="272"/>
    </row>
    <row r="495" spans="2:6" ht="12" customHeight="1" x14ac:dyDescent="0.15">
      <c r="B495" s="274"/>
      <c r="C495" s="273"/>
      <c r="D495" s="273"/>
      <c r="E495" s="273"/>
      <c r="F495" s="272"/>
    </row>
    <row r="496" spans="2:6" ht="12" customHeight="1" x14ac:dyDescent="0.15">
      <c r="B496" s="274"/>
      <c r="C496" s="273"/>
      <c r="D496" s="273"/>
      <c r="E496" s="273"/>
      <c r="F496" s="272"/>
    </row>
    <row r="497" spans="2:6" ht="12" customHeight="1" x14ac:dyDescent="0.15">
      <c r="B497" s="274"/>
      <c r="C497" s="273"/>
      <c r="D497" s="273"/>
      <c r="E497" s="273"/>
      <c r="F497" s="272"/>
    </row>
    <row r="498" spans="2:6" ht="12" customHeight="1" x14ac:dyDescent="0.15">
      <c r="B498" s="274"/>
      <c r="C498" s="273"/>
      <c r="D498" s="273"/>
      <c r="E498" s="273"/>
      <c r="F498" s="272"/>
    </row>
    <row r="499" spans="2:6" ht="12" customHeight="1" x14ac:dyDescent="0.15">
      <c r="B499" s="274"/>
      <c r="C499" s="273"/>
      <c r="D499" s="273"/>
      <c r="E499" s="273"/>
      <c r="F499" s="272"/>
    </row>
    <row r="500" spans="2:6" ht="12" customHeight="1" x14ac:dyDescent="0.15">
      <c r="B500" s="274"/>
      <c r="C500" s="273"/>
      <c r="D500" s="273"/>
      <c r="E500" s="273"/>
      <c r="F500" s="272"/>
    </row>
    <row r="501" spans="2:6" ht="12" customHeight="1" x14ac:dyDescent="0.15">
      <c r="B501" s="274"/>
      <c r="C501" s="273"/>
      <c r="D501" s="273"/>
      <c r="E501" s="273"/>
      <c r="F501" s="272"/>
    </row>
    <row r="502" spans="2:6" ht="12" customHeight="1" x14ac:dyDescent="0.15">
      <c r="B502" s="274"/>
      <c r="C502" s="273"/>
      <c r="D502" s="273"/>
      <c r="E502" s="273"/>
      <c r="F502" s="272"/>
    </row>
    <row r="503" spans="2:6" ht="12" customHeight="1" x14ac:dyDescent="0.15">
      <c r="B503" s="274"/>
      <c r="C503" s="273"/>
      <c r="D503" s="273"/>
      <c r="E503" s="273"/>
      <c r="F503" s="272"/>
    </row>
    <row r="504" spans="2:6" ht="12" customHeight="1" x14ac:dyDescent="0.15">
      <c r="B504" s="274"/>
      <c r="C504" s="273"/>
      <c r="D504" s="273"/>
      <c r="E504" s="273"/>
      <c r="F504" s="272"/>
    </row>
    <row r="505" spans="2:6" ht="12" customHeight="1" x14ac:dyDescent="0.15">
      <c r="B505" s="274"/>
      <c r="C505" s="273"/>
      <c r="D505" s="273"/>
      <c r="E505" s="273"/>
      <c r="F505" s="272"/>
    </row>
    <row r="506" spans="2:6" ht="12" customHeight="1" x14ac:dyDescent="0.15">
      <c r="B506" s="274"/>
      <c r="C506" s="273"/>
      <c r="D506" s="273"/>
      <c r="E506" s="273"/>
      <c r="F506" s="272"/>
    </row>
    <row r="507" spans="2:6" ht="12" customHeight="1" x14ac:dyDescent="0.15">
      <c r="B507" s="274"/>
      <c r="C507" s="273"/>
      <c r="D507" s="273"/>
      <c r="E507" s="273"/>
      <c r="F507" s="272"/>
    </row>
    <row r="508" spans="2:6" ht="12" customHeight="1" x14ac:dyDescent="0.15">
      <c r="B508" s="274"/>
      <c r="C508" s="273"/>
      <c r="D508" s="273"/>
      <c r="E508" s="273"/>
      <c r="F508" s="272"/>
    </row>
    <row r="509" spans="2:6" ht="12" customHeight="1" x14ac:dyDescent="0.15">
      <c r="B509" s="274"/>
      <c r="C509" s="273"/>
      <c r="D509" s="273"/>
      <c r="E509" s="273"/>
      <c r="F509" s="272"/>
    </row>
    <row r="510" spans="2:6" ht="12" customHeight="1" x14ac:dyDescent="0.15">
      <c r="B510" s="274"/>
      <c r="C510" s="273"/>
      <c r="D510" s="273"/>
      <c r="E510" s="273"/>
      <c r="F510" s="272"/>
    </row>
    <row r="511" spans="2:6" ht="12" customHeight="1" x14ac:dyDescent="0.15">
      <c r="B511" s="274"/>
      <c r="C511" s="273"/>
      <c r="D511" s="273"/>
      <c r="E511" s="273"/>
      <c r="F511" s="272"/>
    </row>
    <row r="512" spans="2:6" ht="12" customHeight="1" x14ac:dyDescent="0.15">
      <c r="B512" s="274"/>
      <c r="C512" s="273"/>
      <c r="D512" s="273"/>
      <c r="E512" s="273"/>
      <c r="F512" s="272"/>
    </row>
    <row r="513" spans="2:6" ht="12" customHeight="1" x14ac:dyDescent="0.15">
      <c r="B513" s="274"/>
      <c r="C513" s="273"/>
      <c r="D513" s="273"/>
      <c r="E513" s="273"/>
      <c r="F513" s="272"/>
    </row>
    <row r="514" spans="2:6" ht="12" customHeight="1" x14ac:dyDescent="0.15">
      <c r="B514" s="274"/>
      <c r="C514" s="273"/>
      <c r="D514" s="273"/>
      <c r="E514" s="273"/>
      <c r="F514" s="272"/>
    </row>
    <row r="515" spans="2:6" ht="12" customHeight="1" x14ac:dyDescent="0.15">
      <c r="B515" s="274"/>
      <c r="C515" s="273"/>
      <c r="D515" s="273"/>
      <c r="E515" s="273"/>
      <c r="F515" s="272"/>
    </row>
    <row r="516" spans="2:6" ht="12" customHeight="1" x14ac:dyDescent="0.15">
      <c r="B516" s="274"/>
      <c r="C516" s="273"/>
      <c r="D516" s="273"/>
      <c r="E516" s="273"/>
      <c r="F516" s="272"/>
    </row>
    <row r="517" spans="2:6" ht="12" customHeight="1" x14ac:dyDescent="0.15">
      <c r="B517" s="274"/>
      <c r="C517" s="273"/>
      <c r="D517" s="273"/>
      <c r="E517" s="273"/>
      <c r="F517" s="272"/>
    </row>
    <row r="518" spans="2:6" ht="12" customHeight="1" x14ac:dyDescent="0.15">
      <c r="B518" s="274"/>
      <c r="C518" s="273"/>
      <c r="D518" s="273"/>
      <c r="E518" s="273"/>
      <c r="F518" s="272"/>
    </row>
    <row r="519" spans="2:6" ht="12" customHeight="1" x14ac:dyDescent="0.15">
      <c r="B519" s="274"/>
      <c r="C519" s="273"/>
      <c r="D519" s="273"/>
      <c r="E519" s="273"/>
      <c r="F519" s="272"/>
    </row>
    <row r="520" spans="2:6" ht="12" customHeight="1" x14ac:dyDescent="0.15">
      <c r="B520" s="274"/>
      <c r="C520" s="273"/>
      <c r="D520" s="273"/>
      <c r="E520" s="273"/>
      <c r="F520" s="272"/>
    </row>
    <row r="521" spans="2:6" ht="12" customHeight="1" x14ac:dyDescent="0.15">
      <c r="B521" s="274"/>
      <c r="C521" s="273"/>
      <c r="D521" s="273"/>
      <c r="E521" s="273"/>
      <c r="F521" s="272"/>
    </row>
    <row r="522" spans="2:6" ht="12" customHeight="1" x14ac:dyDescent="0.15">
      <c r="B522" s="274"/>
      <c r="C522" s="273"/>
      <c r="D522" s="273"/>
      <c r="E522" s="273"/>
      <c r="F522" s="272"/>
    </row>
    <row r="523" spans="2:6" ht="12" customHeight="1" x14ac:dyDescent="0.15">
      <c r="B523" s="274"/>
      <c r="C523" s="273"/>
      <c r="D523" s="273"/>
      <c r="E523" s="273"/>
      <c r="F523" s="272"/>
    </row>
    <row r="524" spans="2:6" ht="12" customHeight="1" x14ac:dyDescent="0.15">
      <c r="B524" s="274"/>
      <c r="C524" s="273"/>
      <c r="D524" s="273"/>
      <c r="E524" s="273"/>
      <c r="F524" s="272"/>
    </row>
    <row r="525" spans="2:6" ht="12" customHeight="1" x14ac:dyDescent="0.15">
      <c r="B525" s="274"/>
      <c r="C525" s="273"/>
      <c r="D525" s="273"/>
      <c r="E525" s="273"/>
      <c r="F525" s="272"/>
    </row>
    <row r="526" spans="2:6" ht="12" customHeight="1" x14ac:dyDescent="0.15">
      <c r="B526" s="274"/>
      <c r="C526" s="273"/>
      <c r="D526" s="273"/>
      <c r="E526" s="273"/>
      <c r="F526" s="272"/>
    </row>
    <row r="527" spans="2:6" ht="12" customHeight="1" x14ac:dyDescent="0.15">
      <c r="B527" s="274"/>
      <c r="C527" s="273"/>
      <c r="D527" s="273"/>
      <c r="E527" s="273"/>
      <c r="F527" s="272"/>
    </row>
    <row r="528" spans="2:6" ht="12" customHeight="1" x14ac:dyDescent="0.15">
      <c r="B528" s="274"/>
      <c r="C528" s="273"/>
      <c r="D528" s="273"/>
      <c r="E528" s="273"/>
      <c r="F528" s="272"/>
    </row>
    <row r="529" spans="2:6" ht="12" customHeight="1" x14ac:dyDescent="0.15">
      <c r="B529" s="274"/>
      <c r="C529" s="273"/>
      <c r="D529" s="273"/>
      <c r="E529" s="273"/>
      <c r="F529" s="272"/>
    </row>
    <row r="530" spans="2:6" ht="12" customHeight="1" x14ac:dyDescent="0.15">
      <c r="B530" s="274"/>
      <c r="C530" s="273"/>
      <c r="D530" s="273"/>
      <c r="E530" s="273"/>
      <c r="F530" s="272"/>
    </row>
    <row r="531" spans="2:6" ht="12" customHeight="1" x14ac:dyDescent="0.15">
      <c r="B531" s="274"/>
      <c r="C531" s="273"/>
      <c r="D531" s="273"/>
      <c r="E531" s="273"/>
      <c r="F531" s="272"/>
    </row>
    <row r="532" spans="2:6" ht="12" customHeight="1" x14ac:dyDescent="0.15">
      <c r="B532" s="274"/>
      <c r="C532" s="273"/>
      <c r="D532" s="273"/>
      <c r="E532" s="273"/>
      <c r="F532" s="272"/>
    </row>
    <row r="533" spans="2:6" ht="12" customHeight="1" x14ac:dyDescent="0.15">
      <c r="B533" s="274"/>
      <c r="C533" s="273"/>
      <c r="D533" s="273"/>
      <c r="E533" s="273"/>
      <c r="F533" s="272"/>
    </row>
    <row r="534" spans="2:6" ht="12" customHeight="1" x14ac:dyDescent="0.15">
      <c r="B534" s="274"/>
      <c r="C534" s="273"/>
      <c r="D534" s="273"/>
      <c r="E534" s="273"/>
      <c r="F534" s="272"/>
    </row>
    <row r="535" spans="2:6" ht="12" customHeight="1" x14ac:dyDescent="0.15">
      <c r="B535" s="274"/>
      <c r="C535" s="273"/>
      <c r="D535" s="273"/>
      <c r="E535" s="273"/>
      <c r="F535" s="272"/>
    </row>
    <row r="536" spans="2:6" ht="12" customHeight="1" x14ac:dyDescent="0.15">
      <c r="B536" s="274"/>
      <c r="C536" s="273"/>
      <c r="D536" s="273"/>
      <c r="E536" s="273"/>
      <c r="F536" s="272"/>
    </row>
    <row r="537" spans="2:6" ht="12" customHeight="1" x14ac:dyDescent="0.15">
      <c r="B537" s="274"/>
      <c r="C537" s="273"/>
      <c r="D537" s="273"/>
      <c r="E537" s="273"/>
      <c r="F537" s="272"/>
    </row>
    <row r="538" spans="2:6" ht="12" customHeight="1" x14ac:dyDescent="0.15">
      <c r="B538" s="274"/>
      <c r="C538" s="273"/>
      <c r="D538" s="273"/>
      <c r="E538" s="273"/>
      <c r="F538" s="272"/>
    </row>
    <row r="539" spans="2:6" ht="12" customHeight="1" x14ac:dyDescent="0.15">
      <c r="B539" s="274"/>
      <c r="C539" s="273"/>
      <c r="D539" s="273"/>
      <c r="E539" s="273"/>
      <c r="F539" s="272"/>
    </row>
    <row r="540" spans="2:6" ht="12" customHeight="1" x14ac:dyDescent="0.15">
      <c r="B540" s="274"/>
      <c r="C540" s="273"/>
      <c r="D540" s="273"/>
      <c r="E540" s="273"/>
      <c r="F540" s="272"/>
    </row>
    <row r="541" spans="2:6" ht="12" customHeight="1" x14ac:dyDescent="0.15">
      <c r="B541" s="274"/>
      <c r="C541" s="273"/>
      <c r="D541" s="273"/>
      <c r="E541" s="273"/>
      <c r="F541" s="272"/>
    </row>
    <row r="542" spans="2:6" ht="12" customHeight="1" x14ac:dyDescent="0.15">
      <c r="B542" s="274"/>
      <c r="C542" s="273"/>
      <c r="D542" s="273"/>
      <c r="E542" s="273"/>
      <c r="F542" s="272"/>
    </row>
    <row r="543" spans="2:6" ht="12" customHeight="1" x14ac:dyDescent="0.15">
      <c r="B543" s="274"/>
      <c r="C543" s="273"/>
      <c r="D543" s="273"/>
      <c r="E543" s="273"/>
      <c r="F543" s="272"/>
    </row>
    <row r="544" spans="2:6" ht="12" customHeight="1" x14ac:dyDescent="0.15">
      <c r="B544" s="274"/>
      <c r="C544" s="273"/>
      <c r="D544" s="273"/>
      <c r="E544" s="273"/>
      <c r="F544" s="272"/>
    </row>
    <row r="545" spans="2:6" ht="12" customHeight="1" x14ac:dyDescent="0.15">
      <c r="B545" s="274"/>
      <c r="C545" s="273"/>
      <c r="D545" s="273"/>
      <c r="E545" s="273"/>
      <c r="F545" s="272"/>
    </row>
    <row r="546" spans="2:6" ht="12" customHeight="1" x14ac:dyDescent="0.15">
      <c r="B546" s="274"/>
      <c r="C546" s="273"/>
      <c r="D546" s="273"/>
      <c r="E546" s="273"/>
      <c r="F546" s="272"/>
    </row>
    <row r="547" spans="2:6" ht="12" customHeight="1" x14ac:dyDescent="0.15">
      <c r="B547" s="274"/>
      <c r="C547" s="273"/>
      <c r="D547" s="273"/>
      <c r="E547" s="273"/>
      <c r="F547" s="272"/>
    </row>
    <row r="548" spans="2:6" ht="12" customHeight="1" x14ac:dyDescent="0.15">
      <c r="B548" s="274"/>
      <c r="C548" s="273"/>
      <c r="D548" s="273"/>
      <c r="E548" s="273"/>
      <c r="F548" s="272"/>
    </row>
    <row r="549" spans="2:6" ht="12" customHeight="1" x14ac:dyDescent="0.15">
      <c r="B549" s="274"/>
      <c r="C549" s="273"/>
      <c r="D549" s="273"/>
      <c r="E549" s="273"/>
      <c r="F549" s="272"/>
    </row>
    <row r="550" spans="2:6" ht="12" customHeight="1" x14ac:dyDescent="0.15">
      <c r="B550" s="274"/>
      <c r="C550" s="273"/>
      <c r="D550" s="273"/>
      <c r="E550" s="273"/>
      <c r="F550" s="272"/>
    </row>
    <row r="551" spans="2:6" ht="12" customHeight="1" x14ac:dyDescent="0.15">
      <c r="B551" s="274"/>
      <c r="C551" s="273"/>
      <c r="D551" s="273"/>
      <c r="E551" s="273"/>
      <c r="F551" s="272"/>
    </row>
    <row r="552" spans="2:6" ht="12" customHeight="1" x14ac:dyDescent="0.15">
      <c r="B552" s="274"/>
      <c r="C552" s="273"/>
      <c r="D552" s="273"/>
      <c r="E552" s="273"/>
      <c r="F552" s="272"/>
    </row>
    <row r="553" spans="2:6" ht="12" customHeight="1" x14ac:dyDescent="0.15">
      <c r="B553" s="274"/>
      <c r="C553" s="273"/>
      <c r="D553" s="273"/>
      <c r="E553" s="273"/>
      <c r="F553" s="272"/>
    </row>
    <row r="554" spans="2:6" ht="12" customHeight="1" x14ac:dyDescent="0.15">
      <c r="B554" s="274"/>
      <c r="C554" s="273"/>
      <c r="D554" s="273"/>
      <c r="E554" s="273"/>
      <c r="F554" s="272"/>
    </row>
    <row r="555" spans="2:6" ht="12" customHeight="1" x14ac:dyDescent="0.15">
      <c r="B555" s="274"/>
      <c r="C555" s="273"/>
      <c r="D555" s="273"/>
      <c r="E555" s="273"/>
      <c r="F555" s="272"/>
    </row>
    <row r="556" spans="2:6" ht="12" customHeight="1" x14ac:dyDescent="0.15">
      <c r="B556" s="274"/>
      <c r="C556" s="273"/>
      <c r="D556" s="273"/>
      <c r="E556" s="273"/>
      <c r="F556" s="272"/>
    </row>
    <row r="557" spans="2:6" ht="12" customHeight="1" x14ac:dyDescent="0.15">
      <c r="B557" s="274"/>
      <c r="C557" s="273"/>
      <c r="D557" s="273"/>
      <c r="E557" s="273"/>
      <c r="F557" s="272"/>
    </row>
    <row r="558" spans="2:6" ht="12" customHeight="1" x14ac:dyDescent="0.15">
      <c r="B558" s="274"/>
      <c r="C558" s="273"/>
      <c r="D558" s="273"/>
      <c r="E558" s="273"/>
      <c r="F558" s="272"/>
    </row>
    <row r="559" spans="2:6" ht="12" customHeight="1" x14ac:dyDescent="0.15">
      <c r="B559" s="274"/>
      <c r="C559" s="273"/>
      <c r="D559" s="273"/>
      <c r="E559" s="273"/>
      <c r="F559" s="272"/>
    </row>
    <row r="560" spans="2:6" ht="12" customHeight="1" x14ac:dyDescent="0.15">
      <c r="B560" s="274"/>
      <c r="C560" s="273"/>
      <c r="D560" s="273"/>
      <c r="E560" s="273"/>
      <c r="F560" s="272"/>
    </row>
    <row r="561" spans="2:6" ht="12" customHeight="1" x14ac:dyDescent="0.15">
      <c r="B561" s="274"/>
      <c r="C561" s="273"/>
      <c r="D561" s="273"/>
      <c r="E561" s="273"/>
      <c r="F561" s="272"/>
    </row>
    <row r="562" spans="2:6" ht="12" customHeight="1" x14ac:dyDescent="0.15">
      <c r="B562" s="274"/>
      <c r="C562" s="273"/>
      <c r="D562" s="273"/>
      <c r="E562" s="273"/>
      <c r="F562" s="272"/>
    </row>
    <row r="563" spans="2:6" ht="12" customHeight="1" x14ac:dyDescent="0.15">
      <c r="B563" s="274"/>
      <c r="C563" s="273"/>
      <c r="D563" s="273"/>
      <c r="E563" s="273"/>
      <c r="F563" s="272"/>
    </row>
    <row r="564" spans="2:6" ht="12" customHeight="1" x14ac:dyDescent="0.15">
      <c r="B564" s="274"/>
      <c r="C564" s="273"/>
      <c r="D564" s="273"/>
      <c r="E564" s="273"/>
      <c r="F564" s="272"/>
    </row>
    <row r="565" spans="2:6" ht="12" customHeight="1" x14ac:dyDescent="0.15">
      <c r="B565" s="274"/>
      <c r="C565" s="273"/>
      <c r="D565" s="273"/>
      <c r="E565" s="273"/>
      <c r="F565" s="272"/>
    </row>
    <row r="566" spans="2:6" ht="12" customHeight="1" x14ac:dyDescent="0.15">
      <c r="B566" s="274"/>
      <c r="C566" s="273"/>
      <c r="D566" s="273"/>
      <c r="E566" s="273"/>
      <c r="F566" s="272"/>
    </row>
    <row r="567" spans="2:6" ht="12" customHeight="1" x14ac:dyDescent="0.15">
      <c r="B567" s="274"/>
      <c r="C567" s="273"/>
      <c r="D567" s="273"/>
      <c r="E567" s="273"/>
      <c r="F567" s="272"/>
    </row>
    <row r="568" spans="2:6" ht="12" customHeight="1" x14ac:dyDescent="0.15">
      <c r="B568" s="274"/>
      <c r="C568" s="273"/>
      <c r="D568" s="273"/>
      <c r="E568" s="273"/>
      <c r="F568" s="272"/>
    </row>
    <row r="569" spans="2:6" ht="12" customHeight="1" x14ac:dyDescent="0.15">
      <c r="B569" s="274"/>
      <c r="C569" s="273"/>
      <c r="D569" s="273"/>
      <c r="E569" s="273"/>
      <c r="F569" s="272"/>
    </row>
    <row r="570" spans="2:6" ht="12" customHeight="1" x14ac:dyDescent="0.15">
      <c r="B570" s="274"/>
      <c r="C570" s="273"/>
      <c r="D570" s="273"/>
      <c r="E570" s="273"/>
      <c r="F570" s="272"/>
    </row>
    <row r="571" spans="2:6" ht="12" customHeight="1" x14ac:dyDescent="0.15">
      <c r="B571" s="274"/>
      <c r="C571" s="273"/>
      <c r="D571" s="273"/>
      <c r="E571" s="273"/>
      <c r="F571" s="272"/>
    </row>
    <row r="572" spans="2:6" ht="12" customHeight="1" x14ac:dyDescent="0.15">
      <c r="B572" s="274"/>
      <c r="C572" s="273"/>
      <c r="D572" s="273"/>
      <c r="E572" s="273"/>
      <c r="F572" s="272"/>
    </row>
    <row r="573" spans="2:6" ht="12" customHeight="1" x14ac:dyDescent="0.15">
      <c r="B573" s="274"/>
      <c r="C573" s="273"/>
      <c r="D573" s="273"/>
      <c r="E573" s="273"/>
      <c r="F573" s="272"/>
    </row>
    <row r="574" spans="2:6" ht="12" customHeight="1" x14ac:dyDescent="0.15">
      <c r="B574" s="274"/>
      <c r="C574" s="273"/>
      <c r="D574" s="273"/>
      <c r="E574" s="273"/>
      <c r="F574" s="272"/>
    </row>
    <row r="575" spans="2:6" ht="12" customHeight="1" x14ac:dyDescent="0.15">
      <c r="B575" s="274"/>
      <c r="C575" s="273"/>
      <c r="D575" s="273"/>
      <c r="E575" s="273"/>
      <c r="F575" s="272"/>
    </row>
    <row r="576" spans="2:6" ht="12" customHeight="1" x14ac:dyDescent="0.15">
      <c r="B576" s="274"/>
      <c r="C576" s="273"/>
      <c r="D576" s="273"/>
      <c r="E576" s="273"/>
      <c r="F576" s="272"/>
    </row>
    <row r="577" spans="2:6" ht="12" customHeight="1" x14ac:dyDescent="0.15">
      <c r="B577" s="274"/>
      <c r="C577" s="273"/>
      <c r="D577" s="273"/>
      <c r="E577" s="273"/>
      <c r="F577" s="272"/>
    </row>
    <row r="578" spans="2:6" ht="12" customHeight="1" x14ac:dyDescent="0.15">
      <c r="B578" s="274"/>
      <c r="C578" s="273"/>
      <c r="D578" s="273"/>
      <c r="E578" s="273"/>
      <c r="F578" s="272"/>
    </row>
    <row r="579" spans="2:6" ht="12" customHeight="1" x14ac:dyDescent="0.15">
      <c r="B579" s="274"/>
      <c r="C579" s="273"/>
      <c r="D579" s="273"/>
      <c r="E579" s="273"/>
      <c r="F579" s="272"/>
    </row>
    <row r="580" spans="2:6" ht="12" customHeight="1" x14ac:dyDescent="0.15">
      <c r="B580" s="274"/>
      <c r="C580" s="273"/>
      <c r="D580" s="273"/>
      <c r="E580" s="273"/>
      <c r="F580" s="272"/>
    </row>
    <row r="581" spans="2:6" ht="12" customHeight="1" x14ac:dyDescent="0.15">
      <c r="B581" s="274"/>
      <c r="C581" s="273"/>
      <c r="D581" s="273"/>
      <c r="E581" s="273"/>
      <c r="F581" s="272"/>
    </row>
    <row r="582" spans="2:6" ht="12" customHeight="1" x14ac:dyDescent="0.15">
      <c r="B582" s="274"/>
      <c r="C582" s="273"/>
      <c r="D582" s="273"/>
      <c r="E582" s="273"/>
      <c r="F582" s="272"/>
    </row>
    <row r="583" spans="2:6" ht="12" customHeight="1" x14ac:dyDescent="0.15">
      <c r="B583" s="274"/>
      <c r="C583" s="273"/>
      <c r="D583" s="273"/>
      <c r="E583" s="273"/>
      <c r="F583" s="272"/>
    </row>
    <row r="584" spans="2:6" ht="12" customHeight="1" x14ac:dyDescent="0.15">
      <c r="B584" s="274"/>
      <c r="C584" s="273"/>
      <c r="D584" s="273"/>
      <c r="E584" s="273"/>
      <c r="F584" s="272"/>
    </row>
    <row r="585" spans="2:6" ht="12" customHeight="1" x14ac:dyDescent="0.15">
      <c r="B585" s="274"/>
      <c r="C585" s="273"/>
      <c r="D585" s="273"/>
      <c r="E585" s="273"/>
      <c r="F585" s="272"/>
    </row>
    <row r="586" spans="2:6" ht="12" customHeight="1" x14ac:dyDescent="0.15">
      <c r="B586" s="274"/>
      <c r="C586" s="273"/>
      <c r="D586" s="273"/>
      <c r="E586" s="273"/>
      <c r="F586" s="272"/>
    </row>
    <row r="587" spans="2:6" ht="12" customHeight="1" x14ac:dyDescent="0.15">
      <c r="B587" s="274"/>
      <c r="C587" s="273"/>
      <c r="D587" s="273"/>
      <c r="E587" s="273"/>
      <c r="F587" s="272"/>
    </row>
    <row r="588" spans="2:6" ht="12" customHeight="1" x14ac:dyDescent="0.15">
      <c r="B588" s="274"/>
      <c r="C588" s="273"/>
      <c r="D588" s="273"/>
      <c r="E588" s="273"/>
      <c r="F588" s="272"/>
    </row>
    <row r="589" spans="2:6" ht="12" customHeight="1" x14ac:dyDescent="0.15">
      <c r="B589" s="274"/>
      <c r="C589" s="273"/>
      <c r="D589" s="273"/>
      <c r="E589" s="273"/>
      <c r="F589" s="272"/>
    </row>
    <row r="590" spans="2:6" ht="12" customHeight="1" x14ac:dyDescent="0.15">
      <c r="B590" s="274"/>
      <c r="C590" s="273"/>
      <c r="D590" s="273"/>
      <c r="E590" s="273"/>
      <c r="F590" s="272"/>
    </row>
    <row r="591" spans="2:6" ht="12" customHeight="1" x14ac:dyDescent="0.15">
      <c r="B591" s="274"/>
      <c r="C591" s="273"/>
      <c r="D591" s="273"/>
      <c r="E591" s="273"/>
      <c r="F591" s="272"/>
    </row>
    <row r="592" spans="2:6" ht="12" customHeight="1" x14ac:dyDescent="0.15">
      <c r="B592" s="274"/>
      <c r="C592" s="273"/>
      <c r="D592" s="273"/>
      <c r="E592" s="273"/>
      <c r="F592" s="272"/>
    </row>
    <row r="593" spans="2:6" ht="12" customHeight="1" x14ac:dyDescent="0.15">
      <c r="B593" s="274"/>
      <c r="C593" s="273"/>
      <c r="D593" s="273"/>
      <c r="E593" s="273"/>
      <c r="F593" s="272"/>
    </row>
    <row r="594" spans="2:6" ht="12" customHeight="1" x14ac:dyDescent="0.15">
      <c r="B594" s="274"/>
      <c r="C594" s="273"/>
      <c r="D594" s="273"/>
      <c r="E594" s="273"/>
      <c r="F594" s="272"/>
    </row>
    <row r="595" spans="2:6" ht="12" customHeight="1" x14ac:dyDescent="0.15">
      <c r="B595" s="274"/>
      <c r="C595" s="273"/>
      <c r="D595" s="273"/>
      <c r="E595" s="273"/>
      <c r="F595" s="272"/>
    </row>
    <row r="596" spans="2:6" ht="12" customHeight="1" x14ac:dyDescent="0.15">
      <c r="B596" s="274"/>
      <c r="C596" s="273"/>
      <c r="D596" s="273"/>
      <c r="E596" s="273"/>
      <c r="F596" s="272"/>
    </row>
    <row r="597" spans="2:6" ht="12" customHeight="1" x14ac:dyDescent="0.15">
      <c r="B597" s="274"/>
      <c r="C597" s="273"/>
      <c r="D597" s="273"/>
      <c r="E597" s="273"/>
      <c r="F597" s="272"/>
    </row>
    <row r="598" spans="2:6" ht="12" customHeight="1" x14ac:dyDescent="0.15">
      <c r="B598" s="274"/>
      <c r="C598" s="273"/>
      <c r="D598" s="273"/>
      <c r="E598" s="273"/>
      <c r="F598" s="272"/>
    </row>
    <row r="599" spans="2:6" ht="12" customHeight="1" x14ac:dyDescent="0.15">
      <c r="B599" s="274"/>
      <c r="C599" s="273"/>
      <c r="D599" s="273"/>
      <c r="E599" s="273"/>
      <c r="F599" s="272"/>
    </row>
    <row r="600" spans="2:6" ht="12" customHeight="1" x14ac:dyDescent="0.15">
      <c r="B600" s="274"/>
      <c r="C600" s="273"/>
      <c r="D600" s="273"/>
      <c r="E600" s="273"/>
      <c r="F600" s="272"/>
    </row>
    <row r="601" spans="2:6" ht="12" customHeight="1" x14ac:dyDescent="0.15">
      <c r="B601" s="274"/>
      <c r="C601" s="273"/>
      <c r="D601" s="273"/>
      <c r="E601" s="273"/>
      <c r="F601" s="272"/>
    </row>
    <row r="602" spans="2:6" ht="12" customHeight="1" x14ac:dyDescent="0.15">
      <c r="B602" s="274"/>
      <c r="C602" s="273"/>
      <c r="D602" s="273"/>
      <c r="E602" s="273"/>
      <c r="F602" s="272"/>
    </row>
    <row r="603" spans="2:6" ht="12" customHeight="1" x14ac:dyDescent="0.15">
      <c r="B603" s="274"/>
      <c r="C603" s="273"/>
      <c r="D603" s="273"/>
      <c r="E603" s="273"/>
      <c r="F603" s="272"/>
    </row>
    <row r="604" spans="2:6" ht="12" customHeight="1" x14ac:dyDescent="0.15">
      <c r="B604" s="274"/>
      <c r="C604" s="273"/>
      <c r="D604" s="273"/>
      <c r="E604" s="273"/>
      <c r="F604" s="272"/>
    </row>
    <row r="605" spans="2:6" ht="12" customHeight="1" x14ac:dyDescent="0.15">
      <c r="B605" s="274"/>
      <c r="C605" s="273"/>
      <c r="D605" s="273"/>
      <c r="E605" s="273"/>
      <c r="F605" s="272"/>
    </row>
    <row r="606" spans="2:6" ht="12" customHeight="1" x14ac:dyDescent="0.15">
      <c r="B606" s="274"/>
      <c r="C606" s="273"/>
      <c r="D606" s="273"/>
      <c r="E606" s="273"/>
      <c r="F606" s="272"/>
    </row>
    <row r="607" spans="2:6" ht="12" customHeight="1" x14ac:dyDescent="0.15">
      <c r="B607" s="274"/>
      <c r="C607" s="273"/>
      <c r="D607" s="273"/>
      <c r="E607" s="273"/>
      <c r="F607" s="272"/>
    </row>
    <row r="608" spans="2:6" ht="12" customHeight="1" x14ac:dyDescent="0.15">
      <c r="B608" s="274"/>
      <c r="C608" s="273"/>
      <c r="D608" s="273"/>
      <c r="E608" s="273"/>
      <c r="F608" s="272"/>
    </row>
    <row r="609" spans="2:6" ht="12" customHeight="1" x14ac:dyDescent="0.15">
      <c r="B609" s="274"/>
      <c r="C609" s="273"/>
      <c r="D609" s="273"/>
      <c r="E609" s="273"/>
      <c r="F609" s="272"/>
    </row>
    <row r="610" spans="2:6" ht="12" customHeight="1" x14ac:dyDescent="0.15">
      <c r="B610" s="274"/>
      <c r="C610" s="273"/>
      <c r="D610" s="273"/>
      <c r="E610" s="273"/>
      <c r="F610" s="272"/>
    </row>
    <row r="611" spans="2:6" ht="12" customHeight="1" x14ac:dyDescent="0.15">
      <c r="B611" s="274"/>
      <c r="C611" s="273"/>
      <c r="D611" s="273"/>
      <c r="E611" s="273"/>
      <c r="F611" s="272"/>
    </row>
    <row r="612" spans="2:6" ht="12" customHeight="1" x14ac:dyDescent="0.15">
      <c r="B612" s="274"/>
      <c r="C612" s="273"/>
      <c r="D612" s="273"/>
      <c r="E612" s="273"/>
      <c r="F612" s="272"/>
    </row>
    <row r="613" spans="2:6" ht="12" customHeight="1" x14ac:dyDescent="0.15">
      <c r="B613" s="274"/>
      <c r="C613" s="273"/>
      <c r="D613" s="273"/>
      <c r="E613" s="273"/>
      <c r="F613" s="272"/>
    </row>
    <row r="614" spans="2:6" ht="12" customHeight="1" x14ac:dyDescent="0.15">
      <c r="B614" s="274"/>
      <c r="C614" s="273"/>
      <c r="D614" s="273"/>
      <c r="E614" s="273"/>
      <c r="F614" s="272"/>
    </row>
    <row r="615" spans="2:6" ht="12" customHeight="1" x14ac:dyDescent="0.15">
      <c r="B615" s="274"/>
      <c r="C615" s="273"/>
      <c r="D615" s="273"/>
      <c r="E615" s="273"/>
      <c r="F615" s="272"/>
    </row>
    <row r="616" spans="2:6" ht="12" customHeight="1" x14ac:dyDescent="0.15">
      <c r="B616" s="274"/>
      <c r="C616" s="273"/>
      <c r="D616" s="273"/>
      <c r="E616" s="273"/>
      <c r="F616" s="272"/>
    </row>
    <row r="617" spans="2:6" ht="12" customHeight="1" x14ac:dyDescent="0.15">
      <c r="B617" s="274"/>
      <c r="C617" s="273"/>
      <c r="D617" s="273"/>
      <c r="E617" s="273"/>
      <c r="F617" s="272"/>
    </row>
    <row r="618" spans="2:6" ht="12" customHeight="1" x14ac:dyDescent="0.15">
      <c r="B618" s="274"/>
      <c r="C618" s="273"/>
      <c r="D618" s="273"/>
      <c r="E618" s="273"/>
      <c r="F618" s="272"/>
    </row>
    <row r="619" spans="2:6" ht="12" customHeight="1" x14ac:dyDescent="0.15">
      <c r="B619" s="274"/>
      <c r="C619" s="273"/>
      <c r="D619" s="273"/>
      <c r="E619" s="273"/>
      <c r="F619" s="272"/>
    </row>
    <row r="620" spans="2:6" ht="12" customHeight="1" x14ac:dyDescent="0.15">
      <c r="B620" s="274"/>
      <c r="C620" s="273"/>
      <c r="D620" s="273"/>
      <c r="E620" s="273"/>
      <c r="F620" s="272"/>
    </row>
    <row r="621" spans="2:6" ht="12" customHeight="1" x14ac:dyDescent="0.15">
      <c r="B621" s="274"/>
      <c r="C621" s="273"/>
      <c r="D621" s="273"/>
      <c r="E621" s="273"/>
      <c r="F621" s="272"/>
    </row>
    <row r="622" spans="2:6" ht="12" customHeight="1" x14ac:dyDescent="0.15">
      <c r="B622" s="274"/>
      <c r="C622" s="273"/>
      <c r="D622" s="273"/>
      <c r="E622" s="273"/>
      <c r="F622" s="272"/>
    </row>
    <row r="623" spans="2:6" ht="12" customHeight="1" x14ac:dyDescent="0.15">
      <c r="B623" s="274"/>
      <c r="C623" s="273"/>
      <c r="D623" s="273"/>
      <c r="E623" s="273"/>
      <c r="F623" s="272"/>
    </row>
    <row r="624" spans="2:6" ht="12" customHeight="1" x14ac:dyDescent="0.15">
      <c r="B624" s="274"/>
      <c r="C624" s="273"/>
      <c r="D624" s="273"/>
      <c r="E624" s="273"/>
      <c r="F624" s="272"/>
    </row>
    <row r="625" spans="2:6" ht="12" customHeight="1" x14ac:dyDescent="0.15">
      <c r="B625" s="274"/>
      <c r="C625" s="273"/>
      <c r="D625" s="273"/>
      <c r="E625" s="273"/>
      <c r="F625" s="272"/>
    </row>
    <row r="626" spans="2:6" ht="12" customHeight="1" x14ac:dyDescent="0.15">
      <c r="B626" s="274"/>
      <c r="C626" s="273"/>
      <c r="D626" s="273"/>
      <c r="E626" s="273"/>
      <c r="F626" s="272"/>
    </row>
    <row r="627" spans="2:6" ht="12" customHeight="1" x14ac:dyDescent="0.15">
      <c r="B627" s="274"/>
      <c r="C627" s="273"/>
      <c r="D627" s="273"/>
      <c r="E627" s="273"/>
      <c r="F627" s="272"/>
    </row>
    <row r="628" spans="2:6" ht="12" customHeight="1" x14ac:dyDescent="0.15">
      <c r="B628" s="274"/>
      <c r="C628" s="273"/>
      <c r="D628" s="273"/>
      <c r="E628" s="273"/>
      <c r="F628" s="272"/>
    </row>
    <row r="629" spans="2:6" ht="12" customHeight="1" x14ac:dyDescent="0.15">
      <c r="B629" s="274"/>
      <c r="C629" s="273"/>
      <c r="D629" s="273"/>
      <c r="E629" s="273"/>
      <c r="F629" s="272"/>
    </row>
    <row r="630" spans="2:6" ht="12" customHeight="1" x14ac:dyDescent="0.15">
      <c r="B630" s="274"/>
      <c r="C630" s="273"/>
      <c r="D630" s="273"/>
      <c r="E630" s="273"/>
      <c r="F630" s="272"/>
    </row>
    <row r="631" spans="2:6" ht="12" customHeight="1" x14ac:dyDescent="0.15">
      <c r="B631" s="274"/>
      <c r="C631" s="273"/>
      <c r="D631" s="273"/>
      <c r="E631" s="273"/>
      <c r="F631" s="272"/>
    </row>
    <row r="632" spans="2:6" ht="12" customHeight="1" x14ac:dyDescent="0.15">
      <c r="B632" s="274"/>
      <c r="C632" s="273"/>
      <c r="D632" s="273"/>
      <c r="E632" s="273"/>
      <c r="F632" s="272"/>
    </row>
    <row r="633" spans="2:6" ht="12" customHeight="1" x14ac:dyDescent="0.15">
      <c r="B633" s="274"/>
      <c r="C633" s="273"/>
      <c r="D633" s="273"/>
      <c r="E633" s="273"/>
      <c r="F633" s="272"/>
    </row>
    <row r="634" spans="2:6" ht="12" customHeight="1" x14ac:dyDescent="0.15">
      <c r="B634" s="274"/>
      <c r="C634" s="273"/>
      <c r="D634" s="273"/>
      <c r="E634" s="273"/>
      <c r="F634" s="272"/>
    </row>
    <row r="635" spans="2:6" ht="12" customHeight="1" x14ac:dyDescent="0.15">
      <c r="B635" s="274"/>
      <c r="C635" s="273"/>
      <c r="D635" s="273"/>
      <c r="E635" s="273"/>
      <c r="F635" s="272"/>
    </row>
    <row r="636" spans="2:6" ht="12" customHeight="1" x14ac:dyDescent="0.15">
      <c r="B636" s="274"/>
      <c r="C636" s="273"/>
      <c r="D636" s="273"/>
      <c r="E636" s="273"/>
      <c r="F636" s="272"/>
    </row>
    <row r="637" spans="2:6" ht="12" customHeight="1" x14ac:dyDescent="0.15">
      <c r="B637" s="274"/>
      <c r="C637" s="273"/>
      <c r="D637" s="273"/>
      <c r="E637" s="273"/>
      <c r="F637" s="272"/>
    </row>
    <row r="638" spans="2:6" ht="12" customHeight="1" x14ac:dyDescent="0.15">
      <c r="B638" s="274"/>
      <c r="C638" s="273"/>
      <c r="D638" s="273"/>
      <c r="E638" s="273"/>
      <c r="F638" s="272"/>
    </row>
    <row r="639" spans="2:6" ht="12" customHeight="1" x14ac:dyDescent="0.15">
      <c r="B639" s="274"/>
      <c r="C639" s="273"/>
      <c r="D639" s="273"/>
      <c r="E639" s="273"/>
      <c r="F639" s="272"/>
    </row>
    <row r="640" spans="2:6" ht="12" customHeight="1" x14ac:dyDescent="0.15">
      <c r="B640" s="274"/>
      <c r="C640" s="273"/>
      <c r="D640" s="273"/>
      <c r="E640" s="273"/>
      <c r="F640" s="272"/>
    </row>
    <row r="641" spans="2:6" ht="12" customHeight="1" x14ac:dyDescent="0.15">
      <c r="B641" s="274"/>
      <c r="C641" s="273"/>
      <c r="D641" s="273"/>
      <c r="E641" s="273"/>
      <c r="F641" s="272"/>
    </row>
    <row r="642" spans="2:6" ht="12" customHeight="1" x14ac:dyDescent="0.15">
      <c r="B642" s="274"/>
      <c r="C642" s="273"/>
      <c r="D642" s="273"/>
      <c r="E642" s="273"/>
      <c r="F642" s="272"/>
    </row>
    <row r="643" spans="2:6" ht="12" customHeight="1" x14ac:dyDescent="0.15">
      <c r="B643" s="274"/>
      <c r="C643" s="273"/>
      <c r="D643" s="273"/>
      <c r="E643" s="273"/>
      <c r="F643" s="272"/>
    </row>
    <row r="644" spans="2:6" ht="12" customHeight="1" x14ac:dyDescent="0.15">
      <c r="B644" s="274"/>
      <c r="C644" s="273"/>
      <c r="D644" s="273"/>
      <c r="E644" s="273"/>
      <c r="F644" s="272"/>
    </row>
    <row r="645" spans="2:6" ht="12" customHeight="1" x14ac:dyDescent="0.15">
      <c r="B645" s="274"/>
      <c r="C645" s="273"/>
      <c r="D645" s="273"/>
      <c r="E645" s="273"/>
      <c r="F645" s="272"/>
    </row>
    <row r="646" spans="2:6" ht="12" customHeight="1" x14ac:dyDescent="0.15">
      <c r="B646" s="274"/>
      <c r="C646" s="273"/>
      <c r="D646" s="273"/>
      <c r="E646" s="273"/>
      <c r="F646" s="272"/>
    </row>
    <row r="647" spans="2:6" ht="12" customHeight="1" x14ac:dyDescent="0.15">
      <c r="B647" s="274"/>
      <c r="C647" s="273"/>
      <c r="D647" s="273"/>
      <c r="E647" s="273"/>
      <c r="F647" s="272"/>
    </row>
    <row r="648" spans="2:6" ht="12" customHeight="1" x14ac:dyDescent="0.15">
      <c r="B648" s="274"/>
      <c r="C648" s="273"/>
      <c r="D648" s="273"/>
      <c r="E648" s="273"/>
      <c r="F648" s="272"/>
    </row>
    <row r="649" spans="2:6" ht="12" customHeight="1" x14ac:dyDescent="0.15">
      <c r="B649" s="274"/>
      <c r="C649" s="273"/>
      <c r="D649" s="273"/>
      <c r="E649" s="273"/>
      <c r="F649" s="272"/>
    </row>
    <row r="650" spans="2:6" ht="12" customHeight="1" x14ac:dyDescent="0.15">
      <c r="B650" s="274"/>
      <c r="C650" s="273"/>
      <c r="D650" s="273"/>
      <c r="E650" s="273"/>
      <c r="F650" s="272"/>
    </row>
    <row r="651" spans="2:6" ht="12" customHeight="1" x14ac:dyDescent="0.15">
      <c r="B651" s="274"/>
      <c r="C651" s="273"/>
      <c r="D651" s="273"/>
      <c r="E651" s="273"/>
      <c r="F651" s="272"/>
    </row>
    <row r="652" spans="2:6" ht="12" customHeight="1" x14ac:dyDescent="0.15">
      <c r="B652" s="274"/>
      <c r="C652" s="273"/>
      <c r="D652" s="273"/>
      <c r="E652" s="273"/>
      <c r="F652" s="272"/>
    </row>
    <row r="653" spans="2:6" ht="12" customHeight="1" x14ac:dyDescent="0.15">
      <c r="B653" s="274"/>
      <c r="C653" s="273"/>
      <c r="D653" s="273"/>
      <c r="E653" s="273"/>
      <c r="F653" s="272"/>
    </row>
    <row r="654" spans="2:6" ht="12" customHeight="1" x14ac:dyDescent="0.15">
      <c r="B654" s="274"/>
      <c r="C654" s="273"/>
      <c r="D654" s="273"/>
      <c r="E654" s="273"/>
      <c r="F654" s="272"/>
    </row>
    <row r="655" spans="2:6" ht="12" customHeight="1" x14ac:dyDescent="0.15">
      <c r="B655" s="274"/>
      <c r="C655" s="273"/>
      <c r="D655" s="273"/>
      <c r="E655" s="273"/>
      <c r="F655" s="272"/>
    </row>
    <row r="656" spans="2:6" ht="12" customHeight="1" x14ac:dyDescent="0.15">
      <c r="B656" s="274"/>
      <c r="C656" s="273"/>
      <c r="D656" s="273"/>
      <c r="E656" s="273"/>
      <c r="F656" s="272"/>
    </row>
    <row r="657" spans="2:6" ht="12" customHeight="1" x14ac:dyDescent="0.15">
      <c r="B657" s="274"/>
      <c r="C657" s="273"/>
      <c r="D657" s="273"/>
      <c r="E657" s="273"/>
      <c r="F657" s="272"/>
    </row>
    <row r="658" spans="2:6" ht="12" customHeight="1" x14ac:dyDescent="0.15">
      <c r="B658" s="274"/>
      <c r="C658" s="273"/>
      <c r="D658" s="273"/>
      <c r="E658" s="273"/>
      <c r="F658" s="272"/>
    </row>
    <row r="659" spans="2:6" ht="12" customHeight="1" x14ac:dyDescent="0.15">
      <c r="B659" s="274"/>
      <c r="C659" s="273"/>
      <c r="D659" s="273"/>
      <c r="E659" s="273"/>
      <c r="F659" s="272"/>
    </row>
    <row r="660" spans="2:6" ht="12" customHeight="1" x14ac:dyDescent="0.15">
      <c r="B660" s="274"/>
      <c r="C660" s="273"/>
      <c r="D660" s="273"/>
      <c r="E660" s="273"/>
      <c r="F660" s="272"/>
    </row>
    <row r="661" spans="2:6" ht="12" customHeight="1" x14ac:dyDescent="0.15">
      <c r="B661" s="274"/>
      <c r="C661" s="273"/>
      <c r="D661" s="273"/>
      <c r="E661" s="273"/>
      <c r="F661" s="272"/>
    </row>
    <row r="662" spans="2:6" ht="12" customHeight="1" x14ac:dyDescent="0.15">
      <c r="B662" s="274"/>
      <c r="C662" s="273"/>
      <c r="D662" s="273"/>
      <c r="E662" s="273"/>
      <c r="F662" s="272"/>
    </row>
    <row r="663" spans="2:6" ht="12" customHeight="1" x14ac:dyDescent="0.15">
      <c r="B663" s="274"/>
      <c r="C663" s="273"/>
      <c r="D663" s="273"/>
      <c r="E663" s="273"/>
      <c r="F663" s="272"/>
    </row>
    <row r="664" spans="2:6" ht="12" customHeight="1" x14ac:dyDescent="0.15">
      <c r="B664" s="274"/>
      <c r="C664" s="273"/>
      <c r="D664" s="273"/>
      <c r="E664" s="273"/>
      <c r="F664" s="272"/>
    </row>
    <row r="665" spans="2:6" ht="12" customHeight="1" x14ac:dyDescent="0.15">
      <c r="B665" s="274"/>
      <c r="C665" s="273"/>
      <c r="D665" s="273"/>
      <c r="E665" s="273"/>
      <c r="F665" s="272"/>
    </row>
    <row r="666" spans="2:6" ht="12" customHeight="1" x14ac:dyDescent="0.15">
      <c r="B666" s="274"/>
      <c r="C666" s="273"/>
      <c r="D666" s="273"/>
      <c r="E666" s="273"/>
      <c r="F666" s="272"/>
    </row>
    <row r="667" spans="2:6" ht="12" customHeight="1" x14ac:dyDescent="0.15">
      <c r="B667" s="274"/>
      <c r="C667" s="273"/>
      <c r="D667" s="273"/>
      <c r="E667" s="273"/>
      <c r="F667" s="272"/>
    </row>
    <row r="668" spans="2:6" ht="12" customHeight="1" x14ac:dyDescent="0.15">
      <c r="B668" s="274"/>
      <c r="C668" s="273"/>
      <c r="D668" s="273"/>
      <c r="E668" s="273"/>
      <c r="F668" s="272"/>
    </row>
    <row r="669" spans="2:6" ht="12" customHeight="1" x14ac:dyDescent="0.15">
      <c r="B669" s="274"/>
      <c r="C669" s="273"/>
      <c r="D669" s="273"/>
      <c r="E669" s="273"/>
      <c r="F669" s="272"/>
    </row>
    <row r="670" spans="2:6" ht="12" customHeight="1" x14ac:dyDescent="0.15">
      <c r="B670" s="274"/>
      <c r="C670" s="273"/>
      <c r="D670" s="273"/>
      <c r="E670" s="273"/>
      <c r="F670" s="272"/>
    </row>
    <row r="671" spans="2:6" ht="12" customHeight="1" x14ac:dyDescent="0.15">
      <c r="B671" s="274"/>
      <c r="C671" s="273"/>
      <c r="D671" s="273"/>
      <c r="E671" s="273"/>
      <c r="F671" s="272"/>
    </row>
    <row r="672" spans="2:6" ht="12" customHeight="1" x14ac:dyDescent="0.15">
      <c r="B672" s="274"/>
      <c r="C672" s="273"/>
      <c r="D672" s="273"/>
      <c r="E672" s="273"/>
      <c r="F672" s="272"/>
    </row>
    <row r="673" spans="2:6" ht="12" customHeight="1" x14ac:dyDescent="0.15">
      <c r="B673" s="274"/>
      <c r="C673" s="273"/>
      <c r="D673" s="273"/>
      <c r="E673" s="273"/>
      <c r="F673" s="272"/>
    </row>
    <row r="674" spans="2:6" ht="12" customHeight="1" x14ac:dyDescent="0.15">
      <c r="B674" s="274"/>
      <c r="C674" s="273"/>
      <c r="D674" s="273"/>
      <c r="E674" s="273"/>
      <c r="F674" s="272"/>
    </row>
    <row r="675" spans="2:6" ht="12" customHeight="1" x14ac:dyDescent="0.15">
      <c r="B675" s="274"/>
      <c r="C675" s="273"/>
      <c r="D675" s="273"/>
      <c r="E675" s="273"/>
      <c r="F675" s="272"/>
    </row>
    <row r="676" spans="2:6" ht="12" customHeight="1" x14ac:dyDescent="0.15">
      <c r="B676" s="274"/>
      <c r="C676" s="273"/>
      <c r="D676" s="273"/>
      <c r="E676" s="273"/>
      <c r="F676" s="272"/>
    </row>
    <row r="677" spans="2:6" ht="12" customHeight="1" x14ac:dyDescent="0.15">
      <c r="B677" s="274"/>
      <c r="C677" s="273"/>
      <c r="D677" s="273"/>
      <c r="E677" s="273"/>
      <c r="F677" s="272"/>
    </row>
    <row r="678" spans="2:6" ht="12" customHeight="1" x14ac:dyDescent="0.15">
      <c r="B678" s="274"/>
      <c r="C678" s="273"/>
      <c r="D678" s="273"/>
      <c r="E678" s="273"/>
      <c r="F678" s="272"/>
    </row>
    <row r="679" spans="2:6" ht="12" customHeight="1" x14ac:dyDescent="0.15">
      <c r="B679" s="274"/>
      <c r="C679" s="273"/>
      <c r="D679" s="273"/>
      <c r="E679" s="273"/>
      <c r="F679" s="272"/>
    </row>
    <row r="680" spans="2:6" ht="12" customHeight="1" x14ac:dyDescent="0.15">
      <c r="B680" s="274"/>
      <c r="C680" s="273"/>
      <c r="D680" s="273"/>
      <c r="E680" s="273"/>
      <c r="F680" s="272"/>
    </row>
    <row r="681" spans="2:6" ht="12" customHeight="1" x14ac:dyDescent="0.15">
      <c r="B681" s="274"/>
      <c r="C681" s="273"/>
      <c r="D681" s="273"/>
      <c r="E681" s="273"/>
      <c r="F681" s="272"/>
    </row>
    <row r="682" spans="2:6" ht="12" customHeight="1" x14ac:dyDescent="0.15">
      <c r="B682" s="274"/>
      <c r="C682" s="273"/>
      <c r="D682" s="273"/>
      <c r="E682" s="273"/>
      <c r="F682" s="272"/>
    </row>
    <row r="683" spans="2:6" ht="12" customHeight="1" x14ac:dyDescent="0.15">
      <c r="B683" s="274"/>
      <c r="C683" s="273"/>
      <c r="D683" s="273"/>
      <c r="E683" s="273"/>
      <c r="F683" s="272"/>
    </row>
    <row r="684" spans="2:6" ht="12" customHeight="1" x14ac:dyDescent="0.15">
      <c r="B684" s="274"/>
      <c r="C684" s="273"/>
      <c r="D684" s="273"/>
      <c r="E684" s="273"/>
      <c r="F684" s="272"/>
    </row>
    <row r="685" spans="2:6" ht="12" customHeight="1" x14ac:dyDescent="0.15">
      <c r="B685" s="274"/>
      <c r="C685" s="273"/>
      <c r="D685" s="273"/>
      <c r="E685" s="273"/>
      <c r="F685" s="272"/>
    </row>
    <row r="686" spans="2:6" ht="12" customHeight="1" x14ac:dyDescent="0.15">
      <c r="B686" s="274"/>
      <c r="C686" s="273"/>
      <c r="D686" s="273"/>
      <c r="E686" s="273"/>
      <c r="F686" s="272"/>
    </row>
    <row r="687" spans="2:6" ht="12" customHeight="1" x14ac:dyDescent="0.15">
      <c r="B687" s="274"/>
      <c r="C687" s="273"/>
      <c r="D687" s="273"/>
      <c r="E687" s="273"/>
      <c r="F687" s="272"/>
    </row>
    <row r="688" spans="2:6" ht="12" customHeight="1" x14ac:dyDescent="0.15">
      <c r="B688" s="274"/>
      <c r="C688" s="273"/>
      <c r="D688" s="273"/>
      <c r="E688" s="273"/>
      <c r="F688" s="272"/>
    </row>
    <row r="689" spans="2:6" ht="12" customHeight="1" x14ac:dyDescent="0.15">
      <c r="B689" s="274"/>
      <c r="C689" s="273"/>
      <c r="D689" s="273"/>
      <c r="E689" s="273"/>
      <c r="F689" s="272"/>
    </row>
    <row r="690" spans="2:6" ht="12" customHeight="1" x14ac:dyDescent="0.15">
      <c r="B690" s="274"/>
      <c r="C690" s="273"/>
      <c r="D690" s="273"/>
      <c r="E690" s="273"/>
      <c r="F690" s="272"/>
    </row>
    <row r="691" spans="2:6" ht="12" customHeight="1" x14ac:dyDescent="0.15">
      <c r="B691" s="274"/>
      <c r="C691" s="273"/>
      <c r="D691" s="273"/>
      <c r="E691" s="273"/>
      <c r="F691" s="272"/>
    </row>
    <row r="692" spans="2:6" ht="12" customHeight="1" x14ac:dyDescent="0.15">
      <c r="B692" s="274"/>
      <c r="C692" s="273"/>
      <c r="D692" s="273"/>
      <c r="E692" s="273"/>
      <c r="F692" s="272"/>
    </row>
    <row r="693" spans="2:6" ht="12" customHeight="1" x14ac:dyDescent="0.15">
      <c r="B693" s="274"/>
      <c r="C693" s="273"/>
      <c r="D693" s="273"/>
      <c r="E693" s="273"/>
      <c r="F693" s="272"/>
    </row>
    <row r="694" spans="2:6" ht="12" customHeight="1" x14ac:dyDescent="0.15">
      <c r="B694" s="274"/>
      <c r="C694" s="273"/>
      <c r="D694" s="273"/>
      <c r="E694" s="273"/>
      <c r="F694" s="272"/>
    </row>
    <row r="695" spans="2:6" ht="12" customHeight="1" x14ac:dyDescent="0.15">
      <c r="B695" s="274"/>
      <c r="C695" s="273"/>
      <c r="D695" s="273"/>
      <c r="E695" s="273"/>
      <c r="F695" s="272"/>
    </row>
    <row r="696" spans="2:6" ht="12" customHeight="1" x14ac:dyDescent="0.15">
      <c r="B696" s="274"/>
      <c r="C696" s="273"/>
      <c r="D696" s="273"/>
      <c r="E696" s="273"/>
      <c r="F696" s="272"/>
    </row>
    <row r="697" spans="2:6" ht="12" customHeight="1" x14ac:dyDescent="0.15">
      <c r="B697" s="274"/>
      <c r="C697" s="273"/>
      <c r="D697" s="273"/>
      <c r="E697" s="273"/>
      <c r="F697" s="272"/>
    </row>
    <row r="698" spans="2:6" ht="12" customHeight="1" x14ac:dyDescent="0.15">
      <c r="B698" s="274"/>
      <c r="C698" s="273"/>
      <c r="D698" s="273"/>
      <c r="E698" s="273"/>
      <c r="F698" s="272"/>
    </row>
    <row r="699" spans="2:6" ht="12" customHeight="1" x14ac:dyDescent="0.15">
      <c r="B699" s="274"/>
      <c r="C699" s="273"/>
      <c r="D699" s="273"/>
      <c r="E699" s="273"/>
      <c r="F699" s="272"/>
    </row>
    <row r="700" spans="2:6" ht="12" customHeight="1" x14ac:dyDescent="0.15">
      <c r="B700" s="274"/>
      <c r="C700" s="273"/>
      <c r="D700" s="273"/>
      <c r="E700" s="273"/>
      <c r="F700" s="272"/>
    </row>
    <row r="701" spans="2:6" ht="12" customHeight="1" x14ac:dyDescent="0.15">
      <c r="B701" s="274"/>
      <c r="C701" s="273"/>
      <c r="D701" s="273"/>
      <c r="E701" s="273"/>
      <c r="F701" s="272"/>
    </row>
    <row r="702" spans="2:6" ht="12" customHeight="1" x14ac:dyDescent="0.15">
      <c r="B702" s="274"/>
      <c r="C702" s="273"/>
      <c r="D702" s="273"/>
      <c r="E702" s="273"/>
      <c r="F702" s="272"/>
    </row>
    <row r="703" spans="2:6" ht="12" customHeight="1" x14ac:dyDescent="0.15">
      <c r="B703" s="274"/>
      <c r="C703" s="273"/>
      <c r="D703" s="273"/>
      <c r="E703" s="273"/>
      <c r="F703" s="272"/>
    </row>
    <row r="704" spans="2:6" ht="12" customHeight="1" x14ac:dyDescent="0.15">
      <c r="B704" s="274"/>
      <c r="C704" s="273"/>
      <c r="D704" s="273"/>
      <c r="E704" s="273"/>
      <c r="F704" s="272"/>
    </row>
    <row r="705" spans="2:6" ht="12" customHeight="1" x14ac:dyDescent="0.15">
      <c r="B705" s="274"/>
      <c r="C705" s="273"/>
      <c r="D705" s="273"/>
      <c r="E705" s="273"/>
      <c r="F705" s="272"/>
    </row>
    <row r="706" spans="2:6" ht="12" customHeight="1" x14ac:dyDescent="0.15">
      <c r="B706" s="274"/>
      <c r="C706" s="273"/>
      <c r="D706" s="273"/>
      <c r="E706" s="273"/>
      <c r="F706" s="272"/>
    </row>
    <row r="707" spans="2:6" ht="12" customHeight="1" x14ac:dyDescent="0.15">
      <c r="B707" s="274"/>
      <c r="C707" s="273"/>
      <c r="D707" s="273"/>
      <c r="E707" s="273"/>
      <c r="F707" s="272"/>
    </row>
    <row r="708" spans="2:6" ht="12" customHeight="1" x14ac:dyDescent="0.15">
      <c r="B708" s="274"/>
      <c r="C708" s="273"/>
      <c r="D708" s="273"/>
      <c r="E708" s="273"/>
      <c r="F708" s="272"/>
    </row>
    <row r="709" spans="2:6" ht="12" customHeight="1" x14ac:dyDescent="0.15">
      <c r="B709" s="274"/>
      <c r="C709" s="273"/>
      <c r="D709" s="273"/>
      <c r="E709" s="273"/>
      <c r="F709" s="272"/>
    </row>
    <row r="710" spans="2:6" ht="12" customHeight="1" x14ac:dyDescent="0.15">
      <c r="B710" s="274"/>
      <c r="C710" s="273"/>
      <c r="D710" s="273"/>
      <c r="E710" s="273"/>
      <c r="F710" s="272"/>
    </row>
    <row r="711" spans="2:6" ht="12" customHeight="1" x14ac:dyDescent="0.15">
      <c r="B711" s="274"/>
      <c r="C711" s="273"/>
      <c r="D711" s="273"/>
      <c r="E711" s="273"/>
      <c r="F711" s="272"/>
    </row>
    <row r="712" spans="2:6" ht="12" customHeight="1" x14ac:dyDescent="0.15">
      <c r="B712" s="274"/>
      <c r="C712" s="273"/>
      <c r="D712" s="273"/>
      <c r="E712" s="273"/>
      <c r="F712" s="272"/>
    </row>
    <row r="713" spans="2:6" ht="12" customHeight="1" x14ac:dyDescent="0.15">
      <c r="B713" s="274"/>
      <c r="C713" s="273"/>
      <c r="D713" s="273"/>
      <c r="E713" s="273"/>
      <c r="F713" s="272"/>
    </row>
    <row r="714" spans="2:6" ht="12" customHeight="1" x14ac:dyDescent="0.15">
      <c r="B714" s="274"/>
      <c r="C714" s="273"/>
      <c r="D714" s="273"/>
      <c r="E714" s="273"/>
      <c r="F714" s="272"/>
    </row>
    <row r="715" spans="2:6" ht="12" customHeight="1" x14ac:dyDescent="0.15">
      <c r="B715" s="274"/>
      <c r="C715" s="273"/>
      <c r="D715" s="273"/>
      <c r="E715" s="273"/>
      <c r="F715" s="272"/>
    </row>
    <row r="716" spans="2:6" ht="12" customHeight="1" x14ac:dyDescent="0.15">
      <c r="B716" s="274"/>
      <c r="C716" s="273"/>
      <c r="D716" s="273"/>
      <c r="E716" s="273"/>
      <c r="F716" s="272"/>
    </row>
    <row r="717" spans="2:6" ht="12" customHeight="1" x14ac:dyDescent="0.15">
      <c r="B717" s="274"/>
      <c r="C717" s="273"/>
      <c r="D717" s="273"/>
      <c r="E717" s="273"/>
      <c r="F717" s="272"/>
    </row>
    <row r="718" spans="2:6" ht="12" customHeight="1" x14ac:dyDescent="0.15">
      <c r="B718" s="274"/>
      <c r="C718" s="273"/>
      <c r="D718" s="273"/>
      <c r="E718" s="273"/>
      <c r="F718" s="272"/>
    </row>
    <row r="719" spans="2:6" ht="12" customHeight="1" x14ac:dyDescent="0.15">
      <c r="B719" s="274"/>
      <c r="C719" s="273"/>
      <c r="D719" s="273"/>
      <c r="E719" s="273"/>
      <c r="F719" s="272"/>
    </row>
    <row r="720" spans="2:6" ht="12" customHeight="1" x14ac:dyDescent="0.15">
      <c r="B720" s="274"/>
      <c r="C720" s="273"/>
      <c r="D720" s="273"/>
      <c r="E720" s="273"/>
      <c r="F720" s="272"/>
    </row>
    <row r="721" spans="2:6" ht="12" customHeight="1" x14ac:dyDescent="0.15">
      <c r="B721" s="274"/>
      <c r="C721" s="273"/>
      <c r="D721" s="273"/>
      <c r="E721" s="273"/>
      <c r="F721" s="272"/>
    </row>
    <row r="722" spans="2:6" ht="12" customHeight="1" x14ac:dyDescent="0.15">
      <c r="B722" s="274"/>
      <c r="C722" s="273"/>
      <c r="D722" s="273"/>
      <c r="E722" s="273"/>
      <c r="F722" s="272"/>
    </row>
    <row r="723" spans="2:6" ht="12" customHeight="1" x14ac:dyDescent="0.15">
      <c r="B723" s="274"/>
      <c r="C723" s="273"/>
      <c r="D723" s="273"/>
      <c r="E723" s="273"/>
      <c r="F723" s="272"/>
    </row>
    <row r="724" spans="2:6" ht="12" customHeight="1" x14ac:dyDescent="0.15">
      <c r="B724" s="274"/>
      <c r="C724" s="273"/>
      <c r="D724" s="273"/>
      <c r="E724" s="273"/>
      <c r="F724" s="272"/>
    </row>
    <row r="725" spans="2:6" ht="12" customHeight="1" x14ac:dyDescent="0.15">
      <c r="B725" s="274"/>
      <c r="C725" s="273"/>
      <c r="D725" s="273"/>
      <c r="E725" s="273"/>
      <c r="F725" s="272"/>
    </row>
    <row r="726" spans="2:6" ht="12" customHeight="1" x14ac:dyDescent="0.15">
      <c r="B726" s="274"/>
      <c r="C726" s="273"/>
      <c r="D726" s="273"/>
      <c r="E726" s="273"/>
      <c r="F726" s="272"/>
    </row>
    <row r="727" spans="2:6" ht="12" customHeight="1" x14ac:dyDescent="0.15">
      <c r="B727" s="274"/>
      <c r="C727" s="273"/>
      <c r="D727" s="273"/>
      <c r="E727" s="273"/>
      <c r="F727" s="272"/>
    </row>
    <row r="728" spans="2:6" ht="12" customHeight="1" x14ac:dyDescent="0.15">
      <c r="B728" s="274"/>
      <c r="C728" s="273"/>
      <c r="D728" s="273"/>
      <c r="E728" s="273"/>
      <c r="F728" s="272"/>
    </row>
    <row r="729" spans="2:6" ht="12" customHeight="1" x14ac:dyDescent="0.15">
      <c r="B729" s="274"/>
      <c r="C729" s="273"/>
      <c r="D729" s="273"/>
      <c r="E729" s="273"/>
      <c r="F729" s="272"/>
    </row>
    <row r="730" spans="2:6" ht="12" customHeight="1" x14ac:dyDescent="0.15">
      <c r="B730" s="274"/>
      <c r="C730" s="273"/>
      <c r="D730" s="273"/>
      <c r="E730" s="273"/>
      <c r="F730" s="272"/>
    </row>
    <row r="731" spans="2:6" ht="12" customHeight="1" x14ac:dyDescent="0.15">
      <c r="B731" s="274"/>
      <c r="C731" s="273"/>
      <c r="D731" s="273"/>
      <c r="E731" s="273"/>
      <c r="F731" s="272"/>
    </row>
    <row r="732" spans="2:6" ht="12" customHeight="1" x14ac:dyDescent="0.15">
      <c r="B732" s="274"/>
      <c r="C732" s="273"/>
      <c r="D732" s="273"/>
      <c r="E732" s="273"/>
      <c r="F732" s="272"/>
    </row>
    <row r="733" spans="2:6" ht="12" customHeight="1" x14ac:dyDescent="0.15">
      <c r="B733" s="274"/>
      <c r="C733" s="273"/>
      <c r="D733" s="273"/>
      <c r="E733" s="273"/>
      <c r="F733" s="272"/>
    </row>
    <row r="734" spans="2:6" ht="12" customHeight="1" x14ac:dyDescent="0.15">
      <c r="B734" s="274"/>
      <c r="C734" s="273"/>
      <c r="D734" s="273"/>
      <c r="E734" s="273"/>
      <c r="F734" s="272"/>
    </row>
    <row r="735" spans="2:6" ht="12" customHeight="1" x14ac:dyDescent="0.15">
      <c r="B735" s="274"/>
      <c r="C735" s="273"/>
      <c r="D735" s="273"/>
      <c r="E735" s="273"/>
      <c r="F735" s="272"/>
    </row>
    <row r="736" spans="2:6" ht="12" customHeight="1" x14ac:dyDescent="0.15">
      <c r="B736" s="274"/>
      <c r="C736" s="273"/>
      <c r="D736" s="273"/>
      <c r="E736" s="273"/>
      <c r="F736" s="272"/>
    </row>
    <row r="737" spans="2:6" ht="12" customHeight="1" x14ac:dyDescent="0.15">
      <c r="B737" s="274"/>
      <c r="C737" s="273"/>
      <c r="D737" s="273"/>
      <c r="E737" s="273"/>
      <c r="F737" s="272"/>
    </row>
    <row r="738" spans="2:6" ht="12" customHeight="1" x14ac:dyDescent="0.15">
      <c r="B738" s="274"/>
      <c r="C738" s="273"/>
      <c r="D738" s="273"/>
      <c r="E738" s="273"/>
      <c r="F738" s="272"/>
    </row>
    <row r="739" spans="2:6" ht="12" customHeight="1" x14ac:dyDescent="0.15">
      <c r="B739" s="274"/>
      <c r="C739" s="273"/>
      <c r="D739" s="273"/>
      <c r="E739" s="273"/>
      <c r="F739" s="272"/>
    </row>
    <row r="740" spans="2:6" ht="12" customHeight="1" x14ac:dyDescent="0.15">
      <c r="B740" s="274"/>
      <c r="C740" s="273"/>
      <c r="D740" s="273"/>
      <c r="E740" s="273"/>
      <c r="F740" s="272"/>
    </row>
    <row r="741" spans="2:6" ht="12" customHeight="1" x14ac:dyDescent="0.15">
      <c r="B741" s="274"/>
      <c r="C741" s="273"/>
      <c r="D741" s="273"/>
      <c r="E741" s="273"/>
      <c r="F741" s="272"/>
    </row>
    <row r="742" spans="2:6" ht="12" customHeight="1" x14ac:dyDescent="0.15">
      <c r="B742" s="274"/>
      <c r="C742" s="273"/>
      <c r="D742" s="273"/>
      <c r="E742" s="273"/>
      <c r="F742" s="272"/>
    </row>
    <row r="743" spans="2:6" ht="12" customHeight="1" x14ac:dyDescent="0.15">
      <c r="B743" s="274"/>
      <c r="C743" s="273"/>
      <c r="D743" s="273"/>
      <c r="E743" s="273"/>
      <c r="F743" s="272"/>
    </row>
    <row r="744" spans="2:6" ht="12" customHeight="1" x14ac:dyDescent="0.15">
      <c r="B744" s="274"/>
      <c r="C744" s="273"/>
      <c r="D744" s="273"/>
      <c r="E744" s="273"/>
      <c r="F744" s="272"/>
    </row>
    <row r="745" spans="2:6" ht="12" customHeight="1" x14ac:dyDescent="0.15">
      <c r="B745" s="274"/>
      <c r="C745" s="273"/>
      <c r="D745" s="273"/>
      <c r="E745" s="273"/>
      <c r="F745" s="272"/>
    </row>
    <row r="746" spans="2:6" ht="12" customHeight="1" x14ac:dyDescent="0.15">
      <c r="B746" s="274"/>
      <c r="C746" s="273"/>
      <c r="D746" s="273"/>
      <c r="E746" s="273"/>
      <c r="F746" s="272"/>
    </row>
    <row r="747" spans="2:6" ht="12" customHeight="1" x14ac:dyDescent="0.15">
      <c r="B747" s="274"/>
      <c r="C747" s="273"/>
      <c r="D747" s="273"/>
      <c r="E747" s="273"/>
      <c r="F747" s="272"/>
    </row>
    <row r="748" spans="2:6" ht="12" customHeight="1" x14ac:dyDescent="0.15">
      <c r="B748" s="274"/>
      <c r="C748" s="273"/>
      <c r="D748" s="273"/>
      <c r="E748" s="273"/>
      <c r="F748" s="272"/>
    </row>
    <row r="749" spans="2:6" ht="12" customHeight="1" x14ac:dyDescent="0.15">
      <c r="B749" s="274"/>
      <c r="C749" s="273"/>
      <c r="D749" s="273"/>
      <c r="E749" s="273"/>
      <c r="F749" s="272"/>
    </row>
    <row r="750" spans="2:6" ht="12" customHeight="1" x14ac:dyDescent="0.15">
      <c r="B750" s="274"/>
      <c r="C750" s="273"/>
      <c r="D750" s="273"/>
      <c r="E750" s="273"/>
      <c r="F750" s="272"/>
    </row>
    <row r="751" spans="2:6" ht="12" customHeight="1" x14ac:dyDescent="0.15">
      <c r="B751" s="274"/>
      <c r="C751" s="273"/>
      <c r="D751" s="273"/>
      <c r="E751" s="273"/>
      <c r="F751" s="272"/>
    </row>
    <row r="752" spans="2:6" ht="12" customHeight="1" x14ac:dyDescent="0.15">
      <c r="B752" s="274"/>
      <c r="C752" s="273"/>
      <c r="D752" s="273"/>
      <c r="E752" s="273"/>
      <c r="F752" s="272"/>
    </row>
    <row r="753" spans="2:6" ht="12" customHeight="1" x14ac:dyDescent="0.15">
      <c r="B753" s="274"/>
      <c r="C753" s="273"/>
      <c r="D753" s="273"/>
      <c r="E753" s="273"/>
      <c r="F753" s="272"/>
    </row>
    <row r="754" spans="2:6" ht="12" customHeight="1" x14ac:dyDescent="0.15">
      <c r="B754" s="274"/>
      <c r="C754" s="273"/>
      <c r="D754" s="273"/>
      <c r="E754" s="273"/>
      <c r="F754" s="272"/>
    </row>
    <row r="755" spans="2:6" ht="12" customHeight="1" x14ac:dyDescent="0.15">
      <c r="B755" s="274"/>
      <c r="C755" s="273"/>
      <c r="D755" s="273"/>
      <c r="E755" s="273"/>
      <c r="F755" s="272"/>
    </row>
    <row r="756" spans="2:6" ht="12" customHeight="1" x14ac:dyDescent="0.15">
      <c r="B756" s="274"/>
      <c r="C756" s="273"/>
      <c r="D756" s="273"/>
      <c r="E756" s="273"/>
      <c r="F756" s="272"/>
    </row>
    <row r="757" spans="2:6" ht="12" customHeight="1" x14ac:dyDescent="0.15">
      <c r="B757" s="274"/>
      <c r="C757" s="273"/>
      <c r="D757" s="273"/>
      <c r="E757" s="273"/>
      <c r="F757" s="272"/>
    </row>
    <row r="758" spans="2:6" ht="12" customHeight="1" x14ac:dyDescent="0.15">
      <c r="B758" s="274"/>
      <c r="C758" s="273"/>
      <c r="D758" s="273"/>
      <c r="E758" s="273"/>
      <c r="F758" s="272"/>
    </row>
    <row r="759" spans="2:6" ht="12" customHeight="1" x14ac:dyDescent="0.15">
      <c r="B759" s="274"/>
      <c r="C759" s="273"/>
      <c r="D759" s="273"/>
      <c r="E759" s="273"/>
      <c r="F759" s="272"/>
    </row>
    <row r="760" spans="2:6" ht="12" customHeight="1" x14ac:dyDescent="0.15">
      <c r="B760" s="274"/>
      <c r="C760" s="273"/>
      <c r="D760" s="273"/>
      <c r="E760" s="273"/>
      <c r="F760" s="272"/>
    </row>
    <row r="761" spans="2:6" ht="12" customHeight="1" x14ac:dyDescent="0.15">
      <c r="B761" s="274"/>
      <c r="C761" s="273"/>
      <c r="D761" s="273"/>
      <c r="E761" s="273"/>
      <c r="F761" s="272"/>
    </row>
    <row r="762" spans="2:6" ht="12" customHeight="1" x14ac:dyDescent="0.15">
      <c r="B762" s="274"/>
      <c r="C762" s="273"/>
      <c r="D762" s="273"/>
      <c r="E762" s="273"/>
      <c r="F762" s="272"/>
    </row>
    <row r="763" spans="2:6" ht="12" customHeight="1" x14ac:dyDescent="0.15">
      <c r="B763" s="274"/>
      <c r="C763" s="273"/>
      <c r="D763" s="273"/>
      <c r="E763" s="273"/>
      <c r="F763" s="272"/>
    </row>
    <row r="764" spans="2:6" ht="12" customHeight="1" x14ac:dyDescent="0.15">
      <c r="B764" s="274"/>
      <c r="C764" s="273"/>
      <c r="D764" s="273"/>
      <c r="E764" s="273"/>
      <c r="F764" s="272"/>
    </row>
    <row r="765" spans="2:6" ht="12" customHeight="1" x14ac:dyDescent="0.15">
      <c r="B765" s="274"/>
      <c r="C765" s="273"/>
      <c r="D765" s="273"/>
      <c r="E765" s="273"/>
      <c r="F765" s="272"/>
    </row>
    <row r="766" spans="2:6" ht="12" customHeight="1" x14ac:dyDescent="0.15">
      <c r="B766" s="274"/>
      <c r="C766" s="273"/>
      <c r="D766" s="273"/>
      <c r="E766" s="273"/>
      <c r="F766" s="272"/>
    </row>
    <row r="767" spans="2:6" ht="12" customHeight="1" x14ac:dyDescent="0.15">
      <c r="B767" s="274"/>
      <c r="C767" s="273"/>
      <c r="D767" s="273"/>
      <c r="E767" s="273"/>
      <c r="F767" s="272"/>
    </row>
    <row r="768" spans="2:6" ht="12" customHeight="1" x14ac:dyDescent="0.15">
      <c r="B768" s="274"/>
      <c r="C768" s="273"/>
      <c r="D768" s="273"/>
      <c r="E768" s="273"/>
      <c r="F768" s="272"/>
    </row>
    <row r="769" spans="2:6" ht="12" customHeight="1" x14ac:dyDescent="0.15">
      <c r="B769" s="274"/>
      <c r="C769" s="273"/>
      <c r="D769" s="273"/>
      <c r="E769" s="273"/>
      <c r="F769" s="272"/>
    </row>
    <row r="770" spans="2:6" ht="12" customHeight="1" x14ac:dyDescent="0.15">
      <c r="B770" s="274"/>
      <c r="C770" s="273"/>
      <c r="D770" s="273"/>
      <c r="E770" s="273"/>
      <c r="F770" s="272"/>
    </row>
    <row r="771" spans="2:6" ht="12" customHeight="1" x14ac:dyDescent="0.15">
      <c r="B771" s="274"/>
      <c r="C771" s="273"/>
      <c r="D771" s="273"/>
      <c r="E771" s="273"/>
      <c r="F771" s="272"/>
    </row>
    <row r="772" spans="2:6" ht="12" customHeight="1" x14ac:dyDescent="0.15">
      <c r="B772" s="274"/>
      <c r="C772" s="273"/>
      <c r="D772" s="273"/>
      <c r="E772" s="273"/>
      <c r="F772" s="272"/>
    </row>
    <row r="773" spans="2:6" ht="12" customHeight="1" x14ac:dyDescent="0.15">
      <c r="B773" s="274"/>
      <c r="C773" s="273"/>
      <c r="D773" s="273"/>
      <c r="E773" s="273"/>
      <c r="F773" s="272"/>
    </row>
    <row r="774" spans="2:6" ht="12" customHeight="1" x14ac:dyDescent="0.15">
      <c r="B774" s="274"/>
      <c r="C774" s="273"/>
      <c r="D774" s="273"/>
      <c r="E774" s="273"/>
      <c r="F774" s="272"/>
    </row>
    <row r="775" spans="2:6" ht="12" customHeight="1" x14ac:dyDescent="0.15">
      <c r="B775" s="274"/>
      <c r="C775" s="273"/>
      <c r="D775" s="273"/>
      <c r="E775" s="273"/>
      <c r="F775" s="272"/>
    </row>
    <row r="776" spans="2:6" ht="12" customHeight="1" x14ac:dyDescent="0.15">
      <c r="B776" s="274"/>
      <c r="C776" s="273"/>
      <c r="D776" s="273"/>
      <c r="E776" s="273"/>
      <c r="F776" s="272"/>
    </row>
    <row r="777" spans="2:6" ht="12" customHeight="1" x14ac:dyDescent="0.15">
      <c r="B777" s="274"/>
      <c r="C777" s="273"/>
      <c r="D777" s="273"/>
      <c r="E777" s="273"/>
      <c r="F777" s="272"/>
    </row>
    <row r="778" spans="2:6" ht="12" customHeight="1" x14ac:dyDescent="0.15">
      <c r="B778" s="274"/>
      <c r="C778" s="273"/>
      <c r="D778" s="273"/>
      <c r="E778" s="273"/>
      <c r="F778" s="272"/>
    </row>
    <row r="779" spans="2:6" ht="12" customHeight="1" x14ac:dyDescent="0.15">
      <c r="B779" s="274"/>
      <c r="C779" s="273"/>
      <c r="D779" s="273"/>
      <c r="E779" s="273"/>
      <c r="F779" s="272"/>
    </row>
    <row r="780" spans="2:6" ht="12" customHeight="1" x14ac:dyDescent="0.15">
      <c r="B780" s="274"/>
      <c r="C780" s="273"/>
      <c r="D780" s="273"/>
      <c r="E780" s="273"/>
      <c r="F780" s="272"/>
    </row>
    <row r="781" spans="2:6" ht="12" customHeight="1" x14ac:dyDescent="0.15">
      <c r="B781" s="274"/>
      <c r="C781" s="273"/>
      <c r="D781" s="273"/>
      <c r="E781" s="273"/>
      <c r="F781" s="272"/>
    </row>
    <row r="782" spans="2:6" ht="12" customHeight="1" x14ac:dyDescent="0.15">
      <c r="B782" s="274"/>
      <c r="C782" s="273"/>
      <c r="D782" s="273"/>
      <c r="E782" s="273"/>
      <c r="F782" s="272"/>
    </row>
    <row r="783" spans="2:6" ht="12" customHeight="1" x14ac:dyDescent="0.15">
      <c r="B783" s="274"/>
      <c r="C783" s="273"/>
      <c r="D783" s="273"/>
      <c r="E783" s="273"/>
      <c r="F783" s="272"/>
    </row>
    <row r="784" spans="2:6" ht="12" customHeight="1" x14ac:dyDescent="0.15">
      <c r="B784" s="274"/>
      <c r="C784" s="273"/>
      <c r="D784" s="273"/>
      <c r="E784" s="273"/>
      <c r="F784" s="272"/>
    </row>
    <row r="785" spans="2:6" ht="12" customHeight="1" x14ac:dyDescent="0.15">
      <c r="B785" s="274"/>
      <c r="C785" s="273"/>
      <c r="D785" s="273"/>
      <c r="E785" s="273"/>
      <c r="F785" s="272"/>
    </row>
    <row r="786" spans="2:6" ht="12" customHeight="1" x14ac:dyDescent="0.15">
      <c r="B786" s="274"/>
      <c r="C786" s="273"/>
      <c r="D786" s="273"/>
      <c r="E786" s="273"/>
      <c r="F786" s="272"/>
    </row>
    <row r="787" spans="2:6" ht="12" customHeight="1" x14ac:dyDescent="0.15">
      <c r="B787" s="274"/>
      <c r="C787" s="273"/>
      <c r="D787" s="273"/>
      <c r="E787" s="273"/>
      <c r="F787" s="272"/>
    </row>
    <row r="788" spans="2:6" ht="12" customHeight="1" x14ac:dyDescent="0.15">
      <c r="B788" s="274"/>
      <c r="C788" s="273"/>
      <c r="D788" s="273"/>
      <c r="E788" s="273"/>
      <c r="F788" s="272"/>
    </row>
    <row r="789" spans="2:6" ht="12" customHeight="1" x14ac:dyDescent="0.15">
      <c r="B789" s="274"/>
      <c r="C789" s="273"/>
      <c r="D789" s="273"/>
      <c r="E789" s="273"/>
      <c r="F789" s="272"/>
    </row>
    <row r="790" spans="2:6" ht="12" customHeight="1" x14ac:dyDescent="0.15">
      <c r="B790" s="274"/>
      <c r="C790" s="273"/>
      <c r="D790" s="273"/>
      <c r="E790" s="273"/>
      <c r="F790" s="272"/>
    </row>
    <row r="791" spans="2:6" ht="12" customHeight="1" x14ac:dyDescent="0.15">
      <c r="B791" s="274"/>
      <c r="C791" s="273"/>
      <c r="D791" s="273"/>
      <c r="E791" s="273"/>
      <c r="F791" s="272"/>
    </row>
    <row r="792" spans="2:6" ht="12" customHeight="1" x14ac:dyDescent="0.15">
      <c r="B792" s="274"/>
      <c r="C792" s="273"/>
      <c r="D792" s="273"/>
      <c r="E792" s="273"/>
      <c r="F792" s="272"/>
    </row>
    <row r="793" spans="2:6" ht="12" customHeight="1" x14ac:dyDescent="0.15">
      <c r="B793" s="274"/>
      <c r="C793" s="273"/>
      <c r="D793" s="273"/>
      <c r="E793" s="273"/>
      <c r="F793" s="272"/>
    </row>
    <row r="794" spans="2:6" ht="12" customHeight="1" x14ac:dyDescent="0.15">
      <c r="B794" s="274"/>
      <c r="C794" s="273"/>
      <c r="D794" s="273"/>
      <c r="E794" s="273"/>
      <c r="F794" s="272"/>
    </row>
    <row r="795" spans="2:6" ht="12" customHeight="1" x14ac:dyDescent="0.15">
      <c r="B795" s="274"/>
      <c r="C795" s="273"/>
      <c r="D795" s="273"/>
      <c r="E795" s="273"/>
      <c r="F795" s="272"/>
    </row>
    <row r="796" spans="2:6" ht="12" customHeight="1" x14ac:dyDescent="0.15">
      <c r="B796" s="274"/>
      <c r="C796" s="273"/>
      <c r="D796" s="273"/>
      <c r="E796" s="273"/>
      <c r="F796" s="272"/>
    </row>
    <row r="797" spans="2:6" ht="12" customHeight="1" x14ac:dyDescent="0.15">
      <c r="B797" s="274"/>
      <c r="C797" s="273"/>
      <c r="D797" s="273"/>
      <c r="E797" s="273"/>
      <c r="F797" s="272"/>
    </row>
    <row r="798" spans="2:6" ht="12" customHeight="1" x14ac:dyDescent="0.15">
      <c r="B798" s="274"/>
      <c r="C798" s="273"/>
      <c r="D798" s="273"/>
      <c r="E798" s="273"/>
      <c r="F798" s="272"/>
    </row>
    <row r="799" spans="2:6" ht="12" customHeight="1" x14ac:dyDescent="0.15">
      <c r="B799" s="274"/>
      <c r="C799" s="273"/>
      <c r="D799" s="273"/>
      <c r="E799" s="273"/>
      <c r="F799" s="272"/>
    </row>
    <row r="800" spans="2:6" ht="12" customHeight="1" x14ac:dyDescent="0.15">
      <c r="B800" s="274"/>
      <c r="C800" s="273"/>
      <c r="D800" s="273"/>
      <c r="E800" s="273"/>
      <c r="F800" s="272"/>
    </row>
    <row r="801" spans="2:6" ht="12" customHeight="1" x14ac:dyDescent="0.15">
      <c r="B801" s="274"/>
      <c r="C801" s="273"/>
      <c r="D801" s="273"/>
      <c r="E801" s="273"/>
      <c r="F801" s="272"/>
    </row>
    <row r="802" spans="2:6" ht="12" customHeight="1" x14ac:dyDescent="0.15">
      <c r="B802" s="274"/>
      <c r="C802" s="273"/>
      <c r="D802" s="273"/>
      <c r="E802" s="273"/>
      <c r="F802" s="272"/>
    </row>
    <row r="803" spans="2:6" ht="12" customHeight="1" x14ac:dyDescent="0.15">
      <c r="B803" s="274"/>
      <c r="C803" s="273"/>
      <c r="D803" s="273"/>
      <c r="E803" s="273"/>
      <c r="F803" s="272"/>
    </row>
    <row r="804" spans="2:6" ht="12" customHeight="1" x14ac:dyDescent="0.15">
      <c r="B804" s="274"/>
      <c r="C804" s="273"/>
      <c r="D804" s="273"/>
      <c r="E804" s="273"/>
      <c r="F804" s="272"/>
    </row>
    <row r="805" spans="2:6" ht="12" customHeight="1" x14ac:dyDescent="0.15">
      <c r="B805" s="274"/>
      <c r="C805" s="273"/>
      <c r="D805" s="273"/>
      <c r="E805" s="273"/>
      <c r="F805" s="272"/>
    </row>
    <row r="806" spans="2:6" ht="12" customHeight="1" x14ac:dyDescent="0.15">
      <c r="B806" s="274"/>
      <c r="C806" s="273"/>
      <c r="D806" s="273"/>
      <c r="E806" s="273"/>
      <c r="F806" s="272"/>
    </row>
    <row r="807" spans="2:6" ht="12" customHeight="1" x14ac:dyDescent="0.15">
      <c r="B807" s="274"/>
      <c r="C807" s="273"/>
      <c r="D807" s="273"/>
      <c r="E807" s="273"/>
      <c r="F807" s="272"/>
    </row>
    <row r="808" spans="2:6" ht="12" customHeight="1" x14ac:dyDescent="0.15">
      <c r="B808" s="274"/>
      <c r="C808" s="273"/>
      <c r="D808" s="273"/>
      <c r="E808" s="273"/>
      <c r="F808" s="272"/>
    </row>
    <row r="809" spans="2:6" ht="12" customHeight="1" x14ac:dyDescent="0.15">
      <c r="B809" s="274"/>
      <c r="C809" s="273"/>
      <c r="D809" s="273"/>
      <c r="E809" s="273"/>
      <c r="F809" s="272"/>
    </row>
    <row r="810" spans="2:6" ht="12" customHeight="1" x14ac:dyDescent="0.15">
      <c r="B810" s="274"/>
      <c r="C810" s="273"/>
      <c r="D810" s="273"/>
      <c r="E810" s="273"/>
      <c r="F810" s="272"/>
    </row>
    <row r="811" spans="2:6" ht="12" customHeight="1" x14ac:dyDescent="0.15">
      <c r="B811" s="274"/>
      <c r="C811" s="273"/>
      <c r="D811" s="273"/>
      <c r="E811" s="273"/>
      <c r="F811" s="272"/>
    </row>
    <row r="812" spans="2:6" ht="12" customHeight="1" x14ac:dyDescent="0.15">
      <c r="B812" s="274"/>
      <c r="C812" s="273"/>
      <c r="D812" s="273"/>
      <c r="E812" s="273"/>
      <c r="F812" s="272"/>
    </row>
    <row r="813" spans="2:6" ht="12" customHeight="1" x14ac:dyDescent="0.15">
      <c r="B813" s="274"/>
      <c r="C813" s="273"/>
      <c r="D813" s="273"/>
      <c r="E813" s="273"/>
      <c r="F813" s="272"/>
    </row>
    <row r="814" spans="2:6" ht="12" customHeight="1" x14ac:dyDescent="0.15">
      <c r="B814" s="274"/>
      <c r="C814" s="273"/>
      <c r="D814" s="273"/>
      <c r="E814" s="273"/>
      <c r="F814" s="272"/>
    </row>
    <row r="815" spans="2:6" ht="12" customHeight="1" x14ac:dyDescent="0.15">
      <c r="B815" s="274"/>
      <c r="C815" s="273"/>
      <c r="D815" s="273"/>
      <c r="E815" s="273"/>
      <c r="F815" s="272"/>
    </row>
    <row r="816" spans="2:6" ht="12" customHeight="1" x14ac:dyDescent="0.15">
      <c r="B816" s="274"/>
      <c r="C816" s="273"/>
      <c r="D816" s="273"/>
      <c r="E816" s="273"/>
      <c r="F816" s="272"/>
    </row>
    <row r="817" spans="2:6" ht="12" customHeight="1" x14ac:dyDescent="0.15">
      <c r="B817" s="274"/>
      <c r="C817" s="273"/>
      <c r="D817" s="273"/>
      <c r="E817" s="273"/>
      <c r="F817" s="272"/>
    </row>
    <row r="818" spans="2:6" ht="12" customHeight="1" x14ac:dyDescent="0.15">
      <c r="B818" s="274"/>
      <c r="C818" s="273"/>
      <c r="D818" s="273"/>
      <c r="E818" s="273"/>
      <c r="F818" s="272"/>
    </row>
    <row r="819" spans="2:6" ht="12" customHeight="1" x14ac:dyDescent="0.15">
      <c r="B819" s="274"/>
      <c r="C819" s="273"/>
      <c r="D819" s="273"/>
      <c r="E819" s="273"/>
      <c r="F819" s="272"/>
    </row>
    <row r="820" spans="2:6" ht="12" customHeight="1" x14ac:dyDescent="0.15">
      <c r="B820" s="274"/>
      <c r="C820" s="273"/>
      <c r="D820" s="273"/>
      <c r="E820" s="273"/>
      <c r="F820" s="272"/>
    </row>
    <row r="821" spans="2:6" ht="12" customHeight="1" x14ac:dyDescent="0.15">
      <c r="B821" s="274"/>
      <c r="C821" s="273"/>
      <c r="D821" s="273"/>
      <c r="E821" s="273"/>
      <c r="F821" s="272"/>
    </row>
    <row r="822" spans="2:6" ht="12" customHeight="1" x14ac:dyDescent="0.15">
      <c r="B822" s="274"/>
      <c r="C822" s="273"/>
      <c r="D822" s="273"/>
      <c r="E822" s="273"/>
      <c r="F822" s="272"/>
    </row>
    <row r="823" spans="2:6" ht="12" customHeight="1" x14ac:dyDescent="0.15">
      <c r="B823" s="274"/>
      <c r="C823" s="273"/>
      <c r="D823" s="273"/>
      <c r="E823" s="273"/>
      <c r="F823" s="272"/>
    </row>
    <row r="824" spans="2:6" ht="12" customHeight="1" x14ac:dyDescent="0.15">
      <c r="B824" s="274"/>
      <c r="C824" s="273"/>
      <c r="D824" s="273"/>
      <c r="E824" s="273"/>
      <c r="F824" s="272"/>
    </row>
    <row r="825" spans="2:6" ht="12" customHeight="1" x14ac:dyDescent="0.15">
      <c r="B825" s="274"/>
      <c r="C825" s="273"/>
      <c r="D825" s="273"/>
      <c r="E825" s="273"/>
      <c r="F825" s="272"/>
    </row>
    <row r="826" spans="2:6" ht="12" customHeight="1" x14ac:dyDescent="0.15">
      <c r="B826" s="274"/>
      <c r="C826" s="273"/>
      <c r="D826" s="273"/>
      <c r="E826" s="273"/>
      <c r="F826" s="272"/>
    </row>
    <row r="827" spans="2:6" ht="12" customHeight="1" x14ac:dyDescent="0.15">
      <c r="B827" s="274"/>
      <c r="C827" s="273"/>
      <c r="D827" s="273"/>
      <c r="E827" s="273"/>
      <c r="F827" s="272"/>
    </row>
    <row r="828" spans="2:6" ht="12" customHeight="1" x14ac:dyDescent="0.15">
      <c r="B828" s="274"/>
      <c r="C828" s="273"/>
      <c r="D828" s="273"/>
      <c r="E828" s="273"/>
      <c r="F828" s="272"/>
    </row>
    <row r="829" spans="2:6" ht="12" customHeight="1" x14ac:dyDescent="0.15">
      <c r="B829" s="274"/>
      <c r="C829" s="273"/>
      <c r="D829" s="273"/>
      <c r="E829" s="273"/>
      <c r="F829" s="272"/>
    </row>
    <row r="830" spans="2:6" ht="12" customHeight="1" x14ac:dyDescent="0.15">
      <c r="B830" s="274"/>
      <c r="C830" s="273"/>
      <c r="D830" s="273"/>
      <c r="E830" s="273"/>
      <c r="F830" s="272"/>
    </row>
    <row r="831" spans="2:6" ht="12" customHeight="1" x14ac:dyDescent="0.15">
      <c r="B831" s="274"/>
      <c r="C831" s="273"/>
      <c r="D831" s="273"/>
      <c r="E831" s="273"/>
      <c r="F831" s="272"/>
    </row>
    <row r="832" spans="2:6" ht="12" customHeight="1" x14ac:dyDescent="0.15">
      <c r="B832" s="274"/>
      <c r="C832" s="273"/>
      <c r="D832" s="273"/>
      <c r="E832" s="273"/>
      <c r="F832" s="272"/>
    </row>
    <row r="833" spans="2:6" ht="12" customHeight="1" x14ac:dyDescent="0.15">
      <c r="B833" s="274"/>
      <c r="C833" s="273"/>
      <c r="D833" s="273"/>
      <c r="E833" s="273"/>
      <c r="F833" s="272"/>
    </row>
    <row r="834" spans="2:6" ht="12" customHeight="1" x14ac:dyDescent="0.15">
      <c r="B834" s="274"/>
      <c r="C834" s="273"/>
      <c r="D834" s="273"/>
      <c r="E834" s="273"/>
      <c r="F834" s="272"/>
    </row>
    <row r="835" spans="2:6" ht="12" customHeight="1" x14ac:dyDescent="0.15">
      <c r="B835" s="274"/>
      <c r="C835" s="273"/>
      <c r="D835" s="273"/>
      <c r="E835" s="273"/>
      <c r="F835" s="272"/>
    </row>
    <row r="836" spans="2:6" ht="12" customHeight="1" x14ac:dyDescent="0.15">
      <c r="B836" s="274"/>
      <c r="C836" s="273"/>
      <c r="D836" s="273"/>
      <c r="E836" s="273"/>
      <c r="F836" s="272"/>
    </row>
    <row r="837" spans="2:6" ht="12" customHeight="1" x14ac:dyDescent="0.15">
      <c r="B837" s="274"/>
      <c r="C837" s="273"/>
      <c r="D837" s="273"/>
      <c r="E837" s="273"/>
      <c r="F837" s="272"/>
    </row>
    <row r="838" spans="2:6" ht="12" customHeight="1" x14ac:dyDescent="0.15">
      <c r="B838" s="274"/>
      <c r="C838" s="273"/>
      <c r="D838" s="273"/>
      <c r="E838" s="273"/>
      <c r="F838" s="272"/>
    </row>
    <row r="839" spans="2:6" ht="12" customHeight="1" x14ac:dyDescent="0.15">
      <c r="B839" s="274"/>
      <c r="C839" s="273"/>
      <c r="D839" s="273"/>
      <c r="E839" s="273"/>
      <c r="F839" s="272"/>
    </row>
    <row r="840" spans="2:6" ht="12" customHeight="1" x14ac:dyDescent="0.15">
      <c r="B840" s="274"/>
      <c r="C840" s="273"/>
      <c r="D840" s="273"/>
      <c r="E840" s="273"/>
      <c r="F840" s="272"/>
    </row>
    <row r="841" spans="2:6" ht="12" customHeight="1" x14ac:dyDescent="0.15">
      <c r="B841" s="274"/>
      <c r="C841" s="273"/>
      <c r="D841" s="273"/>
      <c r="E841" s="273"/>
      <c r="F841" s="272"/>
    </row>
    <row r="842" spans="2:6" ht="12" customHeight="1" x14ac:dyDescent="0.15">
      <c r="B842" s="274"/>
      <c r="C842" s="273"/>
      <c r="D842" s="273"/>
      <c r="E842" s="273"/>
      <c r="F842" s="272"/>
    </row>
    <row r="843" spans="2:6" ht="12" customHeight="1" x14ac:dyDescent="0.15">
      <c r="B843" s="274"/>
      <c r="C843" s="273"/>
      <c r="D843" s="273"/>
      <c r="E843" s="273"/>
      <c r="F843" s="272"/>
    </row>
    <row r="844" spans="2:6" ht="12" customHeight="1" x14ac:dyDescent="0.15">
      <c r="B844" s="274"/>
      <c r="C844" s="273"/>
      <c r="D844" s="273"/>
      <c r="E844" s="273"/>
      <c r="F844" s="272"/>
    </row>
    <row r="845" spans="2:6" ht="12" customHeight="1" x14ac:dyDescent="0.15">
      <c r="B845" s="274"/>
      <c r="C845" s="273"/>
      <c r="D845" s="273"/>
      <c r="E845" s="273"/>
      <c r="F845" s="272"/>
    </row>
    <row r="846" spans="2:6" ht="12" customHeight="1" x14ac:dyDescent="0.15">
      <c r="B846" s="274"/>
      <c r="C846" s="273"/>
      <c r="D846" s="273"/>
      <c r="E846" s="273"/>
      <c r="F846" s="272"/>
    </row>
    <row r="847" spans="2:6" ht="12" customHeight="1" x14ac:dyDescent="0.15">
      <c r="B847" s="274"/>
      <c r="C847" s="273"/>
      <c r="D847" s="273"/>
      <c r="E847" s="273"/>
      <c r="F847" s="272"/>
    </row>
    <row r="848" spans="2:6" ht="12" customHeight="1" x14ac:dyDescent="0.15">
      <c r="B848" s="274"/>
      <c r="C848" s="273"/>
      <c r="D848" s="273"/>
      <c r="E848" s="273"/>
      <c r="F848" s="272"/>
    </row>
    <row r="849" spans="2:6" ht="12" customHeight="1" x14ac:dyDescent="0.15">
      <c r="B849" s="274"/>
      <c r="C849" s="273"/>
      <c r="D849" s="273"/>
      <c r="E849" s="273"/>
      <c r="F849" s="272"/>
    </row>
    <row r="850" spans="2:6" ht="12" customHeight="1" x14ac:dyDescent="0.15">
      <c r="B850" s="274"/>
      <c r="C850" s="273"/>
      <c r="D850" s="273"/>
      <c r="E850" s="273"/>
      <c r="F850" s="272"/>
    </row>
    <row r="851" spans="2:6" ht="12" customHeight="1" x14ac:dyDescent="0.15">
      <c r="B851" s="274"/>
      <c r="C851" s="273"/>
      <c r="D851" s="273"/>
      <c r="E851" s="273"/>
      <c r="F851" s="272"/>
    </row>
    <row r="852" spans="2:6" ht="12" customHeight="1" x14ac:dyDescent="0.15">
      <c r="B852" s="274"/>
      <c r="C852" s="273"/>
      <c r="D852" s="273"/>
      <c r="E852" s="273"/>
      <c r="F852" s="272"/>
    </row>
    <row r="853" spans="2:6" ht="12" customHeight="1" x14ac:dyDescent="0.15">
      <c r="B853" s="274"/>
      <c r="C853" s="273"/>
      <c r="D853" s="273"/>
      <c r="E853" s="273"/>
      <c r="F853" s="272"/>
    </row>
    <row r="854" spans="2:6" ht="12" customHeight="1" x14ac:dyDescent="0.15">
      <c r="B854" s="274"/>
      <c r="C854" s="273"/>
      <c r="D854" s="273"/>
      <c r="E854" s="273"/>
      <c r="F854" s="272"/>
    </row>
    <row r="855" spans="2:6" ht="12" customHeight="1" x14ac:dyDescent="0.15">
      <c r="B855" s="274"/>
      <c r="C855" s="273"/>
      <c r="D855" s="273"/>
      <c r="E855" s="273"/>
      <c r="F855" s="272"/>
    </row>
    <row r="856" spans="2:6" ht="12" customHeight="1" x14ac:dyDescent="0.15">
      <c r="B856" s="274"/>
      <c r="C856" s="273"/>
      <c r="D856" s="273"/>
      <c r="E856" s="273"/>
      <c r="F856" s="272"/>
    </row>
    <row r="857" spans="2:6" ht="12" customHeight="1" x14ac:dyDescent="0.15">
      <c r="B857" s="274"/>
      <c r="C857" s="273"/>
      <c r="D857" s="273"/>
      <c r="E857" s="273"/>
      <c r="F857" s="272"/>
    </row>
    <row r="858" spans="2:6" ht="12" customHeight="1" x14ac:dyDescent="0.15">
      <c r="B858" s="274"/>
      <c r="C858" s="273"/>
      <c r="D858" s="273"/>
      <c r="E858" s="273"/>
      <c r="F858" s="272"/>
    </row>
    <row r="859" spans="2:6" ht="12" customHeight="1" x14ac:dyDescent="0.15">
      <c r="B859" s="274"/>
      <c r="C859" s="273"/>
      <c r="D859" s="273"/>
      <c r="E859" s="273"/>
      <c r="F859" s="272"/>
    </row>
    <row r="860" spans="2:6" ht="12" customHeight="1" x14ac:dyDescent="0.15">
      <c r="B860" s="274"/>
      <c r="C860" s="273"/>
      <c r="D860" s="273"/>
      <c r="E860" s="273"/>
      <c r="F860" s="272"/>
    </row>
    <row r="861" spans="2:6" ht="12" customHeight="1" x14ac:dyDescent="0.15">
      <c r="B861" s="274"/>
      <c r="C861" s="273"/>
      <c r="D861" s="273"/>
      <c r="E861" s="273"/>
      <c r="F861" s="272"/>
    </row>
    <row r="862" spans="2:6" ht="12" customHeight="1" x14ac:dyDescent="0.15">
      <c r="B862" s="274"/>
      <c r="C862" s="273"/>
      <c r="D862" s="273"/>
      <c r="E862" s="273"/>
      <c r="F862" s="272"/>
    </row>
    <row r="863" spans="2:6" ht="12" customHeight="1" x14ac:dyDescent="0.15">
      <c r="B863" s="274"/>
      <c r="C863" s="273"/>
      <c r="D863" s="273"/>
      <c r="E863" s="273"/>
      <c r="F863" s="272"/>
    </row>
    <row r="864" spans="2:6" ht="12" customHeight="1" x14ac:dyDescent="0.15">
      <c r="B864" s="274"/>
      <c r="C864" s="273"/>
      <c r="D864" s="273"/>
      <c r="E864" s="273"/>
      <c r="F864" s="272"/>
    </row>
    <row r="865" spans="2:6" ht="12" customHeight="1" x14ac:dyDescent="0.15">
      <c r="B865" s="274"/>
      <c r="C865" s="273"/>
      <c r="D865" s="273"/>
      <c r="E865" s="273"/>
      <c r="F865" s="272"/>
    </row>
    <row r="866" spans="2:6" ht="12" customHeight="1" x14ac:dyDescent="0.15">
      <c r="B866" s="274"/>
      <c r="C866" s="273"/>
      <c r="D866" s="273"/>
      <c r="E866" s="273"/>
      <c r="F866" s="272"/>
    </row>
    <row r="867" spans="2:6" ht="12" customHeight="1" x14ac:dyDescent="0.15">
      <c r="B867" s="274"/>
      <c r="C867" s="273"/>
      <c r="D867" s="273"/>
      <c r="E867" s="273"/>
      <c r="F867" s="272"/>
    </row>
    <row r="868" spans="2:6" ht="12" customHeight="1" x14ac:dyDescent="0.15">
      <c r="B868" s="274"/>
      <c r="C868" s="273"/>
      <c r="D868" s="273"/>
      <c r="E868" s="273"/>
      <c r="F868" s="272"/>
    </row>
    <row r="869" spans="2:6" ht="12" customHeight="1" x14ac:dyDescent="0.15">
      <c r="B869" s="274"/>
      <c r="C869" s="273"/>
      <c r="D869" s="273"/>
      <c r="E869" s="273"/>
      <c r="F869" s="272"/>
    </row>
    <row r="870" spans="2:6" ht="12" customHeight="1" x14ac:dyDescent="0.15">
      <c r="B870" s="274"/>
      <c r="C870" s="273"/>
      <c r="D870" s="273"/>
      <c r="E870" s="273"/>
      <c r="F870" s="272"/>
    </row>
    <row r="871" spans="2:6" ht="12" customHeight="1" x14ac:dyDescent="0.15">
      <c r="B871" s="274"/>
      <c r="C871" s="273"/>
      <c r="D871" s="273"/>
      <c r="E871" s="273"/>
      <c r="F871" s="272"/>
    </row>
    <row r="872" spans="2:6" ht="12" customHeight="1" x14ac:dyDescent="0.15">
      <c r="B872" s="274"/>
      <c r="C872" s="273"/>
      <c r="D872" s="273"/>
      <c r="E872" s="273"/>
      <c r="F872" s="272"/>
    </row>
    <row r="873" spans="2:6" ht="12" customHeight="1" x14ac:dyDescent="0.15">
      <c r="B873" s="274"/>
      <c r="C873" s="273"/>
      <c r="D873" s="273"/>
      <c r="E873" s="273"/>
      <c r="F873" s="272"/>
    </row>
    <row r="874" spans="2:6" ht="12" customHeight="1" x14ac:dyDescent="0.15">
      <c r="B874" s="274"/>
      <c r="C874" s="273"/>
      <c r="D874" s="273"/>
      <c r="E874" s="273"/>
      <c r="F874" s="272"/>
    </row>
    <row r="875" spans="2:6" ht="12" customHeight="1" x14ac:dyDescent="0.15">
      <c r="B875" s="274"/>
      <c r="C875" s="273"/>
      <c r="D875" s="273"/>
      <c r="E875" s="273"/>
      <c r="F875" s="272"/>
    </row>
    <row r="876" spans="2:6" ht="12" customHeight="1" x14ac:dyDescent="0.15">
      <c r="B876" s="274"/>
      <c r="C876" s="273"/>
      <c r="D876" s="273"/>
      <c r="E876" s="273"/>
      <c r="F876" s="272"/>
    </row>
    <row r="877" spans="2:6" ht="12" customHeight="1" x14ac:dyDescent="0.15">
      <c r="B877" s="274"/>
      <c r="C877" s="273"/>
      <c r="D877" s="273"/>
      <c r="E877" s="273"/>
      <c r="F877" s="272"/>
    </row>
    <row r="878" spans="2:6" ht="12" customHeight="1" x14ac:dyDescent="0.15">
      <c r="B878" s="274"/>
      <c r="C878" s="273"/>
      <c r="D878" s="273"/>
      <c r="E878" s="273"/>
      <c r="F878" s="272"/>
    </row>
    <row r="879" spans="2:6" ht="12" customHeight="1" x14ac:dyDescent="0.15">
      <c r="B879" s="274"/>
      <c r="C879" s="273"/>
      <c r="D879" s="273"/>
      <c r="E879" s="273"/>
      <c r="F879" s="272"/>
    </row>
    <row r="880" spans="2:6" ht="12" customHeight="1" x14ac:dyDescent="0.15">
      <c r="B880" s="274"/>
      <c r="C880" s="273"/>
      <c r="D880" s="273"/>
      <c r="E880" s="273"/>
      <c r="F880" s="272"/>
    </row>
    <row r="881" spans="2:6" ht="12" customHeight="1" x14ac:dyDescent="0.15">
      <c r="B881" s="274"/>
      <c r="C881" s="273"/>
      <c r="D881" s="273"/>
      <c r="E881" s="273"/>
      <c r="F881" s="272"/>
    </row>
    <row r="882" spans="2:6" ht="12" customHeight="1" x14ac:dyDescent="0.15">
      <c r="B882" s="274"/>
      <c r="C882" s="273"/>
      <c r="D882" s="273"/>
      <c r="E882" s="273"/>
      <c r="F882" s="272"/>
    </row>
    <row r="883" spans="2:6" ht="12" customHeight="1" x14ac:dyDescent="0.15">
      <c r="B883" s="274"/>
      <c r="C883" s="273"/>
      <c r="D883" s="273"/>
      <c r="E883" s="273"/>
      <c r="F883" s="272"/>
    </row>
    <row r="884" spans="2:6" ht="12" customHeight="1" x14ac:dyDescent="0.15">
      <c r="B884" s="274"/>
      <c r="C884" s="273"/>
      <c r="D884" s="273"/>
      <c r="E884" s="273"/>
      <c r="F884" s="272"/>
    </row>
    <row r="885" spans="2:6" ht="12" customHeight="1" x14ac:dyDescent="0.15">
      <c r="B885" s="274"/>
      <c r="C885" s="273"/>
      <c r="D885" s="273"/>
      <c r="E885" s="273"/>
      <c r="F885" s="272"/>
    </row>
    <row r="886" spans="2:6" ht="12" customHeight="1" x14ac:dyDescent="0.15">
      <c r="B886" s="274"/>
      <c r="C886" s="273"/>
      <c r="D886" s="273"/>
      <c r="E886" s="273"/>
      <c r="F886" s="272"/>
    </row>
    <row r="887" spans="2:6" ht="12" customHeight="1" x14ac:dyDescent="0.15">
      <c r="B887" s="274"/>
      <c r="C887" s="273"/>
      <c r="D887" s="273"/>
      <c r="E887" s="273"/>
      <c r="F887" s="272"/>
    </row>
    <row r="888" spans="2:6" ht="12" customHeight="1" x14ac:dyDescent="0.15">
      <c r="B888" s="274"/>
      <c r="C888" s="273"/>
      <c r="D888" s="273"/>
      <c r="E888" s="273"/>
      <c r="F888" s="272"/>
    </row>
    <row r="889" spans="2:6" ht="12" customHeight="1" x14ac:dyDescent="0.15">
      <c r="B889" s="274"/>
      <c r="C889" s="273"/>
      <c r="D889" s="273"/>
      <c r="E889" s="273"/>
      <c r="F889" s="272"/>
    </row>
    <row r="890" spans="2:6" ht="12" customHeight="1" x14ac:dyDescent="0.15">
      <c r="B890" s="274"/>
      <c r="C890" s="273"/>
      <c r="D890" s="273"/>
      <c r="E890" s="273"/>
      <c r="F890" s="272"/>
    </row>
    <row r="891" spans="2:6" ht="12" customHeight="1" x14ac:dyDescent="0.15">
      <c r="B891" s="274"/>
      <c r="C891" s="273"/>
      <c r="D891" s="273"/>
      <c r="E891" s="273"/>
      <c r="F891" s="272"/>
    </row>
    <row r="892" spans="2:6" ht="12" customHeight="1" x14ac:dyDescent="0.15">
      <c r="B892" s="274"/>
      <c r="C892" s="273"/>
      <c r="D892" s="273"/>
      <c r="E892" s="273"/>
      <c r="F892" s="272"/>
    </row>
    <row r="893" spans="2:6" ht="12" customHeight="1" x14ac:dyDescent="0.15">
      <c r="B893" s="274"/>
      <c r="C893" s="273"/>
      <c r="D893" s="273"/>
      <c r="E893" s="273"/>
      <c r="F893" s="272"/>
    </row>
    <row r="894" spans="2:6" ht="12" customHeight="1" x14ac:dyDescent="0.15">
      <c r="B894" s="274"/>
      <c r="C894" s="273"/>
      <c r="D894" s="273"/>
      <c r="E894" s="273"/>
      <c r="F894" s="272"/>
    </row>
    <row r="895" spans="2:6" ht="12" customHeight="1" x14ac:dyDescent="0.15">
      <c r="B895" s="274"/>
      <c r="C895" s="273"/>
      <c r="D895" s="273"/>
      <c r="E895" s="273"/>
      <c r="F895" s="272"/>
    </row>
    <row r="896" spans="2:6" ht="12" customHeight="1" x14ac:dyDescent="0.15">
      <c r="B896" s="274"/>
      <c r="C896" s="273"/>
      <c r="D896" s="273"/>
      <c r="E896" s="273"/>
      <c r="F896" s="272"/>
    </row>
    <row r="897" spans="2:6" ht="12" customHeight="1" x14ac:dyDescent="0.15">
      <c r="B897" s="274"/>
      <c r="C897" s="273"/>
      <c r="D897" s="273"/>
      <c r="E897" s="273"/>
      <c r="F897" s="272"/>
    </row>
    <row r="898" spans="2:6" ht="12" customHeight="1" x14ac:dyDescent="0.15">
      <c r="B898" s="274"/>
      <c r="C898" s="273"/>
      <c r="D898" s="273"/>
      <c r="E898" s="273"/>
      <c r="F898" s="272"/>
    </row>
    <row r="899" spans="2:6" ht="12" customHeight="1" x14ac:dyDescent="0.15">
      <c r="B899" s="274"/>
      <c r="C899" s="273"/>
      <c r="D899" s="273"/>
      <c r="E899" s="273"/>
      <c r="F899" s="272"/>
    </row>
    <row r="900" spans="2:6" ht="12" customHeight="1" x14ac:dyDescent="0.15">
      <c r="B900" s="274"/>
      <c r="C900" s="273"/>
      <c r="D900" s="273"/>
      <c r="E900" s="273"/>
      <c r="F900" s="272"/>
    </row>
    <row r="901" spans="2:6" ht="12" customHeight="1" x14ac:dyDescent="0.15">
      <c r="B901" s="274"/>
      <c r="C901" s="273"/>
      <c r="D901" s="273"/>
      <c r="E901" s="273"/>
      <c r="F901" s="272"/>
    </row>
    <row r="902" spans="2:6" ht="12" customHeight="1" x14ac:dyDescent="0.15">
      <c r="B902" s="274"/>
      <c r="C902" s="273"/>
      <c r="D902" s="273"/>
      <c r="E902" s="273"/>
      <c r="F902" s="272"/>
    </row>
    <row r="903" spans="2:6" ht="12" customHeight="1" x14ac:dyDescent="0.15">
      <c r="B903" s="274"/>
      <c r="C903" s="273"/>
      <c r="D903" s="273"/>
      <c r="E903" s="273"/>
      <c r="F903" s="272"/>
    </row>
    <row r="904" spans="2:6" ht="12" customHeight="1" x14ac:dyDescent="0.15">
      <c r="B904" s="274"/>
      <c r="C904" s="273"/>
      <c r="D904" s="273"/>
      <c r="E904" s="273"/>
      <c r="F904" s="272"/>
    </row>
    <row r="905" spans="2:6" ht="12" customHeight="1" x14ac:dyDescent="0.15">
      <c r="B905" s="274"/>
      <c r="C905" s="273"/>
      <c r="D905" s="273"/>
      <c r="E905" s="273"/>
      <c r="F905" s="272"/>
    </row>
    <row r="906" spans="2:6" ht="12" customHeight="1" x14ac:dyDescent="0.15">
      <c r="B906" s="274"/>
      <c r="C906" s="273"/>
      <c r="D906" s="273"/>
      <c r="E906" s="273"/>
      <c r="F906" s="272"/>
    </row>
    <row r="907" spans="2:6" ht="12" customHeight="1" x14ac:dyDescent="0.15">
      <c r="B907" s="274"/>
      <c r="C907" s="273"/>
      <c r="D907" s="273"/>
      <c r="E907" s="273"/>
      <c r="F907" s="272"/>
    </row>
    <row r="908" spans="2:6" ht="12" customHeight="1" x14ac:dyDescent="0.15">
      <c r="B908" s="274"/>
      <c r="C908" s="273"/>
      <c r="D908" s="273"/>
      <c r="E908" s="273"/>
      <c r="F908" s="272"/>
    </row>
    <row r="909" spans="2:6" ht="12" customHeight="1" x14ac:dyDescent="0.15">
      <c r="B909" s="274"/>
      <c r="C909" s="273"/>
      <c r="D909" s="273"/>
      <c r="E909" s="273"/>
      <c r="F909" s="272"/>
    </row>
    <row r="910" spans="2:6" ht="12" customHeight="1" x14ac:dyDescent="0.15">
      <c r="B910" s="274"/>
      <c r="C910" s="273"/>
      <c r="D910" s="273"/>
      <c r="E910" s="273"/>
      <c r="F910" s="272"/>
    </row>
    <row r="911" spans="2:6" ht="12" customHeight="1" x14ac:dyDescent="0.15">
      <c r="B911" s="274"/>
      <c r="C911" s="273"/>
      <c r="D911" s="273"/>
      <c r="E911" s="273"/>
      <c r="F911" s="272"/>
    </row>
    <row r="912" spans="2:6" ht="12" customHeight="1" x14ac:dyDescent="0.15">
      <c r="B912" s="274"/>
      <c r="C912" s="273"/>
      <c r="D912" s="273"/>
      <c r="E912" s="273"/>
      <c r="F912" s="272"/>
    </row>
    <row r="913" spans="2:6" ht="12" customHeight="1" x14ac:dyDescent="0.15">
      <c r="B913" s="274"/>
      <c r="C913" s="273"/>
      <c r="D913" s="273"/>
      <c r="E913" s="273"/>
      <c r="F913" s="272"/>
    </row>
    <row r="914" spans="2:6" ht="12" customHeight="1" x14ac:dyDescent="0.15">
      <c r="B914" s="274"/>
      <c r="C914" s="273"/>
      <c r="D914" s="273"/>
      <c r="E914" s="273"/>
      <c r="F914" s="272"/>
    </row>
    <row r="915" spans="2:6" ht="12" customHeight="1" x14ac:dyDescent="0.15">
      <c r="B915" s="274"/>
      <c r="C915" s="273"/>
      <c r="D915" s="273"/>
      <c r="E915" s="273"/>
      <c r="F915" s="272"/>
    </row>
    <row r="916" spans="2:6" ht="12" customHeight="1" x14ac:dyDescent="0.15">
      <c r="B916" s="274"/>
      <c r="C916" s="273"/>
      <c r="D916" s="273"/>
      <c r="E916" s="273"/>
      <c r="F916" s="272"/>
    </row>
    <row r="917" spans="2:6" ht="12" customHeight="1" x14ac:dyDescent="0.15">
      <c r="B917" s="274"/>
      <c r="C917" s="273"/>
      <c r="D917" s="273"/>
      <c r="E917" s="273"/>
      <c r="F917" s="272"/>
    </row>
    <row r="918" spans="2:6" ht="12" customHeight="1" x14ac:dyDescent="0.15">
      <c r="B918" s="274"/>
      <c r="C918" s="273"/>
      <c r="D918" s="273"/>
      <c r="E918" s="273"/>
      <c r="F918" s="272"/>
    </row>
    <row r="919" spans="2:6" ht="12" customHeight="1" x14ac:dyDescent="0.15">
      <c r="B919" s="274"/>
      <c r="C919" s="273"/>
      <c r="D919" s="273"/>
      <c r="E919" s="273"/>
      <c r="F919" s="272"/>
    </row>
    <row r="920" spans="2:6" ht="12" customHeight="1" x14ac:dyDescent="0.15">
      <c r="B920" s="274"/>
      <c r="C920" s="273"/>
      <c r="D920" s="273"/>
      <c r="E920" s="273"/>
      <c r="F920" s="272"/>
    </row>
    <row r="921" spans="2:6" ht="12" customHeight="1" x14ac:dyDescent="0.15">
      <c r="B921" s="274"/>
      <c r="C921" s="273"/>
      <c r="D921" s="273"/>
      <c r="E921" s="273"/>
      <c r="F921" s="272"/>
    </row>
    <row r="922" spans="2:6" ht="12" customHeight="1" x14ac:dyDescent="0.15">
      <c r="B922" s="274"/>
      <c r="C922" s="273"/>
      <c r="D922" s="273"/>
      <c r="E922" s="273"/>
      <c r="F922" s="272"/>
    </row>
    <row r="923" spans="2:6" ht="12" customHeight="1" x14ac:dyDescent="0.15">
      <c r="B923" s="274"/>
      <c r="C923" s="273"/>
      <c r="D923" s="273"/>
      <c r="E923" s="273"/>
      <c r="F923" s="272"/>
    </row>
    <row r="924" spans="2:6" ht="12" customHeight="1" x14ac:dyDescent="0.15">
      <c r="B924" s="274"/>
      <c r="C924" s="273"/>
      <c r="D924" s="273"/>
      <c r="E924" s="273"/>
      <c r="F924" s="272"/>
    </row>
    <row r="925" spans="2:6" ht="12" customHeight="1" x14ac:dyDescent="0.15">
      <c r="B925" s="274"/>
      <c r="C925" s="273"/>
      <c r="D925" s="273"/>
      <c r="E925" s="273"/>
      <c r="F925" s="272"/>
    </row>
    <row r="926" spans="2:6" ht="12" customHeight="1" x14ac:dyDescent="0.15">
      <c r="B926" s="274"/>
      <c r="C926" s="273"/>
      <c r="D926" s="273"/>
      <c r="E926" s="273"/>
      <c r="F926" s="272"/>
    </row>
    <row r="927" spans="2:6" ht="12" customHeight="1" x14ac:dyDescent="0.15">
      <c r="B927" s="274"/>
      <c r="C927" s="273"/>
      <c r="D927" s="273"/>
      <c r="E927" s="273"/>
      <c r="F927" s="272"/>
    </row>
    <row r="928" spans="2:6" ht="12" customHeight="1" x14ac:dyDescent="0.15">
      <c r="B928" s="274"/>
      <c r="C928" s="273"/>
      <c r="D928" s="273"/>
      <c r="E928" s="273"/>
      <c r="F928" s="272"/>
    </row>
    <row r="929" spans="2:6" ht="12" customHeight="1" x14ac:dyDescent="0.15">
      <c r="B929" s="274"/>
      <c r="C929" s="273"/>
      <c r="D929" s="273"/>
      <c r="E929" s="273"/>
      <c r="F929" s="272"/>
    </row>
    <row r="930" spans="2:6" ht="12" customHeight="1" x14ac:dyDescent="0.15">
      <c r="B930" s="274"/>
      <c r="C930" s="273"/>
      <c r="D930" s="273"/>
      <c r="E930" s="273"/>
      <c r="F930" s="272"/>
    </row>
    <row r="931" spans="2:6" ht="12" customHeight="1" x14ac:dyDescent="0.15">
      <c r="B931" s="274"/>
      <c r="C931" s="273"/>
      <c r="D931" s="273"/>
      <c r="E931" s="273"/>
      <c r="F931" s="272"/>
    </row>
    <row r="932" spans="2:6" ht="12" customHeight="1" x14ac:dyDescent="0.15">
      <c r="B932" s="274"/>
      <c r="C932" s="273"/>
      <c r="D932" s="273"/>
      <c r="E932" s="273"/>
      <c r="F932" s="272"/>
    </row>
    <row r="933" spans="2:6" ht="12" customHeight="1" x14ac:dyDescent="0.15">
      <c r="B933" s="274"/>
      <c r="C933" s="273"/>
      <c r="D933" s="273"/>
      <c r="E933" s="273"/>
      <c r="F933" s="272"/>
    </row>
    <row r="934" spans="2:6" ht="12" customHeight="1" x14ac:dyDescent="0.15">
      <c r="B934" s="274"/>
      <c r="C934" s="273"/>
      <c r="D934" s="273"/>
      <c r="E934" s="273"/>
      <c r="F934" s="272"/>
    </row>
    <row r="935" spans="2:6" ht="12" customHeight="1" x14ac:dyDescent="0.15">
      <c r="B935" s="274"/>
      <c r="C935" s="273"/>
      <c r="D935" s="273"/>
      <c r="E935" s="273"/>
      <c r="F935" s="272"/>
    </row>
    <row r="936" spans="2:6" ht="12" customHeight="1" x14ac:dyDescent="0.15">
      <c r="B936" s="274"/>
      <c r="C936" s="273"/>
      <c r="D936" s="273"/>
      <c r="E936" s="273"/>
      <c r="F936" s="272"/>
    </row>
    <row r="937" spans="2:6" ht="12" customHeight="1" x14ac:dyDescent="0.15">
      <c r="B937" s="274"/>
      <c r="C937" s="273"/>
      <c r="D937" s="273"/>
      <c r="E937" s="273"/>
      <c r="F937" s="272"/>
    </row>
    <row r="938" spans="2:6" ht="12" customHeight="1" x14ac:dyDescent="0.15">
      <c r="B938" s="274"/>
      <c r="C938" s="273"/>
      <c r="D938" s="273"/>
      <c r="E938" s="273"/>
      <c r="F938" s="272"/>
    </row>
    <row r="939" spans="2:6" ht="12" customHeight="1" x14ac:dyDescent="0.15">
      <c r="B939" s="274"/>
      <c r="C939" s="273"/>
      <c r="D939" s="273"/>
      <c r="E939" s="273"/>
      <c r="F939" s="272"/>
    </row>
    <row r="940" spans="2:6" ht="12" customHeight="1" x14ac:dyDescent="0.15">
      <c r="B940" s="274"/>
      <c r="C940" s="273"/>
      <c r="D940" s="273"/>
      <c r="E940" s="273"/>
      <c r="F940" s="272"/>
    </row>
    <row r="941" spans="2:6" ht="12" customHeight="1" x14ac:dyDescent="0.15">
      <c r="B941" s="274"/>
      <c r="C941" s="273"/>
      <c r="D941" s="273"/>
      <c r="E941" s="273"/>
      <c r="F941" s="272"/>
    </row>
    <row r="942" spans="2:6" ht="12" customHeight="1" x14ac:dyDescent="0.15">
      <c r="B942" s="274"/>
      <c r="C942" s="273"/>
      <c r="D942" s="273"/>
      <c r="E942" s="273"/>
      <c r="F942" s="272"/>
    </row>
    <row r="943" spans="2:6" ht="12" customHeight="1" x14ac:dyDescent="0.15">
      <c r="B943" s="274"/>
      <c r="C943" s="273"/>
      <c r="D943" s="273"/>
      <c r="E943" s="273"/>
      <c r="F943" s="272"/>
    </row>
    <row r="944" spans="2:6" ht="12" customHeight="1" x14ac:dyDescent="0.15">
      <c r="B944" s="274"/>
      <c r="C944" s="273"/>
      <c r="D944" s="273"/>
      <c r="E944" s="273"/>
      <c r="F944" s="272"/>
    </row>
    <row r="945" spans="2:6" ht="12" customHeight="1" x14ac:dyDescent="0.15">
      <c r="B945" s="274"/>
      <c r="C945" s="273"/>
      <c r="D945" s="273"/>
      <c r="E945" s="273"/>
      <c r="F945" s="272"/>
    </row>
    <row r="946" spans="2:6" ht="12" customHeight="1" x14ac:dyDescent="0.15">
      <c r="B946" s="274"/>
      <c r="C946" s="273"/>
      <c r="D946" s="273"/>
      <c r="E946" s="273"/>
      <c r="F946" s="272"/>
    </row>
    <row r="947" spans="2:6" ht="12" customHeight="1" x14ac:dyDescent="0.15">
      <c r="B947" s="274"/>
      <c r="C947" s="273"/>
      <c r="D947" s="273"/>
      <c r="E947" s="273"/>
      <c r="F947" s="272"/>
    </row>
    <row r="948" spans="2:6" ht="12" customHeight="1" x14ac:dyDescent="0.15">
      <c r="B948" s="274"/>
      <c r="C948" s="273"/>
      <c r="D948" s="273"/>
      <c r="E948" s="273"/>
      <c r="F948" s="272"/>
    </row>
    <row r="949" spans="2:6" ht="12" customHeight="1" x14ac:dyDescent="0.15">
      <c r="B949" s="274"/>
      <c r="C949" s="273"/>
      <c r="D949" s="273"/>
      <c r="E949" s="273"/>
      <c r="F949" s="272"/>
    </row>
    <row r="950" spans="2:6" ht="12" customHeight="1" x14ac:dyDescent="0.15">
      <c r="B950" s="274"/>
      <c r="C950" s="273"/>
      <c r="D950" s="273"/>
      <c r="E950" s="273"/>
      <c r="F950" s="272"/>
    </row>
    <row r="951" spans="2:6" ht="12" customHeight="1" x14ac:dyDescent="0.15">
      <c r="B951" s="274"/>
      <c r="C951" s="273"/>
      <c r="D951" s="273"/>
      <c r="E951" s="273"/>
      <c r="F951" s="272"/>
    </row>
    <row r="952" spans="2:6" ht="12" customHeight="1" x14ac:dyDescent="0.15">
      <c r="B952" s="274"/>
      <c r="C952" s="273"/>
      <c r="D952" s="273"/>
      <c r="E952" s="273"/>
      <c r="F952" s="272"/>
    </row>
    <row r="953" spans="2:6" ht="12" customHeight="1" x14ac:dyDescent="0.15">
      <c r="B953" s="274"/>
      <c r="C953" s="273"/>
      <c r="D953" s="273"/>
      <c r="E953" s="273"/>
      <c r="F953" s="272"/>
    </row>
    <row r="954" spans="2:6" ht="12" customHeight="1" x14ac:dyDescent="0.15">
      <c r="B954" s="274"/>
      <c r="C954" s="273"/>
      <c r="D954" s="273"/>
      <c r="E954" s="273"/>
      <c r="F954" s="272"/>
    </row>
    <row r="955" spans="2:6" ht="12" customHeight="1" x14ac:dyDescent="0.15">
      <c r="B955" s="274"/>
      <c r="C955" s="273"/>
      <c r="D955" s="273"/>
      <c r="E955" s="273"/>
      <c r="F955" s="272"/>
    </row>
    <row r="956" spans="2:6" ht="12" customHeight="1" x14ac:dyDescent="0.15">
      <c r="B956" s="274"/>
      <c r="C956" s="273"/>
      <c r="D956" s="273"/>
      <c r="E956" s="273"/>
      <c r="F956" s="272"/>
    </row>
    <row r="957" spans="2:6" ht="12" customHeight="1" x14ac:dyDescent="0.15">
      <c r="B957" s="274"/>
      <c r="C957" s="273"/>
      <c r="D957" s="273"/>
      <c r="E957" s="273"/>
      <c r="F957" s="272"/>
    </row>
    <row r="958" spans="2:6" ht="12" customHeight="1" x14ac:dyDescent="0.15">
      <c r="B958" s="274"/>
      <c r="C958" s="273"/>
      <c r="D958" s="273"/>
      <c r="E958" s="273"/>
      <c r="F958" s="272"/>
    </row>
    <row r="959" spans="2:6" ht="12" customHeight="1" x14ac:dyDescent="0.15">
      <c r="B959" s="274"/>
      <c r="C959" s="273"/>
      <c r="D959" s="273"/>
      <c r="E959" s="273"/>
      <c r="F959" s="272"/>
    </row>
    <row r="960" spans="2:6" ht="12" customHeight="1" x14ac:dyDescent="0.15">
      <c r="B960" s="274"/>
      <c r="C960" s="273"/>
      <c r="D960" s="273"/>
      <c r="E960" s="273"/>
      <c r="F960" s="272"/>
    </row>
    <row r="961" spans="2:6" ht="12" customHeight="1" x14ac:dyDescent="0.15">
      <c r="B961" s="274"/>
      <c r="C961" s="273"/>
      <c r="D961" s="273"/>
      <c r="E961" s="273"/>
      <c r="F961" s="272"/>
    </row>
    <row r="962" spans="2:6" ht="12" customHeight="1" x14ac:dyDescent="0.15">
      <c r="B962" s="274"/>
      <c r="C962" s="273"/>
      <c r="D962" s="273"/>
      <c r="E962" s="273"/>
      <c r="F962" s="272"/>
    </row>
    <row r="963" spans="2:6" ht="12" customHeight="1" x14ac:dyDescent="0.15">
      <c r="B963" s="274"/>
      <c r="C963" s="273"/>
      <c r="D963" s="273"/>
      <c r="E963" s="273"/>
      <c r="F963" s="272"/>
    </row>
    <row r="964" spans="2:6" ht="12" customHeight="1" x14ac:dyDescent="0.15">
      <c r="B964" s="274"/>
      <c r="C964" s="273"/>
      <c r="D964" s="273"/>
      <c r="E964" s="273"/>
      <c r="F964" s="272"/>
    </row>
    <row r="965" spans="2:6" ht="12" customHeight="1" x14ac:dyDescent="0.15">
      <c r="B965" s="274"/>
      <c r="C965" s="273"/>
      <c r="D965" s="273"/>
      <c r="E965" s="273"/>
      <c r="F965" s="272"/>
    </row>
    <row r="966" spans="2:6" ht="12" customHeight="1" x14ac:dyDescent="0.15">
      <c r="B966" s="274"/>
      <c r="C966" s="273"/>
      <c r="D966" s="273"/>
      <c r="E966" s="273"/>
      <c r="F966" s="272"/>
    </row>
    <row r="967" spans="2:6" ht="12" customHeight="1" x14ac:dyDescent="0.15">
      <c r="B967" s="274"/>
      <c r="C967" s="273"/>
      <c r="D967" s="273"/>
      <c r="E967" s="273"/>
      <c r="F967" s="272"/>
    </row>
    <row r="968" spans="2:6" ht="12" customHeight="1" x14ac:dyDescent="0.15">
      <c r="B968" s="274"/>
      <c r="C968" s="273"/>
      <c r="D968" s="273"/>
      <c r="E968" s="273"/>
      <c r="F968" s="272"/>
    </row>
    <row r="969" spans="2:6" ht="12" customHeight="1" x14ac:dyDescent="0.15">
      <c r="B969" s="274"/>
      <c r="C969" s="273"/>
      <c r="D969" s="273"/>
      <c r="E969" s="273"/>
      <c r="F969" s="272"/>
    </row>
    <row r="970" spans="2:6" ht="12" customHeight="1" x14ac:dyDescent="0.15">
      <c r="B970" s="274"/>
      <c r="C970" s="273"/>
      <c r="D970" s="273"/>
      <c r="E970" s="273"/>
      <c r="F970" s="272"/>
    </row>
    <row r="971" spans="2:6" ht="12" customHeight="1" x14ac:dyDescent="0.15">
      <c r="B971" s="274"/>
      <c r="C971" s="273"/>
      <c r="D971" s="273"/>
      <c r="E971" s="273"/>
      <c r="F971" s="272"/>
    </row>
    <row r="972" spans="2:6" ht="12" customHeight="1" x14ac:dyDescent="0.15">
      <c r="B972" s="274"/>
      <c r="C972" s="273"/>
      <c r="D972" s="273"/>
      <c r="E972" s="273"/>
      <c r="F972" s="272"/>
    </row>
    <row r="973" spans="2:6" ht="12" customHeight="1" x14ac:dyDescent="0.15">
      <c r="B973" s="274"/>
      <c r="C973" s="273"/>
      <c r="D973" s="273"/>
      <c r="E973" s="273"/>
      <c r="F973" s="272"/>
    </row>
    <row r="974" spans="2:6" ht="12" customHeight="1" x14ac:dyDescent="0.15">
      <c r="B974" s="274"/>
      <c r="C974" s="273"/>
      <c r="D974" s="273"/>
      <c r="E974" s="273"/>
      <c r="F974" s="272"/>
    </row>
    <row r="975" spans="2:6" ht="12" customHeight="1" x14ac:dyDescent="0.15">
      <c r="B975" s="274"/>
      <c r="C975" s="273"/>
      <c r="D975" s="273"/>
      <c r="E975" s="273"/>
      <c r="F975" s="272"/>
    </row>
    <row r="976" spans="2:6" ht="12" customHeight="1" x14ac:dyDescent="0.15">
      <c r="B976" s="274"/>
      <c r="C976" s="273"/>
      <c r="D976" s="273"/>
      <c r="E976" s="273"/>
      <c r="F976" s="272"/>
    </row>
    <row r="977" spans="2:6" ht="12" customHeight="1" x14ac:dyDescent="0.15">
      <c r="B977" s="274"/>
      <c r="C977" s="273"/>
      <c r="D977" s="273"/>
      <c r="E977" s="273"/>
      <c r="F977" s="272"/>
    </row>
    <row r="978" spans="2:6" ht="12" customHeight="1" x14ac:dyDescent="0.15">
      <c r="B978" s="274"/>
      <c r="C978" s="273"/>
      <c r="D978" s="273"/>
      <c r="E978" s="273"/>
      <c r="F978" s="272"/>
    </row>
    <row r="979" spans="2:6" ht="12" customHeight="1" x14ac:dyDescent="0.15">
      <c r="B979" s="274"/>
      <c r="C979" s="273"/>
      <c r="D979" s="273"/>
      <c r="E979" s="273"/>
      <c r="F979" s="272"/>
    </row>
    <row r="980" spans="2:6" ht="12" customHeight="1" x14ac:dyDescent="0.15">
      <c r="B980" s="274"/>
      <c r="C980" s="273"/>
      <c r="D980" s="273"/>
      <c r="E980" s="273"/>
      <c r="F980" s="272"/>
    </row>
    <row r="981" spans="2:6" ht="12" customHeight="1" x14ac:dyDescent="0.15">
      <c r="B981" s="274"/>
      <c r="C981" s="273"/>
      <c r="D981" s="273"/>
      <c r="E981" s="273"/>
      <c r="F981" s="272"/>
    </row>
    <row r="982" spans="2:6" ht="12" customHeight="1" x14ac:dyDescent="0.15">
      <c r="B982" s="274"/>
      <c r="C982" s="273"/>
      <c r="D982" s="273"/>
      <c r="E982" s="273"/>
      <c r="F982" s="272"/>
    </row>
    <row r="983" spans="2:6" ht="12" customHeight="1" x14ac:dyDescent="0.15">
      <c r="B983" s="274"/>
      <c r="C983" s="273"/>
      <c r="D983" s="273"/>
      <c r="E983" s="273"/>
      <c r="F983" s="272"/>
    </row>
    <row r="984" spans="2:6" ht="12" customHeight="1" x14ac:dyDescent="0.15">
      <c r="B984" s="274"/>
      <c r="C984" s="273"/>
      <c r="D984" s="273"/>
      <c r="E984" s="273"/>
      <c r="F984" s="272"/>
    </row>
    <row r="985" spans="2:6" ht="12" customHeight="1" x14ac:dyDescent="0.15">
      <c r="B985" s="274"/>
      <c r="C985" s="273"/>
      <c r="D985" s="273"/>
      <c r="E985" s="273"/>
      <c r="F985" s="272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982D-1297-4368-8FF2-B85332BA0715}">
  <sheetPr>
    <tabColor theme="7"/>
    <pageSetUpPr fitToPage="1"/>
  </sheetPr>
  <dimension ref="A1:Z990"/>
  <sheetViews>
    <sheetView workbookViewId="0">
      <selection sqref="A1:G35"/>
    </sheetView>
  </sheetViews>
  <sheetFormatPr baseColWidth="10" defaultColWidth="12.5" defaultRowHeight="15" customHeight="1" x14ac:dyDescent="0.15"/>
  <cols>
    <col min="1" max="1" width="4.5" style="271" customWidth="1"/>
    <col min="2" max="2" width="41.5" style="271" customWidth="1"/>
    <col min="3" max="3" width="13.1640625" style="271" customWidth="1"/>
    <col min="4" max="4" width="13" style="271" customWidth="1"/>
    <col min="5" max="5" width="14.83203125" style="271" customWidth="1"/>
    <col min="6" max="6" width="13" style="271" customWidth="1"/>
    <col min="7" max="7" width="4.5" style="271" customWidth="1"/>
    <col min="8" max="16384" width="12.5" style="271"/>
  </cols>
  <sheetData>
    <row r="1" spans="1:26" ht="54" customHeight="1" x14ac:dyDescent="0.15">
      <c r="A1" s="414"/>
      <c r="B1" s="415"/>
      <c r="C1" s="415"/>
      <c r="D1" s="415"/>
      <c r="E1" s="415"/>
      <c r="F1" s="415"/>
    </row>
    <row r="2" spans="1:26" ht="12" customHeight="1" x14ac:dyDescent="0.15">
      <c r="B2" s="274"/>
      <c r="C2" s="273"/>
      <c r="D2" s="273"/>
      <c r="E2" s="273"/>
      <c r="F2" s="272"/>
    </row>
    <row r="3" spans="1:26" ht="18.75" customHeight="1" x14ac:dyDescent="0.2">
      <c r="A3" s="344" t="s">
        <v>0</v>
      </c>
      <c r="C3" s="273"/>
      <c r="D3" s="273"/>
      <c r="E3" s="273"/>
      <c r="F3" s="272"/>
    </row>
    <row r="4" spans="1:26" ht="12" customHeight="1" x14ac:dyDescent="0.15">
      <c r="A4" s="274" t="s">
        <v>1</v>
      </c>
      <c r="C4" s="273"/>
      <c r="D4" s="273"/>
      <c r="E4" s="273"/>
      <c r="F4" s="272"/>
    </row>
    <row r="5" spans="1:26" ht="12" customHeight="1" x14ac:dyDescent="0.15">
      <c r="A5" s="274"/>
      <c r="B5" s="343" t="s">
        <v>138</v>
      </c>
      <c r="C5" s="273"/>
      <c r="D5" s="273"/>
      <c r="E5" s="273"/>
      <c r="F5" s="272"/>
    </row>
    <row r="6" spans="1:26" ht="12" customHeight="1" x14ac:dyDescent="0.15">
      <c r="A6" s="274"/>
      <c r="B6" s="342" t="s">
        <v>41</v>
      </c>
      <c r="C6" s="273"/>
      <c r="D6" s="410" t="s">
        <v>270</v>
      </c>
      <c r="E6" s="411"/>
      <c r="F6" s="341"/>
      <c r="G6" s="272"/>
    </row>
    <row r="7" spans="1:26" ht="12" customHeight="1" x14ac:dyDescent="0.15">
      <c r="A7" s="274"/>
      <c r="B7" s="340" t="s">
        <v>139</v>
      </c>
      <c r="C7" s="273"/>
      <c r="D7" s="273"/>
      <c r="E7" s="273"/>
      <c r="F7" s="272"/>
    </row>
    <row r="8" spans="1:26" ht="12" customHeight="1" x14ac:dyDescent="0.15">
      <c r="B8" s="274"/>
      <c r="C8" s="273"/>
      <c r="D8" s="273"/>
      <c r="E8" s="273"/>
      <c r="F8" s="272"/>
    </row>
    <row r="9" spans="1:26" ht="12" customHeight="1" x14ac:dyDescent="0.15">
      <c r="B9" s="339"/>
      <c r="C9" s="273"/>
      <c r="D9" s="273"/>
      <c r="E9" s="273"/>
      <c r="F9" s="272"/>
      <c r="G9" s="338" t="s">
        <v>248</v>
      </c>
    </row>
    <row r="10" spans="1:26" ht="17.25" customHeight="1" x14ac:dyDescent="0.15">
      <c r="A10" s="302"/>
      <c r="B10" s="337" t="s">
        <v>98</v>
      </c>
      <c r="C10" s="336"/>
      <c r="D10" s="336"/>
      <c r="E10" s="336"/>
      <c r="F10" s="335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</row>
    <row r="11" spans="1:26" ht="12" customHeight="1" x14ac:dyDescent="0.15">
      <c r="B11" s="274"/>
      <c r="C11" s="273"/>
      <c r="D11" s="273"/>
      <c r="E11" s="273"/>
      <c r="F11" s="272"/>
    </row>
    <row r="12" spans="1:26" ht="15" customHeight="1" x14ac:dyDescent="0.15">
      <c r="B12" s="334" t="s">
        <v>3</v>
      </c>
      <c r="C12" s="333" t="s">
        <v>4</v>
      </c>
      <c r="D12" s="333" t="s">
        <v>99</v>
      </c>
      <c r="E12" s="332" t="s">
        <v>100</v>
      </c>
      <c r="F12" s="332" t="s">
        <v>101</v>
      </c>
    </row>
    <row r="13" spans="1:26" ht="12" customHeight="1" x14ac:dyDescent="0.15">
      <c r="B13" s="329" t="s">
        <v>140</v>
      </c>
      <c r="C13" s="322">
        <v>45342</v>
      </c>
      <c r="D13" s="311"/>
      <c r="E13" s="311">
        <v>12230</v>
      </c>
      <c r="F13" s="310">
        <f>E13</f>
        <v>12230</v>
      </c>
    </row>
    <row r="14" spans="1:26" ht="12" customHeight="1" x14ac:dyDescent="0.15">
      <c r="B14" s="329" t="s">
        <v>141</v>
      </c>
      <c r="C14" s="322">
        <v>45359</v>
      </c>
      <c r="D14" s="311"/>
      <c r="E14" s="311">
        <v>6015</v>
      </c>
      <c r="F14" s="310">
        <f t="shared" ref="F14:F25" si="0">F13-D14+E14</f>
        <v>18245</v>
      </c>
    </row>
    <row r="15" spans="1:26" ht="12" customHeight="1" x14ac:dyDescent="0.15">
      <c r="B15" s="329" t="s">
        <v>141</v>
      </c>
      <c r="C15" s="346">
        <v>45415</v>
      </c>
      <c r="D15" s="311"/>
      <c r="E15" s="311">
        <v>16750.580000000002</v>
      </c>
      <c r="F15" s="310">
        <f t="shared" si="0"/>
        <v>34995.58</v>
      </c>
    </row>
    <row r="16" spans="1:26" ht="12" customHeight="1" x14ac:dyDescent="0.15">
      <c r="B16" s="329" t="s">
        <v>142</v>
      </c>
      <c r="C16" s="346">
        <v>45488</v>
      </c>
      <c r="D16" s="311"/>
      <c r="E16" s="311">
        <v>10600</v>
      </c>
      <c r="F16" s="310">
        <f t="shared" si="0"/>
        <v>45595.58</v>
      </c>
    </row>
    <row r="17" spans="2:6" ht="12" customHeight="1" x14ac:dyDescent="0.15">
      <c r="B17" s="329" t="s">
        <v>142</v>
      </c>
      <c r="C17" s="346">
        <v>45534</v>
      </c>
      <c r="D17" s="311"/>
      <c r="E17" s="311">
        <v>5650</v>
      </c>
      <c r="F17" s="310">
        <f t="shared" si="0"/>
        <v>51245.58</v>
      </c>
    </row>
    <row r="18" spans="2:6" ht="12" customHeight="1" x14ac:dyDescent="0.15">
      <c r="B18" s="329" t="s">
        <v>142</v>
      </c>
      <c r="C18" s="346">
        <v>45586</v>
      </c>
      <c r="D18" s="311"/>
      <c r="E18" s="311">
        <v>10600</v>
      </c>
      <c r="F18" s="310">
        <f t="shared" si="0"/>
        <v>61845.58</v>
      </c>
    </row>
    <row r="19" spans="2:6" ht="37" customHeight="1" x14ac:dyDescent="0.15">
      <c r="B19" s="328" t="s">
        <v>247</v>
      </c>
      <c r="C19" s="333"/>
      <c r="D19" s="325">
        <v>68124.03</v>
      </c>
      <c r="E19" s="311"/>
      <c r="F19" s="310">
        <f t="shared" si="0"/>
        <v>-6278.4499999999971</v>
      </c>
    </row>
    <row r="20" spans="2:6" ht="30" customHeight="1" x14ac:dyDescent="0.15">
      <c r="B20" s="383" t="s">
        <v>257</v>
      </c>
      <c r="C20" s="379">
        <v>45658</v>
      </c>
      <c r="D20" s="384"/>
      <c r="E20" s="381"/>
      <c r="F20" s="382">
        <f>F19</f>
        <v>-6278.4499999999971</v>
      </c>
    </row>
    <row r="21" spans="2:6" ht="35" customHeight="1" x14ac:dyDescent="0.15">
      <c r="B21" s="315" t="s">
        <v>204</v>
      </c>
      <c r="C21" s="313">
        <v>45664</v>
      </c>
      <c r="D21" s="311">
        <v>3712.0823236248907</v>
      </c>
      <c r="E21" s="311"/>
      <c r="F21" s="310">
        <f>F19-D21+E21</f>
        <v>-9990.5323236248878</v>
      </c>
    </row>
    <row r="22" spans="2:6" ht="34" customHeight="1" x14ac:dyDescent="0.15">
      <c r="B22" s="315" t="s">
        <v>205</v>
      </c>
      <c r="C22" s="313">
        <v>45664</v>
      </c>
      <c r="D22" s="311">
        <v>8835.0744136070589</v>
      </c>
      <c r="E22" s="311"/>
      <c r="F22" s="310">
        <f t="shared" si="0"/>
        <v>-18825.606737231945</v>
      </c>
    </row>
    <row r="23" spans="2:6" ht="31" customHeight="1" x14ac:dyDescent="0.15">
      <c r="B23" s="405" t="s">
        <v>206</v>
      </c>
      <c r="C23" s="313">
        <v>45664</v>
      </c>
      <c r="D23" s="311">
        <v>3328.7830803346892</v>
      </c>
      <c r="E23" s="311"/>
      <c r="F23" s="310">
        <f t="shared" si="0"/>
        <v>-22154.389817566633</v>
      </c>
    </row>
    <row r="24" spans="2:6" ht="28" customHeight="1" x14ac:dyDescent="0.15">
      <c r="B24" s="323" t="s">
        <v>140</v>
      </c>
      <c r="C24" s="313">
        <v>45706</v>
      </c>
      <c r="D24" s="311"/>
      <c r="E24" s="311">
        <v>15862.34</v>
      </c>
      <c r="F24" s="310">
        <f t="shared" si="0"/>
        <v>-6292.0498175666326</v>
      </c>
    </row>
    <row r="25" spans="2:6" ht="40" customHeight="1" x14ac:dyDescent="0.15">
      <c r="B25" s="314" t="s">
        <v>243</v>
      </c>
      <c r="C25" s="404">
        <v>45730</v>
      </c>
      <c r="D25" s="311">
        <v>10806.14</v>
      </c>
      <c r="E25" s="311"/>
      <c r="F25" s="310">
        <f t="shared" si="0"/>
        <v>-17098.189817566632</v>
      </c>
    </row>
    <row r="26" spans="2:6" s="378" customFormat="1" ht="40" customHeight="1" x14ac:dyDescent="0.15">
      <c r="B26" s="314" t="s">
        <v>261</v>
      </c>
      <c r="C26" s="404">
        <v>45730</v>
      </c>
      <c r="D26" s="311">
        <v>8370</v>
      </c>
      <c r="E26" s="311"/>
      <c r="F26" s="310">
        <f>F25-D26</f>
        <v>-25468.189817566632</v>
      </c>
    </row>
    <row r="27" spans="2:6" ht="15" customHeight="1" x14ac:dyDescent="0.15">
      <c r="B27" s="386"/>
      <c r="C27" s="387" t="s">
        <v>143</v>
      </c>
      <c r="D27" s="326">
        <f>SUM(D13:D26)</f>
        <v>103176.10981756664</v>
      </c>
      <c r="E27" s="326">
        <f>SUM(E13:E26)</f>
        <v>77707.92</v>
      </c>
      <c r="F27" s="324">
        <f>E27-D27</f>
        <v>-25468.189817566643</v>
      </c>
    </row>
    <row r="28" spans="2:6" ht="15" customHeight="1" x14ac:dyDescent="0.15">
      <c r="B28" s="356"/>
      <c r="C28" s="355"/>
      <c r="D28" s="354"/>
      <c r="E28" s="354"/>
      <c r="F28" s="353"/>
    </row>
    <row r="29" spans="2:6" ht="12" customHeight="1" x14ac:dyDescent="0.15">
      <c r="B29" s="286" t="s">
        <v>121</v>
      </c>
      <c r="C29" s="273"/>
      <c r="D29" s="273"/>
      <c r="E29" s="273"/>
    </row>
    <row r="30" spans="2:6" ht="12" customHeight="1" x14ac:dyDescent="0.15">
      <c r="B30" s="274" t="s">
        <v>242</v>
      </c>
      <c r="C30" s="273"/>
      <c r="D30" s="273"/>
      <c r="E30" s="273"/>
      <c r="F30" s="272"/>
    </row>
    <row r="31" spans="2:6" ht="12" customHeight="1" x14ac:dyDescent="0.15">
      <c r="B31" s="284"/>
      <c r="C31" s="273"/>
      <c r="D31" s="273"/>
      <c r="E31" s="273"/>
      <c r="F31" s="272"/>
    </row>
    <row r="32" spans="2:6" ht="12" customHeight="1" x14ac:dyDescent="0.15">
      <c r="B32" s="283" t="s">
        <v>123</v>
      </c>
      <c r="C32" s="282"/>
      <c r="D32" s="281"/>
      <c r="E32" s="273"/>
      <c r="F32" s="272"/>
    </row>
    <row r="33" spans="2:6" ht="12" customHeight="1" x14ac:dyDescent="0.15">
      <c r="B33" s="280" t="s">
        <v>124</v>
      </c>
      <c r="C33" s="273"/>
      <c r="D33" s="279"/>
      <c r="E33" s="273"/>
      <c r="F33" s="272"/>
    </row>
    <row r="34" spans="2:6" ht="12" customHeight="1" x14ac:dyDescent="0.15">
      <c r="B34" s="280" t="s">
        <v>125</v>
      </c>
      <c r="C34" s="273"/>
      <c r="D34" s="279"/>
      <c r="E34" s="273"/>
      <c r="F34" s="272"/>
    </row>
    <row r="35" spans="2:6" ht="12" customHeight="1" x14ac:dyDescent="0.15">
      <c r="B35" s="278" t="s">
        <v>126</v>
      </c>
      <c r="C35" s="277"/>
      <c r="D35" s="276"/>
      <c r="E35" s="273"/>
      <c r="F35" s="272"/>
    </row>
    <row r="36" spans="2:6" ht="12" customHeight="1" x14ac:dyDescent="0.15">
      <c r="B36" s="274"/>
      <c r="C36" s="273"/>
      <c r="D36" s="273"/>
      <c r="E36" s="273"/>
      <c r="F36" s="272"/>
    </row>
    <row r="37" spans="2:6" ht="12" customHeight="1" x14ac:dyDescent="0.15">
      <c r="B37" s="274"/>
      <c r="C37" s="273"/>
      <c r="D37" s="273"/>
      <c r="E37" s="273"/>
      <c r="F37" s="272"/>
    </row>
    <row r="38" spans="2:6" ht="12" customHeight="1" x14ac:dyDescent="0.15">
      <c r="B38" s="274"/>
      <c r="C38" s="273"/>
      <c r="D38" s="273"/>
      <c r="E38" s="273"/>
      <c r="F38" s="272"/>
    </row>
    <row r="39" spans="2:6" ht="12" customHeight="1" x14ac:dyDescent="0.15">
      <c r="B39" s="274"/>
      <c r="C39" s="273"/>
      <c r="D39" s="273"/>
      <c r="E39" s="273"/>
      <c r="F39" s="272"/>
    </row>
    <row r="40" spans="2:6" ht="12" customHeight="1" x14ac:dyDescent="0.15">
      <c r="B40" s="274"/>
      <c r="C40" s="273"/>
      <c r="D40" s="273"/>
      <c r="E40" s="273"/>
      <c r="F40" s="272"/>
    </row>
    <row r="41" spans="2:6" ht="12" customHeight="1" x14ac:dyDescent="0.15">
      <c r="B41" s="274"/>
      <c r="C41" s="273"/>
      <c r="D41" s="273"/>
      <c r="E41" s="273"/>
      <c r="F41" s="272"/>
    </row>
    <row r="42" spans="2:6" ht="12" customHeight="1" x14ac:dyDescent="0.15">
      <c r="B42" s="274"/>
      <c r="C42" s="273"/>
      <c r="D42" s="273"/>
      <c r="E42" s="273"/>
      <c r="F42" s="272"/>
    </row>
    <row r="43" spans="2:6" ht="12" customHeight="1" x14ac:dyDescent="0.15">
      <c r="B43" s="274"/>
      <c r="C43" s="273"/>
      <c r="D43" s="273"/>
      <c r="E43" s="273"/>
      <c r="F43" s="272"/>
    </row>
    <row r="44" spans="2:6" ht="12" customHeight="1" x14ac:dyDescent="0.15">
      <c r="B44" s="274"/>
      <c r="C44" s="273"/>
      <c r="D44" s="273"/>
      <c r="E44" s="273"/>
      <c r="F44" s="272"/>
    </row>
    <row r="45" spans="2:6" ht="12" customHeight="1" x14ac:dyDescent="0.15">
      <c r="B45" s="274"/>
      <c r="C45" s="273"/>
      <c r="D45" s="273"/>
      <c r="E45" s="273"/>
      <c r="F45" s="272"/>
    </row>
    <row r="46" spans="2:6" ht="12" customHeight="1" x14ac:dyDescent="0.15">
      <c r="B46" s="274"/>
      <c r="C46" s="273"/>
      <c r="D46" s="273"/>
      <c r="E46" s="273"/>
      <c r="F46" s="272"/>
    </row>
    <row r="47" spans="2:6" ht="12" customHeight="1" x14ac:dyDescent="0.15">
      <c r="B47" s="274"/>
      <c r="C47" s="273"/>
      <c r="D47" s="273"/>
      <c r="E47" s="273"/>
      <c r="F47" s="272"/>
    </row>
    <row r="48" spans="2:6" ht="12" customHeight="1" x14ac:dyDescent="0.15">
      <c r="B48" s="274"/>
      <c r="C48" s="273"/>
      <c r="D48" s="273"/>
      <c r="E48" s="273"/>
      <c r="F48" s="272"/>
    </row>
    <row r="49" spans="2:6" ht="12" customHeight="1" x14ac:dyDescent="0.15">
      <c r="B49" s="274"/>
      <c r="C49" s="273"/>
      <c r="D49" s="273"/>
      <c r="E49" s="273"/>
      <c r="F49" s="272"/>
    </row>
    <row r="50" spans="2:6" ht="12" customHeight="1" x14ac:dyDescent="0.15">
      <c r="B50" s="274"/>
      <c r="C50" s="273"/>
      <c r="D50" s="273"/>
      <c r="E50" s="273"/>
      <c r="F50" s="272"/>
    </row>
    <row r="51" spans="2:6" ht="12" customHeight="1" x14ac:dyDescent="0.15">
      <c r="B51" s="274"/>
      <c r="C51" s="273"/>
      <c r="D51" s="273"/>
      <c r="E51" s="273"/>
      <c r="F51" s="272"/>
    </row>
    <row r="52" spans="2:6" ht="12" customHeight="1" x14ac:dyDescent="0.15">
      <c r="B52" s="274"/>
      <c r="C52" s="273"/>
      <c r="D52" s="273"/>
      <c r="E52" s="273"/>
      <c r="F52" s="272"/>
    </row>
    <row r="53" spans="2:6" ht="12" customHeight="1" x14ac:dyDescent="0.15">
      <c r="B53" s="274"/>
      <c r="C53" s="273"/>
      <c r="D53" s="273"/>
      <c r="E53" s="273"/>
      <c r="F53" s="272"/>
    </row>
    <row r="54" spans="2:6" ht="12" customHeight="1" x14ac:dyDescent="0.15">
      <c r="B54" s="274"/>
      <c r="C54" s="273"/>
      <c r="D54" s="273"/>
      <c r="E54" s="273"/>
      <c r="F54" s="272"/>
    </row>
    <row r="55" spans="2:6" ht="12" customHeight="1" x14ac:dyDescent="0.15">
      <c r="B55" s="274"/>
      <c r="C55" s="273"/>
      <c r="D55" s="273"/>
      <c r="E55" s="273"/>
      <c r="F55" s="272"/>
    </row>
    <row r="56" spans="2:6" ht="12" customHeight="1" x14ac:dyDescent="0.15">
      <c r="B56" s="274"/>
      <c r="C56" s="273"/>
      <c r="D56" s="273"/>
      <c r="E56" s="273"/>
      <c r="F56" s="272"/>
    </row>
    <row r="57" spans="2:6" ht="12" customHeight="1" x14ac:dyDescent="0.15">
      <c r="B57" s="274"/>
      <c r="C57" s="273"/>
      <c r="D57" s="273"/>
      <c r="E57" s="273"/>
      <c r="F57" s="272"/>
    </row>
    <row r="58" spans="2:6" ht="12" customHeight="1" x14ac:dyDescent="0.15">
      <c r="B58" s="274"/>
      <c r="C58" s="273"/>
      <c r="D58" s="273"/>
      <c r="E58" s="273"/>
      <c r="F58" s="272"/>
    </row>
    <row r="59" spans="2:6" ht="12" customHeight="1" x14ac:dyDescent="0.15">
      <c r="B59" s="274"/>
      <c r="C59" s="273"/>
      <c r="D59" s="273"/>
      <c r="E59" s="273"/>
      <c r="F59" s="272"/>
    </row>
    <row r="60" spans="2:6" ht="12" customHeight="1" x14ac:dyDescent="0.15">
      <c r="B60" s="274"/>
      <c r="C60" s="273"/>
      <c r="D60" s="273"/>
      <c r="E60" s="273"/>
      <c r="F60" s="272"/>
    </row>
    <row r="61" spans="2:6" ht="12" customHeight="1" x14ac:dyDescent="0.15">
      <c r="B61" s="274"/>
      <c r="C61" s="273"/>
      <c r="D61" s="273"/>
      <c r="E61" s="273"/>
      <c r="F61" s="272"/>
    </row>
    <row r="62" spans="2:6" ht="12" customHeight="1" x14ac:dyDescent="0.15">
      <c r="B62" s="274"/>
      <c r="C62" s="273"/>
      <c r="D62" s="273"/>
      <c r="E62" s="273"/>
      <c r="F62" s="272"/>
    </row>
    <row r="63" spans="2:6" ht="12" customHeight="1" x14ac:dyDescent="0.15">
      <c r="B63" s="274"/>
      <c r="C63" s="273"/>
      <c r="D63" s="273"/>
      <c r="E63" s="273"/>
      <c r="F63" s="272"/>
    </row>
    <row r="64" spans="2:6" ht="12" customHeight="1" x14ac:dyDescent="0.15">
      <c r="B64" s="274"/>
      <c r="C64" s="273"/>
      <c r="D64" s="273"/>
      <c r="E64" s="273"/>
      <c r="F64" s="272"/>
    </row>
    <row r="65" spans="2:6" ht="12" customHeight="1" x14ac:dyDescent="0.15">
      <c r="B65" s="274"/>
      <c r="C65" s="273"/>
      <c r="D65" s="273"/>
      <c r="E65" s="273"/>
      <c r="F65" s="272"/>
    </row>
    <row r="66" spans="2:6" ht="12" customHeight="1" x14ac:dyDescent="0.15">
      <c r="B66" s="274"/>
      <c r="C66" s="273"/>
      <c r="D66" s="273"/>
      <c r="E66" s="273"/>
      <c r="F66" s="272"/>
    </row>
    <row r="67" spans="2:6" ht="12" customHeight="1" x14ac:dyDescent="0.15">
      <c r="B67" s="274"/>
      <c r="C67" s="273"/>
      <c r="D67" s="273"/>
      <c r="E67" s="273"/>
      <c r="F67" s="272"/>
    </row>
    <row r="68" spans="2:6" ht="12" customHeight="1" x14ac:dyDescent="0.15">
      <c r="B68" s="274"/>
      <c r="C68" s="273"/>
      <c r="D68" s="273"/>
      <c r="E68" s="273"/>
      <c r="F68" s="272"/>
    </row>
    <row r="69" spans="2:6" ht="12" customHeight="1" x14ac:dyDescent="0.15">
      <c r="B69" s="274"/>
      <c r="C69" s="273"/>
      <c r="D69" s="273"/>
      <c r="E69" s="273"/>
      <c r="F69" s="272"/>
    </row>
    <row r="70" spans="2:6" ht="12" customHeight="1" x14ac:dyDescent="0.15">
      <c r="B70" s="274"/>
      <c r="C70" s="273"/>
      <c r="D70" s="273"/>
      <c r="E70" s="273"/>
      <c r="F70" s="272"/>
    </row>
    <row r="71" spans="2:6" ht="12" customHeight="1" x14ac:dyDescent="0.15">
      <c r="B71" s="274"/>
      <c r="C71" s="273"/>
      <c r="D71" s="273"/>
      <c r="E71" s="273"/>
      <c r="F71" s="272"/>
    </row>
    <row r="72" spans="2:6" ht="12" customHeight="1" x14ac:dyDescent="0.15">
      <c r="B72" s="274"/>
      <c r="C72" s="273"/>
      <c r="D72" s="273"/>
      <c r="E72" s="273"/>
      <c r="F72" s="272"/>
    </row>
    <row r="73" spans="2:6" ht="12" customHeight="1" x14ac:dyDescent="0.15">
      <c r="B73" s="274"/>
      <c r="C73" s="273"/>
      <c r="D73" s="273"/>
      <c r="E73" s="273"/>
      <c r="F73" s="272"/>
    </row>
    <row r="74" spans="2:6" ht="12" customHeight="1" x14ac:dyDescent="0.15">
      <c r="B74" s="274"/>
      <c r="C74" s="273"/>
      <c r="D74" s="273"/>
      <c r="E74" s="273"/>
      <c r="F74" s="272"/>
    </row>
    <row r="75" spans="2:6" ht="12" customHeight="1" x14ac:dyDescent="0.15">
      <c r="B75" s="274"/>
      <c r="C75" s="273"/>
      <c r="D75" s="273"/>
      <c r="E75" s="273"/>
      <c r="F75" s="272"/>
    </row>
    <row r="76" spans="2:6" ht="12" customHeight="1" x14ac:dyDescent="0.15">
      <c r="B76" s="274"/>
      <c r="C76" s="273"/>
      <c r="D76" s="273"/>
      <c r="E76" s="273"/>
      <c r="F76" s="272"/>
    </row>
    <row r="77" spans="2:6" ht="12" customHeight="1" x14ac:dyDescent="0.15">
      <c r="B77" s="274"/>
      <c r="C77" s="273"/>
      <c r="D77" s="273"/>
      <c r="E77" s="273"/>
      <c r="F77" s="272"/>
    </row>
    <row r="78" spans="2:6" ht="12" customHeight="1" x14ac:dyDescent="0.15">
      <c r="B78" s="274"/>
      <c r="C78" s="273"/>
      <c r="D78" s="273"/>
      <c r="E78" s="273"/>
      <c r="F78" s="272"/>
    </row>
    <row r="79" spans="2:6" ht="12" customHeight="1" x14ac:dyDescent="0.15">
      <c r="B79" s="274"/>
      <c r="C79" s="273"/>
      <c r="D79" s="273"/>
      <c r="E79" s="273"/>
      <c r="F79" s="272"/>
    </row>
    <row r="80" spans="2:6" ht="12" customHeight="1" x14ac:dyDescent="0.15">
      <c r="B80" s="274"/>
      <c r="C80" s="273"/>
      <c r="D80" s="273"/>
      <c r="E80" s="273"/>
      <c r="F80" s="272"/>
    </row>
    <row r="81" spans="2:6" ht="12" customHeight="1" x14ac:dyDescent="0.15">
      <c r="B81" s="274"/>
      <c r="C81" s="273"/>
      <c r="D81" s="273"/>
      <c r="E81" s="273"/>
      <c r="F81" s="272"/>
    </row>
    <row r="82" spans="2:6" ht="12" customHeight="1" x14ac:dyDescent="0.15">
      <c r="B82" s="274"/>
      <c r="C82" s="273"/>
      <c r="D82" s="273"/>
      <c r="E82" s="273"/>
      <c r="F82" s="272"/>
    </row>
    <row r="83" spans="2:6" ht="12" customHeight="1" x14ac:dyDescent="0.15">
      <c r="B83" s="274"/>
      <c r="C83" s="273"/>
      <c r="D83" s="273"/>
      <c r="E83" s="273"/>
      <c r="F83" s="272"/>
    </row>
    <row r="84" spans="2:6" ht="12" customHeight="1" x14ac:dyDescent="0.15">
      <c r="B84" s="274"/>
      <c r="C84" s="273"/>
      <c r="D84" s="273"/>
      <c r="E84" s="273"/>
      <c r="F84" s="272"/>
    </row>
    <row r="85" spans="2:6" ht="12" customHeight="1" x14ac:dyDescent="0.15">
      <c r="B85" s="274"/>
      <c r="C85" s="273"/>
      <c r="D85" s="273"/>
      <c r="E85" s="273"/>
      <c r="F85" s="272"/>
    </row>
    <row r="86" spans="2:6" ht="12" customHeight="1" x14ac:dyDescent="0.15">
      <c r="B86" s="274"/>
      <c r="C86" s="273"/>
      <c r="D86" s="273"/>
      <c r="E86" s="273"/>
      <c r="F86" s="272"/>
    </row>
    <row r="87" spans="2:6" ht="12" customHeight="1" x14ac:dyDescent="0.15">
      <c r="B87" s="274"/>
      <c r="C87" s="273"/>
      <c r="D87" s="273"/>
      <c r="E87" s="273"/>
      <c r="F87" s="272"/>
    </row>
    <row r="88" spans="2:6" ht="12" customHeight="1" x14ac:dyDescent="0.15">
      <c r="B88" s="274"/>
      <c r="C88" s="273"/>
      <c r="D88" s="273"/>
      <c r="E88" s="273"/>
      <c r="F88" s="272"/>
    </row>
    <row r="89" spans="2:6" ht="12" customHeight="1" x14ac:dyDescent="0.15">
      <c r="B89" s="274"/>
      <c r="C89" s="273"/>
      <c r="D89" s="273"/>
      <c r="E89" s="273"/>
      <c r="F89" s="272"/>
    </row>
    <row r="90" spans="2:6" ht="12" customHeight="1" x14ac:dyDescent="0.15">
      <c r="B90" s="274"/>
      <c r="C90" s="273"/>
      <c r="D90" s="273"/>
      <c r="E90" s="273"/>
      <c r="F90" s="272"/>
    </row>
    <row r="91" spans="2:6" ht="12" customHeight="1" x14ac:dyDescent="0.15">
      <c r="B91" s="274"/>
      <c r="C91" s="273"/>
      <c r="D91" s="273"/>
      <c r="E91" s="273"/>
      <c r="F91" s="272"/>
    </row>
    <row r="92" spans="2:6" ht="12" customHeight="1" x14ac:dyDescent="0.15">
      <c r="B92" s="274"/>
      <c r="C92" s="273"/>
      <c r="D92" s="273"/>
      <c r="E92" s="273"/>
      <c r="F92" s="272"/>
    </row>
    <row r="93" spans="2:6" ht="12" customHeight="1" x14ac:dyDescent="0.15">
      <c r="B93" s="274"/>
      <c r="C93" s="273"/>
      <c r="D93" s="273"/>
      <c r="E93" s="273"/>
      <c r="F93" s="272"/>
    </row>
    <row r="94" spans="2:6" ht="12" customHeight="1" x14ac:dyDescent="0.15">
      <c r="B94" s="274"/>
      <c r="C94" s="273"/>
      <c r="D94" s="273"/>
      <c r="E94" s="273"/>
      <c r="F94" s="272"/>
    </row>
    <row r="95" spans="2:6" ht="12" customHeight="1" x14ac:dyDescent="0.15">
      <c r="B95" s="274"/>
      <c r="C95" s="273"/>
      <c r="D95" s="273"/>
      <c r="E95" s="273"/>
      <c r="F95" s="272"/>
    </row>
    <row r="96" spans="2:6" ht="12" customHeight="1" x14ac:dyDescent="0.15">
      <c r="B96" s="274"/>
      <c r="C96" s="273"/>
      <c r="D96" s="273"/>
      <c r="E96" s="273"/>
      <c r="F96" s="272"/>
    </row>
    <row r="97" spans="2:6" ht="12" customHeight="1" x14ac:dyDescent="0.15">
      <c r="B97" s="274"/>
      <c r="C97" s="273"/>
      <c r="D97" s="273"/>
      <c r="E97" s="273"/>
      <c r="F97" s="272"/>
    </row>
    <row r="98" spans="2:6" ht="12" customHeight="1" x14ac:dyDescent="0.15">
      <c r="B98" s="274"/>
      <c r="C98" s="273"/>
      <c r="D98" s="273"/>
      <c r="E98" s="273"/>
      <c r="F98" s="272"/>
    </row>
    <row r="99" spans="2:6" ht="12" customHeight="1" x14ac:dyDescent="0.15">
      <c r="B99" s="274"/>
      <c r="C99" s="273"/>
      <c r="D99" s="273"/>
      <c r="E99" s="273"/>
      <c r="F99" s="272"/>
    </row>
    <row r="100" spans="2:6" ht="12" customHeight="1" x14ac:dyDescent="0.15">
      <c r="B100" s="274"/>
      <c r="C100" s="273"/>
      <c r="D100" s="273"/>
      <c r="E100" s="273"/>
      <c r="F100" s="272"/>
    </row>
    <row r="101" spans="2:6" ht="12" customHeight="1" x14ac:dyDescent="0.15">
      <c r="B101" s="274"/>
      <c r="C101" s="273"/>
      <c r="D101" s="273"/>
      <c r="E101" s="273"/>
      <c r="F101" s="272"/>
    </row>
    <row r="102" spans="2:6" ht="12" customHeight="1" x14ac:dyDescent="0.15">
      <c r="B102" s="274"/>
      <c r="C102" s="273"/>
      <c r="D102" s="273"/>
      <c r="E102" s="273"/>
      <c r="F102" s="272"/>
    </row>
    <row r="103" spans="2:6" ht="12" customHeight="1" x14ac:dyDescent="0.15">
      <c r="B103" s="274"/>
      <c r="C103" s="273"/>
      <c r="D103" s="273"/>
      <c r="E103" s="273"/>
      <c r="F103" s="272"/>
    </row>
    <row r="104" spans="2:6" ht="12" customHeight="1" x14ac:dyDescent="0.15">
      <c r="B104" s="274"/>
      <c r="C104" s="273"/>
      <c r="D104" s="273"/>
      <c r="E104" s="273"/>
      <c r="F104" s="272"/>
    </row>
    <row r="105" spans="2:6" ht="12" customHeight="1" x14ac:dyDescent="0.15">
      <c r="B105" s="274"/>
      <c r="C105" s="273"/>
      <c r="D105" s="273"/>
      <c r="E105" s="273"/>
      <c r="F105" s="272"/>
    </row>
    <row r="106" spans="2:6" ht="12" customHeight="1" x14ac:dyDescent="0.15">
      <c r="B106" s="274"/>
      <c r="C106" s="273"/>
      <c r="D106" s="273"/>
      <c r="E106" s="273"/>
      <c r="F106" s="272"/>
    </row>
    <row r="107" spans="2:6" ht="12" customHeight="1" x14ac:dyDescent="0.15">
      <c r="B107" s="274"/>
      <c r="C107" s="273"/>
      <c r="D107" s="273"/>
      <c r="E107" s="273"/>
      <c r="F107" s="272"/>
    </row>
    <row r="108" spans="2:6" ht="12" customHeight="1" x14ac:dyDescent="0.15">
      <c r="B108" s="274"/>
      <c r="C108" s="273"/>
      <c r="D108" s="273"/>
      <c r="E108" s="273"/>
      <c r="F108" s="272"/>
    </row>
    <row r="109" spans="2:6" ht="12" customHeight="1" x14ac:dyDescent="0.15">
      <c r="B109" s="274"/>
      <c r="C109" s="273"/>
      <c r="D109" s="273"/>
      <c r="E109" s="273"/>
      <c r="F109" s="272"/>
    </row>
    <row r="110" spans="2:6" ht="12" customHeight="1" x14ac:dyDescent="0.15">
      <c r="B110" s="274"/>
      <c r="C110" s="273"/>
      <c r="D110" s="273"/>
      <c r="E110" s="273"/>
      <c r="F110" s="272"/>
    </row>
    <row r="111" spans="2:6" ht="12" customHeight="1" x14ac:dyDescent="0.15">
      <c r="B111" s="274"/>
      <c r="C111" s="273"/>
      <c r="D111" s="273"/>
      <c r="E111" s="273"/>
      <c r="F111" s="272"/>
    </row>
    <row r="112" spans="2:6" ht="12" customHeight="1" x14ac:dyDescent="0.15">
      <c r="B112" s="274"/>
      <c r="C112" s="273"/>
      <c r="D112" s="273"/>
      <c r="E112" s="273"/>
      <c r="F112" s="272"/>
    </row>
    <row r="113" spans="2:6" ht="12" customHeight="1" x14ac:dyDescent="0.15">
      <c r="B113" s="274"/>
      <c r="C113" s="273"/>
      <c r="D113" s="273"/>
      <c r="E113" s="273"/>
      <c r="F113" s="272"/>
    </row>
    <row r="114" spans="2:6" ht="12" customHeight="1" x14ac:dyDescent="0.15">
      <c r="B114" s="274"/>
      <c r="C114" s="273"/>
      <c r="D114" s="273"/>
      <c r="E114" s="273"/>
      <c r="F114" s="272"/>
    </row>
    <row r="115" spans="2:6" ht="12" customHeight="1" x14ac:dyDescent="0.15">
      <c r="B115" s="274"/>
      <c r="C115" s="273"/>
      <c r="D115" s="273"/>
      <c r="E115" s="273"/>
      <c r="F115" s="272"/>
    </row>
    <row r="116" spans="2:6" ht="12" customHeight="1" x14ac:dyDescent="0.15">
      <c r="B116" s="274"/>
      <c r="C116" s="273"/>
      <c r="D116" s="273"/>
      <c r="E116" s="273"/>
      <c r="F116" s="272"/>
    </row>
    <row r="117" spans="2:6" ht="12" customHeight="1" x14ac:dyDescent="0.15">
      <c r="B117" s="274"/>
      <c r="C117" s="273"/>
      <c r="D117" s="273"/>
      <c r="E117" s="273"/>
      <c r="F117" s="272"/>
    </row>
    <row r="118" spans="2:6" ht="12" customHeight="1" x14ac:dyDescent="0.15">
      <c r="B118" s="274"/>
      <c r="C118" s="273"/>
      <c r="D118" s="273"/>
      <c r="E118" s="273"/>
      <c r="F118" s="272"/>
    </row>
    <row r="119" spans="2:6" ht="12" customHeight="1" x14ac:dyDescent="0.15">
      <c r="B119" s="274"/>
      <c r="C119" s="273"/>
      <c r="D119" s="273"/>
      <c r="E119" s="273"/>
      <c r="F119" s="272"/>
    </row>
    <row r="120" spans="2:6" ht="12" customHeight="1" x14ac:dyDescent="0.15">
      <c r="B120" s="274"/>
      <c r="C120" s="273"/>
      <c r="D120" s="273"/>
      <c r="E120" s="273"/>
      <c r="F120" s="272"/>
    </row>
    <row r="121" spans="2:6" ht="12" customHeight="1" x14ac:dyDescent="0.15">
      <c r="B121" s="274"/>
      <c r="C121" s="273"/>
      <c r="D121" s="273"/>
      <c r="E121" s="273"/>
      <c r="F121" s="272"/>
    </row>
    <row r="122" spans="2:6" ht="12" customHeight="1" x14ac:dyDescent="0.15">
      <c r="B122" s="274"/>
      <c r="C122" s="273"/>
      <c r="D122" s="273"/>
      <c r="E122" s="273"/>
      <c r="F122" s="272"/>
    </row>
    <row r="123" spans="2:6" ht="12" customHeight="1" x14ac:dyDescent="0.15">
      <c r="B123" s="274"/>
      <c r="C123" s="273"/>
      <c r="D123" s="273"/>
      <c r="E123" s="273"/>
      <c r="F123" s="272"/>
    </row>
    <row r="124" spans="2:6" ht="12" customHeight="1" x14ac:dyDescent="0.15">
      <c r="B124" s="274"/>
      <c r="C124" s="273"/>
      <c r="D124" s="273"/>
      <c r="E124" s="273"/>
      <c r="F124" s="272"/>
    </row>
    <row r="125" spans="2:6" ht="12" customHeight="1" x14ac:dyDescent="0.15">
      <c r="B125" s="274"/>
      <c r="C125" s="273"/>
      <c r="D125" s="273"/>
      <c r="E125" s="273"/>
      <c r="F125" s="272"/>
    </row>
    <row r="126" spans="2:6" ht="12" customHeight="1" x14ac:dyDescent="0.15">
      <c r="B126" s="274"/>
      <c r="C126" s="273"/>
      <c r="D126" s="273"/>
      <c r="E126" s="273"/>
      <c r="F126" s="272"/>
    </row>
    <row r="127" spans="2:6" ht="12" customHeight="1" x14ac:dyDescent="0.15">
      <c r="B127" s="274"/>
      <c r="C127" s="273"/>
      <c r="D127" s="273"/>
      <c r="E127" s="273"/>
      <c r="F127" s="272"/>
    </row>
    <row r="128" spans="2:6" ht="12" customHeight="1" x14ac:dyDescent="0.15">
      <c r="B128" s="274"/>
      <c r="C128" s="273"/>
      <c r="D128" s="273"/>
      <c r="E128" s="273"/>
      <c r="F128" s="272"/>
    </row>
    <row r="129" spans="2:6" ht="12" customHeight="1" x14ac:dyDescent="0.15">
      <c r="B129" s="274"/>
      <c r="C129" s="273"/>
      <c r="D129" s="273"/>
      <c r="E129" s="273"/>
      <c r="F129" s="272"/>
    </row>
    <row r="130" spans="2:6" ht="12" customHeight="1" x14ac:dyDescent="0.15">
      <c r="B130" s="274"/>
      <c r="C130" s="273"/>
      <c r="D130" s="273"/>
      <c r="E130" s="273"/>
      <c r="F130" s="272"/>
    </row>
    <row r="131" spans="2:6" ht="12" customHeight="1" x14ac:dyDescent="0.15">
      <c r="B131" s="274"/>
      <c r="C131" s="273"/>
      <c r="D131" s="273"/>
      <c r="E131" s="273"/>
      <c r="F131" s="272"/>
    </row>
    <row r="132" spans="2:6" ht="12" customHeight="1" x14ac:dyDescent="0.15">
      <c r="B132" s="274"/>
      <c r="C132" s="273"/>
      <c r="D132" s="273"/>
      <c r="E132" s="273"/>
      <c r="F132" s="272"/>
    </row>
    <row r="133" spans="2:6" ht="12" customHeight="1" x14ac:dyDescent="0.15">
      <c r="B133" s="274"/>
      <c r="C133" s="273"/>
      <c r="D133" s="273"/>
      <c r="E133" s="273"/>
      <c r="F133" s="272"/>
    </row>
    <row r="134" spans="2:6" ht="12" customHeight="1" x14ac:dyDescent="0.15">
      <c r="B134" s="274"/>
      <c r="C134" s="273"/>
      <c r="D134" s="273"/>
      <c r="E134" s="273"/>
      <c r="F134" s="272"/>
    </row>
    <row r="135" spans="2:6" ht="12" customHeight="1" x14ac:dyDescent="0.15">
      <c r="B135" s="274"/>
      <c r="C135" s="273"/>
      <c r="D135" s="273"/>
      <c r="E135" s="273"/>
      <c r="F135" s="272"/>
    </row>
    <row r="136" spans="2:6" ht="12" customHeight="1" x14ac:dyDescent="0.15">
      <c r="B136" s="274"/>
      <c r="C136" s="273"/>
      <c r="D136" s="273"/>
      <c r="E136" s="273"/>
      <c r="F136" s="272"/>
    </row>
    <row r="137" spans="2:6" ht="12" customHeight="1" x14ac:dyDescent="0.15">
      <c r="B137" s="274"/>
      <c r="C137" s="273"/>
      <c r="D137" s="273"/>
      <c r="E137" s="273"/>
      <c r="F137" s="272"/>
    </row>
    <row r="138" spans="2:6" ht="12" customHeight="1" x14ac:dyDescent="0.15">
      <c r="B138" s="274"/>
      <c r="C138" s="273"/>
      <c r="D138" s="273"/>
      <c r="E138" s="273"/>
      <c r="F138" s="272"/>
    </row>
    <row r="139" spans="2:6" ht="12" customHeight="1" x14ac:dyDescent="0.15">
      <c r="B139" s="274"/>
      <c r="C139" s="273"/>
      <c r="D139" s="273"/>
      <c r="E139" s="273"/>
      <c r="F139" s="272"/>
    </row>
    <row r="140" spans="2:6" ht="12" customHeight="1" x14ac:dyDescent="0.15">
      <c r="B140" s="274"/>
      <c r="C140" s="273"/>
      <c r="D140" s="273"/>
      <c r="E140" s="273"/>
      <c r="F140" s="272"/>
    </row>
    <row r="141" spans="2:6" ht="12" customHeight="1" x14ac:dyDescent="0.15">
      <c r="B141" s="274"/>
      <c r="C141" s="273"/>
      <c r="D141" s="273"/>
      <c r="E141" s="273"/>
      <c r="F141" s="272"/>
    </row>
    <row r="142" spans="2:6" ht="12" customHeight="1" x14ac:dyDescent="0.15">
      <c r="B142" s="274"/>
      <c r="C142" s="273"/>
      <c r="D142" s="273"/>
      <c r="E142" s="273"/>
      <c r="F142" s="272"/>
    </row>
    <row r="143" spans="2:6" ht="12" customHeight="1" x14ac:dyDescent="0.15">
      <c r="B143" s="274"/>
      <c r="C143" s="273"/>
      <c r="D143" s="273"/>
      <c r="E143" s="273"/>
      <c r="F143" s="272"/>
    </row>
    <row r="144" spans="2:6" ht="12" customHeight="1" x14ac:dyDescent="0.15">
      <c r="B144" s="274"/>
      <c r="C144" s="273"/>
      <c r="D144" s="273"/>
      <c r="E144" s="273"/>
      <c r="F144" s="272"/>
    </row>
    <row r="145" spans="2:6" ht="12" customHeight="1" x14ac:dyDescent="0.15">
      <c r="B145" s="274"/>
      <c r="C145" s="273"/>
      <c r="D145" s="273"/>
      <c r="E145" s="273"/>
      <c r="F145" s="272"/>
    </row>
    <row r="146" spans="2:6" ht="12" customHeight="1" x14ac:dyDescent="0.15">
      <c r="B146" s="274"/>
      <c r="C146" s="273"/>
      <c r="D146" s="273"/>
      <c r="E146" s="273"/>
      <c r="F146" s="272"/>
    </row>
    <row r="147" spans="2:6" ht="12" customHeight="1" x14ac:dyDescent="0.15">
      <c r="B147" s="274"/>
      <c r="C147" s="273"/>
      <c r="D147" s="273"/>
      <c r="E147" s="273"/>
      <c r="F147" s="272"/>
    </row>
    <row r="148" spans="2:6" ht="12" customHeight="1" x14ac:dyDescent="0.15">
      <c r="B148" s="274"/>
      <c r="C148" s="273"/>
      <c r="D148" s="273"/>
      <c r="E148" s="273"/>
      <c r="F148" s="272"/>
    </row>
    <row r="149" spans="2:6" ht="12" customHeight="1" x14ac:dyDescent="0.15">
      <c r="B149" s="274"/>
      <c r="C149" s="273"/>
      <c r="D149" s="273"/>
      <c r="E149" s="273"/>
      <c r="F149" s="272"/>
    </row>
    <row r="150" spans="2:6" ht="12" customHeight="1" x14ac:dyDescent="0.15">
      <c r="B150" s="274"/>
      <c r="C150" s="273"/>
      <c r="D150" s="273"/>
      <c r="E150" s="273"/>
      <c r="F150" s="272"/>
    </row>
    <row r="151" spans="2:6" ht="12" customHeight="1" x14ac:dyDescent="0.15">
      <c r="B151" s="274"/>
      <c r="C151" s="273"/>
      <c r="D151" s="273"/>
      <c r="E151" s="273"/>
      <c r="F151" s="272"/>
    </row>
    <row r="152" spans="2:6" ht="12" customHeight="1" x14ac:dyDescent="0.15">
      <c r="B152" s="274"/>
      <c r="C152" s="273"/>
      <c r="D152" s="273"/>
      <c r="E152" s="273"/>
      <c r="F152" s="272"/>
    </row>
    <row r="153" spans="2:6" ht="12" customHeight="1" x14ac:dyDescent="0.15">
      <c r="B153" s="274"/>
      <c r="C153" s="273"/>
      <c r="D153" s="273"/>
      <c r="E153" s="273"/>
      <c r="F153" s="272"/>
    </row>
    <row r="154" spans="2:6" ht="12" customHeight="1" x14ac:dyDescent="0.15">
      <c r="B154" s="274"/>
      <c r="C154" s="273"/>
      <c r="D154" s="273"/>
      <c r="E154" s="273"/>
      <c r="F154" s="272"/>
    </row>
    <row r="155" spans="2:6" ht="12" customHeight="1" x14ac:dyDescent="0.15">
      <c r="B155" s="274"/>
      <c r="C155" s="273"/>
      <c r="D155" s="273"/>
      <c r="E155" s="273"/>
      <c r="F155" s="272"/>
    </row>
    <row r="156" spans="2:6" ht="12" customHeight="1" x14ac:dyDescent="0.15">
      <c r="B156" s="274"/>
      <c r="C156" s="273"/>
      <c r="D156" s="273"/>
      <c r="E156" s="273"/>
      <c r="F156" s="272"/>
    </row>
    <row r="157" spans="2:6" ht="12" customHeight="1" x14ac:dyDescent="0.15">
      <c r="B157" s="274"/>
      <c r="C157" s="273"/>
      <c r="D157" s="273"/>
      <c r="E157" s="273"/>
      <c r="F157" s="272"/>
    </row>
    <row r="158" spans="2:6" ht="12" customHeight="1" x14ac:dyDescent="0.15">
      <c r="B158" s="274"/>
      <c r="C158" s="273"/>
      <c r="D158" s="273"/>
      <c r="E158" s="273"/>
      <c r="F158" s="272"/>
    </row>
    <row r="159" spans="2:6" ht="12" customHeight="1" x14ac:dyDescent="0.15">
      <c r="B159" s="274"/>
      <c r="C159" s="273"/>
      <c r="D159" s="273"/>
      <c r="E159" s="273"/>
      <c r="F159" s="272"/>
    </row>
    <row r="160" spans="2:6" ht="12" customHeight="1" x14ac:dyDescent="0.15">
      <c r="B160" s="274"/>
      <c r="C160" s="273"/>
      <c r="D160" s="273"/>
      <c r="E160" s="273"/>
      <c r="F160" s="272"/>
    </row>
    <row r="161" spans="2:6" ht="12" customHeight="1" x14ac:dyDescent="0.15">
      <c r="B161" s="274"/>
      <c r="C161" s="273"/>
      <c r="D161" s="273"/>
      <c r="E161" s="273"/>
      <c r="F161" s="272"/>
    </row>
    <row r="162" spans="2:6" ht="12" customHeight="1" x14ac:dyDescent="0.15">
      <c r="B162" s="274"/>
      <c r="C162" s="273"/>
      <c r="D162" s="273"/>
      <c r="E162" s="273"/>
      <c r="F162" s="272"/>
    </row>
    <row r="163" spans="2:6" ht="12" customHeight="1" x14ac:dyDescent="0.15">
      <c r="B163" s="274"/>
      <c r="C163" s="273"/>
      <c r="D163" s="273"/>
      <c r="E163" s="273"/>
      <c r="F163" s="272"/>
    </row>
    <row r="164" spans="2:6" ht="12" customHeight="1" x14ac:dyDescent="0.15">
      <c r="B164" s="274"/>
      <c r="C164" s="273"/>
      <c r="D164" s="273"/>
      <c r="E164" s="273"/>
      <c r="F164" s="272"/>
    </row>
    <row r="165" spans="2:6" ht="12" customHeight="1" x14ac:dyDescent="0.15">
      <c r="B165" s="274"/>
      <c r="C165" s="273"/>
      <c r="D165" s="273"/>
      <c r="E165" s="273"/>
      <c r="F165" s="272"/>
    </row>
    <row r="166" spans="2:6" ht="12" customHeight="1" x14ac:dyDescent="0.15">
      <c r="B166" s="274"/>
      <c r="C166" s="273"/>
      <c r="D166" s="273"/>
      <c r="E166" s="273"/>
      <c r="F166" s="272"/>
    </row>
    <row r="167" spans="2:6" ht="12" customHeight="1" x14ac:dyDescent="0.15">
      <c r="B167" s="274"/>
      <c r="C167" s="273"/>
      <c r="D167" s="273"/>
      <c r="E167" s="273"/>
      <c r="F167" s="272"/>
    </row>
    <row r="168" spans="2:6" ht="12" customHeight="1" x14ac:dyDescent="0.15">
      <c r="B168" s="274"/>
      <c r="C168" s="273"/>
      <c r="D168" s="273"/>
      <c r="E168" s="273"/>
      <c r="F168" s="272"/>
    </row>
    <row r="169" spans="2:6" ht="12" customHeight="1" x14ac:dyDescent="0.15">
      <c r="B169" s="274"/>
      <c r="C169" s="273"/>
      <c r="D169" s="273"/>
      <c r="E169" s="273"/>
      <c r="F169" s="272"/>
    </row>
    <row r="170" spans="2:6" ht="12" customHeight="1" x14ac:dyDescent="0.15">
      <c r="B170" s="274"/>
      <c r="C170" s="273"/>
      <c r="D170" s="273"/>
      <c r="E170" s="273"/>
      <c r="F170" s="272"/>
    </row>
    <row r="171" spans="2:6" ht="12" customHeight="1" x14ac:dyDescent="0.15">
      <c r="B171" s="274"/>
      <c r="C171" s="273"/>
      <c r="D171" s="273"/>
      <c r="E171" s="273"/>
      <c r="F171" s="272"/>
    </row>
    <row r="172" spans="2:6" ht="12" customHeight="1" x14ac:dyDescent="0.15">
      <c r="B172" s="274"/>
      <c r="C172" s="273"/>
      <c r="D172" s="273"/>
      <c r="E172" s="273"/>
      <c r="F172" s="272"/>
    </row>
    <row r="173" spans="2:6" ht="12" customHeight="1" x14ac:dyDescent="0.15">
      <c r="B173" s="274"/>
      <c r="C173" s="273"/>
      <c r="D173" s="273"/>
      <c r="E173" s="273"/>
      <c r="F173" s="272"/>
    </row>
    <row r="174" spans="2:6" ht="12" customHeight="1" x14ac:dyDescent="0.15">
      <c r="B174" s="274"/>
      <c r="C174" s="273"/>
      <c r="D174" s="273"/>
      <c r="E174" s="273"/>
      <c r="F174" s="272"/>
    </row>
    <row r="175" spans="2:6" ht="12" customHeight="1" x14ac:dyDescent="0.15">
      <c r="B175" s="274"/>
      <c r="C175" s="273"/>
      <c r="D175" s="273"/>
      <c r="E175" s="273"/>
      <c r="F175" s="272"/>
    </row>
    <row r="176" spans="2:6" ht="12" customHeight="1" x14ac:dyDescent="0.15">
      <c r="B176" s="274"/>
      <c r="C176" s="273"/>
      <c r="D176" s="273"/>
      <c r="E176" s="273"/>
      <c r="F176" s="272"/>
    </row>
    <row r="177" spans="2:6" ht="12" customHeight="1" x14ac:dyDescent="0.15">
      <c r="B177" s="274"/>
      <c r="C177" s="273"/>
      <c r="D177" s="273"/>
      <c r="E177" s="273"/>
      <c r="F177" s="272"/>
    </row>
    <row r="178" spans="2:6" ht="12" customHeight="1" x14ac:dyDescent="0.15">
      <c r="B178" s="274"/>
      <c r="C178" s="273"/>
      <c r="D178" s="273"/>
      <c r="E178" s="273"/>
      <c r="F178" s="272"/>
    </row>
    <row r="179" spans="2:6" ht="12" customHeight="1" x14ac:dyDescent="0.15">
      <c r="B179" s="274"/>
      <c r="C179" s="273"/>
      <c r="D179" s="273"/>
      <c r="E179" s="273"/>
      <c r="F179" s="272"/>
    </row>
    <row r="180" spans="2:6" ht="12" customHeight="1" x14ac:dyDescent="0.15">
      <c r="B180" s="274"/>
      <c r="C180" s="273"/>
      <c r="D180" s="273"/>
      <c r="E180" s="273"/>
      <c r="F180" s="272"/>
    </row>
    <row r="181" spans="2:6" ht="12" customHeight="1" x14ac:dyDescent="0.15">
      <c r="B181" s="274"/>
      <c r="C181" s="273"/>
      <c r="D181" s="273"/>
      <c r="E181" s="273"/>
      <c r="F181" s="272"/>
    </row>
    <row r="182" spans="2:6" ht="12" customHeight="1" x14ac:dyDescent="0.15">
      <c r="B182" s="274"/>
      <c r="C182" s="273"/>
      <c r="D182" s="273"/>
      <c r="E182" s="273"/>
      <c r="F182" s="272"/>
    </row>
    <row r="183" spans="2:6" ht="12" customHeight="1" x14ac:dyDescent="0.15">
      <c r="B183" s="274"/>
      <c r="C183" s="273"/>
      <c r="D183" s="273"/>
      <c r="E183" s="273"/>
      <c r="F183" s="272"/>
    </row>
    <row r="184" spans="2:6" ht="12" customHeight="1" x14ac:dyDescent="0.15">
      <c r="B184" s="274"/>
      <c r="C184" s="273"/>
      <c r="D184" s="273"/>
      <c r="E184" s="273"/>
      <c r="F184" s="272"/>
    </row>
    <row r="185" spans="2:6" ht="12" customHeight="1" x14ac:dyDescent="0.15">
      <c r="B185" s="274"/>
      <c r="C185" s="273"/>
      <c r="D185" s="273"/>
      <c r="E185" s="273"/>
      <c r="F185" s="272"/>
    </row>
    <row r="186" spans="2:6" ht="12" customHeight="1" x14ac:dyDescent="0.15">
      <c r="B186" s="274"/>
      <c r="C186" s="273"/>
      <c r="D186" s="273"/>
      <c r="E186" s="273"/>
      <c r="F186" s="272"/>
    </row>
    <row r="187" spans="2:6" ht="12" customHeight="1" x14ac:dyDescent="0.15">
      <c r="B187" s="274"/>
      <c r="C187" s="273"/>
      <c r="D187" s="273"/>
      <c r="E187" s="273"/>
      <c r="F187" s="272"/>
    </row>
    <row r="188" spans="2:6" ht="12" customHeight="1" x14ac:dyDescent="0.15">
      <c r="B188" s="274"/>
      <c r="C188" s="273"/>
      <c r="D188" s="273"/>
      <c r="E188" s="273"/>
      <c r="F188" s="272"/>
    </row>
    <row r="189" spans="2:6" ht="12" customHeight="1" x14ac:dyDescent="0.15">
      <c r="B189" s="274"/>
      <c r="C189" s="273"/>
      <c r="D189" s="273"/>
      <c r="E189" s="273"/>
      <c r="F189" s="272"/>
    </row>
    <row r="190" spans="2:6" ht="12" customHeight="1" x14ac:dyDescent="0.15">
      <c r="B190" s="274"/>
      <c r="C190" s="273"/>
      <c r="D190" s="273"/>
      <c r="E190" s="273"/>
      <c r="F190" s="272"/>
    </row>
    <row r="191" spans="2:6" ht="12" customHeight="1" x14ac:dyDescent="0.15">
      <c r="B191" s="274"/>
      <c r="C191" s="273"/>
      <c r="D191" s="273"/>
      <c r="E191" s="273"/>
      <c r="F191" s="272"/>
    </row>
    <row r="192" spans="2:6" ht="12" customHeight="1" x14ac:dyDescent="0.15">
      <c r="B192" s="274"/>
      <c r="C192" s="273"/>
      <c r="D192" s="273"/>
      <c r="E192" s="273"/>
      <c r="F192" s="272"/>
    </row>
    <row r="193" spans="2:6" ht="12" customHeight="1" x14ac:dyDescent="0.15">
      <c r="B193" s="274"/>
      <c r="C193" s="273"/>
      <c r="D193" s="273"/>
      <c r="E193" s="273"/>
      <c r="F193" s="272"/>
    </row>
    <row r="194" spans="2:6" ht="12" customHeight="1" x14ac:dyDescent="0.15">
      <c r="B194" s="274"/>
      <c r="C194" s="273"/>
      <c r="D194" s="273"/>
      <c r="E194" s="273"/>
      <c r="F194" s="272"/>
    </row>
    <row r="195" spans="2:6" ht="12" customHeight="1" x14ac:dyDescent="0.15">
      <c r="B195" s="274"/>
      <c r="C195" s="273"/>
      <c r="D195" s="273"/>
      <c r="E195" s="273"/>
      <c r="F195" s="272"/>
    </row>
    <row r="196" spans="2:6" ht="12" customHeight="1" x14ac:dyDescent="0.15">
      <c r="B196" s="274"/>
      <c r="C196" s="273"/>
      <c r="D196" s="273"/>
      <c r="E196" s="273"/>
      <c r="F196" s="272"/>
    </row>
    <row r="197" spans="2:6" ht="12" customHeight="1" x14ac:dyDescent="0.15">
      <c r="B197" s="274"/>
      <c r="C197" s="273"/>
      <c r="D197" s="273"/>
      <c r="E197" s="273"/>
      <c r="F197" s="272"/>
    </row>
    <row r="198" spans="2:6" ht="12" customHeight="1" x14ac:dyDescent="0.15">
      <c r="B198" s="274"/>
      <c r="C198" s="273"/>
      <c r="D198" s="273"/>
      <c r="E198" s="273"/>
      <c r="F198" s="272"/>
    </row>
    <row r="199" spans="2:6" ht="12" customHeight="1" x14ac:dyDescent="0.15">
      <c r="B199" s="274"/>
      <c r="C199" s="273"/>
      <c r="D199" s="273"/>
      <c r="E199" s="273"/>
      <c r="F199" s="272"/>
    </row>
    <row r="200" spans="2:6" ht="12" customHeight="1" x14ac:dyDescent="0.15">
      <c r="B200" s="274"/>
      <c r="C200" s="273"/>
      <c r="D200" s="273"/>
      <c r="E200" s="273"/>
      <c r="F200" s="272"/>
    </row>
    <row r="201" spans="2:6" ht="12" customHeight="1" x14ac:dyDescent="0.15">
      <c r="B201" s="274"/>
      <c r="C201" s="273"/>
      <c r="D201" s="273"/>
      <c r="E201" s="273"/>
      <c r="F201" s="272"/>
    </row>
    <row r="202" spans="2:6" ht="12" customHeight="1" x14ac:dyDescent="0.15">
      <c r="B202" s="274"/>
      <c r="C202" s="273"/>
      <c r="D202" s="273"/>
      <c r="E202" s="273"/>
      <c r="F202" s="272"/>
    </row>
    <row r="203" spans="2:6" ht="12" customHeight="1" x14ac:dyDescent="0.15">
      <c r="B203" s="274"/>
      <c r="C203" s="273"/>
      <c r="D203" s="273"/>
      <c r="E203" s="273"/>
      <c r="F203" s="272"/>
    </row>
    <row r="204" spans="2:6" ht="12" customHeight="1" x14ac:dyDescent="0.15">
      <c r="B204" s="274"/>
      <c r="C204" s="273"/>
      <c r="D204" s="273"/>
      <c r="E204" s="273"/>
      <c r="F204" s="272"/>
    </row>
    <row r="205" spans="2:6" ht="12" customHeight="1" x14ac:dyDescent="0.15">
      <c r="B205" s="274"/>
      <c r="C205" s="273"/>
      <c r="D205" s="273"/>
      <c r="E205" s="273"/>
      <c r="F205" s="272"/>
    </row>
    <row r="206" spans="2:6" ht="12" customHeight="1" x14ac:dyDescent="0.15">
      <c r="B206" s="274"/>
      <c r="C206" s="273"/>
      <c r="D206" s="273"/>
      <c r="E206" s="273"/>
      <c r="F206" s="272"/>
    </row>
    <row r="207" spans="2:6" ht="12" customHeight="1" x14ac:dyDescent="0.15">
      <c r="B207" s="274"/>
      <c r="C207" s="273"/>
      <c r="D207" s="273"/>
      <c r="E207" s="273"/>
      <c r="F207" s="272"/>
    </row>
    <row r="208" spans="2:6" ht="12" customHeight="1" x14ac:dyDescent="0.15">
      <c r="B208" s="274"/>
      <c r="C208" s="273"/>
      <c r="D208" s="273"/>
      <c r="E208" s="273"/>
      <c r="F208" s="272"/>
    </row>
    <row r="209" spans="2:6" ht="12" customHeight="1" x14ac:dyDescent="0.15">
      <c r="B209" s="274"/>
      <c r="C209" s="273"/>
      <c r="D209" s="273"/>
      <c r="E209" s="273"/>
      <c r="F209" s="272"/>
    </row>
    <row r="210" spans="2:6" ht="12" customHeight="1" x14ac:dyDescent="0.15">
      <c r="B210" s="274"/>
      <c r="C210" s="273"/>
      <c r="D210" s="273"/>
      <c r="E210" s="273"/>
      <c r="F210" s="272"/>
    </row>
    <row r="211" spans="2:6" ht="12" customHeight="1" x14ac:dyDescent="0.15">
      <c r="B211" s="274"/>
      <c r="C211" s="273"/>
      <c r="D211" s="273"/>
      <c r="E211" s="273"/>
      <c r="F211" s="272"/>
    </row>
    <row r="212" spans="2:6" ht="12" customHeight="1" x14ac:dyDescent="0.15">
      <c r="B212" s="274"/>
      <c r="C212" s="273"/>
      <c r="D212" s="273"/>
      <c r="E212" s="273"/>
      <c r="F212" s="272"/>
    </row>
    <row r="213" spans="2:6" ht="12" customHeight="1" x14ac:dyDescent="0.15">
      <c r="B213" s="274"/>
      <c r="C213" s="273"/>
      <c r="D213" s="273"/>
      <c r="E213" s="273"/>
      <c r="F213" s="272"/>
    </row>
    <row r="214" spans="2:6" ht="12" customHeight="1" x14ac:dyDescent="0.15">
      <c r="B214" s="274"/>
      <c r="C214" s="273"/>
      <c r="D214" s="273"/>
      <c r="E214" s="273"/>
      <c r="F214" s="272"/>
    </row>
    <row r="215" spans="2:6" ht="12" customHeight="1" x14ac:dyDescent="0.15">
      <c r="B215" s="274"/>
      <c r="C215" s="273"/>
      <c r="D215" s="273"/>
      <c r="E215" s="273"/>
      <c r="F215" s="272"/>
    </row>
    <row r="216" spans="2:6" ht="12" customHeight="1" x14ac:dyDescent="0.15">
      <c r="B216" s="274"/>
      <c r="C216" s="273"/>
      <c r="D216" s="273"/>
      <c r="E216" s="273"/>
      <c r="F216" s="272"/>
    </row>
    <row r="217" spans="2:6" ht="12" customHeight="1" x14ac:dyDescent="0.15">
      <c r="B217" s="274"/>
      <c r="C217" s="273"/>
      <c r="D217" s="273"/>
      <c r="E217" s="273"/>
      <c r="F217" s="272"/>
    </row>
    <row r="218" spans="2:6" ht="12" customHeight="1" x14ac:dyDescent="0.15">
      <c r="B218" s="274"/>
      <c r="C218" s="273"/>
      <c r="D218" s="273"/>
      <c r="E218" s="273"/>
      <c r="F218" s="272"/>
    </row>
    <row r="219" spans="2:6" ht="12" customHeight="1" x14ac:dyDescent="0.15">
      <c r="B219" s="274"/>
      <c r="C219" s="273"/>
      <c r="D219" s="273"/>
      <c r="E219" s="273"/>
      <c r="F219" s="272"/>
    </row>
    <row r="220" spans="2:6" ht="12" customHeight="1" x14ac:dyDescent="0.15">
      <c r="B220" s="274"/>
      <c r="C220" s="273"/>
      <c r="D220" s="273"/>
      <c r="E220" s="273"/>
      <c r="F220" s="272"/>
    </row>
    <row r="221" spans="2:6" ht="12" customHeight="1" x14ac:dyDescent="0.15">
      <c r="B221" s="274"/>
      <c r="C221" s="273"/>
      <c r="D221" s="273"/>
      <c r="E221" s="273"/>
      <c r="F221" s="272"/>
    </row>
    <row r="222" spans="2:6" ht="12" customHeight="1" x14ac:dyDescent="0.15">
      <c r="B222" s="274"/>
      <c r="C222" s="273"/>
      <c r="D222" s="273"/>
      <c r="E222" s="273"/>
      <c r="F222" s="272"/>
    </row>
    <row r="223" spans="2:6" ht="12" customHeight="1" x14ac:dyDescent="0.15">
      <c r="B223" s="274"/>
      <c r="C223" s="273"/>
      <c r="D223" s="273"/>
      <c r="E223" s="273"/>
      <c r="F223" s="272"/>
    </row>
    <row r="224" spans="2:6" ht="12" customHeight="1" x14ac:dyDescent="0.15">
      <c r="B224" s="274"/>
      <c r="C224" s="273"/>
      <c r="D224" s="273"/>
      <c r="E224" s="273"/>
      <c r="F224" s="272"/>
    </row>
    <row r="225" spans="2:6" ht="12" customHeight="1" x14ac:dyDescent="0.15">
      <c r="B225" s="274"/>
      <c r="C225" s="273"/>
      <c r="D225" s="273"/>
      <c r="E225" s="273"/>
      <c r="F225" s="272"/>
    </row>
    <row r="226" spans="2:6" ht="12" customHeight="1" x14ac:dyDescent="0.15">
      <c r="B226" s="274"/>
      <c r="C226" s="273"/>
      <c r="D226" s="273"/>
      <c r="E226" s="273"/>
      <c r="F226" s="272"/>
    </row>
    <row r="227" spans="2:6" ht="12" customHeight="1" x14ac:dyDescent="0.15">
      <c r="B227" s="274"/>
      <c r="C227" s="273"/>
      <c r="D227" s="273"/>
      <c r="E227" s="273"/>
      <c r="F227" s="272"/>
    </row>
    <row r="228" spans="2:6" ht="12" customHeight="1" x14ac:dyDescent="0.15">
      <c r="B228" s="274"/>
      <c r="C228" s="273"/>
      <c r="D228" s="273"/>
      <c r="E228" s="273"/>
      <c r="F228" s="272"/>
    </row>
    <row r="229" spans="2:6" ht="12" customHeight="1" x14ac:dyDescent="0.15">
      <c r="B229" s="274"/>
      <c r="C229" s="273"/>
      <c r="D229" s="273"/>
      <c r="E229" s="273"/>
      <c r="F229" s="272"/>
    </row>
    <row r="230" spans="2:6" ht="12" customHeight="1" x14ac:dyDescent="0.15">
      <c r="B230" s="274"/>
      <c r="C230" s="273"/>
      <c r="D230" s="273"/>
      <c r="E230" s="273"/>
      <c r="F230" s="272"/>
    </row>
    <row r="231" spans="2:6" ht="12" customHeight="1" x14ac:dyDescent="0.15">
      <c r="B231" s="274"/>
      <c r="C231" s="273"/>
      <c r="D231" s="273"/>
      <c r="E231" s="273"/>
      <c r="F231" s="272"/>
    </row>
    <row r="232" spans="2:6" ht="12" customHeight="1" x14ac:dyDescent="0.15">
      <c r="B232" s="274"/>
      <c r="C232" s="273"/>
      <c r="D232" s="273"/>
      <c r="E232" s="273"/>
      <c r="F232" s="272"/>
    </row>
    <row r="233" spans="2:6" ht="12" customHeight="1" x14ac:dyDescent="0.15">
      <c r="B233" s="274"/>
      <c r="C233" s="273"/>
      <c r="D233" s="273"/>
      <c r="E233" s="273"/>
      <c r="F233" s="272"/>
    </row>
    <row r="234" spans="2:6" ht="12" customHeight="1" x14ac:dyDescent="0.15">
      <c r="B234" s="274"/>
      <c r="C234" s="273"/>
      <c r="D234" s="273"/>
      <c r="E234" s="273"/>
      <c r="F234" s="272"/>
    </row>
    <row r="235" spans="2:6" ht="12" customHeight="1" x14ac:dyDescent="0.15">
      <c r="B235" s="274"/>
      <c r="C235" s="273"/>
      <c r="D235" s="273"/>
      <c r="E235" s="273"/>
      <c r="F235" s="272"/>
    </row>
    <row r="236" spans="2:6" ht="12" customHeight="1" x14ac:dyDescent="0.15">
      <c r="B236" s="274"/>
      <c r="C236" s="273"/>
      <c r="D236" s="273"/>
      <c r="E236" s="273"/>
      <c r="F236" s="272"/>
    </row>
    <row r="237" spans="2:6" ht="12" customHeight="1" x14ac:dyDescent="0.15">
      <c r="B237" s="274"/>
      <c r="C237" s="273"/>
      <c r="D237" s="273"/>
      <c r="E237" s="273"/>
      <c r="F237" s="272"/>
    </row>
    <row r="238" spans="2:6" ht="12" customHeight="1" x14ac:dyDescent="0.15">
      <c r="B238" s="274"/>
      <c r="C238" s="273"/>
      <c r="D238" s="273"/>
      <c r="E238" s="273"/>
      <c r="F238" s="272"/>
    </row>
    <row r="239" spans="2:6" ht="12" customHeight="1" x14ac:dyDescent="0.15">
      <c r="B239" s="274"/>
      <c r="C239" s="273"/>
      <c r="D239" s="273"/>
      <c r="E239" s="273"/>
      <c r="F239" s="272"/>
    </row>
    <row r="240" spans="2:6" ht="12" customHeight="1" x14ac:dyDescent="0.15">
      <c r="B240" s="274"/>
      <c r="C240" s="273"/>
      <c r="D240" s="273"/>
      <c r="E240" s="273"/>
      <c r="F240" s="272"/>
    </row>
    <row r="241" spans="2:6" ht="12" customHeight="1" x14ac:dyDescent="0.15">
      <c r="B241" s="274"/>
      <c r="C241" s="273"/>
      <c r="D241" s="273"/>
      <c r="E241" s="273"/>
      <c r="F241" s="272"/>
    </row>
    <row r="242" spans="2:6" ht="12" customHeight="1" x14ac:dyDescent="0.15">
      <c r="B242" s="274"/>
      <c r="C242" s="273"/>
      <c r="D242" s="273"/>
      <c r="E242" s="273"/>
      <c r="F242" s="272"/>
    </row>
    <row r="243" spans="2:6" ht="12" customHeight="1" x14ac:dyDescent="0.15">
      <c r="B243" s="274"/>
      <c r="C243" s="273"/>
      <c r="D243" s="273"/>
      <c r="E243" s="273"/>
      <c r="F243" s="272"/>
    </row>
    <row r="244" spans="2:6" ht="12" customHeight="1" x14ac:dyDescent="0.15">
      <c r="B244" s="274"/>
      <c r="C244" s="273"/>
      <c r="D244" s="273"/>
      <c r="E244" s="273"/>
      <c r="F244" s="272"/>
    </row>
    <row r="245" spans="2:6" ht="12" customHeight="1" x14ac:dyDescent="0.15">
      <c r="B245" s="274"/>
      <c r="C245" s="273"/>
      <c r="D245" s="273"/>
      <c r="E245" s="273"/>
      <c r="F245" s="272"/>
    </row>
    <row r="246" spans="2:6" ht="12" customHeight="1" x14ac:dyDescent="0.15">
      <c r="B246" s="274"/>
      <c r="C246" s="273"/>
      <c r="D246" s="273"/>
      <c r="E246" s="273"/>
      <c r="F246" s="272"/>
    </row>
    <row r="247" spans="2:6" ht="12" customHeight="1" x14ac:dyDescent="0.15">
      <c r="B247" s="274"/>
      <c r="C247" s="273"/>
      <c r="D247" s="273"/>
      <c r="E247" s="273"/>
      <c r="F247" s="272"/>
    </row>
    <row r="248" spans="2:6" ht="12" customHeight="1" x14ac:dyDescent="0.15">
      <c r="B248" s="274"/>
      <c r="C248" s="273"/>
      <c r="D248" s="273"/>
      <c r="E248" s="273"/>
      <c r="F248" s="272"/>
    </row>
    <row r="249" spans="2:6" ht="12" customHeight="1" x14ac:dyDescent="0.15">
      <c r="B249" s="274"/>
      <c r="C249" s="273"/>
      <c r="D249" s="273"/>
      <c r="E249" s="273"/>
      <c r="F249" s="272"/>
    </row>
    <row r="250" spans="2:6" ht="12" customHeight="1" x14ac:dyDescent="0.15">
      <c r="B250" s="274"/>
      <c r="C250" s="273"/>
      <c r="D250" s="273"/>
      <c r="E250" s="273"/>
      <c r="F250" s="272"/>
    </row>
    <row r="251" spans="2:6" ht="12" customHeight="1" x14ac:dyDescent="0.15">
      <c r="B251" s="274"/>
      <c r="C251" s="273"/>
      <c r="D251" s="273"/>
      <c r="E251" s="273"/>
      <c r="F251" s="272"/>
    </row>
    <row r="252" spans="2:6" ht="12" customHeight="1" x14ac:dyDescent="0.15">
      <c r="B252" s="274"/>
      <c r="C252" s="273"/>
      <c r="D252" s="273"/>
      <c r="E252" s="273"/>
      <c r="F252" s="272"/>
    </row>
    <row r="253" spans="2:6" ht="12" customHeight="1" x14ac:dyDescent="0.15">
      <c r="B253" s="274"/>
      <c r="C253" s="273"/>
      <c r="D253" s="273"/>
      <c r="E253" s="273"/>
      <c r="F253" s="272"/>
    </row>
    <row r="254" spans="2:6" ht="12" customHeight="1" x14ac:dyDescent="0.15">
      <c r="B254" s="274"/>
      <c r="C254" s="273"/>
      <c r="D254" s="273"/>
      <c r="E254" s="273"/>
      <c r="F254" s="272"/>
    </row>
    <row r="255" spans="2:6" ht="12" customHeight="1" x14ac:dyDescent="0.15">
      <c r="B255" s="274"/>
      <c r="C255" s="273"/>
      <c r="D255" s="273"/>
      <c r="E255" s="273"/>
      <c r="F255" s="272"/>
    </row>
    <row r="256" spans="2:6" ht="12" customHeight="1" x14ac:dyDescent="0.15">
      <c r="B256" s="274"/>
      <c r="C256" s="273"/>
      <c r="D256" s="273"/>
      <c r="E256" s="273"/>
      <c r="F256" s="272"/>
    </row>
    <row r="257" spans="2:6" ht="12" customHeight="1" x14ac:dyDescent="0.15">
      <c r="B257" s="274"/>
      <c r="C257" s="273"/>
      <c r="D257" s="273"/>
      <c r="E257" s="273"/>
      <c r="F257" s="272"/>
    </row>
    <row r="258" spans="2:6" ht="12" customHeight="1" x14ac:dyDescent="0.15">
      <c r="B258" s="274"/>
      <c r="C258" s="273"/>
      <c r="D258" s="273"/>
      <c r="E258" s="273"/>
      <c r="F258" s="272"/>
    </row>
    <row r="259" spans="2:6" ht="12" customHeight="1" x14ac:dyDescent="0.15">
      <c r="B259" s="274"/>
      <c r="C259" s="273"/>
      <c r="D259" s="273"/>
      <c r="E259" s="273"/>
      <c r="F259" s="272"/>
    </row>
    <row r="260" spans="2:6" ht="12" customHeight="1" x14ac:dyDescent="0.15">
      <c r="B260" s="274"/>
      <c r="C260" s="273"/>
      <c r="D260" s="273"/>
      <c r="E260" s="273"/>
      <c r="F260" s="272"/>
    </row>
    <row r="261" spans="2:6" ht="12" customHeight="1" x14ac:dyDescent="0.15">
      <c r="B261" s="274"/>
      <c r="C261" s="273"/>
      <c r="D261" s="273"/>
      <c r="E261" s="273"/>
      <c r="F261" s="272"/>
    </row>
    <row r="262" spans="2:6" ht="12" customHeight="1" x14ac:dyDescent="0.15">
      <c r="B262" s="274"/>
      <c r="C262" s="273"/>
      <c r="D262" s="273"/>
      <c r="E262" s="273"/>
      <c r="F262" s="272"/>
    </row>
    <row r="263" spans="2:6" ht="12" customHeight="1" x14ac:dyDescent="0.15">
      <c r="B263" s="274"/>
      <c r="C263" s="273"/>
      <c r="D263" s="273"/>
      <c r="E263" s="273"/>
      <c r="F263" s="272"/>
    </row>
    <row r="264" spans="2:6" ht="12" customHeight="1" x14ac:dyDescent="0.15">
      <c r="B264" s="274"/>
      <c r="C264" s="273"/>
      <c r="D264" s="273"/>
      <c r="E264" s="273"/>
      <c r="F264" s="272"/>
    </row>
    <row r="265" spans="2:6" ht="12" customHeight="1" x14ac:dyDescent="0.15">
      <c r="B265" s="274"/>
      <c r="C265" s="273"/>
      <c r="D265" s="273"/>
      <c r="E265" s="273"/>
      <c r="F265" s="272"/>
    </row>
    <row r="266" spans="2:6" ht="12" customHeight="1" x14ac:dyDescent="0.15">
      <c r="B266" s="274"/>
      <c r="C266" s="273"/>
      <c r="D266" s="273"/>
      <c r="E266" s="273"/>
      <c r="F266" s="272"/>
    </row>
    <row r="267" spans="2:6" ht="12" customHeight="1" x14ac:dyDescent="0.15">
      <c r="B267" s="274"/>
      <c r="C267" s="273"/>
      <c r="D267" s="273"/>
      <c r="E267" s="273"/>
      <c r="F267" s="272"/>
    </row>
    <row r="268" spans="2:6" ht="12" customHeight="1" x14ac:dyDescent="0.15">
      <c r="B268" s="274"/>
      <c r="C268" s="273"/>
      <c r="D268" s="273"/>
      <c r="E268" s="273"/>
      <c r="F268" s="272"/>
    </row>
    <row r="269" spans="2:6" ht="12" customHeight="1" x14ac:dyDescent="0.15">
      <c r="B269" s="274"/>
      <c r="C269" s="273"/>
      <c r="D269" s="273"/>
      <c r="E269" s="273"/>
      <c r="F269" s="272"/>
    </row>
    <row r="270" spans="2:6" ht="12" customHeight="1" x14ac:dyDescent="0.15">
      <c r="B270" s="274"/>
      <c r="C270" s="273"/>
      <c r="D270" s="273"/>
      <c r="E270" s="273"/>
      <c r="F270" s="272"/>
    </row>
    <row r="271" spans="2:6" ht="12" customHeight="1" x14ac:dyDescent="0.15">
      <c r="B271" s="274"/>
      <c r="C271" s="273"/>
      <c r="D271" s="273"/>
      <c r="E271" s="273"/>
      <c r="F271" s="272"/>
    </row>
    <row r="272" spans="2:6" ht="12" customHeight="1" x14ac:dyDescent="0.15">
      <c r="B272" s="274"/>
      <c r="C272" s="273"/>
      <c r="D272" s="273"/>
      <c r="E272" s="273"/>
      <c r="F272" s="272"/>
    </row>
    <row r="273" spans="2:6" ht="12" customHeight="1" x14ac:dyDescent="0.15">
      <c r="B273" s="274"/>
      <c r="C273" s="273"/>
      <c r="D273" s="273"/>
      <c r="E273" s="273"/>
      <c r="F273" s="272"/>
    </row>
    <row r="274" spans="2:6" ht="12" customHeight="1" x14ac:dyDescent="0.15">
      <c r="B274" s="274"/>
      <c r="C274" s="273"/>
      <c r="D274" s="273"/>
      <c r="E274" s="273"/>
      <c r="F274" s="272"/>
    </row>
    <row r="275" spans="2:6" ht="12" customHeight="1" x14ac:dyDescent="0.15">
      <c r="B275" s="274"/>
      <c r="C275" s="273"/>
      <c r="D275" s="273"/>
      <c r="E275" s="273"/>
      <c r="F275" s="272"/>
    </row>
    <row r="276" spans="2:6" ht="12" customHeight="1" x14ac:dyDescent="0.15">
      <c r="B276" s="274"/>
      <c r="C276" s="273"/>
      <c r="D276" s="273"/>
      <c r="E276" s="273"/>
      <c r="F276" s="272"/>
    </row>
    <row r="277" spans="2:6" ht="12" customHeight="1" x14ac:dyDescent="0.15">
      <c r="B277" s="274"/>
      <c r="C277" s="273"/>
      <c r="D277" s="273"/>
      <c r="E277" s="273"/>
      <c r="F277" s="272"/>
    </row>
    <row r="278" spans="2:6" ht="12" customHeight="1" x14ac:dyDescent="0.15">
      <c r="B278" s="274"/>
      <c r="C278" s="273"/>
      <c r="D278" s="273"/>
      <c r="E278" s="273"/>
      <c r="F278" s="272"/>
    </row>
    <row r="279" spans="2:6" ht="12" customHeight="1" x14ac:dyDescent="0.15">
      <c r="B279" s="274"/>
      <c r="C279" s="273"/>
      <c r="D279" s="273"/>
      <c r="E279" s="273"/>
      <c r="F279" s="272"/>
    </row>
    <row r="280" spans="2:6" ht="12" customHeight="1" x14ac:dyDescent="0.15">
      <c r="B280" s="274"/>
      <c r="C280" s="273"/>
      <c r="D280" s="273"/>
      <c r="E280" s="273"/>
      <c r="F280" s="272"/>
    </row>
    <row r="281" spans="2:6" ht="12" customHeight="1" x14ac:dyDescent="0.15">
      <c r="B281" s="274"/>
      <c r="C281" s="273"/>
      <c r="D281" s="273"/>
      <c r="E281" s="273"/>
      <c r="F281" s="272"/>
    </row>
    <row r="282" spans="2:6" ht="12" customHeight="1" x14ac:dyDescent="0.15">
      <c r="B282" s="274"/>
      <c r="C282" s="273"/>
      <c r="D282" s="273"/>
      <c r="E282" s="273"/>
      <c r="F282" s="272"/>
    </row>
    <row r="283" spans="2:6" ht="12" customHeight="1" x14ac:dyDescent="0.15">
      <c r="B283" s="274"/>
      <c r="C283" s="273"/>
      <c r="D283" s="273"/>
      <c r="E283" s="273"/>
      <c r="F283" s="272"/>
    </row>
    <row r="284" spans="2:6" ht="12" customHeight="1" x14ac:dyDescent="0.15">
      <c r="B284" s="274"/>
      <c r="C284" s="273"/>
      <c r="D284" s="273"/>
      <c r="E284" s="273"/>
      <c r="F284" s="272"/>
    </row>
    <row r="285" spans="2:6" ht="12" customHeight="1" x14ac:dyDescent="0.15">
      <c r="B285" s="274"/>
      <c r="C285" s="273"/>
      <c r="D285" s="273"/>
      <c r="E285" s="273"/>
      <c r="F285" s="272"/>
    </row>
    <row r="286" spans="2:6" ht="12" customHeight="1" x14ac:dyDescent="0.15">
      <c r="B286" s="274"/>
      <c r="C286" s="273"/>
      <c r="D286" s="273"/>
      <c r="E286" s="273"/>
      <c r="F286" s="272"/>
    </row>
    <row r="287" spans="2:6" ht="12" customHeight="1" x14ac:dyDescent="0.15">
      <c r="B287" s="274"/>
      <c r="C287" s="273"/>
      <c r="D287" s="273"/>
      <c r="E287" s="273"/>
      <c r="F287" s="272"/>
    </row>
    <row r="288" spans="2:6" ht="12" customHeight="1" x14ac:dyDescent="0.15">
      <c r="B288" s="274"/>
      <c r="C288" s="273"/>
      <c r="D288" s="273"/>
      <c r="E288" s="273"/>
      <c r="F288" s="272"/>
    </row>
    <row r="289" spans="2:6" ht="12" customHeight="1" x14ac:dyDescent="0.15">
      <c r="B289" s="274"/>
      <c r="C289" s="273"/>
      <c r="D289" s="273"/>
      <c r="E289" s="273"/>
      <c r="F289" s="272"/>
    </row>
    <row r="290" spans="2:6" ht="12" customHeight="1" x14ac:dyDescent="0.15">
      <c r="B290" s="274"/>
      <c r="C290" s="273"/>
      <c r="D290" s="273"/>
      <c r="E290" s="273"/>
      <c r="F290" s="272"/>
    </row>
    <row r="291" spans="2:6" ht="12" customHeight="1" x14ac:dyDescent="0.15">
      <c r="B291" s="274"/>
      <c r="C291" s="273"/>
      <c r="D291" s="273"/>
      <c r="E291" s="273"/>
      <c r="F291" s="272"/>
    </row>
    <row r="292" spans="2:6" ht="12" customHeight="1" x14ac:dyDescent="0.15">
      <c r="B292" s="274"/>
      <c r="C292" s="273"/>
      <c r="D292" s="273"/>
      <c r="E292" s="273"/>
      <c r="F292" s="272"/>
    </row>
    <row r="293" spans="2:6" ht="12" customHeight="1" x14ac:dyDescent="0.15">
      <c r="B293" s="274"/>
      <c r="C293" s="273"/>
      <c r="D293" s="273"/>
      <c r="E293" s="273"/>
      <c r="F293" s="272"/>
    </row>
    <row r="294" spans="2:6" ht="12" customHeight="1" x14ac:dyDescent="0.15">
      <c r="B294" s="274"/>
      <c r="C294" s="273"/>
      <c r="D294" s="273"/>
      <c r="E294" s="273"/>
      <c r="F294" s="272"/>
    </row>
    <row r="295" spans="2:6" ht="12" customHeight="1" x14ac:dyDescent="0.15">
      <c r="B295" s="274"/>
      <c r="C295" s="273"/>
      <c r="D295" s="273"/>
      <c r="E295" s="273"/>
      <c r="F295" s="272"/>
    </row>
    <row r="296" spans="2:6" ht="12" customHeight="1" x14ac:dyDescent="0.15">
      <c r="B296" s="274"/>
      <c r="C296" s="273"/>
      <c r="D296" s="273"/>
      <c r="E296" s="273"/>
      <c r="F296" s="272"/>
    </row>
    <row r="297" spans="2:6" ht="12" customHeight="1" x14ac:dyDescent="0.15">
      <c r="B297" s="274"/>
      <c r="C297" s="273"/>
      <c r="D297" s="273"/>
      <c r="E297" s="273"/>
      <c r="F297" s="272"/>
    </row>
    <row r="298" spans="2:6" ht="12" customHeight="1" x14ac:dyDescent="0.15">
      <c r="B298" s="274"/>
      <c r="C298" s="273"/>
      <c r="D298" s="273"/>
      <c r="E298" s="273"/>
      <c r="F298" s="272"/>
    </row>
    <row r="299" spans="2:6" ht="12" customHeight="1" x14ac:dyDescent="0.15">
      <c r="B299" s="274"/>
      <c r="C299" s="273"/>
      <c r="D299" s="273"/>
      <c r="E299" s="273"/>
      <c r="F299" s="272"/>
    </row>
    <row r="300" spans="2:6" ht="12" customHeight="1" x14ac:dyDescent="0.15">
      <c r="B300" s="274"/>
      <c r="C300" s="273"/>
      <c r="D300" s="273"/>
      <c r="E300" s="273"/>
      <c r="F300" s="272"/>
    </row>
    <row r="301" spans="2:6" ht="12" customHeight="1" x14ac:dyDescent="0.15">
      <c r="B301" s="274"/>
      <c r="C301" s="273"/>
      <c r="D301" s="273"/>
      <c r="E301" s="273"/>
      <c r="F301" s="272"/>
    </row>
    <row r="302" spans="2:6" ht="12" customHeight="1" x14ac:dyDescent="0.15">
      <c r="B302" s="274"/>
      <c r="C302" s="273"/>
      <c r="D302" s="273"/>
      <c r="E302" s="273"/>
      <c r="F302" s="272"/>
    </row>
    <row r="303" spans="2:6" ht="12" customHeight="1" x14ac:dyDescent="0.15">
      <c r="B303" s="274"/>
      <c r="C303" s="273"/>
      <c r="D303" s="273"/>
      <c r="E303" s="273"/>
      <c r="F303" s="272"/>
    </row>
    <row r="304" spans="2:6" ht="12" customHeight="1" x14ac:dyDescent="0.15">
      <c r="B304" s="274"/>
      <c r="C304" s="273"/>
      <c r="D304" s="273"/>
      <c r="E304" s="273"/>
      <c r="F304" s="272"/>
    </row>
    <row r="305" spans="2:6" ht="12" customHeight="1" x14ac:dyDescent="0.15">
      <c r="B305" s="274"/>
      <c r="C305" s="273"/>
      <c r="D305" s="273"/>
      <c r="E305" s="273"/>
      <c r="F305" s="272"/>
    </row>
    <row r="306" spans="2:6" ht="12" customHeight="1" x14ac:dyDescent="0.15">
      <c r="B306" s="274"/>
      <c r="C306" s="273"/>
      <c r="D306" s="273"/>
      <c r="E306" s="273"/>
      <c r="F306" s="272"/>
    </row>
    <row r="307" spans="2:6" ht="12" customHeight="1" x14ac:dyDescent="0.15">
      <c r="B307" s="274"/>
      <c r="C307" s="273"/>
      <c r="D307" s="273"/>
      <c r="E307" s="273"/>
      <c r="F307" s="272"/>
    </row>
    <row r="308" spans="2:6" ht="12" customHeight="1" x14ac:dyDescent="0.15">
      <c r="B308" s="274"/>
      <c r="C308" s="273"/>
      <c r="D308" s="273"/>
      <c r="E308" s="273"/>
      <c r="F308" s="272"/>
    </row>
    <row r="309" spans="2:6" ht="12" customHeight="1" x14ac:dyDescent="0.15">
      <c r="B309" s="274"/>
      <c r="C309" s="273"/>
      <c r="D309" s="273"/>
      <c r="E309" s="273"/>
      <c r="F309" s="272"/>
    </row>
    <row r="310" spans="2:6" ht="12" customHeight="1" x14ac:dyDescent="0.15">
      <c r="B310" s="274"/>
      <c r="C310" s="273"/>
      <c r="D310" s="273"/>
      <c r="E310" s="273"/>
      <c r="F310" s="272"/>
    </row>
    <row r="311" spans="2:6" ht="12" customHeight="1" x14ac:dyDescent="0.15">
      <c r="B311" s="274"/>
      <c r="C311" s="273"/>
      <c r="D311" s="273"/>
      <c r="E311" s="273"/>
      <c r="F311" s="272"/>
    </row>
    <row r="312" spans="2:6" ht="12" customHeight="1" x14ac:dyDescent="0.15">
      <c r="B312" s="274"/>
      <c r="C312" s="273"/>
      <c r="D312" s="273"/>
      <c r="E312" s="273"/>
      <c r="F312" s="272"/>
    </row>
    <row r="313" spans="2:6" ht="12" customHeight="1" x14ac:dyDescent="0.15">
      <c r="B313" s="274"/>
      <c r="C313" s="273"/>
      <c r="D313" s="273"/>
      <c r="E313" s="273"/>
      <c r="F313" s="272"/>
    </row>
    <row r="314" spans="2:6" ht="12" customHeight="1" x14ac:dyDescent="0.15">
      <c r="B314" s="274"/>
      <c r="C314" s="273"/>
      <c r="D314" s="273"/>
      <c r="E314" s="273"/>
      <c r="F314" s="272"/>
    </row>
    <row r="315" spans="2:6" ht="12" customHeight="1" x14ac:dyDescent="0.15">
      <c r="B315" s="274"/>
      <c r="C315" s="273"/>
      <c r="D315" s="273"/>
      <c r="E315" s="273"/>
      <c r="F315" s="272"/>
    </row>
    <row r="316" spans="2:6" ht="12" customHeight="1" x14ac:dyDescent="0.15">
      <c r="B316" s="274"/>
      <c r="C316" s="273"/>
      <c r="D316" s="273"/>
      <c r="E316" s="273"/>
      <c r="F316" s="272"/>
    </row>
    <row r="317" spans="2:6" ht="12" customHeight="1" x14ac:dyDescent="0.15">
      <c r="B317" s="274"/>
      <c r="C317" s="273"/>
      <c r="D317" s="273"/>
      <c r="E317" s="273"/>
      <c r="F317" s="272"/>
    </row>
    <row r="318" spans="2:6" ht="12" customHeight="1" x14ac:dyDescent="0.15">
      <c r="B318" s="274"/>
      <c r="C318" s="273"/>
      <c r="D318" s="273"/>
      <c r="E318" s="273"/>
      <c r="F318" s="272"/>
    </row>
    <row r="319" spans="2:6" ht="12" customHeight="1" x14ac:dyDescent="0.15">
      <c r="B319" s="274"/>
      <c r="C319" s="273"/>
      <c r="D319" s="273"/>
      <c r="E319" s="273"/>
      <c r="F319" s="272"/>
    </row>
    <row r="320" spans="2:6" ht="12" customHeight="1" x14ac:dyDescent="0.15">
      <c r="B320" s="274"/>
      <c r="C320" s="273"/>
      <c r="D320" s="273"/>
      <c r="E320" s="273"/>
      <c r="F320" s="272"/>
    </row>
    <row r="321" spans="2:6" ht="12" customHeight="1" x14ac:dyDescent="0.15">
      <c r="B321" s="274"/>
      <c r="C321" s="273"/>
      <c r="D321" s="273"/>
      <c r="E321" s="273"/>
      <c r="F321" s="272"/>
    </row>
    <row r="322" spans="2:6" ht="12" customHeight="1" x14ac:dyDescent="0.15">
      <c r="B322" s="274"/>
      <c r="C322" s="273"/>
      <c r="D322" s="273"/>
      <c r="E322" s="273"/>
      <c r="F322" s="272"/>
    </row>
    <row r="323" spans="2:6" ht="12" customHeight="1" x14ac:dyDescent="0.15">
      <c r="B323" s="274"/>
      <c r="C323" s="273"/>
      <c r="D323" s="273"/>
      <c r="E323" s="273"/>
      <c r="F323" s="272"/>
    </row>
    <row r="324" spans="2:6" ht="12" customHeight="1" x14ac:dyDescent="0.15">
      <c r="B324" s="274"/>
      <c r="C324" s="273"/>
      <c r="D324" s="273"/>
      <c r="E324" s="273"/>
      <c r="F324" s="272"/>
    </row>
    <row r="325" spans="2:6" ht="12" customHeight="1" x14ac:dyDescent="0.15">
      <c r="B325" s="274"/>
      <c r="C325" s="273"/>
      <c r="D325" s="273"/>
      <c r="E325" s="273"/>
      <c r="F325" s="272"/>
    </row>
    <row r="326" spans="2:6" ht="12" customHeight="1" x14ac:dyDescent="0.15">
      <c r="B326" s="274"/>
      <c r="C326" s="273"/>
      <c r="D326" s="273"/>
      <c r="E326" s="273"/>
      <c r="F326" s="272"/>
    </row>
    <row r="327" spans="2:6" ht="12" customHeight="1" x14ac:dyDescent="0.15">
      <c r="B327" s="274"/>
      <c r="C327" s="273"/>
      <c r="D327" s="273"/>
      <c r="E327" s="273"/>
      <c r="F327" s="272"/>
    </row>
    <row r="328" spans="2:6" ht="12" customHeight="1" x14ac:dyDescent="0.15">
      <c r="B328" s="274"/>
      <c r="C328" s="273"/>
      <c r="D328" s="273"/>
      <c r="E328" s="273"/>
      <c r="F328" s="272"/>
    </row>
    <row r="329" spans="2:6" ht="12" customHeight="1" x14ac:dyDescent="0.15">
      <c r="B329" s="274"/>
      <c r="C329" s="273"/>
      <c r="D329" s="273"/>
      <c r="E329" s="273"/>
      <c r="F329" s="272"/>
    </row>
    <row r="330" spans="2:6" ht="12" customHeight="1" x14ac:dyDescent="0.15">
      <c r="B330" s="274"/>
      <c r="C330" s="273"/>
      <c r="D330" s="273"/>
      <c r="E330" s="273"/>
      <c r="F330" s="272"/>
    </row>
    <row r="331" spans="2:6" ht="12" customHeight="1" x14ac:dyDescent="0.15">
      <c r="B331" s="274"/>
      <c r="C331" s="273"/>
      <c r="D331" s="273"/>
      <c r="E331" s="273"/>
      <c r="F331" s="272"/>
    </row>
    <row r="332" spans="2:6" ht="12" customHeight="1" x14ac:dyDescent="0.15">
      <c r="B332" s="274"/>
      <c r="C332" s="273"/>
      <c r="D332" s="273"/>
      <c r="E332" s="273"/>
      <c r="F332" s="272"/>
    </row>
    <row r="333" spans="2:6" ht="12" customHeight="1" x14ac:dyDescent="0.15">
      <c r="B333" s="274"/>
      <c r="C333" s="273"/>
      <c r="D333" s="273"/>
      <c r="E333" s="273"/>
      <c r="F333" s="272"/>
    </row>
    <row r="334" spans="2:6" ht="12" customHeight="1" x14ac:dyDescent="0.15">
      <c r="B334" s="274"/>
      <c r="C334" s="273"/>
      <c r="D334" s="273"/>
      <c r="E334" s="273"/>
      <c r="F334" s="272"/>
    </row>
    <row r="335" spans="2:6" ht="12" customHeight="1" x14ac:dyDescent="0.15">
      <c r="B335" s="274"/>
      <c r="C335" s="273"/>
      <c r="D335" s="273"/>
      <c r="E335" s="273"/>
      <c r="F335" s="272"/>
    </row>
    <row r="336" spans="2:6" ht="12" customHeight="1" x14ac:dyDescent="0.15">
      <c r="B336" s="274"/>
      <c r="C336" s="273"/>
      <c r="D336" s="273"/>
      <c r="E336" s="273"/>
      <c r="F336" s="272"/>
    </row>
    <row r="337" spans="2:6" ht="12" customHeight="1" x14ac:dyDescent="0.15">
      <c r="B337" s="274"/>
      <c r="C337" s="273"/>
      <c r="D337" s="273"/>
      <c r="E337" s="273"/>
      <c r="F337" s="272"/>
    </row>
    <row r="338" spans="2:6" ht="12" customHeight="1" x14ac:dyDescent="0.15">
      <c r="B338" s="274"/>
      <c r="C338" s="273"/>
      <c r="D338" s="273"/>
      <c r="E338" s="273"/>
      <c r="F338" s="272"/>
    </row>
    <row r="339" spans="2:6" ht="12" customHeight="1" x14ac:dyDescent="0.15">
      <c r="B339" s="274"/>
      <c r="C339" s="273"/>
      <c r="D339" s="273"/>
      <c r="E339" s="273"/>
      <c r="F339" s="272"/>
    </row>
    <row r="340" spans="2:6" ht="12" customHeight="1" x14ac:dyDescent="0.15">
      <c r="B340" s="274"/>
      <c r="C340" s="273"/>
      <c r="D340" s="273"/>
      <c r="E340" s="273"/>
      <c r="F340" s="272"/>
    </row>
    <row r="341" spans="2:6" ht="12" customHeight="1" x14ac:dyDescent="0.15">
      <c r="B341" s="274"/>
      <c r="C341" s="273"/>
      <c r="D341" s="273"/>
      <c r="E341" s="273"/>
      <c r="F341" s="272"/>
    </row>
    <row r="342" spans="2:6" ht="12" customHeight="1" x14ac:dyDescent="0.15">
      <c r="B342" s="274"/>
      <c r="C342" s="273"/>
      <c r="D342" s="273"/>
      <c r="E342" s="273"/>
      <c r="F342" s="272"/>
    </row>
    <row r="343" spans="2:6" ht="12" customHeight="1" x14ac:dyDescent="0.15">
      <c r="B343" s="274"/>
      <c r="C343" s="273"/>
      <c r="D343" s="273"/>
      <c r="E343" s="273"/>
      <c r="F343" s="272"/>
    </row>
    <row r="344" spans="2:6" ht="12" customHeight="1" x14ac:dyDescent="0.15">
      <c r="B344" s="274"/>
      <c r="C344" s="273"/>
      <c r="D344" s="273"/>
      <c r="E344" s="273"/>
      <c r="F344" s="272"/>
    </row>
    <row r="345" spans="2:6" ht="12" customHeight="1" x14ac:dyDescent="0.15">
      <c r="B345" s="274"/>
      <c r="C345" s="273"/>
      <c r="D345" s="273"/>
      <c r="E345" s="273"/>
      <c r="F345" s="272"/>
    </row>
    <row r="346" spans="2:6" ht="12" customHeight="1" x14ac:dyDescent="0.15">
      <c r="B346" s="274"/>
      <c r="C346" s="273"/>
      <c r="D346" s="273"/>
      <c r="E346" s="273"/>
      <c r="F346" s="272"/>
    </row>
    <row r="347" spans="2:6" ht="12" customHeight="1" x14ac:dyDescent="0.15">
      <c r="B347" s="274"/>
      <c r="C347" s="273"/>
      <c r="D347" s="273"/>
      <c r="E347" s="273"/>
      <c r="F347" s="272"/>
    </row>
    <row r="348" spans="2:6" ht="12" customHeight="1" x14ac:dyDescent="0.15">
      <c r="B348" s="274"/>
      <c r="C348" s="273"/>
      <c r="D348" s="273"/>
      <c r="E348" s="273"/>
      <c r="F348" s="272"/>
    </row>
    <row r="349" spans="2:6" ht="12" customHeight="1" x14ac:dyDescent="0.15">
      <c r="B349" s="274"/>
      <c r="C349" s="273"/>
      <c r="D349" s="273"/>
      <c r="E349" s="273"/>
      <c r="F349" s="272"/>
    </row>
    <row r="350" spans="2:6" ht="12" customHeight="1" x14ac:dyDescent="0.15">
      <c r="B350" s="274"/>
      <c r="C350" s="273"/>
      <c r="D350" s="273"/>
      <c r="E350" s="273"/>
      <c r="F350" s="272"/>
    </row>
    <row r="351" spans="2:6" ht="12" customHeight="1" x14ac:dyDescent="0.15">
      <c r="B351" s="274"/>
      <c r="C351" s="273"/>
      <c r="D351" s="273"/>
      <c r="E351" s="273"/>
      <c r="F351" s="272"/>
    </row>
    <row r="352" spans="2:6" ht="12" customHeight="1" x14ac:dyDescent="0.15">
      <c r="B352" s="274"/>
      <c r="C352" s="273"/>
      <c r="D352" s="273"/>
      <c r="E352" s="273"/>
      <c r="F352" s="272"/>
    </row>
    <row r="353" spans="2:6" ht="12" customHeight="1" x14ac:dyDescent="0.15">
      <c r="B353" s="274"/>
      <c r="C353" s="273"/>
      <c r="D353" s="273"/>
      <c r="E353" s="273"/>
      <c r="F353" s="272"/>
    </row>
    <row r="354" spans="2:6" ht="12" customHeight="1" x14ac:dyDescent="0.15">
      <c r="B354" s="274"/>
      <c r="C354" s="273"/>
      <c r="D354" s="273"/>
      <c r="E354" s="273"/>
      <c r="F354" s="272"/>
    </row>
    <row r="355" spans="2:6" ht="12" customHeight="1" x14ac:dyDescent="0.15">
      <c r="B355" s="274"/>
      <c r="C355" s="273"/>
      <c r="D355" s="273"/>
      <c r="E355" s="273"/>
      <c r="F355" s="272"/>
    </row>
    <row r="356" spans="2:6" ht="12" customHeight="1" x14ac:dyDescent="0.15">
      <c r="B356" s="274"/>
      <c r="C356" s="273"/>
      <c r="D356" s="273"/>
      <c r="E356" s="273"/>
      <c r="F356" s="272"/>
    </row>
    <row r="357" spans="2:6" ht="12" customHeight="1" x14ac:dyDescent="0.15">
      <c r="B357" s="274"/>
      <c r="C357" s="273"/>
      <c r="D357" s="273"/>
      <c r="E357" s="273"/>
      <c r="F357" s="272"/>
    </row>
    <row r="358" spans="2:6" ht="12" customHeight="1" x14ac:dyDescent="0.15">
      <c r="B358" s="274"/>
      <c r="C358" s="273"/>
      <c r="D358" s="273"/>
      <c r="E358" s="273"/>
      <c r="F358" s="272"/>
    </row>
    <row r="359" spans="2:6" ht="12" customHeight="1" x14ac:dyDescent="0.15">
      <c r="B359" s="274"/>
      <c r="C359" s="273"/>
      <c r="D359" s="273"/>
      <c r="E359" s="273"/>
      <c r="F359" s="272"/>
    </row>
    <row r="360" spans="2:6" ht="12" customHeight="1" x14ac:dyDescent="0.15">
      <c r="B360" s="274"/>
      <c r="C360" s="273"/>
      <c r="D360" s="273"/>
      <c r="E360" s="273"/>
      <c r="F360" s="272"/>
    </row>
    <row r="361" spans="2:6" ht="12" customHeight="1" x14ac:dyDescent="0.15">
      <c r="B361" s="274"/>
      <c r="C361" s="273"/>
      <c r="D361" s="273"/>
      <c r="E361" s="273"/>
      <c r="F361" s="272"/>
    </row>
    <row r="362" spans="2:6" ht="12" customHeight="1" x14ac:dyDescent="0.15">
      <c r="B362" s="274"/>
      <c r="C362" s="273"/>
      <c r="D362" s="273"/>
      <c r="E362" s="273"/>
      <c r="F362" s="272"/>
    </row>
    <row r="363" spans="2:6" ht="12" customHeight="1" x14ac:dyDescent="0.15">
      <c r="B363" s="274"/>
      <c r="C363" s="273"/>
      <c r="D363" s="273"/>
      <c r="E363" s="273"/>
      <c r="F363" s="272"/>
    </row>
    <row r="364" spans="2:6" ht="12" customHeight="1" x14ac:dyDescent="0.15">
      <c r="B364" s="274"/>
      <c r="C364" s="273"/>
      <c r="D364" s="273"/>
      <c r="E364" s="273"/>
      <c r="F364" s="272"/>
    </row>
    <row r="365" spans="2:6" ht="12" customHeight="1" x14ac:dyDescent="0.15">
      <c r="B365" s="274"/>
      <c r="C365" s="273"/>
      <c r="D365" s="273"/>
      <c r="E365" s="273"/>
      <c r="F365" s="272"/>
    </row>
    <row r="366" spans="2:6" ht="12" customHeight="1" x14ac:dyDescent="0.15">
      <c r="B366" s="274"/>
      <c r="C366" s="273"/>
      <c r="D366" s="273"/>
      <c r="E366" s="273"/>
      <c r="F366" s="272"/>
    </row>
    <row r="367" spans="2:6" ht="12" customHeight="1" x14ac:dyDescent="0.15">
      <c r="B367" s="274"/>
      <c r="C367" s="273"/>
      <c r="D367" s="273"/>
      <c r="E367" s="273"/>
      <c r="F367" s="272"/>
    </row>
    <row r="368" spans="2:6" ht="12" customHeight="1" x14ac:dyDescent="0.15">
      <c r="B368" s="274"/>
      <c r="C368" s="273"/>
      <c r="D368" s="273"/>
      <c r="E368" s="273"/>
      <c r="F368" s="272"/>
    </row>
    <row r="369" spans="2:6" ht="12" customHeight="1" x14ac:dyDescent="0.15">
      <c r="B369" s="274"/>
      <c r="C369" s="273"/>
      <c r="D369" s="273"/>
      <c r="E369" s="273"/>
      <c r="F369" s="272"/>
    </row>
    <row r="370" spans="2:6" ht="12" customHeight="1" x14ac:dyDescent="0.15">
      <c r="B370" s="274"/>
      <c r="C370" s="273"/>
      <c r="D370" s="273"/>
      <c r="E370" s="273"/>
      <c r="F370" s="272"/>
    </row>
    <row r="371" spans="2:6" ht="12" customHeight="1" x14ac:dyDescent="0.15">
      <c r="B371" s="274"/>
      <c r="C371" s="273"/>
      <c r="D371" s="273"/>
      <c r="E371" s="273"/>
      <c r="F371" s="272"/>
    </row>
    <row r="372" spans="2:6" ht="12" customHeight="1" x14ac:dyDescent="0.15">
      <c r="B372" s="274"/>
      <c r="C372" s="273"/>
      <c r="D372" s="273"/>
      <c r="E372" s="273"/>
      <c r="F372" s="272"/>
    </row>
    <row r="373" spans="2:6" ht="12" customHeight="1" x14ac:dyDescent="0.15">
      <c r="B373" s="274"/>
      <c r="C373" s="273"/>
      <c r="D373" s="273"/>
      <c r="E373" s="273"/>
      <c r="F373" s="272"/>
    </row>
    <row r="374" spans="2:6" ht="12" customHeight="1" x14ac:dyDescent="0.15">
      <c r="B374" s="274"/>
      <c r="C374" s="273"/>
      <c r="D374" s="273"/>
      <c r="E374" s="273"/>
      <c r="F374" s="272"/>
    </row>
    <row r="375" spans="2:6" ht="12" customHeight="1" x14ac:dyDescent="0.15">
      <c r="B375" s="274"/>
      <c r="C375" s="273"/>
      <c r="D375" s="273"/>
      <c r="E375" s="273"/>
      <c r="F375" s="272"/>
    </row>
    <row r="376" spans="2:6" ht="12" customHeight="1" x14ac:dyDescent="0.15">
      <c r="B376" s="274"/>
      <c r="C376" s="273"/>
      <c r="D376" s="273"/>
      <c r="E376" s="273"/>
      <c r="F376" s="272"/>
    </row>
    <row r="377" spans="2:6" ht="12" customHeight="1" x14ac:dyDescent="0.15">
      <c r="B377" s="274"/>
      <c r="C377" s="273"/>
      <c r="D377" s="273"/>
      <c r="E377" s="273"/>
      <c r="F377" s="272"/>
    </row>
    <row r="378" spans="2:6" ht="12" customHeight="1" x14ac:dyDescent="0.15">
      <c r="B378" s="274"/>
      <c r="C378" s="273"/>
      <c r="D378" s="273"/>
      <c r="E378" s="273"/>
      <c r="F378" s="272"/>
    </row>
    <row r="379" spans="2:6" ht="12" customHeight="1" x14ac:dyDescent="0.15">
      <c r="B379" s="274"/>
      <c r="C379" s="273"/>
      <c r="D379" s="273"/>
      <c r="E379" s="273"/>
      <c r="F379" s="272"/>
    </row>
    <row r="380" spans="2:6" ht="12" customHeight="1" x14ac:dyDescent="0.15">
      <c r="B380" s="274"/>
      <c r="C380" s="273"/>
      <c r="D380" s="273"/>
      <c r="E380" s="273"/>
      <c r="F380" s="272"/>
    </row>
    <row r="381" spans="2:6" ht="12" customHeight="1" x14ac:dyDescent="0.15">
      <c r="B381" s="274"/>
      <c r="C381" s="273"/>
      <c r="D381" s="273"/>
      <c r="E381" s="273"/>
      <c r="F381" s="272"/>
    </row>
    <row r="382" spans="2:6" ht="12" customHeight="1" x14ac:dyDescent="0.15">
      <c r="B382" s="274"/>
      <c r="C382" s="273"/>
      <c r="D382" s="273"/>
      <c r="E382" s="273"/>
      <c r="F382" s="272"/>
    </row>
    <row r="383" spans="2:6" ht="12" customHeight="1" x14ac:dyDescent="0.15">
      <c r="B383" s="274"/>
      <c r="C383" s="273"/>
      <c r="D383" s="273"/>
      <c r="E383" s="273"/>
      <c r="F383" s="272"/>
    </row>
    <row r="384" spans="2:6" ht="12" customHeight="1" x14ac:dyDescent="0.15">
      <c r="B384" s="274"/>
      <c r="C384" s="273"/>
      <c r="D384" s="273"/>
      <c r="E384" s="273"/>
      <c r="F384" s="272"/>
    </row>
    <row r="385" spans="2:6" ht="12" customHeight="1" x14ac:dyDescent="0.15">
      <c r="B385" s="274"/>
      <c r="C385" s="273"/>
      <c r="D385" s="273"/>
      <c r="E385" s="273"/>
      <c r="F385" s="272"/>
    </row>
    <row r="386" spans="2:6" ht="12" customHeight="1" x14ac:dyDescent="0.15">
      <c r="B386" s="274"/>
      <c r="C386" s="273"/>
      <c r="D386" s="273"/>
      <c r="E386" s="273"/>
      <c r="F386" s="272"/>
    </row>
    <row r="387" spans="2:6" ht="12" customHeight="1" x14ac:dyDescent="0.15">
      <c r="B387" s="274"/>
      <c r="C387" s="273"/>
      <c r="D387" s="273"/>
      <c r="E387" s="273"/>
      <c r="F387" s="272"/>
    </row>
    <row r="388" spans="2:6" ht="12" customHeight="1" x14ac:dyDescent="0.15">
      <c r="B388" s="274"/>
      <c r="C388" s="273"/>
      <c r="D388" s="273"/>
      <c r="E388" s="273"/>
      <c r="F388" s="272"/>
    </row>
    <row r="389" spans="2:6" ht="12" customHeight="1" x14ac:dyDescent="0.15">
      <c r="B389" s="274"/>
      <c r="C389" s="273"/>
      <c r="D389" s="273"/>
      <c r="E389" s="273"/>
      <c r="F389" s="272"/>
    </row>
    <row r="390" spans="2:6" ht="12" customHeight="1" x14ac:dyDescent="0.15">
      <c r="B390" s="274"/>
      <c r="C390" s="273"/>
      <c r="D390" s="273"/>
      <c r="E390" s="273"/>
      <c r="F390" s="272"/>
    </row>
    <row r="391" spans="2:6" ht="12" customHeight="1" x14ac:dyDescent="0.15">
      <c r="B391" s="274"/>
      <c r="C391" s="273"/>
      <c r="D391" s="273"/>
      <c r="E391" s="273"/>
      <c r="F391" s="272"/>
    </row>
    <row r="392" spans="2:6" ht="12" customHeight="1" x14ac:dyDescent="0.15">
      <c r="B392" s="274"/>
      <c r="C392" s="273"/>
      <c r="D392" s="273"/>
      <c r="E392" s="273"/>
      <c r="F392" s="272"/>
    </row>
    <row r="393" spans="2:6" ht="12" customHeight="1" x14ac:dyDescent="0.15">
      <c r="B393" s="274"/>
      <c r="C393" s="273"/>
      <c r="D393" s="273"/>
      <c r="E393" s="273"/>
      <c r="F393" s="272"/>
    </row>
    <row r="394" spans="2:6" ht="12" customHeight="1" x14ac:dyDescent="0.15">
      <c r="B394" s="274"/>
      <c r="C394" s="273"/>
      <c r="D394" s="273"/>
      <c r="E394" s="273"/>
      <c r="F394" s="272"/>
    </row>
    <row r="395" spans="2:6" ht="12" customHeight="1" x14ac:dyDescent="0.15">
      <c r="B395" s="274"/>
      <c r="C395" s="273"/>
      <c r="D395" s="273"/>
      <c r="E395" s="273"/>
      <c r="F395" s="272"/>
    </row>
    <row r="396" spans="2:6" ht="12" customHeight="1" x14ac:dyDescent="0.15">
      <c r="B396" s="274"/>
      <c r="C396" s="273"/>
      <c r="D396" s="273"/>
      <c r="E396" s="273"/>
      <c r="F396" s="272"/>
    </row>
    <row r="397" spans="2:6" ht="12" customHeight="1" x14ac:dyDescent="0.15">
      <c r="B397" s="274"/>
      <c r="C397" s="273"/>
      <c r="D397" s="273"/>
      <c r="E397" s="273"/>
      <c r="F397" s="272"/>
    </row>
    <row r="398" spans="2:6" ht="12" customHeight="1" x14ac:dyDescent="0.15">
      <c r="B398" s="274"/>
      <c r="C398" s="273"/>
      <c r="D398" s="273"/>
      <c r="E398" s="273"/>
      <c r="F398" s="272"/>
    </row>
    <row r="399" spans="2:6" ht="12" customHeight="1" x14ac:dyDescent="0.15">
      <c r="B399" s="274"/>
      <c r="C399" s="273"/>
      <c r="D399" s="273"/>
      <c r="E399" s="273"/>
      <c r="F399" s="272"/>
    </row>
    <row r="400" spans="2:6" ht="12" customHeight="1" x14ac:dyDescent="0.15">
      <c r="B400" s="274"/>
      <c r="C400" s="273"/>
      <c r="D400" s="273"/>
      <c r="E400" s="273"/>
      <c r="F400" s="272"/>
    </row>
    <row r="401" spans="2:6" ht="12" customHeight="1" x14ac:dyDescent="0.15">
      <c r="B401" s="274"/>
      <c r="C401" s="273"/>
      <c r="D401" s="273"/>
      <c r="E401" s="273"/>
      <c r="F401" s="272"/>
    </row>
    <row r="402" spans="2:6" ht="12" customHeight="1" x14ac:dyDescent="0.15">
      <c r="B402" s="274"/>
      <c r="C402" s="273"/>
      <c r="D402" s="273"/>
      <c r="E402" s="273"/>
      <c r="F402" s="272"/>
    </row>
    <row r="403" spans="2:6" ht="12" customHeight="1" x14ac:dyDescent="0.15">
      <c r="B403" s="274"/>
      <c r="C403" s="273"/>
      <c r="D403" s="273"/>
      <c r="E403" s="273"/>
      <c r="F403" s="272"/>
    </row>
    <row r="404" spans="2:6" ht="12" customHeight="1" x14ac:dyDescent="0.15">
      <c r="B404" s="274"/>
      <c r="C404" s="273"/>
      <c r="D404" s="273"/>
      <c r="E404" s="273"/>
      <c r="F404" s="272"/>
    </row>
    <row r="405" spans="2:6" ht="12" customHeight="1" x14ac:dyDescent="0.15">
      <c r="B405" s="274"/>
      <c r="C405" s="273"/>
      <c r="D405" s="273"/>
      <c r="E405" s="273"/>
      <c r="F405" s="272"/>
    </row>
    <row r="406" spans="2:6" ht="12" customHeight="1" x14ac:dyDescent="0.15">
      <c r="B406" s="274"/>
      <c r="C406" s="273"/>
      <c r="D406" s="273"/>
      <c r="E406" s="273"/>
      <c r="F406" s="272"/>
    </row>
    <row r="407" spans="2:6" ht="12" customHeight="1" x14ac:dyDescent="0.15">
      <c r="B407" s="274"/>
      <c r="C407" s="273"/>
      <c r="D407" s="273"/>
      <c r="E407" s="273"/>
      <c r="F407" s="272"/>
    </row>
    <row r="408" spans="2:6" ht="12" customHeight="1" x14ac:dyDescent="0.15">
      <c r="B408" s="274"/>
      <c r="C408" s="273"/>
      <c r="D408" s="273"/>
      <c r="E408" s="273"/>
      <c r="F408" s="272"/>
    </row>
    <row r="409" spans="2:6" ht="12" customHeight="1" x14ac:dyDescent="0.15">
      <c r="B409" s="274"/>
      <c r="C409" s="273"/>
      <c r="D409" s="273"/>
      <c r="E409" s="273"/>
      <c r="F409" s="272"/>
    </row>
    <row r="410" spans="2:6" ht="12" customHeight="1" x14ac:dyDescent="0.15">
      <c r="B410" s="274"/>
      <c r="C410" s="273"/>
      <c r="D410" s="273"/>
      <c r="E410" s="273"/>
      <c r="F410" s="272"/>
    </row>
    <row r="411" spans="2:6" ht="12" customHeight="1" x14ac:dyDescent="0.15">
      <c r="B411" s="274"/>
      <c r="C411" s="273"/>
      <c r="D411" s="273"/>
      <c r="E411" s="273"/>
      <c r="F411" s="272"/>
    </row>
    <row r="412" spans="2:6" ht="12" customHeight="1" x14ac:dyDescent="0.15">
      <c r="B412" s="274"/>
      <c r="C412" s="273"/>
      <c r="D412" s="273"/>
      <c r="E412" s="273"/>
      <c r="F412" s="272"/>
    </row>
    <row r="413" spans="2:6" ht="12" customHeight="1" x14ac:dyDescent="0.15">
      <c r="B413" s="274"/>
      <c r="C413" s="273"/>
      <c r="D413" s="273"/>
      <c r="E413" s="273"/>
      <c r="F413" s="272"/>
    </row>
    <row r="414" spans="2:6" ht="12" customHeight="1" x14ac:dyDescent="0.15">
      <c r="B414" s="274"/>
      <c r="C414" s="273"/>
      <c r="D414" s="273"/>
      <c r="E414" s="273"/>
      <c r="F414" s="272"/>
    </row>
    <row r="415" spans="2:6" ht="12" customHeight="1" x14ac:dyDescent="0.15">
      <c r="B415" s="274"/>
      <c r="C415" s="273"/>
      <c r="D415" s="273"/>
      <c r="E415" s="273"/>
      <c r="F415" s="272"/>
    </row>
    <row r="416" spans="2:6" ht="12" customHeight="1" x14ac:dyDescent="0.15">
      <c r="B416" s="274"/>
      <c r="C416" s="273"/>
      <c r="D416" s="273"/>
      <c r="E416" s="273"/>
      <c r="F416" s="272"/>
    </row>
    <row r="417" spans="2:6" ht="12" customHeight="1" x14ac:dyDescent="0.15">
      <c r="B417" s="274"/>
      <c r="C417" s="273"/>
      <c r="D417" s="273"/>
      <c r="E417" s="273"/>
      <c r="F417" s="272"/>
    </row>
    <row r="418" spans="2:6" ht="12" customHeight="1" x14ac:dyDescent="0.15">
      <c r="B418" s="274"/>
      <c r="C418" s="273"/>
      <c r="D418" s="273"/>
      <c r="E418" s="273"/>
      <c r="F418" s="272"/>
    </row>
    <row r="419" spans="2:6" ht="12" customHeight="1" x14ac:dyDescent="0.15">
      <c r="B419" s="274"/>
      <c r="C419" s="273"/>
      <c r="D419" s="273"/>
      <c r="E419" s="273"/>
      <c r="F419" s="272"/>
    </row>
    <row r="420" spans="2:6" ht="12" customHeight="1" x14ac:dyDescent="0.15">
      <c r="B420" s="274"/>
      <c r="C420" s="273"/>
      <c r="D420" s="273"/>
      <c r="E420" s="273"/>
      <c r="F420" s="272"/>
    </row>
    <row r="421" spans="2:6" ht="12" customHeight="1" x14ac:dyDescent="0.15">
      <c r="B421" s="274"/>
      <c r="C421" s="273"/>
      <c r="D421" s="273"/>
      <c r="E421" s="273"/>
      <c r="F421" s="272"/>
    </row>
    <row r="422" spans="2:6" ht="12" customHeight="1" x14ac:dyDescent="0.15">
      <c r="B422" s="274"/>
      <c r="C422" s="273"/>
      <c r="D422" s="273"/>
      <c r="E422" s="273"/>
      <c r="F422" s="272"/>
    </row>
    <row r="423" spans="2:6" ht="12" customHeight="1" x14ac:dyDescent="0.15">
      <c r="B423" s="274"/>
      <c r="C423" s="273"/>
      <c r="D423" s="273"/>
      <c r="E423" s="273"/>
      <c r="F423" s="272"/>
    </row>
    <row r="424" spans="2:6" ht="12" customHeight="1" x14ac:dyDescent="0.15">
      <c r="B424" s="274"/>
      <c r="C424" s="273"/>
      <c r="D424" s="273"/>
      <c r="E424" s="273"/>
      <c r="F424" s="272"/>
    </row>
    <row r="425" spans="2:6" ht="12" customHeight="1" x14ac:dyDescent="0.15">
      <c r="B425" s="274"/>
      <c r="C425" s="273"/>
      <c r="D425" s="273"/>
      <c r="E425" s="273"/>
      <c r="F425" s="272"/>
    </row>
    <row r="426" spans="2:6" ht="12" customHeight="1" x14ac:dyDescent="0.15">
      <c r="B426" s="274"/>
      <c r="C426" s="273"/>
      <c r="D426" s="273"/>
      <c r="E426" s="273"/>
      <c r="F426" s="272"/>
    </row>
    <row r="427" spans="2:6" ht="12" customHeight="1" x14ac:dyDescent="0.15">
      <c r="B427" s="274"/>
      <c r="C427" s="273"/>
      <c r="D427" s="273"/>
      <c r="E427" s="273"/>
      <c r="F427" s="272"/>
    </row>
    <row r="428" spans="2:6" ht="12" customHeight="1" x14ac:dyDescent="0.15">
      <c r="B428" s="274"/>
      <c r="C428" s="273"/>
      <c r="D428" s="273"/>
      <c r="E428" s="273"/>
      <c r="F428" s="272"/>
    </row>
    <row r="429" spans="2:6" ht="12" customHeight="1" x14ac:dyDescent="0.15">
      <c r="B429" s="274"/>
      <c r="C429" s="273"/>
      <c r="D429" s="273"/>
      <c r="E429" s="273"/>
      <c r="F429" s="272"/>
    </row>
    <row r="430" spans="2:6" ht="12" customHeight="1" x14ac:dyDescent="0.15">
      <c r="B430" s="274"/>
      <c r="C430" s="273"/>
      <c r="D430" s="273"/>
      <c r="E430" s="273"/>
      <c r="F430" s="272"/>
    </row>
    <row r="431" spans="2:6" ht="12" customHeight="1" x14ac:dyDescent="0.15">
      <c r="B431" s="274"/>
      <c r="C431" s="273"/>
      <c r="D431" s="273"/>
      <c r="E431" s="273"/>
      <c r="F431" s="272"/>
    </row>
    <row r="432" spans="2:6" ht="12" customHeight="1" x14ac:dyDescent="0.15">
      <c r="B432" s="274"/>
      <c r="C432" s="273"/>
      <c r="D432" s="273"/>
      <c r="E432" s="273"/>
      <c r="F432" s="272"/>
    </row>
    <row r="433" spans="2:6" ht="12" customHeight="1" x14ac:dyDescent="0.15">
      <c r="B433" s="274"/>
      <c r="C433" s="273"/>
      <c r="D433" s="273"/>
      <c r="E433" s="273"/>
      <c r="F433" s="272"/>
    </row>
    <row r="434" spans="2:6" ht="12" customHeight="1" x14ac:dyDescent="0.15">
      <c r="B434" s="274"/>
      <c r="C434" s="273"/>
      <c r="D434" s="273"/>
      <c r="E434" s="273"/>
      <c r="F434" s="272"/>
    </row>
    <row r="435" spans="2:6" ht="12" customHeight="1" x14ac:dyDescent="0.15">
      <c r="B435" s="274"/>
      <c r="C435" s="273"/>
      <c r="D435" s="273"/>
      <c r="E435" s="273"/>
      <c r="F435" s="272"/>
    </row>
    <row r="436" spans="2:6" ht="12" customHeight="1" x14ac:dyDescent="0.15">
      <c r="B436" s="274"/>
      <c r="C436" s="273"/>
      <c r="D436" s="273"/>
      <c r="E436" s="273"/>
      <c r="F436" s="272"/>
    </row>
    <row r="437" spans="2:6" ht="12" customHeight="1" x14ac:dyDescent="0.15">
      <c r="B437" s="274"/>
      <c r="C437" s="273"/>
      <c r="D437" s="273"/>
      <c r="E437" s="273"/>
      <c r="F437" s="272"/>
    </row>
    <row r="438" spans="2:6" ht="12" customHeight="1" x14ac:dyDescent="0.15">
      <c r="B438" s="274"/>
      <c r="C438" s="273"/>
      <c r="D438" s="273"/>
      <c r="E438" s="273"/>
      <c r="F438" s="272"/>
    </row>
    <row r="439" spans="2:6" ht="12" customHeight="1" x14ac:dyDescent="0.15">
      <c r="B439" s="274"/>
      <c r="C439" s="273"/>
      <c r="D439" s="273"/>
      <c r="E439" s="273"/>
      <c r="F439" s="272"/>
    </row>
    <row r="440" spans="2:6" ht="12" customHeight="1" x14ac:dyDescent="0.15">
      <c r="B440" s="274"/>
      <c r="C440" s="273"/>
      <c r="D440" s="273"/>
      <c r="E440" s="273"/>
      <c r="F440" s="272"/>
    </row>
    <row r="441" spans="2:6" ht="12" customHeight="1" x14ac:dyDescent="0.15">
      <c r="B441" s="274"/>
      <c r="C441" s="273"/>
      <c r="D441" s="273"/>
      <c r="E441" s="273"/>
      <c r="F441" s="272"/>
    </row>
    <row r="442" spans="2:6" ht="12" customHeight="1" x14ac:dyDescent="0.15">
      <c r="B442" s="274"/>
      <c r="C442" s="273"/>
      <c r="D442" s="273"/>
      <c r="E442" s="273"/>
      <c r="F442" s="272"/>
    </row>
    <row r="443" spans="2:6" ht="12" customHeight="1" x14ac:dyDescent="0.15">
      <c r="B443" s="274"/>
      <c r="C443" s="273"/>
      <c r="D443" s="273"/>
      <c r="E443" s="273"/>
      <c r="F443" s="272"/>
    </row>
    <row r="444" spans="2:6" ht="12" customHeight="1" x14ac:dyDescent="0.15">
      <c r="B444" s="274"/>
      <c r="C444" s="273"/>
      <c r="D444" s="273"/>
      <c r="E444" s="273"/>
      <c r="F444" s="272"/>
    </row>
    <row r="445" spans="2:6" ht="12" customHeight="1" x14ac:dyDescent="0.15">
      <c r="B445" s="274"/>
      <c r="C445" s="273"/>
      <c r="D445" s="273"/>
      <c r="E445" s="273"/>
      <c r="F445" s="272"/>
    </row>
    <row r="446" spans="2:6" ht="12" customHeight="1" x14ac:dyDescent="0.15">
      <c r="B446" s="274"/>
      <c r="C446" s="273"/>
      <c r="D446" s="273"/>
      <c r="E446" s="273"/>
      <c r="F446" s="272"/>
    </row>
    <row r="447" spans="2:6" ht="12" customHeight="1" x14ac:dyDescent="0.15">
      <c r="B447" s="274"/>
      <c r="C447" s="273"/>
      <c r="D447" s="273"/>
      <c r="E447" s="273"/>
      <c r="F447" s="272"/>
    </row>
    <row r="448" spans="2:6" ht="12" customHeight="1" x14ac:dyDescent="0.15">
      <c r="B448" s="274"/>
      <c r="C448" s="273"/>
      <c r="D448" s="273"/>
      <c r="E448" s="273"/>
      <c r="F448" s="272"/>
    </row>
    <row r="449" spans="2:6" ht="12" customHeight="1" x14ac:dyDescent="0.15">
      <c r="B449" s="274"/>
      <c r="C449" s="273"/>
      <c r="D449" s="273"/>
      <c r="E449" s="273"/>
      <c r="F449" s="272"/>
    </row>
    <row r="450" spans="2:6" ht="12" customHeight="1" x14ac:dyDescent="0.15">
      <c r="B450" s="274"/>
      <c r="C450" s="273"/>
      <c r="D450" s="273"/>
      <c r="E450" s="273"/>
      <c r="F450" s="272"/>
    </row>
    <row r="451" spans="2:6" ht="12" customHeight="1" x14ac:dyDescent="0.15">
      <c r="B451" s="274"/>
      <c r="C451" s="273"/>
      <c r="D451" s="273"/>
      <c r="E451" s="273"/>
      <c r="F451" s="272"/>
    </row>
    <row r="452" spans="2:6" ht="12" customHeight="1" x14ac:dyDescent="0.15">
      <c r="B452" s="274"/>
      <c r="C452" s="273"/>
      <c r="D452" s="273"/>
      <c r="E452" s="273"/>
      <c r="F452" s="272"/>
    </row>
    <row r="453" spans="2:6" ht="12" customHeight="1" x14ac:dyDescent="0.15">
      <c r="B453" s="274"/>
      <c r="C453" s="273"/>
      <c r="D453" s="273"/>
      <c r="E453" s="273"/>
      <c r="F453" s="272"/>
    </row>
    <row r="454" spans="2:6" ht="12" customHeight="1" x14ac:dyDescent="0.15">
      <c r="B454" s="274"/>
      <c r="C454" s="273"/>
      <c r="D454" s="273"/>
      <c r="E454" s="273"/>
      <c r="F454" s="272"/>
    </row>
    <row r="455" spans="2:6" ht="12" customHeight="1" x14ac:dyDescent="0.15">
      <c r="B455" s="274"/>
      <c r="C455" s="273"/>
      <c r="D455" s="273"/>
      <c r="E455" s="273"/>
      <c r="F455" s="272"/>
    </row>
    <row r="456" spans="2:6" ht="12" customHeight="1" x14ac:dyDescent="0.15">
      <c r="B456" s="274"/>
      <c r="C456" s="273"/>
      <c r="D456" s="273"/>
      <c r="E456" s="273"/>
      <c r="F456" s="272"/>
    </row>
    <row r="457" spans="2:6" ht="12" customHeight="1" x14ac:dyDescent="0.15">
      <c r="B457" s="274"/>
      <c r="C457" s="273"/>
      <c r="D457" s="273"/>
      <c r="E457" s="273"/>
      <c r="F457" s="272"/>
    </row>
    <row r="458" spans="2:6" ht="12" customHeight="1" x14ac:dyDescent="0.15">
      <c r="B458" s="274"/>
      <c r="C458" s="273"/>
      <c r="D458" s="273"/>
      <c r="E458" s="273"/>
      <c r="F458" s="272"/>
    </row>
    <row r="459" spans="2:6" ht="12" customHeight="1" x14ac:dyDescent="0.15">
      <c r="B459" s="274"/>
      <c r="C459" s="273"/>
      <c r="D459" s="273"/>
      <c r="E459" s="273"/>
      <c r="F459" s="272"/>
    </row>
    <row r="460" spans="2:6" ht="12" customHeight="1" x14ac:dyDescent="0.15">
      <c r="B460" s="274"/>
      <c r="C460" s="273"/>
      <c r="D460" s="273"/>
      <c r="E460" s="273"/>
      <c r="F460" s="272"/>
    </row>
    <row r="461" spans="2:6" ht="12" customHeight="1" x14ac:dyDescent="0.15">
      <c r="B461" s="274"/>
      <c r="C461" s="273"/>
      <c r="D461" s="273"/>
      <c r="E461" s="273"/>
      <c r="F461" s="272"/>
    </row>
    <row r="462" spans="2:6" ht="12" customHeight="1" x14ac:dyDescent="0.15">
      <c r="B462" s="274"/>
      <c r="C462" s="273"/>
      <c r="D462" s="273"/>
      <c r="E462" s="273"/>
      <c r="F462" s="272"/>
    </row>
    <row r="463" spans="2:6" ht="12" customHeight="1" x14ac:dyDescent="0.15">
      <c r="B463" s="274"/>
      <c r="C463" s="273"/>
      <c r="D463" s="273"/>
      <c r="E463" s="273"/>
      <c r="F463" s="272"/>
    </row>
    <row r="464" spans="2:6" ht="12" customHeight="1" x14ac:dyDescent="0.15">
      <c r="B464" s="274"/>
      <c r="C464" s="273"/>
      <c r="D464" s="273"/>
      <c r="E464" s="273"/>
      <c r="F464" s="272"/>
    </row>
    <row r="465" spans="2:6" ht="12" customHeight="1" x14ac:dyDescent="0.15">
      <c r="B465" s="274"/>
      <c r="C465" s="273"/>
      <c r="D465" s="273"/>
      <c r="E465" s="273"/>
      <c r="F465" s="272"/>
    </row>
    <row r="466" spans="2:6" ht="12" customHeight="1" x14ac:dyDescent="0.15">
      <c r="B466" s="274"/>
      <c r="C466" s="273"/>
      <c r="D466" s="273"/>
      <c r="E466" s="273"/>
      <c r="F466" s="272"/>
    </row>
    <row r="467" spans="2:6" ht="12" customHeight="1" x14ac:dyDescent="0.15">
      <c r="B467" s="274"/>
      <c r="C467" s="273"/>
      <c r="D467" s="273"/>
      <c r="E467" s="273"/>
      <c r="F467" s="272"/>
    </row>
    <row r="468" spans="2:6" ht="12" customHeight="1" x14ac:dyDescent="0.15">
      <c r="B468" s="274"/>
      <c r="C468" s="273"/>
      <c r="D468" s="273"/>
      <c r="E468" s="273"/>
      <c r="F468" s="272"/>
    </row>
    <row r="469" spans="2:6" ht="12" customHeight="1" x14ac:dyDescent="0.15">
      <c r="B469" s="274"/>
      <c r="C469" s="273"/>
      <c r="D469" s="273"/>
      <c r="E469" s="273"/>
      <c r="F469" s="272"/>
    </row>
    <row r="470" spans="2:6" ht="12" customHeight="1" x14ac:dyDescent="0.15">
      <c r="B470" s="274"/>
      <c r="C470" s="273"/>
      <c r="D470" s="273"/>
      <c r="E470" s="273"/>
      <c r="F470" s="272"/>
    </row>
    <row r="471" spans="2:6" ht="12" customHeight="1" x14ac:dyDescent="0.15">
      <c r="B471" s="274"/>
      <c r="C471" s="273"/>
      <c r="D471" s="273"/>
      <c r="E471" s="273"/>
      <c r="F471" s="272"/>
    </row>
    <row r="472" spans="2:6" ht="12" customHeight="1" x14ac:dyDescent="0.15">
      <c r="B472" s="274"/>
      <c r="C472" s="273"/>
      <c r="D472" s="273"/>
      <c r="E472" s="273"/>
      <c r="F472" s="272"/>
    </row>
    <row r="473" spans="2:6" ht="12" customHeight="1" x14ac:dyDescent="0.15">
      <c r="B473" s="274"/>
      <c r="C473" s="273"/>
      <c r="D473" s="273"/>
      <c r="E473" s="273"/>
      <c r="F473" s="272"/>
    </row>
    <row r="474" spans="2:6" ht="12" customHeight="1" x14ac:dyDescent="0.15">
      <c r="B474" s="274"/>
      <c r="C474" s="273"/>
      <c r="D474" s="273"/>
      <c r="E474" s="273"/>
      <c r="F474" s="272"/>
    </row>
    <row r="475" spans="2:6" ht="12" customHeight="1" x14ac:dyDescent="0.15">
      <c r="B475" s="274"/>
      <c r="C475" s="273"/>
      <c r="D475" s="273"/>
      <c r="E475" s="273"/>
      <c r="F475" s="272"/>
    </row>
    <row r="476" spans="2:6" ht="12" customHeight="1" x14ac:dyDescent="0.15">
      <c r="B476" s="274"/>
      <c r="C476" s="273"/>
      <c r="D476" s="273"/>
      <c r="E476" s="273"/>
      <c r="F476" s="272"/>
    </row>
    <row r="477" spans="2:6" ht="12" customHeight="1" x14ac:dyDescent="0.15">
      <c r="B477" s="274"/>
      <c r="C477" s="273"/>
      <c r="D477" s="273"/>
      <c r="E477" s="273"/>
      <c r="F477" s="272"/>
    </row>
    <row r="478" spans="2:6" ht="12" customHeight="1" x14ac:dyDescent="0.15">
      <c r="B478" s="274"/>
      <c r="C478" s="273"/>
      <c r="D478" s="273"/>
      <c r="E478" s="273"/>
      <c r="F478" s="272"/>
    </row>
    <row r="479" spans="2:6" ht="12" customHeight="1" x14ac:dyDescent="0.15">
      <c r="B479" s="274"/>
      <c r="C479" s="273"/>
      <c r="D479" s="273"/>
      <c r="E479" s="273"/>
      <c r="F479" s="272"/>
    </row>
    <row r="480" spans="2:6" ht="12" customHeight="1" x14ac:dyDescent="0.15">
      <c r="B480" s="274"/>
      <c r="C480" s="273"/>
      <c r="D480" s="273"/>
      <c r="E480" s="273"/>
      <c r="F480" s="272"/>
    </row>
    <row r="481" spans="2:6" ht="12" customHeight="1" x14ac:dyDescent="0.15">
      <c r="B481" s="274"/>
      <c r="C481" s="273"/>
      <c r="D481" s="273"/>
      <c r="E481" s="273"/>
      <c r="F481" s="272"/>
    </row>
    <row r="482" spans="2:6" ht="12" customHeight="1" x14ac:dyDescent="0.15">
      <c r="B482" s="274"/>
      <c r="C482" s="273"/>
      <c r="D482" s="273"/>
      <c r="E482" s="273"/>
      <c r="F482" s="272"/>
    </row>
    <row r="483" spans="2:6" ht="12" customHeight="1" x14ac:dyDescent="0.15">
      <c r="B483" s="274"/>
      <c r="C483" s="273"/>
      <c r="D483" s="273"/>
      <c r="E483" s="273"/>
      <c r="F483" s="272"/>
    </row>
    <row r="484" spans="2:6" ht="12" customHeight="1" x14ac:dyDescent="0.15">
      <c r="B484" s="274"/>
      <c r="C484" s="273"/>
      <c r="D484" s="273"/>
      <c r="E484" s="273"/>
      <c r="F484" s="272"/>
    </row>
    <row r="485" spans="2:6" ht="12" customHeight="1" x14ac:dyDescent="0.15">
      <c r="B485" s="274"/>
      <c r="C485" s="273"/>
      <c r="D485" s="273"/>
      <c r="E485" s="273"/>
      <c r="F485" s="272"/>
    </row>
    <row r="486" spans="2:6" ht="12" customHeight="1" x14ac:dyDescent="0.15">
      <c r="B486" s="274"/>
      <c r="C486" s="273"/>
      <c r="D486" s="273"/>
      <c r="E486" s="273"/>
      <c r="F486" s="272"/>
    </row>
    <row r="487" spans="2:6" ht="12" customHeight="1" x14ac:dyDescent="0.15">
      <c r="B487" s="274"/>
      <c r="C487" s="273"/>
      <c r="D487" s="273"/>
      <c r="E487" s="273"/>
      <c r="F487" s="272"/>
    </row>
    <row r="488" spans="2:6" ht="12" customHeight="1" x14ac:dyDescent="0.15">
      <c r="B488" s="274"/>
      <c r="C488" s="273"/>
      <c r="D488" s="273"/>
      <c r="E488" s="273"/>
      <c r="F488" s="272"/>
    </row>
    <row r="489" spans="2:6" ht="12" customHeight="1" x14ac:dyDescent="0.15">
      <c r="B489" s="274"/>
      <c r="C489" s="273"/>
      <c r="D489" s="273"/>
      <c r="E489" s="273"/>
      <c r="F489" s="272"/>
    </row>
    <row r="490" spans="2:6" ht="12" customHeight="1" x14ac:dyDescent="0.15">
      <c r="B490" s="274"/>
      <c r="C490" s="273"/>
      <c r="D490" s="273"/>
      <c r="E490" s="273"/>
      <c r="F490" s="272"/>
    </row>
    <row r="491" spans="2:6" ht="12" customHeight="1" x14ac:dyDescent="0.15">
      <c r="B491" s="274"/>
      <c r="C491" s="273"/>
      <c r="D491" s="273"/>
      <c r="E491" s="273"/>
      <c r="F491" s="272"/>
    </row>
    <row r="492" spans="2:6" ht="12" customHeight="1" x14ac:dyDescent="0.15">
      <c r="B492" s="274"/>
      <c r="C492" s="273"/>
      <c r="D492" s="273"/>
      <c r="E492" s="273"/>
      <c r="F492" s="272"/>
    </row>
    <row r="493" spans="2:6" ht="12" customHeight="1" x14ac:dyDescent="0.15">
      <c r="B493" s="274"/>
      <c r="C493" s="273"/>
      <c r="D493" s="273"/>
      <c r="E493" s="273"/>
      <c r="F493" s="272"/>
    </row>
    <row r="494" spans="2:6" ht="12" customHeight="1" x14ac:dyDescent="0.15">
      <c r="B494" s="274"/>
      <c r="C494" s="273"/>
      <c r="D494" s="273"/>
      <c r="E494" s="273"/>
      <c r="F494" s="272"/>
    </row>
    <row r="495" spans="2:6" ht="12" customHeight="1" x14ac:dyDescent="0.15">
      <c r="B495" s="274"/>
      <c r="C495" s="273"/>
      <c r="D495" s="273"/>
      <c r="E495" s="273"/>
      <c r="F495" s="272"/>
    </row>
    <row r="496" spans="2:6" ht="12" customHeight="1" x14ac:dyDescent="0.15">
      <c r="B496" s="274"/>
      <c r="C496" s="273"/>
      <c r="D496" s="273"/>
      <c r="E496" s="273"/>
      <c r="F496" s="272"/>
    </row>
    <row r="497" spans="2:6" ht="12" customHeight="1" x14ac:dyDescent="0.15">
      <c r="B497" s="274"/>
      <c r="C497" s="273"/>
      <c r="D497" s="273"/>
      <c r="E497" s="273"/>
      <c r="F497" s="272"/>
    </row>
    <row r="498" spans="2:6" ht="12" customHeight="1" x14ac:dyDescent="0.15">
      <c r="B498" s="274"/>
      <c r="C498" s="273"/>
      <c r="D498" s="273"/>
      <c r="E498" s="273"/>
      <c r="F498" s="272"/>
    </row>
    <row r="499" spans="2:6" ht="12" customHeight="1" x14ac:dyDescent="0.15">
      <c r="B499" s="274"/>
      <c r="C499" s="273"/>
      <c r="D499" s="273"/>
      <c r="E499" s="273"/>
      <c r="F499" s="272"/>
    </row>
    <row r="500" spans="2:6" ht="12" customHeight="1" x14ac:dyDescent="0.15">
      <c r="B500" s="274"/>
      <c r="C500" s="273"/>
      <c r="D500" s="273"/>
      <c r="E500" s="273"/>
      <c r="F500" s="272"/>
    </row>
    <row r="501" spans="2:6" ht="12" customHeight="1" x14ac:dyDescent="0.15">
      <c r="B501" s="274"/>
      <c r="C501" s="273"/>
      <c r="D501" s="273"/>
      <c r="E501" s="273"/>
      <c r="F501" s="272"/>
    </row>
    <row r="502" spans="2:6" ht="12" customHeight="1" x14ac:dyDescent="0.15">
      <c r="B502" s="274"/>
      <c r="C502" s="273"/>
      <c r="D502" s="273"/>
      <c r="E502" s="273"/>
      <c r="F502" s="272"/>
    </row>
    <row r="503" spans="2:6" ht="12" customHeight="1" x14ac:dyDescent="0.15">
      <c r="B503" s="274"/>
      <c r="C503" s="273"/>
      <c r="D503" s="273"/>
      <c r="E503" s="273"/>
      <c r="F503" s="272"/>
    </row>
    <row r="504" spans="2:6" ht="12" customHeight="1" x14ac:dyDescent="0.15">
      <c r="B504" s="274"/>
      <c r="C504" s="273"/>
      <c r="D504" s="273"/>
      <c r="E504" s="273"/>
      <c r="F504" s="272"/>
    </row>
    <row r="505" spans="2:6" ht="12" customHeight="1" x14ac:dyDescent="0.15">
      <c r="B505" s="274"/>
      <c r="C505" s="273"/>
      <c r="D505" s="273"/>
      <c r="E505" s="273"/>
      <c r="F505" s="272"/>
    </row>
    <row r="506" spans="2:6" ht="12" customHeight="1" x14ac:dyDescent="0.15">
      <c r="B506" s="274"/>
      <c r="C506" s="273"/>
      <c r="D506" s="273"/>
      <c r="E506" s="273"/>
      <c r="F506" s="272"/>
    </row>
    <row r="507" spans="2:6" ht="12" customHeight="1" x14ac:dyDescent="0.15">
      <c r="B507" s="274"/>
      <c r="C507" s="273"/>
      <c r="D507" s="273"/>
      <c r="E507" s="273"/>
      <c r="F507" s="272"/>
    </row>
    <row r="508" spans="2:6" ht="12" customHeight="1" x14ac:dyDescent="0.15">
      <c r="B508" s="274"/>
      <c r="C508" s="273"/>
      <c r="D508" s="273"/>
      <c r="E508" s="273"/>
      <c r="F508" s="272"/>
    </row>
    <row r="509" spans="2:6" ht="12" customHeight="1" x14ac:dyDescent="0.15">
      <c r="B509" s="274"/>
      <c r="C509" s="273"/>
      <c r="D509" s="273"/>
      <c r="E509" s="273"/>
      <c r="F509" s="272"/>
    </row>
    <row r="510" spans="2:6" ht="12" customHeight="1" x14ac:dyDescent="0.15">
      <c r="B510" s="274"/>
      <c r="C510" s="273"/>
      <c r="D510" s="273"/>
      <c r="E510" s="273"/>
      <c r="F510" s="272"/>
    </row>
    <row r="511" spans="2:6" ht="12" customHeight="1" x14ac:dyDescent="0.15">
      <c r="B511" s="274"/>
      <c r="C511" s="273"/>
      <c r="D511" s="273"/>
      <c r="E511" s="273"/>
      <c r="F511" s="272"/>
    </row>
    <row r="512" spans="2:6" ht="12" customHeight="1" x14ac:dyDescent="0.15">
      <c r="B512" s="274"/>
      <c r="C512" s="273"/>
      <c r="D512" s="273"/>
      <c r="E512" s="273"/>
      <c r="F512" s="272"/>
    </row>
    <row r="513" spans="2:6" ht="12" customHeight="1" x14ac:dyDescent="0.15">
      <c r="B513" s="274"/>
      <c r="C513" s="273"/>
      <c r="D513" s="273"/>
      <c r="E513" s="273"/>
      <c r="F513" s="272"/>
    </row>
    <row r="514" spans="2:6" ht="12" customHeight="1" x14ac:dyDescent="0.15">
      <c r="B514" s="274"/>
      <c r="C514" s="273"/>
      <c r="D514" s="273"/>
      <c r="E514" s="273"/>
      <c r="F514" s="272"/>
    </row>
    <row r="515" spans="2:6" ht="12" customHeight="1" x14ac:dyDescent="0.15">
      <c r="B515" s="274"/>
      <c r="C515" s="273"/>
      <c r="D515" s="273"/>
      <c r="E515" s="273"/>
      <c r="F515" s="272"/>
    </row>
    <row r="516" spans="2:6" ht="12" customHeight="1" x14ac:dyDescent="0.15">
      <c r="B516" s="274"/>
      <c r="C516" s="273"/>
      <c r="D516" s="273"/>
      <c r="E516" s="273"/>
      <c r="F516" s="272"/>
    </row>
    <row r="517" spans="2:6" ht="12" customHeight="1" x14ac:dyDescent="0.15">
      <c r="B517" s="274"/>
      <c r="C517" s="273"/>
      <c r="D517" s="273"/>
      <c r="E517" s="273"/>
      <c r="F517" s="272"/>
    </row>
    <row r="518" spans="2:6" ht="12" customHeight="1" x14ac:dyDescent="0.15">
      <c r="B518" s="274"/>
      <c r="C518" s="273"/>
      <c r="D518" s="273"/>
      <c r="E518" s="273"/>
      <c r="F518" s="272"/>
    </row>
    <row r="519" spans="2:6" ht="12" customHeight="1" x14ac:dyDescent="0.15">
      <c r="B519" s="274"/>
      <c r="C519" s="273"/>
      <c r="D519" s="273"/>
      <c r="E519" s="273"/>
      <c r="F519" s="272"/>
    </row>
    <row r="520" spans="2:6" ht="12" customHeight="1" x14ac:dyDescent="0.15">
      <c r="B520" s="274"/>
      <c r="C520" s="273"/>
      <c r="D520" s="273"/>
      <c r="E520" s="273"/>
      <c r="F520" s="272"/>
    </row>
    <row r="521" spans="2:6" ht="12" customHeight="1" x14ac:dyDescent="0.15">
      <c r="B521" s="274"/>
      <c r="C521" s="273"/>
      <c r="D521" s="273"/>
      <c r="E521" s="273"/>
      <c r="F521" s="272"/>
    </row>
    <row r="522" spans="2:6" ht="12" customHeight="1" x14ac:dyDescent="0.15">
      <c r="B522" s="274"/>
      <c r="C522" s="273"/>
      <c r="D522" s="273"/>
      <c r="E522" s="273"/>
      <c r="F522" s="272"/>
    </row>
    <row r="523" spans="2:6" ht="12" customHeight="1" x14ac:dyDescent="0.15">
      <c r="B523" s="274"/>
      <c r="C523" s="273"/>
      <c r="D523" s="273"/>
      <c r="E523" s="273"/>
      <c r="F523" s="272"/>
    </row>
    <row r="524" spans="2:6" ht="12" customHeight="1" x14ac:dyDescent="0.15">
      <c r="B524" s="274"/>
      <c r="C524" s="273"/>
      <c r="D524" s="273"/>
      <c r="E524" s="273"/>
      <c r="F524" s="272"/>
    </row>
    <row r="525" spans="2:6" ht="12" customHeight="1" x14ac:dyDescent="0.15">
      <c r="B525" s="274"/>
      <c r="C525" s="273"/>
      <c r="D525" s="273"/>
      <c r="E525" s="273"/>
      <c r="F525" s="272"/>
    </row>
    <row r="526" spans="2:6" ht="12" customHeight="1" x14ac:dyDescent="0.15">
      <c r="B526" s="274"/>
      <c r="C526" s="273"/>
      <c r="D526" s="273"/>
      <c r="E526" s="273"/>
      <c r="F526" s="272"/>
    </row>
    <row r="527" spans="2:6" ht="12" customHeight="1" x14ac:dyDescent="0.15">
      <c r="B527" s="274"/>
      <c r="C527" s="273"/>
      <c r="D527" s="273"/>
      <c r="E527" s="273"/>
      <c r="F527" s="272"/>
    </row>
    <row r="528" spans="2:6" ht="12" customHeight="1" x14ac:dyDescent="0.15">
      <c r="B528" s="274"/>
      <c r="C528" s="273"/>
      <c r="D528" s="273"/>
      <c r="E528" s="273"/>
      <c r="F528" s="272"/>
    </row>
    <row r="529" spans="2:6" ht="12" customHeight="1" x14ac:dyDescent="0.15">
      <c r="B529" s="274"/>
      <c r="C529" s="273"/>
      <c r="D529" s="273"/>
      <c r="E529" s="273"/>
      <c r="F529" s="272"/>
    </row>
    <row r="530" spans="2:6" ht="12" customHeight="1" x14ac:dyDescent="0.15">
      <c r="B530" s="274"/>
      <c r="C530" s="273"/>
      <c r="D530" s="273"/>
      <c r="E530" s="273"/>
      <c r="F530" s="272"/>
    </row>
    <row r="531" spans="2:6" ht="12" customHeight="1" x14ac:dyDescent="0.15">
      <c r="B531" s="274"/>
      <c r="C531" s="273"/>
      <c r="D531" s="273"/>
      <c r="E531" s="273"/>
      <c r="F531" s="272"/>
    </row>
    <row r="532" spans="2:6" ht="12" customHeight="1" x14ac:dyDescent="0.15">
      <c r="B532" s="274"/>
      <c r="C532" s="273"/>
      <c r="D532" s="273"/>
      <c r="E532" s="273"/>
      <c r="F532" s="272"/>
    </row>
    <row r="533" spans="2:6" ht="12" customHeight="1" x14ac:dyDescent="0.15">
      <c r="B533" s="274"/>
      <c r="C533" s="273"/>
      <c r="D533" s="273"/>
      <c r="E533" s="273"/>
      <c r="F533" s="272"/>
    </row>
    <row r="534" spans="2:6" ht="12" customHeight="1" x14ac:dyDescent="0.15">
      <c r="B534" s="274"/>
      <c r="C534" s="273"/>
      <c r="D534" s="273"/>
      <c r="E534" s="273"/>
      <c r="F534" s="272"/>
    </row>
    <row r="535" spans="2:6" ht="12" customHeight="1" x14ac:dyDescent="0.15">
      <c r="B535" s="274"/>
      <c r="C535" s="273"/>
      <c r="D535" s="273"/>
      <c r="E535" s="273"/>
      <c r="F535" s="272"/>
    </row>
    <row r="536" spans="2:6" ht="12" customHeight="1" x14ac:dyDescent="0.15">
      <c r="B536" s="274"/>
      <c r="C536" s="273"/>
      <c r="D536" s="273"/>
      <c r="E536" s="273"/>
      <c r="F536" s="272"/>
    </row>
    <row r="537" spans="2:6" ht="12" customHeight="1" x14ac:dyDescent="0.15">
      <c r="B537" s="274"/>
      <c r="C537" s="273"/>
      <c r="D537" s="273"/>
      <c r="E537" s="273"/>
      <c r="F537" s="272"/>
    </row>
    <row r="538" spans="2:6" ht="12" customHeight="1" x14ac:dyDescent="0.15">
      <c r="B538" s="274"/>
      <c r="C538" s="273"/>
      <c r="D538" s="273"/>
      <c r="E538" s="273"/>
      <c r="F538" s="272"/>
    </row>
    <row r="539" spans="2:6" ht="12" customHeight="1" x14ac:dyDescent="0.15">
      <c r="B539" s="274"/>
      <c r="C539" s="273"/>
      <c r="D539" s="273"/>
      <c r="E539" s="273"/>
      <c r="F539" s="272"/>
    </row>
    <row r="540" spans="2:6" ht="12" customHeight="1" x14ac:dyDescent="0.15">
      <c r="B540" s="274"/>
      <c r="C540" s="273"/>
      <c r="D540" s="273"/>
      <c r="E540" s="273"/>
      <c r="F540" s="272"/>
    </row>
    <row r="541" spans="2:6" ht="12" customHeight="1" x14ac:dyDescent="0.15">
      <c r="B541" s="274"/>
      <c r="C541" s="273"/>
      <c r="D541" s="273"/>
      <c r="E541" s="273"/>
      <c r="F541" s="272"/>
    </row>
    <row r="542" spans="2:6" ht="12" customHeight="1" x14ac:dyDescent="0.15">
      <c r="B542" s="274"/>
      <c r="C542" s="273"/>
      <c r="D542" s="273"/>
      <c r="E542" s="273"/>
      <c r="F542" s="272"/>
    </row>
    <row r="543" spans="2:6" ht="12" customHeight="1" x14ac:dyDescent="0.15">
      <c r="B543" s="274"/>
      <c r="C543" s="273"/>
      <c r="D543" s="273"/>
      <c r="E543" s="273"/>
      <c r="F543" s="272"/>
    </row>
    <row r="544" spans="2:6" ht="12" customHeight="1" x14ac:dyDescent="0.15">
      <c r="B544" s="274"/>
      <c r="C544" s="273"/>
      <c r="D544" s="273"/>
      <c r="E544" s="273"/>
      <c r="F544" s="272"/>
    </row>
    <row r="545" spans="2:6" ht="12" customHeight="1" x14ac:dyDescent="0.15">
      <c r="B545" s="274"/>
      <c r="C545" s="273"/>
      <c r="D545" s="273"/>
      <c r="E545" s="273"/>
      <c r="F545" s="272"/>
    </row>
    <row r="546" spans="2:6" ht="12" customHeight="1" x14ac:dyDescent="0.15">
      <c r="B546" s="274"/>
      <c r="C546" s="273"/>
      <c r="D546" s="273"/>
      <c r="E546" s="273"/>
      <c r="F546" s="272"/>
    </row>
    <row r="547" spans="2:6" ht="12" customHeight="1" x14ac:dyDescent="0.15">
      <c r="B547" s="274"/>
      <c r="C547" s="273"/>
      <c r="D547" s="273"/>
      <c r="E547" s="273"/>
      <c r="F547" s="272"/>
    </row>
    <row r="548" spans="2:6" ht="12" customHeight="1" x14ac:dyDescent="0.15">
      <c r="B548" s="274"/>
      <c r="C548" s="273"/>
      <c r="D548" s="273"/>
      <c r="E548" s="273"/>
      <c r="F548" s="272"/>
    </row>
    <row r="549" spans="2:6" ht="12" customHeight="1" x14ac:dyDescent="0.15">
      <c r="B549" s="274"/>
      <c r="C549" s="273"/>
      <c r="D549" s="273"/>
      <c r="E549" s="273"/>
      <c r="F549" s="272"/>
    </row>
    <row r="550" spans="2:6" ht="12" customHeight="1" x14ac:dyDescent="0.15">
      <c r="B550" s="274"/>
      <c r="C550" s="273"/>
      <c r="D550" s="273"/>
      <c r="E550" s="273"/>
      <c r="F550" s="272"/>
    </row>
    <row r="551" spans="2:6" ht="12" customHeight="1" x14ac:dyDescent="0.15">
      <c r="B551" s="274"/>
      <c r="C551" s="273"/>
      <c r="D551" s="273"/>
      <c r="E551" s="273"/>
      <c r="F551" s="272"/>
    </row>
    <row r="552" spans="2:6" ht="12" customHeight="1" x14ac:dyDescent="0.15">
      <c r="B552" s="274"/>
      <c r="C552" s="273"/>
      <c r="D552" s="273"/>
      <c r="E552" s="273"/>
      <c r="F552" s="272"/>
    </row>
    <row r="553" spans="2:6" ht="12" customHeight="1" x14ac:dyDescent="0.15">
      <c r="B553" s="274"/>
      <c r="C553" s="273"/>
      <c r="D553" s="273"/>
      <c r="E553" s="273"/>
      <c r="F553" s="272"/>
    </row>
    <row r="554" spans="2:6" ht="12" customHeight="1" x14ac:dyDescent="0.15">
      <c r="B554" s="274"/>
      <c r="C554" s="273"/>
      <c r="D554" s="273"/>
      <c r="E554" s="273"/>
      <c r="F554" s="272"/>
    </row>
    <row r="555" spans="2:6" ht="12" customHeight="1" x14ac:dyDescent="0.15">
      <c r="B555" s="274"/>
      <c r="C555" s="273"/>
      <c r="D555" s="273"/>
      <c r="E555" s="273"/>
      <c r="F555" s="272"/>
    </row>
    <row r="556" spans="2:6" ht="12" customHeight="1" x14ac:dyDescent="0.15">
      <c r="B556" s="274"/>
      <c r="C556" s="273"/>
      <c r="D556" s="273"/>
      <c r="E556" s="273"/>
      <c r="F556" s="272"/>
    </row>
    <row r="557" spans="2:6" ht="12" customHeight="1" x14ac:dyDescent="0.15">
      <c r="B557" s="274"/>
      <c r="C557" s="273"/>
      <c r="D557" s="273"/>
      <c r="E557" s="273"/>
      <c r="F557" s="272"/>
    </row>
    <row r="558" spans="2:6" ht="12" customHeight="1" x14ac:dyDescent="0.15">
      <c r="B558" s="274"/>
      <c r="C558" s="273"/>
      <c r="D558" s="273"/>
      <c r="E558" s="273"/>
      <c r="F558" s="272"/>
    </row>
    <row r="559" spans="2:6" ht="12" customHeight="1" x14ac:dyDescent="0.15">
      <c r="B559" s="274"/>
      <c r="C559" s="273"/>
      <c r="D559" s="273"/>
      <c r="E559" s="273"/>
      <c r="F559" s="272"/>
    </row>
    <row r="560" spans="2:6" ht="12" customHeight="1" x14ac:dyDescent="0.15">
      <c r="B560" s="274"/>
      <c r="C560" s="273"/>
      <c r="D560" s="273"/>
      <c r="E560" s="273"/>
      <c r="F560" s="272"/>
    </row>
    <row r="561" spans="2:6" ht="12" customHeight="1" x14ac:dyDescent="0.15">
      <c r="B561" s="274"/>
      <c r="C561" s="273"/>
      <c r="D561" s="273"/>
      <c r="E561" s="273"/>
      <c r="F561" s="272"/>
    </row>
    <row r="562" spans="2:6" ht="12" customHeight="1" x14ac:dyDescent="0.15">
      <c r="B562" s="274"/>
      <c r="C562" s="273"/>
      <c r="D562" s="273"/>
      <c r="E562" s="273"/>
      <c r="F562" s="272"/>
    </row>
    <row r="563" spans="2:6" ht="12" customHeight="1" x14ac:dyDescent="0.15">
      <c r="B563" s="274"/>
      <c r="C563" s="273"/>
      <c r="D563" s="273"/>
      <c r="E563" s="273"/>
      <c r="F563" s="272"/>
    </row>
    <row r="564" spans="2:6" ht="12" customHeight="1" x14ac:dyDescent="0.15">
      <c r="B564" s="274"/>
      <c r="C564" s="273"/>
      <c r="D564" s="273"/>
      <c r="E564" s="273"/>
      <c r="F564" s="272"/>
    </row>
    <row r="565" spans="2:6" ht="12" customHeight="1" x14ac:dyDescent="0.15">
      <c r="B565" s="274"/>
      <c r="C565" s="273"/>
      <c r="D565" s="273"/>
      <c r="E565" s="273"/>
      <c r="F565" s="272"/>
    </row>
    <row r="566" spans="2:6" ht="12" customHeight="1" x14ac:dyDescent="0.15">
      <c r="B566" s="274"/>
      <c r="C566" s="273"/>
      <c r="D566" s="273"/>
      <c r="E566" s="273"/>
      <c r="F566" s="272"/>
    </row>
    <row r="567" spans="2:6" ht="12" customHeight="1" x14ac:dyDescent="0.15">
      <c r="B567" s="274"/>
      <c r="C567" s="273"/>
      <c r="D567" s="273"/>
      <c r="E567" s="273"/>
      <c r="F567" s="272"/>
    </row>
    <row r="568" spans="2:6" ht="12" customHeight="1" x14ac:dyDescent="0.15">
      <c r="B568" s="274"/>
      <c r="C568" s="273"/>
      <c r="D568" s="273"/>
      <c r="E568" s="273"/>
      <c r="F568" s="272"/>
    </row>
    <row r="569" spans="2:6" ht="12" customHeight="1" x14ac:dyDescent="0.15">
      <c r="B569" s="274"/>
      <c r="C569" s="273"/>
      <c r="D569" s="273"/>
      <c r="E569" s="273"/>
      <c r="F569" s="272"/>
    </row>
    <row r="570" spans="2:6" ht="12" customHeight="1" x14ac:dyDescent="0.15">
      <c r="B570" s="274"/>
      <c r="C570" s="273"/>
      <c r="D570" s="273"/>
      <c r="E570" s="273"/>
      <c r="F570" s="272"/>
    </row>
    <row r="571" spans="2:6" ht="12" customHeight="1" x14ac:dyDescent="0.15">
      <c r="B571" s="274"/>
      <c r="C571" s="273"/>
      <c r="D571" s="273"/>
      <c r="E571" s="273"/>
      <c r="F571" s="272"/>
    </row>
    <row r="572" spans="2:6" ht="12" customHeight="1" x14ac:dyDescent="0.15">
      <c r="B572" s="274"/>
      <c r="C572" s="273"/>
      <c r="D572" s="273"/>
      <c r="E572" s="273"/>
      <c r="F572" s="272"/>
    </row>
    <row r="573" spans="2:6" ht="12" customHeight="1" x14ac:dyDescent="0.15">
      <c r="B573" s="274"/>
      <c r="C573" s="273"/>
      <c r="D573" s="273"/>
      <c r="E573" s="273"/>
      <c r="F573" s="272"/>
    </row>
    <row r="574" spans="2:6" ht="12" customHeight="1" x14ac:dyDescent="0.15">
      <c r="B574" s="274"/>
      <c r="C574" s="273"/>
      <c r="D574" s="273"/>
      <c r="E574" s="273"/>
      <c r="F574" s="272"/>
    </row>
    <row r="575" spans="2:6" ht="12" customHeight="1" x14ac:dyDescent="0.15">
      <c r="B575" s="274"/>
      <c r="C575" s="273"/>
      <c r="D575" s="273"/>
      <c r="E575" s="273"/>
      <c r="F575" s="272"/>
    </row>
    <row r="576" spans="2:6" ht="12" customHeight="1" x14ac:dyDescent="0.15">
      <c r="B576" s="274"/>
      <c r="C576" s="273"/>
      <c r="D576" s="273"/>
      <c r="E576" s="273"/>
      <c r="F576" s="272"/>
    </row>
    <row r="577" spans="2:6" ht="12" customHeight="1" x14ac:dyDescent="0.15">
      <c r="B577" s="274"/>
      <c r="C577" s="273"/>
      <c r="D577" s="273"/>
      <c r="E577" s="273"/>
      <c r="F577" s="272"/>
    </row>
    <row r="578" spans="2:6" ht="12" customHeight="1" x14ac:dyDescent="0.15">
      <c r="B578" s="274"/>
      <c r="C578" s="273"/>
      <c r="D578" s="273"/>
      <c r="E578" s="273"/>
      <c r="F578" s="272"/>
    </row>
    <row r="579" spans="2:6" ht="12" customHeight="1" x14ac:dyDescent="0.15">
      <c r="B579" s="274"/>
      <c r="C579" s="273"/>
      <c r="D579" s="273"/>
      <c r="E579" s="273"/>
      <c r="F579" s="272"/>
    </row>
    <row r="580" spans="2:6" ht="12" customHeight="1" x14ac:dyDescent="0.15">
      <c r="B580" s="274"/>
      <c r="C580" s="273"/>
      <c r="D580" s="273"/>
      <c r="E580" s="273"/>
      <c r="F580" s="272"/>
    </row>
    <row r="581" spans="2:6" ht="12" customHeight="1" x14ac:dyDescent="0.15">
      <c r="B581" s="274"/>
      <c r="C581" s="273"/>
      <c r="D581" s="273"/>
      <c r="E581" s="273"/>
      <c r="F581" s="272"/>
    </row>
    <row r="582" spans="2:6" ht="12" customHeight="1" x14ac:dyDescent="0.15">
      <c r="B582" s="274"/>
      <c r="C582" s="273"/>
      <c r="D582" s="273"/>
      <c r="E582" s="273"/>
      <c r="F582" s="272"/>
    </row>
    <row r="583" spans="2:6" ht="12" customHeight="1" x14ac:dyDescent="0.15">
      <c r="B583" s="274"/>
      <c r="C583" s="273"/>
      <c r="D583" s="273"/>
      <c r="E583" s="273"/>
      <c r="F583" s="272"/>
    </row>
    <row r="584" spans="2:6" ht="12" customHeight="1" x14ac:dyDescent="0.15">
      <c r="B584" s="274"/>
      <c r="C584" s="273"/>
      <c r="D584" s="273"/>
      <c r="E584" s="273"/>
      <c r="F584" s="272"/>
    </row>
    <row r="585" spans="2:6" ht="12" customHeight="1" x14ac:dyDescent="0.15">
      <c r="B585" s="274"/>
      <c r="C585" s="273"/>
      <c r="D585" s="273"/>
      <c r="E585" s="273"/>
      <c r="F585" s="272"/>
    </row>
    <row r="586" spans="2:6" ht="12" customHeight="1" x14ac:dyDescent="0.15">
      <c r="B586" s="274"/>
      <c r="C586" s="273"/>
      <c r="D586" s="273"/>
      <c r="E586" s="273"/>
      <c r="F586" s="272"/>
    </row>
    <row r="587" spans="2:6" ht="12" customHeight="1" x14ac:dyDescent="0.15">
      <c r="B587" s="274"/>
      <c r="C587" s="273"/>
      <c r="D587" s="273"/>
      <c r="E587" s="273"/>
      <c r="F587" s="272"/>
    </row>
    <row r="588" spans="2:6" ht="12" customHeight="1" x14ac:dyDescent="0.15">
      <c r="B588" s="274"/>
      <c r="C588" s="273"/>
      <c r="D588" s="273"/>
      <c r="E588" s="273"/>
      <c r="F588" s="272"/>
    </row>
    <row r="589" spans="2:6" ht="12" customHeight="1" x14ac:dyDescent="0.15">
      <c r="B589" s="274"/>
      <c r="C589" s="273"/>
      <c r="D589" s="273"/>
      <c r="E589" s="273"/>
      <c r="F589" s="272"/>
    </row>
    <row r="590" spans="2:6" ht="12" customHeight="1" x14ac:dyDescent="0.15">
      <c r="B590" s="274"/>
      <c r="C590" s="273"/>
      <c r="D590" s="273"/>
      <c r="E590" s="273"/>
      <c r="F590" s="272"/>
    </row>
    <row r="591" spans="2:6" ht="12" customHeight="1" x14ac:dyDescent="0.15">
      <c r="B591" s="274"/>
      <c r="C591" s="273"/>
      <c r="D591" s="273"/>
      <c r="E591" s="273"/>
      <c r="F591" s="272"/>
    </row>
    <row r="592" spans="2:6" ht="12" customHeight="1" x14ac:dyDescent="0.15">
      <c r="B592" s="274"/>
      <c r="C592" s="273"/>
      <c r="D592" s="273"/>
      <c r="E592" s="273"/>
      <c r="F592" s="272"/>
    </row>
    <row r="593" spans="2:6" ht="12" customHeight="1" x14ac:dyDescent="0.15">
      <c r="B593" s="274"/>
      <c r="C593" s="273"/>
      <c r="D593" s="273"/>
      <c r="E593" s="273"/>
      <c r="F593" s="272"/>
    </row>
    <row r="594" spans="2:6" ht="12" customHeight="1" x14ac:dyDescent="0.15">
      <c r="B594" s="274"/>
      <c r="C594" s="273"/>
      <c r="D594" s="273"/>
      <c r="E594" s="273"/>
      <c r="F594" s="272"/>
    </row>
    <row r="595" spans="2:6" ht="12" customHeight="1" x14ac:dyDescent="0.15">
      <c r="B595" s="274"/>
      <c r="C595" s="273"/>
      <c r="D595" s="273"/>
      <c r="E595" s="273"/>
      <c r="F595" s="272"/>
    </row>
    <row r="596" spans="2:6" ht="12" customHeight="1" x14ac:dyDescent="0.15">
      <c r="B596" s="274"/>
      <c r="C596" s="273"/>
      <c r="D596" s="273"/>
      <c r="E596" s="273"/>
      <c r="F596" s="272"/>
    </row>
    <row r="597" spans="2:6" ht="12" customHeight="1" x14ac:dyDescent="0.15">
      <c r="B597" s="274"/>
      <c r="C597" s="273"/>
      <c r="D597" s="273"/>
      <c r="E597" s="273"/>
      <c r="F597" s="272"/>
    </row>
    <row r="598" spans="2:6" ht="12" customHeight="1" x14ac:dyDescent="0.15">
      <c r="B598" s="274"/>
      <c r="C598" s="273"/>
      <c r="D598" s="273"/>
      <c r="E598" s="273"/>
      <c r="F598" s="272"/>
    </row>
    <row r="599" spans="2:6" ht="12" customHeight="1" x14ac:dyDescent="0.15">
      <c r="B599" s="274"/>
      <c r="C599" s="273"/>
      <c r="D599" s="273"/>
      <c r="E599" s="273"/>
      <c r="F599" s="272"/>
    </row>
    <row r="600" spans="2:6" ht="12" customHeight="1" x14ac:dyDescent="0.15">
      <c r="B600" s="274"/>
      <c r="C600" s="273"/>
      <c r="D600" s="273"/>
      <c r="E600" s="273"/>
      <c r="F600" s="272"/>
    </row>
    <row r="601" spans="2:6" ht="12" customHeight="1" x14ac:dyDescent="0.15">
      <c r="B601" s="274"/>
      <c r="C601" s="273"/>
      <c r="D601" s="273"/>
      <c r="E601" s="273"/>
      <c r="F601" s="272"/>
    </row>
    <row r="602" spans="2:6" ht="12" customHeight="1" x14ac:dyDescent="0.15">
      <c r="B602" s="274"/>
      <c r="C602" s="273"/>
      <c r="D602" s="273"/>
      <c r="E602" s="273"/>
      <c r="F602" s="272"/>
    </row>
    <row r="603" spans="2:6" ht="12" customHeight="1" x14ac:dyDescent="0.15">
      <c r="B603" s="274"/>
      <c r="C603" s="273"/>
      <c r="D603" s="273"/>
      <c r="E603" s="273"/>
      <c r="F603" s="272"/>
    </row>
    <row r="604" spans="2:6" ht="12" customHeight="1" x14ac:dyDescent="0.15">
      <c r="B604" s="274"/>
      <c r="C604" s="273"/>
      <c r="D604" s="273"/>
      <c r="E604" s="273"/>
      <c r="F604" s="272"/>
    </row>
    <row r="605" spans="2:6" ht="12" customHeight="1" x14ac:dyDescent="0.15">
      <c r="B605" s="274"/>
      <c r="C605" s="273"/>
      <c r="D605" s="273"/>
      <c r="E605" s="273"/>
      <c r="F605" s="272"/>
    </row>
    <row r="606" spans="2:6" ht="12" customHeight="1" x14ac:dyDescent="0.15">
      <c r="B606" s="274"/>
      <c r="C606" s="273"/>
      <c r="D606" s="273"/>
      <c r="E606" s="273"/>
      <c r="F606" s="272"/>
    </row>
    <row r="607" spans="2:6" ht="12" customHeight="1" x14ac:dyDescent="0.15">
      <c r="B607" s="274"/>
      <c r="C607" s="273"/>
      <c r="D607" s="273"/>
      <c r="E607" s="273"/>
      <c r="F607" s="272"/>
    </row>
    <row r="608" spans="2:6" ht="12" customHeight="1" x14ac:dyDescent="0.15">
      <c r="B608" s="274"/>
      <c r="C608" s="273"/>
      <c r="D608" s="273"/>
      <c r="E608" s="273"/>
      <c r="F608" s="272"/>
    </row>
    <row r="609" spans="2:6" ht="12" customHeight="1" x14ac:dyDescent="0.15">
      <c r="B609" s="274"/>
      <c r="C609" s="273"/>
      <c r="D609" s="273"/>
      <c r="E609" s="273"/>
      <c r="F609" s="272"/>
    </row>
    <row r="610" spans="2:6" ht="12" customHeight="1" x14ac:dyDescent="0.15">
      <c r="B610" s="274"/>
      <c r="C610" s="273"/>
      <c r="D610" s="273"/>
      <c r="E610" s="273"/>
      <c r="F610" s="272"/>
    </row>
    <row r="611" spans="2:6" ht="12" customHeight="1" x14ac:dyDescent="0.15">
      <c r="B611" s="274"/>
      <c r="C611" s="273"/>
      <c r="D611" s="273"/>
      <c r="E611" s="273"/>
      <c r="F611" s="272"/>
    </row>
    <row r="612" spans="2:6" ht="12" customHeight="1" x14ac:dyDescent="0.15">
      <c r="B612" s="274"/>
      <c r="C612" s="273"/>
      <c r="D612" s="273"/>
      <c r="E612" s="273"/>
      <c r="F612" s="272"/>
    </row>
    <row r="613" spans="2:6" ht="12" customHeight="1" x14ac:dyDescent="0.15">
      <c r="B613" s="274"/>
      <c r="C613" s="273"/>
      <c r="D613" s="273"/>
      <c r="E613" s="273"/>
      <c r="F613" s="272"/>
    </row>
    <row r="614" spans="2:6" ht="12" customHeight="1" x14ac:dyDescent="0.15">
      <c r="B614" s="274"/>
      <c r="C614" s="273"/>
      <c r="D614" s="273"/>
      <c r="E614" s="273"/>
      <c r="F614" s="272"/>
    </row>
    <row r="615" spans="2:6" ht="12" customHeight="1" x14ac:dyDescent="0.15">
      <c r="B615" s="274"/>
      <c r="C615" s="273"/>
      <c r="D615" s="273"/>
      <c r="E615" s="273"/>
      <c r="F615" s="272"/>
    </row>
    <row r="616" spans="2:6" ht="12" customHeight="1" x14ac:dyDescent="0.15">
      <c r="B616" s="274"/>
      <c r="C616" s="273"/>
      <c r="D616" s="273"/>
      <c r="E616" s="273"/>
      <c r="F616" s="272"/>
    </row>
    <row r="617" spans="2:6" ht="12" customHeight="1" x14ac:dyDescent="0.15">
      <c r="B617" s="274"/>
      <c r="C617" s="273"/>
      <c r="D617" s="273"/>
      <c r="E617" s="273"/>
      <c r="F617" s="272"/>
    </row>
    <row r="618" spans="2:6" ht="12" customHeight="1" x14ac:dyDescent="0.15">
      <c r="B618" s="274"/>
      <c r="C618" s="273"/>
      <c r="D618" s="273"/>
      <c r="E618" s="273"/>
      <c r="F618" s="272"/>
    </row>
    <row r="619" spans="2:6" ht="12" customHeight="1" x14ac:dyDescent="0.15">
      <c r="B619" s="274"/>
      <c r="C619" s="273"/>
      <c r="D619" s="273"/>
      <c r="E619" s="273"/>
      <c r="F619" s="272"/>
    </row>
    <row r="620" spans="2:6" ht="12" customHeight="1" x14ac:dyDescent="0.15">
      <c r="B620" s="274"/>
      <c r="C620" s="273"/>
      <c r="D620" s="273"/>
      <c r="E620" s="273"/>
      <c r="F620" s="272"/>
    </row>
    <row r="621" spans="2:6" ht="12" customHeight="1" x14ac:dyDescent="0.15">
      <c r="B621" s="274"/>
      <c r="C621" s="273"/>
      <c r="D621" s="273"/>
      <c r="E621" s="273"/>
      <c r="F621" s="272"/>
    </row>
    <row r="622" spans="2:6" ht="12" customHeight="1" x14ac:dyDescent="0.15">
      <c r="B622" s="274"/>
      <c r="C622" s="273"/>
      <c r="D622" s="273"/>
      <c r="E622" s="273"/>
      <c r="F622" s="272"/>
    </row>
    <row r="623" spans="2:6" ht="12" customHeight="1" x14ac:dyDescent="0.15">
      <c r="B623" s="274"/>
      <c r="C623" s="273"/>
      <c r="D623" s="273"/>
      <c r="E623" s="273"/>
      <c r="F623" s="272"/>
    </row>
    <row r="624" spans="2:6" ht="12" customHeight="1" x14ac:dyDescent="0.15">
      <c r="B624" s="274"/>
      <c r="C624" s="273"/>
      <c r="D624" s="273"/>
      <c r="E624" s="273"/>
      <c r="F624" s="272"/>
    </row>
    <row r="625" spans="2:6" ht="12" customHeight="1" x14ac:dyDescent="0.15">
      <c r="B625" s="274"/>
      <c r="C625" s="273"/>
      <c r="D625" s="273"/>
      <c r="E625" s="273"/>
      <c r="F625" s="272"/>
    </row>
    <row r="626" spans="2:6" ht="12" customHeight="1" x14ac:dyDescent="0.15">
      <c r="B626" s="274"/>
      <c r="C626" s="273"/>
      <c r="D626" s="273"/>
      <c r="E626" s="273"/>
      <c r="F626" s="272"/>
    </row>
    <row r="627" spans="2:6" ht="12" customHeight="1" x14ac:dyDescent="0.15">
      <c r="B627" s="274"/>
      <c r="C627" s="273"/>
      <c r="D627" s="273"/>
      <c r="E627" s="273"/>
      <c r="F627" s="272"/>
    </row>
    <row r="628" spans="2:6" ht="12" customHeight="1" x14ac:dyDescent="0.15">
      <c r="B628" s="274"/>
      <c r="C628" s="273"/>
      <c r="D628" s="273"/>
      <c r="E628" s="273"/>
      <c r="F628" s="272"/>
    </row>
    <row r="629" spans="2:6" ht="12" customHeight="1" x14ac:dyDescent="0.15">
      <c r="B629" s="274"/>
      <c r="C629" s="273"/>
      <c r="D629" s="273"/>
      <c r="E629" s="273"/>
      <c r="F629" s="272"/>
    </row>
    <row r="630" spans="2:6" ht="12" customHeight="1" x14ac:dyDescent="0.15">
      <c r="B630" s="274"/>
      <c r="C630" s="273"/>
      <c r="D630" s="273"/>
      <c r="E630" s="273"/>
      <c r="F630" s="272"/>
    </row>
    <row r="631" spans="2:6" ht="12" customHeight="1" x14ac:dyDescent="0.15">
      <c r="B631" s="274"/>
      <c r="C631" s="273"/>
      <c r="D631" s="273"/>
      <c r="E631" s="273"/>
      <c r="F631" s="272"/>
    </row>
    <row r="632" spans="2:6" ht="12" customHeight="1" x14ac:dyDescent="0.15">
      <c r="B632" s="274"/>
      <c r="C632" s="273"/>
      <c r="D632" s="273"/>
      <c r="E632" s="273"/>
      <c r="F632" s="272"/>
    </row>
    <row r="633" spans="2:6" ht="12" customHeight="1" x14ac:dyDescent="0.15">
      <c r="B633" s="274"/>
      <c r="C633" s="273"/>
      <c r="D633" s="273"/>
      <c r="E633" s="273"/>
      <c r="F633" s="272"/>
    </row>
    <row r="634" spans="2:6" ht="12" customHeight="1" x14ac:dyDescent="0.15">
      <c r="B634" s="274"/>
      <c r="C634" s="273"/>
      <c r="D634" s="273"/>
      <c r="E634" s="273"/>
      <c r="F634" s="272"/>
    </row>
    <row r="635" spans="2:6" ht="12" customHeight="1" x14ac:dyDescent="0.15">
      <c r="B635" s="274"/>
      <c r="C635" s="273"/>
      <c r="D635" s="273"/>
      <c r="E635" s="273"/>
      <c r="F635" s="272"/>
    </row>
    <row r="636" spans="2:6" ht="12" customHeight="1" x14ac:dyDescent="0.15">
      <c r="B636" s="274"/>
      <c r="C636" s="273"/>
      <c r="D636" s="273"/>
      <c r="E636" s="273"/>
      <c r="F636" s="272"/>
    </row>
    <row r="637" spans="2:6" ht="12" customHeight="1" x14ac:dyDescent="0.15">
      <c r="B637" s="274"/>
      <c r="C637" s="273"/>
      <c r="D637" s="273"/>
      <c r="E637" s="273"/>
      <c r="F637" s="272"/>
    </row>
    <row r="638" spans="2:6" ht="12" customHeight="1" x14ac:dyDescent="0.15">
      <c r="B638" s="274"/>
      <c r="C638" s="273"/>
      <c r="D638" s="273"/>
      <c r="E638" s="273"/>
      <c r="F638" s="272"/>
    </row>
    <row r="639" spans="2:6" ht="12" customHeight="1" x14ac:dyDescent="0.15">
      <c r="B639" s="274"/>
      <c r="C639" s="273"/>
      <c r="D639" s="273"/>
      <c r="E639" s="273"/>
      <c r="F639" s="272"/>
    </row>
    <row r="640" spans="2:6" ht="12" customHeight="1" x14ac:dyDescent="0.15">
      <c r="B640" s="274"/>
      <c r="C640" s="273"/>
      <c r="D640" s="273"/>
      <c r="E640" s="273"/>
      <c r="F640" s="272"/>
    </row>
    <row r="641" spans="2:6" ht="12" customHeight="1" x14ac:dyDescent="0.15">
      <c r="B641" s="274"/>
      <c r="C641" s="273"/>
      <c r="D641" s="273"/>
      <c r="E641" s="273"/>
      <c r="F641" s="272"/>
    </row>
    <row r="642" spans="2:6" ht="12" customHeight="1" x14ac:dyDescent="0.15">
      <c r="B642" s="274"/>
      <c r="C642" s="273"/>
      <c r="D642" s="273"/>
      <c r="E642" s="273"/>
      <c r="F642" s="272"/>
    </row>
    <row r="643" spans="2:6" ht="12" customHeight="1" x14ac:dyDescent="0.15">
      <c r="B643" s="274"/>
      <c r="C643" s="273"/>
      <c r="D643" s="273"/>
      <c r="E643" s="273"/>
      <c r="F643" s="272"/>
    </row>
    <row r="644" spans="2:6" ht="12" customHeight="1" x14ac:dyDescent="0.15">
      <c r="B644" s="274"/>
      <c r="C644" s="273"/>
      <c r="D644" s="273"/>
      <c r="E644" s="273"/>
      <c r="F644" s="272"/>
    </row>
    <row r="645" spans="2:6" ht="12" customHeight="1" x14ac:dyDescent="0.15">
      <c r="B645" s="274"/>
      <c r="C645" s="273"/>
      <c r="D645" s="273"/>
      <c r="E645" s="273"/>
      <c r="F645" s="272"/>
    </row>
    <row r="646" spans="2:6" ht="12" customHeight="1" x14ac:dyDescent="0.15">
      <c r="B646" s="274"/>
      <c r="C646" s="273"/>
      <c r="D646" s="273"/>
      <c r="E646" s="273"/>
      <c r="F646" s="272"/>
    </row>
    <row r="647" spans="2:6" ht="12" customHeight="1" x14ac:dyDescent="0.15">
      <c r="B647" s="274"/>
      <c r="C647" s="273"/>
      <c r="D647" s="273"/>
      <c r="E647" s="273"/>
      <c r="F647" s="272"/>
    </row>
    <row r="648" spans="2:6" ht="12" customHeight="1" x14ac:dyDescent="0.15">
      <c r="B648" s="274"/>
      <c r="C648" s="273"/>
      <c r="D648" s="273"/>
      <c r="E648" s="273"/>
      <c r="F648" s="272"/>
    </row>
    <row r="649" spans="2:6" ht="12" customHeight="1" x14ac:dyDescent="0.15">
      <c r="B649" s="274"/>
      <c r="C649" s="273"/>
      <c r="D649" s="273"/>
      <c r="E649" s="273"/>
      <c r="F649" s="272"/>
    </row>
    <row r="650" spans="2:6" ht="12" customHeight="1" x14ac:dyDescent="0.15">
      <c r="B650" s="274"/>
      <c r="C650" s="273"/>
      <c r="D650" s="273"/>
      <c r="E650" s="273"/>
      <c r="F650" s="272"/>
    </row>
    <row r="651" spans="2:6" ht="12" customHeight="1" x14ac:dyDescent="0.15">
      <c r="B651" s="274"/>
      <c r="C651" s="273"/>
      <c r="D651" s="273"/>
      <c r="E651" s="273"/>
      <c r="F651" s="272"/>
    </row>
    <row r="652" spans="2:6" ht="12" customHeight="1" x14ac:dyDescent="0.15">
      <c r="B652" s="274"/>
      <c r="C652" s="273"/>
      <c r="D652" s="273"/>
      <c r="E652" s="273"/>
      <c r="F652" s="272"/>
    </row>
    <row r="653" spans="2:6" ht="12" customHeight="1" x14ac:dyDescent="0.15">
      <c r="B653" s="274"/>
      <c r="C653" s="273"/>
      <c r="D653" s="273"/>
      <c r="E653" s="273"/>
      <c r="F653" s="272"/>
    </row>
    <row r="654" spans="2:6" ht="12" customHeight="1" x14ac:dyDescent="0.15">
      <c r="B654" s="274"/>
      <c r="C654" s="273"/>
      <c r="D654" s="273"/>
      <c r="E654" s="273"/>
      <c r="F654" s="272"/>
    </row>
    <row r="655" spans="2:6" ht="12" customHeight="1" x14ac:dyDescent="0.15">
      <c r="B655" s="274"/>
      <c r="C655" s="273"/>
      <c r="D655" s="273"/>
      <c r="E655" s="273"/>
      <c r="F655" s="272"/>
    </row>
    <row r="656" spans="2:6" ht="12" customHeight="1" x14ac:dyDescent="0.15">
      <c r="B656" s="274"/>
      <c r="C656" s="273"/>
      <c r="D656" s="273"/>
      <c r="E656" s="273"/>
      <c r="F656" s="272"/>
    </row>
    <row r="657" spans="2:6" ht="12" customHeight="1" x14ac:dyDescent="0.15">
      <c r="B657" s="274"/>
      <c r="C657" s="273"/>
      <c r="D657" s="273"/>
      <c r="E657" s="273"/>
      <c r="F657" s="272"/>
    </row>
    <row r="658" spans="2:6" ht="12" customHeight="1" x14ac:dyDescent="0.15">
      <c r="B658" s="274"/>
      <c r="C658" s="273"/>
      <c r="D658" s="273"/>
      <c r="E658" s="273"/>
      <c r="F658" s="272"/>
    </row>
    <row r="659" spans="2:6" ht="12" customHeight="1" x14ac:dyDescent="0.15">
      <c r="B659" s="274"/>
      <c r="C659" s="273"/>
      <c r="D659" s="273"/>
      <c r="E659" s="273"/>
      <c r="F659" s="272"/>
    </row>
    <row r="660" spans="2:6" ht="12" customHeight="1" x14ac:dyDescent="0.15">
      <c r="B660" s="274"/>
      <c r="C660" s="273"/>
      <c r="D660" s="273"/>
      <c r="E660" s="273"/>
      <c r="F660" s="272"/>
    </row>
    <row r="661" spans="2:6" ht="12" customHeight="1" x14ac:dyDescent="0.15">
      <c r="B661" s="274"/>
      <c r="C661" s="273"/>
      <c r="D661" s="273"/>
      <c r="E661" s="273"/>
      <c r="F661" s="272"/>
    </row>
    <row r="662" spans="2:6" ht="12" customHeight="1" x14ac:dyDescent="0.15">
      <c r="B662" s="274"/>
      <c r="C662" s="273"/>
      <c r="D662" s="273"/>
      <c r="E662" s="273"/>
      <c r="F662" s="272"/>
    </row>
    <row r="663" spans="2:6" ht="12" customHeight="1" x14ac:dyDescent="0.15">
      <c r="B663" s="274"/>
      <c r="C663" s="273"/>
      <c r="D663" s="273"/>
      <c r="E663" s="273"/>
      <c r="F663" s="272"/>
    </row>
    <row r="664" spans="2:6" ht="12" customHeight="1" x14ac:dyDescent="0.15">
      <c r="B664" s="274"/>
      <c r="C664" s="273"/>
      <c r="D664" s="273"/>
      <c r="E664" s="273"/>
      <c r="F664" s="272"/>
    </row>
    <row r="665" spans="2:6" ht="12" customHeight="1" x14ac:dyDescent="0.15">
      <c r="B665" s="274"/>
      <c r="C665" s="273"/>
      <c r="D665" s="273"/>
      <c r="E665" s="273"/>
      <c r="F665" s="272"/>
    </row>
    <row r="666" spans="2:6" ht="12" customHeight="1" x14ac:dyDescent="0.15">
      <c r="B666" s="274"/>
      <c r="C666" s="273"/>
      <c r="D666" s="273"/>
      <c r="E666" s="273"/>
      <c r="F666" s="272"/>
    </row>
    <row r="667" spans="2:6" ht="12" customHeight="1" x14ac:dyDescent="0.15">
      <c r="B667" s="274"/>
      <c r="C667" s="273"/>
      <c r="D667" s="273"/>
      <c r="E667" s="273"/>
      <c r="F667" s="272"/>
    </row>
    <row r="668" spans="2:6" ht="12" customHeight="1" x14ac:dyDescent="0.15">
      <c r="B668" s="274"/>
      <c r="C668" s="273"/>
      <c r="D668" s="273"/>
      <c r="E668" s="273"/>
      <c r="F668" s="272"/>
    </row>
    <row r="669" spans="2:6" ht="12" customHeight="1" x14ac:dyDescent="0.15">
      <c r="B669" s="274"/>
      <c r="C669" s="273"/>
      <c r="D669" s="273"/>
      <c r="E669" s="273"/>
      <c r="F669" s="272"/>
    </row>
    <row r="670" spans="2:6" ht="12" customHeight="1" x14ac:dyDescent="0.15">
      <c r="B670" s="274"/>
      <c r="C670" s="273"/>
      <c r="D670" s="273"/>
      <c r="E670" s="273"/>
      <c r="F670" s="272"/>
    </row>
    <row r="671" spans="2:6" ht="12" customHeight="1" x14ac:dyDescent="0.15">
      <c r="B671" s="274"/>
      <c r="C671" s="273"/>
      <c r="D671" s="273"/>
      <c r="E671" s="273"/>
      <c r="F671" s="272"/>
    </row>
    <row r="672" spans="2:6" ht="12" customHeight="1" x14ac:dyDescent="0.15">
      <c r="B672" s="274"/>
      <c r="C672" s="273"/>
      <c r="D672" s="273"/>
      <c r="E672" s="273"/>
      <c r="F672" s="272"/>
    </row>
    <row r="673" spans="2:6" ht="12" customHeight="1" x14ac:dyDescent="0.15">
      <c r="B673" s="274"/>
      <c r="C673" s="273"/>
      <c r="D673" s="273"/>
      <c r="E673" s="273"/>
      <c r="F673" s="272"/>
    </row>
    <row r="674" spans="2:6" ht="12" customHeight="1" x14ac:dyDescent="0.15">
      <c r="B674" s="274"/>
      <c r="C674" s="273"/>
      <c r="D674" s="273"/>
      <c r="E674" s="273"/>
      <c r="F674" s="272"/>
    </row>
    <row r="675" spans="2:6" ht="12" customHeight="1" x14ac:dyDescent="0.15">
      <c r="B675" s="274"/>
      <c r="C675" s="273"/>
      <c r="D675" s="273"/>
      <c r="E675" s="273"/>
      <c r="F675" s="272"/>
    </row>
    <row r="676" spans="2:6" ht="12" customHeight="1" x14ac:dyDescent="0.15">
      <c r="B676" s="274"/>
      <c r="C676" s="273"/>
      <c r="D676" s="273"/>
      <c r="E676" s="273"/>
      <c r="F676" s="272"/>
    </row>
    <row r="677" spans="2:6" ht="12" customHeight="1" x14ac:dyDescent="0.15">
      <c r="B677" s="274"/>
      <c r="C677" s="273"/>
      <c r="D677" s="273"/>
      <c r="E677" s="273"/>
      <c r="F677" s="272"/>
    </row>
    <row r="678" spans="2:6" ht="12" customHeight="1" x14ac:dyDescent="0.15">
      <c r="B678" s="274"/>
      <c r="C678" s="273"/>
      <c r="D678" s="273"/>
      <c r="E678" s="273"/>
      <c r="F678" s="272"/>
    </row>
    <row r="679" spans="2:6" ht="12" customHeight="1" x14ac:dyDescent="0.15">
      <c r="B679" s="274"/>
      <c r="C679" s="273"/>
      <c r="D679" s="273"/>
      <c r="E679" s="273"/>
      <c r="F679" s="272"/>
    </row>
    <row r="680" spans="2:6" ht="12" customHeight="1" x14ac:dyDescent="0.15">
      <c r="B680" s="274"/>
      <c r="C680" s="273"/>
      <c r="D680" s="273"/>
      <c r="E680" s="273"/>
      <c r="F680" s="272"/>
    </row>
    <row r="681" spans="2:6" ht="12" customHeight="1" x14ac:dyDescent="0.15">
      <c r="B681" s="274"/>
      <c r="C681" s="273"/>
      <c r="D681" s="273"/>
      <c r="E681" s="273"/>
      <c r="F681" s="272"/>
    </row>
    <row r="682" spans="2:6" ht="12" customHeight="1" x14ac:dyDescent="0.15">
      <c r="B682" s="274"/>
      <c r="C682" s="273"/>
      <c r="D682" s="273"/>
      <c r="E682" s="273"/>
      <c r="F682" s="272"/>
    </row>
    <row r="683" spans="2:6" ht="12" customHeight="1" x14ac:dyDescent="0.15">
      <c r="B683" s="274"/>
      <c r="C683" s="273"/>
      <c r="D683" s="273"/>
      <c r="E683" s="273"/>
      <c r="F683" s="272"/>
    </row>
    <row r="684" spans="2:6" ht="12" customHeight="1" x14ac:dyDescent="0.15">
      <c r="B684" s="274"/>
      <c r="C684" s="273"/>
      <c r="D684" s="273"/>
      <c r="E684" s="273"/>
      <c r="F684" s="272"/>
    </row>
    <row r="685" spans="2:6" ht="12" customHeight="1" x14ac:dyDescent="0.15">
      <c r="B685" s="274"/>
      <c r="C685" s="273"/>
      <c r="D685" s="273"/>
      <c r="E685" s="273"/>
      <c r="F685" s="272"/>
    </row>
    <row r="686" spans="2:6" ht="12" customHeight="1" x14ac:dyDescent="0.15">
      <c r="B686" s="274"/>
      <c r="C686" s="273"/>
      <c r="D686" s="273"/>
      <c r="E686" s="273"/>
      <c r="F686" s="272"/>
    </row>
    <row r="687" spans="2:6" ht="12" customHeight="1" x14ac:dyDescent="0.15">
      <c r="B687" s="274"/>
      <c r="C687" s="273"/>
      <c r="D687" s="273"/>
      <c r="E687" s="273"/>
      <c r="F687" s="272"/>
    </row>
    <row r="688" spans="2:6" ht="12" customHeight="1" x14ac:dyDescent="0.15">
      <c r="B688" s="274"/>
      <c r="C688" s="273"/>
      <c r="D688" s="273"/>
      <c r="E688" s="273"/>
      <c r="F688" s="272"/>
    </row>
    <row r="689" spans="2:6" ht="12" customHeight="1" x14ac:dyDescent="0.15">
      <c r="B689" s="274"/>
      <c r="C689" s="273"/>
      <c r="D689" s="273"/>
      <c r="E689" s="273"/>
      <c r="F689" s="272"/>
    </row>
    <row r="690" spans="2:6" ht="12" customHeight="1" x14ac:dyDescent="0.15">
      <c r="B690" s="274"/>
      <c r="C690" s="273"/>
      <c r="D690" s="273"/>
      <c r="E690" s="273"/>
      <c r="F690" s="272"/>
    </row>
    <row r="691" spans="2:6" ht="12" customHeight="1" x14ac:dyDescent="0.15">
      <c r="B691" s="274"/>
      <c r="C691" s="273"/>
      <c r="D691" s="273"/>
      <c r="E691" s="273"/>
      <c r="F691" s="272"/>
    </row>
    <row r="692" spans="2:6" ht="12" customHeight="1" x14ac:dyDescent="0.15">
      <c r="B692" s="274"/>
      <c r="C692" s="273"/>
      <c r="D692" s="273"/>
      <c r="E692" s="273"/>
      <c r="F692" s="272"/>
    </row>
    <row r="693" spans="2:6" ht="12" customHeight="1" x14ac:dyDescent="0.15">
      <c r="B693" s="274"/>
      <c r="C693" s="273"/>
      <c r="D693" s="273"/>
      <c r="E693" s="273"/>
      <c r="F693" s="272"/>
    </row>
    <row r="694" spans="2:6" ht="12" customHeight="1" x14ac:dyDescent="0.15">
      <c r="B694" s="274"/>
      <c r="C694" s="273"/>
      <c r="D694" s="273"/>
      <c r="E694" s="273"/>
      <c r="F694" s="272"/>
    </row>
    <row r="695" spans="2:6" ht="12" customHeight="1" x14ac:dyDescent="0.15">
      <c r="B695" s="274"/>
      <c r="C695" s="273"/>
      <c r="D695" s="273"/>
      <c r="E695" s="273"/>
      <c r="F695" s="272"/>
    </row>
    <row r="696" spans="2:6" ht="12" customHeight="1" x14ac:dyDescent="0.15">
      <c r="B696" s="274"/>
      <c r="C696" s="273"/>
      <c r="D696" s="273"/>
      <c r="E696" s="273"/>
      <c r="F696" s="272"/>
    </row>
    <row r="697" spans="2:6" ht="12" customHeight="1" x14ac:dyDescent="0.15">
      <c r="B697" s="274"/>
      <c r="C697" s="273"/>
      <c r="D697" s="273"/>
      <c r="E697" s="273"/>
      <c r="F697" s="272"/>
    </row>
    <row r="698" spans="2:6" ht="12" customHeight="1" x14ac:dyDescent="0.15">
      <c r="B698" s="274"/>
      <c r="C698" s="273"/>
      <c r="D698" s="273"/>
      <c r="E698" s="273"/>
      <c r="F698" s="272"/>
    </row>
    <row r="699" spans="2:6" ht="12" customHeight="1" x14ac:dyDescent="0.15">
      <c r="B699" s="274"/>
      <c r="C699" s="273"/>
      <c r="D699" s="273"/>
      <c r="E699" s="273"/>
      <c r="F699" s="272"/>
    </row>
    <row r="700" spans="2:6" ht="12" customHeight="1" x14ac:dyDescent="0.15">
      <c r="B700" s="274"/>
      <c r="C700" s="273"/>
      <c r="D700" s="273"/>
      <c r="E700" s="273"/>
      <c r="F700" s="272"/>
    </row>
    <row r="701" spans="2:6" ht="12" customHeight="1" x14ac:dyDescent="0.15">
      <c r="B701" s="274"/>
      <c r="C701" s="273"/>
      <c r="D701" s="273"/>
      <c r="E701" s="273"/>
      <c r="F701" s="272"/>
    </row>
    <row r="702" spans="2:6" ht="12" customHeight="1" x14ac:dyDescent="0.15">
      <c r="B702" s="274"/>
      <c r="C702" s="273"/>
      <c r="D702" s="273"/>
      <c r="E702" s="273"/>
      <c r="F702" s="272"/>
    </row>
    <row r="703" spans="2:6" ht="12" customHeight="1" x14ac:dyDescent="0.15">
      <c r="B703" s="274"/>
      <c r="C703" s="273"/>
      <c r="D703" s="273"/>
      <c r="E703" s="273"/>
      <c r="F703" s="272"/>
    </row>
    <row r="704" spans="2:6" ht="12" customHeight="1" x14ac:dyDescent="0.15">
      <c r="B704" s="274"/>
      <c r="C704" s="273"/>
      <c r="D704" s="273"/>
      <c r="E704" s="273"/>
      <c r="F704" s="272"/>
    </row>
    <row r="705" spans="2:6" ht="12" customHeight="1" x14ac:dyDescent="0.15">
      <c r="B705" s="274"/>
      <c r="C705" s="273"/>
      <c r="D705" s="273"/>
      <c r="E705" s="273"/>
      <c r="F705" s="272"/>
    </row>
    <row r="706" spans="2:6" ht="12" customHeight="1" x14ac:dyDescent="0.15">
      <c r="B706" s="274"/>
      <c r="C706" s="273"/>
      <c r="D706" s="273"/>
      <c r="E706" s="273"/>
      <c r="F706" s="272"/>
    </row>
    <row r="707" spans="2:6" ht="12" customHeight="1" x14ac:dyDescent="0.15">
      <c r="B707" s="274"/>
      <c r="C707" s="273"/>
      <c r="D707" s="273"/>
      <c r="E707" s="273"/>
      <c r="F707" s="272"/>
    </row>
    <row r="708" spans="2:6" ht="12" customHeight="1" x14ac:dyDescent="0.15">
      <c r="B708" s="274"/>
      <c r="C708" s="273"/>
      <c r="D708" s="273"/>
      <c r="E708" s="273"/>
      <c r="F708" s="272"/>
    </row>
    <row r="709" spans="2:6" ht="12" customHeight="1" x14ac:dyDescent="0.15">
      <c r="B709" s="274"/>
      <c r="C709" s="273"/>
      <c r="D709" s="273"/>
      <c r="E709" s="273"/>
      <c r="F709" s="272"/>
    </row>
    <row r="710" spans="2:6" ht="12" customHeight="1" x14ac:dyDescent="0.15">
      <c r="B710" s="274"/>
      <c r="C710" s="273"/>
      <c r="D710" s="273"/>
      <c r="E710" s="273"/>
      <c r="F710" s="272"/>
    </row>
    <row r="711" spans="2:6" ht="12" customHeight="1" x14ac:dyDescent="0.15">
      <c r="B711" s="274"/>
      <c r="C711" s="273"/>
      <c r="D711" s="273"/>
      <c r="E711" s="273"/>
      <c r="F711" s="272"/>
    </row>
    <row r="712" spans="2:6" ht="12" customHeight="1" x14ac:dyDescent="0.15">
      <c r="B712" s="274"/>
      <c r="C712" s="273"/>
      <c r="D712" s="273"/>
      <c r="E712" s="273"/>
      <c r="F712" s="272"/>
    </row>
    <row r="713" spans="2:6" ht="12" customHeight="1" x14ac:dyDescent="0.15">
      <c r="B713" s="274"/>
      <c r="C713" s="273"/>
      <c r="D713" s="273"/>
      <c r="E713" s="273"/>
      <c r="F713" s="272"/>
    </row>
    <row r="714" spans="2:6" ht="12" customHeight="1" x14ac:dyDescent="0.15">
      <c r="B714" s="274"/>
      <c r="C714" s="273"/>
      <c r="D714" s="273"/>
      <c r="E714" s="273"/>
      <c r="F714" s="272"/>
    </row>
    <row r="715" spans="2:6" ht="12" customHeight="1" x14ac:dyDescent="0.15">
      <c r="B715" s="274"/>
      <c r="C715" s="273"/>
      <c r="D715" s="273"/>
      <c r="E715" s="273"/>
      <c r="F715" s="272"/>
    </row>
    <row r="716" spans="2:6" ht="12" customHeight="1" x14ac:dyDescent="0.15">
      <c r="B716" s="274"/>
      <c r="C716" s="273"/>
      <c r="D716" s="273"/>
      <c r="E716" s="273"/>
      <c r="F716" s="272"/>
    </row>
    <row r="717" spans="2:6" ht="12" customHeight="1" x14ac:dyDescent="0.15">
      <c r="B717" s="274"/>
      <c r="C717" s="273"/>
      <c r="D717" s="273"/>
      <c r="E717" s="273"/>
      <c r="F717" s="272"/>
    </row>
    <row r="718" spans="2:6" ht="12" customHeight="1" x14ac:dyDescent="0.15">
      <c r="B718" s="274"/>
      <c r="C718" s="273"/>
      <c r="D718" s="273"/>
      <c r="E718" s="273"/>
      <c r="F718" s="272"/>
    </row>
    <row r="719" spans="2:6" ht="12" customHeight="1" x14ac:dyDescent="0.15">
      <c r="B719" s="274"/>
      <c r="C719" s="273"/>
      <c r="D719" s="273"/>
      <c r="E719" s="273"/>
      <c r="F719" s="272"/>
    </row>
    <row r="720" spans="2:6" ht="12" customHeight="1" x14ac:dyDescent="0.15">
      <c r="B720" s="274"/>
      <c r="C720" s="273"/>
      <c r="D720" s="273"/>
      <c r="E720" s="273"/>
      <c r="F720" s="272"/>
    </row>
    <row r="721" spans="2:6" ht="12" customHeight="1" x14ac:dyDescent="0.15">
      <c r="B721" s="274"/>
      <c r="C721" s="273"/>
      <c r="D721" s="273"/>
      <c r="E721" s="273"/>
      <c r="F721" s="272"/>
    </row>
    <row r="722" spans="2:6" ht="12" customHeight="1" x14ac:dyDescent="0.15">
      <c r="B722" s="274"/>
      <c r="C722" s="273"/>
      <c r="D722" s="273"/>
      <c r="E722" s="273"/>
      <c r="F722" s="272"/>
    </row>
    <row r="723" spans="2:6" ht="12" customHeight="1" x14ac:dyDescent="0.15">
      <c r="B723" s="274"/>
      <c r="C723" s="273"/>
      <c r="D723" s="273"/>
      <c r="E723" s="273"/>
      <c r="F723" s="272"/>
    </row>
    <row r="724" spans="2:6" ht="12" customHeight="1" x14ac:dyDescent="0.15">
      <c r="B724" s="274"/>
      <c r="C724" s="273"/>
      <c r="D724" s="273"/>
      <c r="E724" s="273"/>
      <c r="F724" s="272"/>
    </row>
    <row r="725" spans="2:6" ht="12" customHeight="1" x14ac:dyDescent="0.15">
      <c r="B725" s="274"/>
      <c r="C725" s="273"/>
      <c r="D725" s="273"/>
      <c r="E725" s="273"/>
      <c r="F725" s="272"/>
    </row>
    <row r="726" spans="2:6" ht="12" customHeight="1" x14ac:dyDescent="0.15">
      <c r="B726" s="274"/>
      <c r="C726" s="273"/>
      <c r="D726" s="273"/>
      <c r="E726" s="273"/>
      <c r="F726" s="272"/>
    </row>
    <row r="727" spans="2:6" ht="12" customHeight="1" x14ac:dyDescent="0.15">
      <c r="B727" s="274"/>
      <c r="C727" s="273"/>
      <c r="D727" s="273"/>
      <c r="E727" s="273"/>
      <c r="F727" s="272"/>
    </row>
    <row r="728" spans="2:6" ht="12" customHeight="1" x14ac:dyDescent="0.15">
      <c r="B728" s="274"/>
      <c r="C728" s="273"/>
      <c r="D728" s="273"/>
      <c r="E728" s="273"/>
      <c r="F728" s="272"/>
    </row>
    <row r="729" spans="2:6" ht="12" customHeight="1" x14ac:dyDescent="0.15">
      <c r="B729" s="274"/>
      <c r="C729" s="273"/>
      <c r="D729" s="273"/>
      <c r="E729" s="273"/>
      <c r="F729" s="272"/>
    </row>
    <row r="730" spans="2:6" ht="12" customHeight="1" x14ac:dyDescent="0.15">
      <c r="B730" s="274"/>
      <c r="C730" s="273"/>
      <c r="D730" s="273"/>
      <c r="E730" s="273"/>
      <c r="F730" s="272"/>
    </row>
    <row r="731" spans="2:6" ht="12" customHeight="1" x14ac:dyDescent="0.15">
      <c r="B731" s="274"/>
      <c r="C731" s="273"/>
      <c r="D731" s="273"/>
      <c r="E731" s="273"/>
      <c r="F731" s="272"/>
    </row>
    <row r="732" spans="2:6" ht="12" customHeight="1" x14ac:dyDescent="0.15">
      <c r="B732" s="274"/>
      <c r="C732" s="273"/>
      <c r="D732" s="273"/>
      <c r="E732" s="273"/>
      <c r="F732" s="272"/>
    </row>
    <row r="733" spans="2:6" ht="12" customHeight="1" x14ac:dyDescent="0.15">
      <c r="B733" s="274"/>
      <c r="C733" s="273"/>
      <c r="D733" s="273"/>
      <c r="E733" s="273"/>
      <c r="F733" s="272"/>
    </row>
    <row r="734" spans="2:6" ht="12" customHeight="1" x14ac:dyDescent="0.15">
      <c r="B734" s="274"/>
      <c r="C734" s="273"/>
      <c r="D734" s="273"/>
      <c r="E734" s="273"/>
      <c r="F734" s="272"/>
    </row>
    <row r="735" spans="2:6" ht="12" customHeight="1" x14ac:dyDescent="0.15">
      <c r="B735" s="274"/>
      <c r="C735" s="273"/>
      <c r="D735" s="273"/>
      <c r="E735" s="273"/>
      <c r="F735" s="272"/>
    </row>
    <row r="736" spans="2:6" ht="12" customHeight="1" x14ac:dyDescent="0.15">
      <c r="B736" s="274"/>
      <c r="C736" s="273"/>
      <c r="D736" s="273"/>
      <c r="E736" s="273"/>
      <c r="F736" s="272"/>
    </row>
    <row r="737" spans="2:6" ht="12" customHeight="1" x14ac:dyDescent="0.15">
      <c r="B737" s="274"/>
      <c r="C737" s="273"/>
      <c r="D737" s="273"/>
      <c r="E737" s="273"/>
      <c r="F737" s="272"/>
    </row>
    <row r="738" spans="2:6" ht="12" customHeight="1" x14ac:dyDescent="0.15">
      <c r="B738" s="274"/>
      <c r="C738" s="273"/>
      <c r="D738" s="273"/>
      <c r="E738" s="273"/>
      <c r="F738" s="272"/>
    </row>
    <row r="739" spans="2:6" ht="12" customHeight="1" x14ac:dyDescent="0.15">
      <c r="B739" s="274"/>
      <c r="C739" s="273"/>
      <c r="D739" s="273"/>
      <c r="E739" s="273"/>
      <c r="F739" s="272"/>
    </row>
    <row r="740" spans="2:6" ht="12" customHeight="1" x14ac:dyDescent="0.15">
      <c r="B740" s="274"/>
      <c r="C740" s="273"/>
      <c r="D740" s="273"/>
      <c r="E740" s="273"/>
      <c r="F740" s="272"/>
    </row>
    <row r="741" spans="2:6" ht="12" customHeight="1" x14ac:dyDescent="0.15">
      <c r="B741" s="274"/>
      <c r="C741" s="273"/>
      <c r="D741" s="273"/>
      <c r="E741" s="273"/>
      <c r="F741" s="272"/>
    </row>
    <row r="742" spans="2:6" ht="12" customHeight="1" x14ac:dyDescent="0.15">
      <c r="B742" s="274"/>
      <c r="C742" s="273"/>
      <c r="D742" s="273"/>
      <c r="E742" s="273"/>
      <c r="F742" s="272"/>
    </row>
    <row r="743" spans="2:6" ht="12" customHeight="1" x14ac:dyDescent="0.15">
      <c r="B743" s="274"/>
      <c r="C743" s="273"/>
      <c r="D743" s="273"/>
      <c r="E743" s="273"/>
      <c r="F743" s="272"/>
    </row>
    <row r="744" spans="2:6" ht="12" customHeight="1" x14ac:dyDescent="0.15">
      <c r="B744" s="274"/>
      <c r="C744" s="273"/>
      <c r="D744" s="273"/>
      <c r="E744" s="273"/>
      <c r="F744" s="272"/>
    </row>
    <row r="745" spans="2:6" ht="12" customHeight="1" x14ac:dyDescent="0.15">
      <c r="B745" s="274"/>
      <c r="C745" s="273"/>
      <c r="D745" s="273"/>
      <c r="E745" s="273"/>
      <c r="F745" s="272"/>
    </row>
    <row r="746" spans="2:6" ht="12" customHeight="1" x14ac:dyDescent="0.15">
      <c r="B746" s="274"/>
      <c r="C746" s="273"/>
      <c r="D746" s="273"/>
      <c r="E746" s="273"/>
      <c r="F746" s="272"/>
    </row>
    <row r="747" spans="2:6" ht="12" customHeight="1" x14ac:dyDescent="0.15">
      <c r="B747" s="274"/>
      <c r="C747" s="273"/>
      <c r="D747" s="273"/>
      <c r="E747" s="273"/>
      <c r="F747" s="272"/>
    </row>
    <row r="748" spans="2:6" ht="12" customHeight="1" x14ac:dyDescent="0.15">
      <c r="B748" s="274"/>
      <c r="C748" s="273"/>
      <c r="D748" s="273"/>
      <c r="E748" s="273"/>
      <c r="F748" s="272"/>
    </row>
    <row r="749" spans="2:6" ht="12" customHeight="1" x14ac:dyDescent="0.15">
      <c r="B749" s="274"/>
      <c r="C749" s="273"/>
      <c r="D749" s="273"/>
      <c r="E749" s="273"/>
      <c r="F749" s="272"/>
    </row>
    <row r="750" spans="2:6" ht="12" customHeight="1" x14ac:dyDescent="0.15">
      <c r="B750" s="274"/>
      <c r="C750" s="273"/>
      <c r="D750" s="273"/>
      <c r="E750" s="273"/>
      <c r="F750" s="272"/>
    </row>
    <row r="751" spans="2:6" ht="12" customHeight="1" x14ac:dyDescent="0.15">
      <c r="B751" s="274"/>
      <c r="C751" s="273"/>
      <c r="D751" s="273"/>
      <c r="E751" s="273"/>
      <c r="F751" s="272"/>
    </row>
    <row r="752" spans="2:6" ht="12" customHeight="1" x14ac:dyDescent="0.15">
      <c r="B752" s="274"/>
      <c r="C752" s="273"/>
      <c r="D752" s="273"/>
      <c r="E752" s="273"/>
      <c r="F752" s="272"/>
    </row>
    <row r="753" spans="2:6" ht="12" customHeight="1" x14ac:dyDescent="0.15">
      <c r="B753" s="274"/>
      <c r="C753" s="273"/>
      <c r="D753" s="273"/>
      <c r="E753" s="273"/>
      <c r="F753" s="272"/>
    </row>
    <row r="754" spans="2:6" ht="12" customHeight="1" x14ac:dyDescent="0.15">
      <c r="B754" s="274"/>
      <c r="C754" s="273"/>
      <c r="D754" s="273"/>
      <c r="E754" s="273"/>
      <c r="F754" s="272"/>
    </row>
    <row r="755" spans="2:6" ht="12" customHeight="1" x14ac:dyDescent="0.15">
      <c r="B755" s="274"/>
      <c r="C755" s="273"/>
      <c r="D755" s="273"/>
      <c r="E755" s="273"/>
      <c r="F755" s="272"/>
    </row>
    <row r="756" spans="2:6" ht="12" customHeight="1" x14ac:dyDescent="0.15">
      <c r="B756" s="274"/>
      <c r="C756" s="273"/>
      <c r="D756" s="273"/>
      <c r="E756" s="273"/>
      <c r="F756" s="272"/>
    </row>
    <row r="757" spans="2:6" ht="12" customHeight="1" x14ac:dyDescent="0.15">
      <c r="B757" s="274"/>
      <c r="C757" s="273"/>
      <c r="D757" s="273"/>
      <c r="E757" s="273"/>
      <c r="F757" s="272"/>
    </row>
    <row r="758" spans="2:6" ht="12" customHeight="1" x14ac:dyDescent="0.15">
      <c r="B758" s="274"/>
      <c r="C758" s="273"/>
      <c r="D758" s="273"/>
      <c r="E758" s="273"/>
      <c r="F758" s="272"/>
    </row>
    <row r="759" spans="2:6" ht="12" customHeight="1" x14ac:dyDescent="0.15">
      <c r="B759" s="274"/>
      <c r="C759" s="273"/>
      <c r="D759" s="273"/>
      <c r="E759" s="273"/>
      <c r="F759" s="272"/>
    </row>
    <row r="760" spans="2:6" ht="12" customHeight="1" x14ac:dyDescent="0.15">
      <c r="B760" s="274"/>
      <c r="C760" s="273"/>
      <c r="D760" s="273"/>
      <c r="E760" s="273"/>
      <c r="F760" s="272"/>
    </row>
    <row r="761" spans="2:6" ht="12" customHeight="1" x14ac:dyDescent="0.15">
      <c r="B761" s="274"/>
      <c r="C761" s="273"/>
      <c r="D761" s="273"/>
      <c r="E761" s="273"/>
      <c r="F761" s="272"/>
    </row>
    <row r="762" spans="2:6" ht="12" customHeight="1" x14ac:dyDescent="0.15">
      <c r="B762" s="274"/>
      <c r="C762" s="273"/>
      <c r="D762" s="273"/>
      <c r="E762" s="273"/>
      <c r="F762" s="272"/>
    </row>
    <row r="763" spans="2:6" ht="12" customHeight="1" x14ac:dyDescent="0.15">
      <c r="B763" s="274"/>
      <c r="C763" s="273"/>
      <c r="D763" s="273"/>
      <c r="E763" s="273"/>
      <c r="F763" s="272"/>
    </row>
    <row r="764" spans="2:6" ht="12" customHeight="1" x14ac:dyDescent="0.15">
      <c r="B764" s="274"/>
      <c r="C764" s="273"/>
      <c r="D764" s="273"/>
      <c r="E764" s="273"/>
      <c r="F764" s="272"/>
    </row>
    <row r="765" spans="2:6" ht="12" customHeight="1" x14ac:dyDescent="0.15">
      <c r="B765" s="274"/>
      <c r="C765" s="273"/>
      <c r="D765" s="273"/>
      <c r="E765" s="273"/>
      <c r="F765" s="272"/>
    </row>
    <row r="766" spans="2:6" ht="12" customHeight="1" x14ac:dyDescent="0.15">
      <c r="B766" s="274"/>
      <c r="C766" s="273"/>
      <c r="D766" s="273"/>
      <c r="E766" s="273"/>
      <c r="F766" s="272"/>
    </row>
    <row r="767" spans="2:6" ht="12" customHeight="1" x14ac:dyDescent="0.15">
      <c r="B767" s="274"/>
      <c r="C767" s="273"/>
      <c r="D767" s="273"/>
      <c r="E767" s="273"/>
      <c r="F767" s="272"/>
    </row>
    <row r="768" spans="2:6" ht="12" customHeight="1" x14ac:dyDescent="0.15">
      <c r="B768" s="274"/>
      <c r="C768" s="273"/>
      <c r="D768" s="273"/>
      <c r="E768" s="273"/>
      <c r="F768" s="272"/>
    </row>
    <row r="769" spans="2:6" ht="12" customHeight="1" x14ac:dyDescent="0.15">
      <c r="B769" s="274"/>
      <c r="C769" s="273"/>
      <c r="D769" s="273"/>
      <c r="E769" s="273"/>
      <c r="F769" s="272"/>
    </row>
    <row r="770" spans="2:6" ht="12" customHeight="1" x14ac:dyDescent="0.15">
      <c r="B770" s="274"/>
      <c r="C770" s="273"/>
      <c r="D770" s="273"/>
      <c r="E770" s="273"/>
      <c r="F770" s="272"/>
    </row>
    <row r="771" spans="2:6" ht="12" customHeight="1" x14ac:dyDescent="0.15">
      <c r="B771" s="274"/>
      <c r="C771" s="273"/>
      <c r="D771" s="273"/>
      <c r="E771" s="273"/>
      <c r="F771" s="272"/>
    </row>
    <row r="772" spans="2:6" ht="12" customHeight="1" x14ac:dyDescent="0.15">
      <c r="B772" s="274"/>
      <c r="C772" s="273"/>
      <c r="D772" s="273"/>
      <c r="E772" s="273"/>
      <c r="F772" s="272"/>
    </row>
    <row r="773" spans="2:6" ht="12" customHeight="1" x14ac:dyDescent="0.15">
      <c r="B773" s="274"/>
      <c r="C773" s="273"/>
      <c r="D773" s="273"/>
      <c r="E773" s="273"/>
      <c r="F773" s="272"/>
    </row>
    <row r="774" spans="2:6" ht="12" customHeight="1" x14ac:dyDescent="0.15">
      <c r="B774" s="274"/>
      <c r="C774" s="273"/>
      <c r="D774" s="273"/>
      <c r="E774" s="273"/>
      <c r="F774" s="272"/>
    </row>
    <row r="775" spans="2:6" ht="12" customHeight="1" x14ac:dyDescent="0.15">
      <c r="B775" s="274"/>
      <c r="C775" s="273"/>
      <c r="D775" s="273"/>
      <c r="E775" s="273"/>
      <c r="F775" s="272"/>
    </row>
    <row r="776" spans="2:6" ht="12" customHeight="1" x14ac:dyDescent="0.15">
      <c r="B776" s="274"/>
      <c r="C776" s="273"/>
      <c r="D776" s="273"/>
      <c r="E776" s="273"/>
      <c r="F776" s="272"/>
    </row>
    <row r="777" spans="2:6" ht="12" customHeight="1" x14ac:dyDescent="0.15">
      <c r="B777" s="274"/>
      <c r="C777" s="273"/>
      <c r="D777" s="273"/>
      <c r="E777" s="273"/>
      <c r="F777" s="272"/>
    </row>
    <row r="778" spans="2:6" ht="12" customHeight="1" x14ac:dyDescent="0.15">
      <c r="B778" s="274"/>
      <c r="C778" s="273"/>
      <c r="D778" s="273"/>
      <c r="E778" s="273"/>
      <c r="F778" s="272"/>
    </row>
    <row r="779" spans="2:6" ht="12" customHeight="1" x14ac:dyDescent="0.15">
      <c r="B779" s="274"/>
      <c r="C779" s="273"/>
      <c r="D779" s="273"/>
      <c r="E779" s="273"/>
      <c r="F779" s="272"/>
    </row>
    <row r="780" spans="2:6" ht="12" customHeight="1" x14ac:dyDescent="0.15">
      <c r="B780" s="274"/>
      <c r="C780" s="273"/>
      <c r="D780" s="273"/>
      <c r="E780" s="273"/>
      <c r="F780" s="272"/>
    </row>
    <row r="781" spans="2:6" ht="12" customHeight="1" x14ac:dyDescent="0.15">
      <c r="B781" s="274"/>
      <c r="C781" s="273"/>
      <c r="D781" s="273"/>
      <c r="E781" s="273"/>
      <c r="F781" s="272"/>
    </row>
    <row r="782" spans="2:6" ht="12" customHeight="1" x14ac:dyDescent="0.15">
      <c r="B782" s="274"/>
      <c r="C782" s="273"/>
      <c r="D782" s="273"/>
      <c r="E782" s="273"/>
      <c r="F782" s="272"/>
    </row>
    <row r="783" spans="2:6" ht="12" customHeight="1" x14ac:dyDescent="0.15">
      <c r="B783" s="274"/>
      <c r="C783" s="273"/>
      <c r="D783" s="273"/>
      <c r="E783" s="273"/>
      <c r="F783" s="272"/>
    </row>
    <row r="784" spans="2:6" ht="12" customHeight="1" x14ac:dyDescent="0.15">
      <c r="B784" s="274"/>
      <c r="C784" s="273"/>
      <c r="D784" s="273"/>
      <c r="E784" s="273"/>
      <c r="F784" s="272"/>
    </row>
    <row r="785" spans="2:6" ht="12" customHeight="1" x14ac:dyDescent="0.15">
      <c r="B785" s="274"/>
      <c r="C785" s="273"/>
      <c r="D785" s="273"/>
      <c r="E785" s="273"/>
      <c r="F785" s="272"/>
    </row>
    <row r="786" spans="2:6" ht="12" customHeight="1" x14ac:dyDescent="0.15">
      <c r="B786" s="274"/>
      <c r="C786" s="273"/>
      <c r="D786" s="273"/>
      <c r="E786" s="273"/>
      <c r="F786" s="272"/>
    </row>
    <row r="787" spans="2:6" ht="12" customHeight="1" x14ac:dyDescent="0.15">
      <c r="B787" s="274"/>
      <c r="C787" s="273"/>
      <c r="D787" s="273"/>
      <c r="E787" s="273"/>
      <c r="F787" s="272"/>
    </row>
    <row r="788" spans="2:6" ht="12" customHeight="1" x14ac:dyDescent="0.15">
      <c r="B788" s="274"/>
      <c r="C788" s="273"/>
      <c r="D788" s="273"/>
      <c r="E788" s="273"/>
      <c r="F788" s="272"/>
    </row>
    <row r="789" spans="2:6" ht="12" customHeight="1" x14ac:dyDescent="0.15">
      <c r="B789" s="274"/>
      <c r="C789" s="273"/>
      <c r="D789" s="273"/>
      <c r="E789" s="273"/>
      <c r="F789" s="272"/>
    </row>
    <row r="790" spans="2:6" ht="12" customHeight="1" x14ac:dyDescent="0.15">
      <c r="B790" s="274"/>
      <c r="C790" s="273"/>
      <c r="D790" s="273"/>
      <c r="E790" s="273"/>
      <c r="F790" s="272"/>
    </row>
    <row r="791" spans="2:6" ht="12" customHeight="1" x14ac:dyDescent="0.15">
      <c r="B791" s="274"/>
      <c r="C791" s="273"/>
      <c r="D791" s="273"/>
      <c r="E791" s="273"/>
      <c r="F791" s="272"/>
    </row>
    <row r="792" spans="2:6" ht="12" customHeight="1" x14ac:dyDescent="0.15">
      <c r="B792" s="274"/>
      <c r="C792" s="273"/>
      <c r="D792" s="273"/>
      <c r="E792" s="273"/>
      <c r="F792" s="272"/>
    </row>
    <row r="793" spans="2:6" ht="12" customHeight="1" x14ac:dyDescent="0.15">
      <c r="B793" s="274"/>
      <c r="C793" s="273"/>
      <c r="D793" s="273"/>
      <c r="E793" s="273"/>
      <c r="F793" s="272"/>
    </row>
    <row r="794" spans="2:6" ht="12" customHeight="1" x14ac:dyDescent="0.15">
      <c r="B794" s="274"/>
      <c r="C794" s="273"/>
      <c r="D794" s="273"/>
      <c r="E794" s="273"/>
      <c r="F794" s="272"/>
    </row>
    <row r="795" spans="2:6" ht="12" customHeight="1" x14ac:dyDescent="0.15">
      <c r="B795" s="274"/>
      <c r="C795" s="273"/>
      <c r="D795" s="273"/>
      <c r="E795" s="273"/>
      <c r="F795" s="272"/>
    </row>
    <row r="796" spans="2:6" ht="12" customHeight="1" x14ac:dyDescent="0.15">
      <c r="B796" s="274"/>
      <c r="C796" s="273"/>
      <c r="D796" s="273"/>
      <c r="E796" s="273"/>
      <c r="F796" s="272"/>
    </row>
    <row r="797" spans="2:6" ht="12" customHeight="1" x14ac:dyDescent="0.15">
      <c r="B797" s="274"/>
      <c r="C797" s="273"/>
      <c r="D797" s="273"/>
      <c r="E797" s="273"/>
      <c r="F797" s="272"/>
    </row>
    <row r="798" spans="2:6" ht="12" customHeight="1" x14ac:dyDescent="0.15">
      <c r="B798" s="274"/>
      <c r="C798" s="273"/>
      <c r="D798" s="273"/>
      <c r="E798" s="273"/>
      <c r="F798" s="272"/>
    </row>
    <row r="799" spans="2:6" ht="12" customHeight="1" x14ac:dyDescent="0.15">
      <c r="B799" s="274"/>
      <c r="C799" s="273"/>
      <c r="D799" s="273"/>
      <c r="E799" s="273"/>
      <c r="F799" s="272"/>
    </row>
    <row r="800" spans="2:6" ht="12" customHeight="1" x14ac:dyDescent="0.15">
      <c r="B800" s="274"/>
      <c r="C800" s="273"/>
      <c r="D800" s="273"/>
      <c r="E800" s="273"/>
      <c r="F800" s="272"/>
    </row>
    <row r="801" spans="2:6" ht="12" customHeight="1" x14ac:dyDescent="0.15">
      <c r="B801" s="274"/>
      <c r="C801" s="273"/>
      <c r="D801" s="273"/>
      <c r="E801" s="273"/>
      <c r="F801" s="272"/>
    </row>
    <row r="802" spans="2:6" ht="12" customHeight="1" x14ac:dyDescent="0.15">
      <c r="B802" s="274"/>
      <c r="C802" s="273"/>
      <c r="D802" s="273"/>
      <c r="E802" s="273"/>
      <c r="F802" s="272"/>
    </row>
    <row r="803" spans="2:6" ht="12" customHeight="1" x14ac:dyDescent="0.15">
      <c r="B803" s="274"/>
      <c r="C803" s="273"/>
      <c r="D803" s="273"/>
      <c r="E803" s="273"/>
      <c r="F803" s="272"/>
    </row>
    <row r="804" spans="2:6" ht="12" customHeight="1" x14ac:dyDescent="0.15">
      <c r="B804" s="274"/>
      <c r="C804" s="273"/>
      <c r="D804" s="273"/>
      <c r="E804" s="273"/>
      <c r="F804" s="272"/>
    </row>
    <row r="805" spans="2:6" ht="12" customHeight="1" x14ac:dyDescent="0.15">
      <c r="B805" s="274"/>
      <c r="C805" s="273"/>
      <c r="D805" s="273"/>
      <c r="E805" s="273"/>
      <c r="F805" s="272"/>
    </row>
    <row r="806" spans="2:6" ht="12" customHeight="1" x14ac:dyDescent="0.15">
      <c r="B806" s="274"/>
      <c r="C806" s="273"/>
      <c r="D806" s="273"/>
      <c r="E806" s="273"/>
      <c r="F806" s="272"/>
    </row>
    <row r="807" spans="2:6" ht="12" customHeight="1" x14ac:dyDescent="0.15">
      <c r="B807" s="274"/>
      <c r="C807" s="273"/>
      <c r="D807" s="273"/>
      <c r="E807" s="273"/>
      <c r="F807" s="272"/>
    </row>
    <row r="808" spans="2:6" ht="12" customHeight="1" x14ac:dyDescent="0.15">
      <c r="B808" s="274"/>
      <c r="C808" s="273"/>
      <c r="D808" s="273"/>
      <c r="E808" s="273"/>
      <c r="F808" s="272"/>
    </row>
    <row r="809" spans="2:6" ht="12" customHeight="1" x14ac:dyDescent="0.15">
      <c r="B809" s="274"/>
      <c r="C809" s="273"/>
      <c r="D809" s="273"/>
      <c r="E809" s="273"/>
      <c r="F809" s="272"/>
    </row>
    <row r="810" spans="2:6" ht="12" customHeight="1" x14ac:dyDescent="0.15">
      <c r="B810" s="274"/>
      <c r="C810" s="273"/>
      <c r="D810" s="273"/>
      <c r="E810" s="273"/>
      <c r="F810" s="272"/>
    </row>
    <row r="811" spans="2:6" ht="12" customHeight="1" x14ac:dyDescent="0.15">
      <c r="B811" s="274"/>
      <c r="C811" s="273"/>
      <c r="D811" s="273"/>
      <c r="E811" s="273"/>
      <c r="F811" s="272"/>
    </row>
    <row r="812" spans="2:6" ht="12" customHeight="1" x14ac:dyDescent="0.15">
      <c r="B812" s="274"/>
      <c r="C812" s="273"/>
      <c r="D812" s="273"/>
      <c r="E812" s="273"/>
      <c r="F812" s="272"/>
    </row>
    <row r="813" spans="2:6" ht="12" customHeight="1" x14ac:dyDescent="0.15">
      <c r="B813" s="274"/>
      <c r="C813" s="273"/>
      <c r="D813" s="273"/>
      <c r="E813" s="273"/>
      <c r="F813" s="272"/>
    </row>
    <row r="814" spans="2:6" ht="12" customHeight="1" x14ac:dyDescent="0.15">
      <c r="B814" s="274"/>
      <c r="C814" s="273"/>
      <c r="D814" s="273"/>
      <c r="E814" s="273"/>
      <c r="F814" s="272"/>
    </row>
    <row r="815" spans="2:6" ht="12" customHeight="1" x14ac:dyDescent="0.15">
      <c r="B815" s="274"/>
      <c r="C815" s="273"/>
      <c r="D815" s="273"/>
      <c r="E815" s="273"/>
      <c r="F815" s="272"/>
    </row>
    <row r="816" spans="2:6" ht="12" customHeight="1" x14ac:dyDescent="0.15">
      <c r="B816" s="274"/>
      <c r="C816" s="273"/>
      <c r="D816" s="273"/>
      <c r="E816" s="273"/>
      <c r="F816" s="272"/>
    </row>
    <row r="817" spans="2:6" ht="12" customHeight="1" x14ac:dyDescent="0.15">
      <c r="B817" s="274"/>
      <c r="C817" s="273"/>
      <c r="D817" s="273"/>
      <c r="E817" s="273"/>
      <c r="F817" s="272"/>
    </row>
    <row r="818" spans="2:6" ht="12" customHeight="1" x14ac:dyDescent="0.15">
      <c r="B818" s="274"/>
      <c r="C818" s="273"/>
      <c r="D818" s="273"/>
      <c r="E818" s="273"/>
      <c r="F818" s="272"/>
    </row>
    <row r="819" spans="2:6" ht="12" customHeight="1" x14ac:dyDescent="0.15">
      <c r="B819" s="274"/>
      <c r="C819" s="273"/>
      <c r="D819" s="273"/>
      <c r="E819" s="273"/>
      <c r="F819" s="272"/>
    </row>
    <row r="820" spans="2:6" ht="12" customHeight="1" x14ac:dyDescent="0.15">
      <c r="B820" s="274"/>
      <c r="C820" s="273"/>
      <c r="D820" s="273"/>
      <c r="E820" s="273"/>
      <c r="F820" s="272"/>
    </row>
    <row r="821" spans="2:6" ht="12" customHeight="1" x14ac:dyDescent="0.15">
      <c r="B821" s="274"/>
      <c r="C821" s="273"/>
      <c r="D821" s="273"/>
      <c r="E821" s="273"/>
      <c r="F821" s="272"/>
    </row>
    <row r="822" spans="2:6" ht="12" customHeight="1" x14ac:dyDescent="0.15">
      <c r="B822" s="274"/>
      <c r="C822" s="273"/>
      <c r="D822" s="273"/>
      <c r="E822" s="273"/>
      <c r="F822" s="272"/>
    </row>
    <row r="823" spans="2:6" ht="12" customHeight="1" x14ac:dyDescent="0.15">
      <c r="B823" s="274"/>
      <c r="C823" s="273"/>
      <c r="D823" s="273"/>
      <c r="E823" s="273"/>
      <c r="F823" s="272"/>
    </row>
    <row r="824" spans="2:6" ht="12" customHeight="1" x14ac:dyDescent="0.15">
      <c r="B824" s="274"/>
      <c r="C824" s="273"/>
      <c r="D824" s="273"/>
      <c r="E824" s="273"/>
      <c r="F824" s="272"/>
    </row>
    <row r="825" spans="2:6" ht="12" customHeight="1" x14ac:dyDescent="0.15">
      <c r="B825" s="274"/>
      <c r="C825" s="273"/>
      <c r="D825" s="273"/>
      <c r="E825" s="273"/>
      <c r="F825" s="272"/>
    </row>
    <row r="826" spans="2:6" ht="12" customHeight="1" x14ac:dyDescent="0.15">
      <c r="B826" s="274"/>
      <c r="C826" s="273"/>
      <c r="D826" s="273"/>
      <c r="E826" s="273"/>
      <c r="F826" s="272"/>
    </row>
    <row r="827" spans="2:6" ht="12" customHeight="1" x14ac:dyDescent="0.15">
      <c r="B827" s="274"/>
      <c r="C827" s="273"/>
      <c r="D827" s="273"/>
      <c r="E827" s="273"/>
      <c r="F827" s="272"/>
    </row>
    <row r="828" spans="2:6" ht="12" customHeight="1" x14ac:dyDescent="0.15">
      <c r="B828" s="274"/>
      <c r="C828" s="273"/>
      <c r="D828" s="273"/>
      <c r="E828" s="273"/>
      <c r="F828" s="272"/>
    </row>
    <row r="829" spans="2:6" ht="12" customHeight="1" x14ac:dyDescent="0.15">
      <c r="B829" s="274"/>
      <c r="C829" s="273"/>
      <c r="D829" s="273"/>
      <c r="E829" s="273"/>
      <c r="F829" s="272"/>
    </row>
    <row r="830" spans="2:6" ht="12" customHeight="1" x14ac:dyDescent="0.15">
      <c r="B830" s="274"/>
      <c r="C830" s="273"/>
      <c r="D830" s="273"/>
      <c r="E830" s="273"/>
      <c r="F830" s="272"/>
    </row>
    <row r="831" spans="2:6" ht="12" customHeight="1" x14ac:dyDescent="0.15">
      <c r="B831" s="274"/>
      <c r="C831" s="273"/>
      <c r="D831" s="273"/>
      <c r="E831" s="273"/>
      <c r="F831" s="272"/>
    </row>
    <row r="832" spans="2:6" ht="12" customHeight="1" x14ac:dyDescent="0.15">
      <c r="B832" s="274"/>
      <c r="C832" s="273"/>
      <c r="D832" s="273"/>
      <c r="E832" s="273"/>
      <c r="F832" s="272"/>
    </row>
    <row r="833" spans="2:6" ht="12" customHeight="1" x14ac:dyDescent="0.15">
      <c r="B833" s="274"/>
      <c r="C833" s="273"/>
      <c r="D833" s="273"/>
      <c r="E833" s="273"/>
      <c r="F833" s="272"/>
    </row>
    <row r="834" spans="2:6" ht="12" customHeight="1" x14ac:dyDescent="0.15">
      <c r="B834" s="274"/>
      <c r="C834" s="273"/>
      <c r="D834" s="273"/>
      <c r="E834" s="273"/>
      <c r="F834" s="272"/>
    </row>
    <row r="835" spans="2:6" ht="12" customHeight="1" x14ac:dyDescent="0.15">
      <c r="B835" s="274"/>
      <c r="C835" s="273"/>
      <c r="D835" s="273"/>
      <c r="E835" s="273"/>
      <c r="F835" s="272"/>
    </row>
    <row r="836" spans="2:6" ht="12" customHeight="1" x14ac:dyDescent="0.15">
      <c r="B836" s="274"/>
      <c r="C836" s="273"/>
      <c r="D836" s="273"/>
      <c r="E836" s="273"/>
      <c r="F836" s="272"/>
    </row>
    <row r="837" spans="2:6" ht="12" customHeight="1" x14ac:dyDescent="0.15">
      <c r="B837" s="274"/>
      <c r="C837" s="273"/>
      <c r="D837" s="273"/>
      <c r="E837" s="273"/>
      <c r="F837" s="272"/>
    </row>
    <row r="838" spans="2:6" ht="12" customHeight="1" x14ac:dyDescent="0.15">
      <c r="B838" s="274"/>
      <c r="C838" s="273"/>
      <c r="D838" s="273"/>
      <c r="E838" s="273"/>
      <c r="F838" s="272"/>
    </row>
    <row r="839" spans="2:6" ht="12" customHeight="1" x14ac:dyDescent="0.15">
      <c r="B839" s="274"/>
      <c r="C839" s="273"/>
      <c r="D839" s="273"/>
      <c r="E839" s="273"/>
      <c r="F839" s="272"/>
    </row>
    <row r="840" spans="2:6" ht="12" customHeight="1" x14ac:dyDescent="0.15">
      <c r="B840" s="274"/>
      <c r="C840" s="273"/>
      <c r="D840" s="273"/>
      <c r="E840" s="273"/>
      <c r="F840" s="272"/>
    </row>
    <row r="841" spans="2:6" ht="12" customHeight="1" x14ac:dyDescent="0.15">
      <c r="B841" s="274"/>
      <c r="C841" s="273"/>
      <c r="D841" s="273"/>
      <c r="E841" s="273"/>
      <c r="F841" s="272"/>
    </row>
    <row r="842" spans="2:6" ht="12" customHeight="1" x14ac:dyDescent="0.15">
      <c r="B842" s="274"/>
      <c r="C842" s="273"/>
      <c r="D842" s="273"/>
      <c r="E842" s="273"/>
      <c r="F842" s="272"/>
    </row>
    <row r="843" spans="2:6" ht="12" customHeight="1" x14ac:dyDescent="0.15">
      <c r="B843" s="274"/>
      <c r="C843" s="273"/>
      <c r="D843" s="273"/>
      <c r="E843" s="273"/>
      <c r="F843" s="272"/>
    </row>
    <row r="844" spans="2:6" ht="12" customHeight="1" x14ac:dyDescent="0.15">
      <c r="B844" s="274"/>
      <c r="C844" s="273"/>
      <c r="D844" s="273"/>
      <c r="E844" s="273"/>
      <c r="F844" s="272"/>
    </row>
    <row r="845" spans="2:6" ht="12" customHeight="1" x14ac:dyDescent="0.15">
      <c r="B845" s="274"/>
      <c r="C845" s="273"/>
      <c r="D845" s="273"/>
      <c r="E845" s="273"/>
      <c r="F845" s="272"/>
    </row>
    <row r="846" spans="2:6" ht="12" customHeight="1" x14ac:dyDescent="0.15">
      <c r="B846" s="274"/>
      <c r="C846" s="273"/>
      <c r="D846" s="273"/>
      <c r="E846" s="273"/>
      <c r="F846" s="272"/>
    </row>
    <row r="847" spans="2:6" ht="12" customHeight="1" x14ac:dyDescent="0.15">
      <c r="B847" s="274"/>
      <c r="C847" s="273"/>
      <c r="D847" s="273"/>
      <c r="E847" s="273"/>
      <c r="F847" s="272"/>
    </row>
    <row r="848" spans="2:6" ht="12" customHeight="1" x14ac:dyDescent="0.15">
      <c r="B848" s="274"/>
      <c r="C848" s="273"/>
      <c r="D848" s="273"/>
      <c r="E848" s="273"/>
      <c r="F848" s="272"/>
    </row>
    <row r="849" spans="2:6" ht="12" customHeight="1" x14ac:dyDescent="0.15">
      <c r="B849" s="274"/>
      <c r="C849" s="273"/>
      <c r="D849" s="273"/>
      <c r="E849" s="273"/>
      <c r="F849" s="272"/>
    </row>
    <row r="850" spans="2:6" ht="12" customHeight="1" x14ac:dyDescent="0.15">
      <c r="B850" s="274"/>
      <c r="C850" s="273"/>
      <c r="D850" s="273"/>
      <c r="E850" s="273"/>
      <c r="F850" s="272"/>
    </row>
    <row r="851" spans="2:6" ht="12" customHeight="1" x14ac:dyDescent="0.15">
      <c r="B851" s="274"/>
      <c r="C851" s="273"/>
      <c r="D851" s="273"/>
      <c r="E851" s="273"/>
      <c r="F851" s="272"/>
    </row>
    <row r="852" spans="2:6" ht="12" customHeight="1" x14ac:dyDescent="0.15">
      <c r="B852" s="274"/>
      <c r="C852" s="273"/>
      <c r="D852" s="273"/>
      <c r="E852" s="273"/>
      <c r="F852" s="272"/>
    </row>
    <row r="853" spans="2:6" ht="12" customHeight="1" x14ac:dyDescent="0.15">
      <c r="B853" s="274"/>
      <c r="C853" s="273"/>
      <c r="D853" s="273"/>
      <c r="E853" s="273"/>
      <c r="F853" s="272"/>
    </row>
    <row r="854" spans="2:6" ht="12" customHeight="1" x14ac:dyDescent="0.15">
      <c r="B854" s="274"/>
      <c r="C854" s="273"/>
      <c r="D854" s="273"/>
      <c r="E854" s="273"/>
      <c r="F854" s="272"/>
    </row>
    <row r="855" spans="2:6" ht="12" customHeight="1" x14ac:dyDescent="0.15">
      <c r="B855" s="274"/>
      <c r="C855" s="273"/>
      <c r="D855" s="273"/>
      <c r="E855" s="273"/>
      <c r="F855" s="272"/>
    </row>
    <row r="856" spans="2:6" ht="12" customHeight="1" x14ac:dyDescent="0.15">
      <c r="B856" s="274"/>
      <c r="C856" s="273"/>
      <c r="D856" s="273"/>
      <c r="E856" s="273"/>
      <c r="F856" s="272"/>
    </row>
    <row r="857" spans="2:6" ht="12" customHeight="1" x14ac:dyDescent="0.15">
      <c r="B857" s="274"/>
      <c r="C857" s="273"/>
      <c r="D857" s="273"/>
      <c r="E857" s="273"/>
      <c r="F857" s="272"/>
    </row>
    <row r="858" spans="2:6" ht="12" customHeight="1" x14ac:dyDescent="0.15">
      <c r="B858" s="274"/>
      <c r="C858" s="273"/>
      <c r="D858" s="273"/>
      <c r="E858" s="273"/>
      <c r="F858" s="272"/>
    </row>
    <row r="859" spans="2:6" ht="12" customHeight="1" x14ac:dyDescent="0.15">
      <c r="B859" s="274"/>
      <c r="C859" s="273"/>
      <c r="D859" s="273"/>
      <c r="E859" s="273"/>
      <c r="F859" s="272"/>
    </row>
    <row r="860" spans="2:6" ht="12" customHeight="1" x14ac:dyDescent="0.15">
      <c r="B860" s="274"/>
      <c r="C860" s="273"/>
      <c r="D860" s="273"/>
      <c r="E860" s="273"/>
      <c r="F860" s="272"/>
    </row>
    <row r="861" spans="2:6" ht="12" customHeight="1" x14ac:dyDescent="0.15">
      <c r="B861" s="274"/>
      <c r="C861" s="273"/>
      <c r="D861" s="273"/>
      <c r="E861" s="273"/>
      <c r="F861" s="272"/>
    </row>
    <row r="862" spans="2:6" ht="12" customHeight="1" x14ac:dyDescent="0.15">
      <c r="B862" s="274"/>
      <c r="C862" s="273"/>
      <c r="D862" s="273"/>
      <c r="E862" s="273"/>
      <c r="F862" s="272"/>
    </row>
    <row r="863" spans="2:6" ht="12" customHeight="1" x14ac:dyDescent="0.15">
      <c r="B863" s="274"/>
      <c r="C863" s="273"/>
      <c r="D863" s="273"/>
      <c r="E863" s="273"/>
      <c r="F863" s="272"/>
    </row>
    <row r="864" spans="2:6" ht="12" customHeight="1" x14ac:dyDescent="0.15">
      <c r="B864" s="274"/>
      <c r="C864" s="273"/>
      <c r="D864" s="273"/>
      <c r="E864" s="273"/>
      <c r="F864" s="272"/>
    </row>
    <row r="865" spans="2:6" ht="12" customHeight="1" x14ac:dyDescent="0.15">
      <c r="B865" s="274"/>
      <c r="C865" s="273"/>
      <c r="D865" s="273"/>
      <c r="E865" s="273"/>
      <c r="F865" s="272"/>
    </row>
    <row r="866" spans="2:6" ht="12" customHeight="1" x14ac:dyDescent="0.15">
      <c r="B866" s="274"/>
      <c r="C866" s="273"/>
      <c r="D866" s="273"/>
      <c r="E866" s="273"/>
      <c r="F866" s="272"/>
    </row>
    <row r="867" spans="2:6" ht="12" customHeight="1" x14ac:dyDescent="0.15">
      <c r="B867" s="274"/>
      <c r="C867" s="273"/>
      <c r="D867" s="273"/>
      <c r="E867" s="273"/>
      <c r="F867" s="272"/>
    </row>
    <row r="868" spans="2:6" ht="12" customHeight="1" x14ac:dyDescent="0.15">
      <c r="B868" s="274"/>
      <c r="C868" s="273"/>
      <c r="D868" s="273"/>
      <c r="E868" s="273"/>
      <c r="F868" s="272"/>
    </row>
    <row r="869" spans="2:6" ht="12" customHeight="1" x14ac:dyDescent="0.15">
      <c r="B869" s="274"/>
      <c r="C869" s="273"/>
      <c r="D869" s="273"/>
      <c r="E869" s="273"/>
      <c r="F869" s="272"/>
    </row>
    <row r="870" spans="2:6" ht="12" customHeight="1" x14ac:dyDescent="0.15">
      <c r="B870" s="274"/>
      <c r="C870" s="273"/>
      <c r="D870" s="273"/>
      <c r="E870" s="273"/>
      <c r="F870" s="272"/>
    </row>
    <row r="871" spans="2:6" ht="12" customHeight="1" x14ac:dyDescent="0.15">
      <c r="B871" s="274"/>
      <c r="C871" s="273"/>
      <c r="D871" s="273"/>
      <c r="E871" s="273"/>
      <c r="F871" s="272"/>
    </row>
    <row r="872" spans="2:6" ht="12" customHeight="1" x14ac:dyDescent="0.15">
      <c r="B872" s="274"/>
      <c r="C872" s="273"/>
      <c r="D872" s="273"/>
      <c r="E872" s="273"/>
      <c r="F872" s="272"/>
    </row>
    <row r="873" spans="2:6" ht="12" customHeight="1" x14ac:dyDescent="0.15">
      <c r="B873" s="274"/>
      <c r="C873" s="273"/>
      <c r="D873" s="273"/>
      <c r="E873" s="273"/>
      <c r="F873" s="272"/>
    </row>
    <row r="874" spans="2:6" ht="12" customHeight="1" x14ac:dyDescent="0.15">
      <c r="B874" s="274"/>
      <c r="C874" s="273"/>
      <c r="D874" s="273"/>
      <c r="E874" s="273"/>
      <c r="F874" s="272"/>
    </row>
    <row r="875" spans="2:6" ht="12" customHeight="1" x14ac:dyDescent="0.15">
      <c r="B875" s="274"/>
      <c r="C875" s="273"/>
      <c r="D875" s="273"/>
      <c r="E875" s="273"/>
      <c r="F875" s="272"/>
    </row>
    <row r="876" spans="2:6" ht="12" customHeight="1" x14ac:dyDescent="0.15">
      <c r="B876" s="274"/>
      <c r="C876" s="273"/>
      <c r="D876" s="273"/>
      <c r="E876" s="273"/>
      <c r="F876" s="272"/>
    </row>
    <row r="877" spans="2:6" ht="12" customHeight="1" x14ac:dyDescent="0.15">
      <c r="B877" s="274"/>
      <c r="C877" s="273"/>
      <c r="D877" s="273"/>
      <c r="E877" s="273"/>
      <c r="F877" s="272"/>
    </row>
    <row r="878" spans="2:6" ht="12" customHeight="1" x14ac:dyDescent="0.15">
      <c r="B878" s="274"/>
      <c r="C878" s="273"/>
      <c r="D878" s="273"/>
      <c r="E878" s="273"/>
      <c r="F878" s="272"/>
    </row>
    <row r="879" spans="2:6" ht="12" customHeight="1" x14ac:dyDescent="0.15">
      <c r="B879" s="274"/>
      <c r="C879" s="273"/>
      <c r="D879" s="273"/>
      <c r="E879" s="273"/>
      <c r="F879" s="272"/>
    </row>
    <row r="880" spans="2:6" ht="12" customHeight="1" x14ac:dyDescent="0.15">
      <c r="B880" s="274"/>
      <c r="C880" s="273"/>
      <c r="D880" s="273"/>
      <c r="E880" s="273"/>
      <c r="F880" s="272"/>
    </row>
    <row r="881" spans="2:6" ht="12" customHeight="1" x14ac:dyDescent="0.15">
      <c r="B881" s="274"/>
      <c r="C881" s="273"/>
      <c r="D881" s="273"/>
      <c r="E881" s="273"/>
      <c r="F881" s="272"/>
    </row>
    <row r="882" spans="2:6" ht="12" customHeight="1" x14ac:dyDescent="0.15">
      <c r="B882" s="274"/>
      <c r="C882" s="273"/>
      <c r="D882" s="273"/>
      <c r="E882" s="273"/>
      <c r="F882" s="272"/>
    </row>
    <row r="883" spans="2:6" ht="12" customHeight="1" x14ac:dyDescent="0.15">
      <c r="B883" s="274"/>
      <c r="C883" s="273"/>
      <c r="D883" s="273"/>
      <c r="E883" s="273"/>
      <c r="F883" s="272"/>
    </row>
    <row r="884" spans="2:6" ht="12" customHeight="1" x14ac:dyDescent="0.15">
      <c r="B884" s="274"/>
      <c r="C884" s="273"/>
      <c r="D884" s="273"/>
      <c r="E884" s="273"/>
      <c r="F884" s="272"/>
    </row>
    <row r="885" spans="2:6" ht="12" customHeight="1" x14ac:dyDescent="0.15">
      <c r="B885" s="274"/>
      <c r="C885" s="273"/>
      <c r="D885" s="273"/>
      <c r="E885" s="273"/>
      <c r="F885" s="272"/>
    </row>
    <row r="886" spans="2:6" ht="12" customHeight="1" x14ac:dyDescent="0.15">
      <c r="B886" s="274"/>
      <c r="C886" s="273"/>
      <c r="D886" s="273"/>
      <c r="E886" s="273"/>
      <c r="F886" s="272"/>
    </row>
    <row r="887" spans="2:6" ht="12" customHeight="1" x14ac:dyDescent="0.15">
      <c r="B887" s="274"/>
      <c r="C887" s="273"/>
      <c r="D887" s="273"/>
      <c r="E887" s="273"/>
      <c r="F887" s="272"/>
    </row>
    <row r="888" spans="2:6" ht="12" customHeight="1" x14ac:dyDescent="0.15">
      <c r="B888" s="274"/>
      <c r="C888" s="273"/>
      <c r="D888" s="273"/>
      <c r="E888" s="273"/>
      <c r="F888" s="272"/>
    </row>
    <row r="889" spans="2:6" ht="12" customHeight="1" x14ac:dyDescent="0.15">
      <c r="B889" s="274"/>
      <c r="C889" s="273"/>
      <c r="D889" s="273"/>
      <c r="E889" s="273"/>
      <c r="F889" s="272"/>
    </row>
    <row r="890" spans="2:6" ht="12" customHeight="1" x14ac:dyDescent="0.15">
      <c r="B890" s="274"/>
      <c r="C890" s="273"/>
      <c r="D890" s="273"/>
      <c r="E890" s="273"/>
      <c r="F890" s="272"/>
    </row>
    <row r="891" spans="2:6" ht="12" customHeight="1" x14ac:dyDescent="0.15">
      <c r="B891" s="274"/>
      <c r="C891" s="273"/>
      <c r="D891" s="273"/>
      <c r="E891" s="273"/>
      <c r="F891" s="272"/>
    </row>
    <row r="892" spans="2:6" ht="12" customHeight="1" x14ac:dyDescent="0.15">
      <c r="B892" s="274"/>
      <c r="C892" s="273"/>
      <c r="D892" s="273"/>
      <c r="E892" s="273"/>
      <c r="F892" s="272"/>
    </row>
    <row r="893" spans="2:6" ht="12" customHeight="1" x14ac:dyDescent="0.15">
      <c r="B893" s="274"/>
      <c r="C893" s="273"/>
      <c r="D893" s="273"/>
      <c r="E893" s="273"/>
      <c r="F893" s="272"/>
    </row>
    <row r="894" spans="2:6" ht="12" customHeight="1" x14ac:dyDescent="0.15">
      <c r="B894" s="274"/>
      <c r="C894" s="273"/>
      <c r="D894" s="273"/>
      <c r="E894" s="273"/>
      <c r="F894" s="272"/>
    </row>
    <row r="895" spans="2:6" ht="12" customHeight="1" x14ac:dyDescent="0.15">
      <c r="B895" s="274"/>
      <c r="C895" s="273"/>
      <c r="D895" s="273"/>
      <c r="E895" s="273"/>
      <c r="F895" s="272"/>
    </row>
    <row r="896" spans="2:6" ht="12" customHeight="1" x14ac:dyDescent="0.15">
      <c r="B896" s="274"/>
      <c r="C896" s="273"/>
      <c r="D896" s="273"/>
      <c r="E896" s="273"/>
      <c r="F896" s="272"/>
    </row>
    <row r="897" spans="2:6" ht="12" customHeight="1" x14ac:dyDescent="0.15">
      <c r="B897" s="274"/>
      <c r="C897" s="273"/>
      <c r="D897" s="273"/>
      <c r="E897" s="273"/>
      <c r="F897" s="272"/>
    </row>
    <row r="898" spans="2:6" ht="12" customHeight="1" x14ac:dyDescent="0.15">
      <c r="B898" s="274"/>
      <c r="C898" s="273"/>
      <c r="D898" s="273"/>
      <c r="E898" s="273"/>
      <c r="F898" s="272"/>
    </row>
    <row r="899" spans="2:6" ht="12" customHeight="1" x14ac:dyDescent="0.15">
      <c r="B899" s="274"/>
      <c r="C899" s="273"/>
      <c r="D899" s="273"/>
      <c r="E899" s="273"/>
      <c r="F899" s="272"/>
    </row>
    <row r="900" spans="2:6" ht="12" customHeight="1" x14ac:dyDescent="0.15">
      <c r="B900" s="274"/>
      <c r="C900" s="273"/>
      <c r="D900" s="273"/>
      <c r="E900" s="273"/>
      <c r="F900" s="272"/>
    </row>
    <row r="901" spans="2:6" ht="12" customHeight="1" x14ac:dyDescent="0.15">
      <c r="B901" s="274"/>
      <c r="C901" s="273"/>
      <c r="D901" s="273"/>
      <c r="E901" s="273"/>
      <c r="F901" s="272"/>
    </row>
    <row r="902" spans="2:6" ht="12" customHeight="1" x14ac:dyDescent="0.15">
      <c r="B902" s="274"/>
      <c r="C902" s="273"/>
      <c r="D902" s="273"/>
      <c r="E902" s="273"/>
      <c r="F902" s="272"/>
    </row>
    <row r="903" spans="2:6" ht="12" customHeight="1" x14ac:dyDescent="0.15">
      <c r="B903" s="274"/>
      <c r="C903" s="273"/>
      <c r="D903" s="273"/>
      <c r="E903" s="273"/>
      <c r="F903" s="272"/>
    </row>
    <row r="904" spans="2:6" ht="12" customHeight="1" x14ac:dyDescent="0.15">
      <c r="B904" s="274"/>
      <c r="C904" s="273"/>
      <c r="D904" s="273"/>
      <c r="E904" s="273"/>
      <c r="F904" s="272"/>
    </row>
    <row r="905" spans="2:6" ht="12" customHeight="1" x14ac:dyDescent="0.15">
      <c r="B905" s="274"/>
      <c r="C905" s="273"/>
      <c r="D905" s="273"/>
      <c r="E905" s="273"/>
      <c r="F905" s="272"/>
    </row>
    <row r="906" spans="2:6" ht="12" customHeight="1" x14ac:dyDescent="0.15">
      <c r="B906" s="274"/>
      <c r="C906" s="273"/>
      <c r="D906" s="273"/>
      <c r="E906" s="273"/>
      <c r="F906" s="272"/>
    </row>
    <row r="907" spans="2:6" ht="12" customHeight="1" x14ac:dyDescent="0.15">
      <c r="B907" s="274"/>
      <c r="C907" s="273"/>
      <c r="D907" s="273"/>
      <c r="E907" s="273"/>
      <c r="F907" s="272"/>
    </row>
    <row r="908" spans="2:6" ht="12" customHeight="1" x14ac:dyDescent="0.15">
      <c r="B908" s="274"/>
      <c r="C908" s="273"/>
      <c r="D908" s="273"/>
      <c r="E908" s="273"/>
      <c r="F908" s="272"/>
    </row>
    <row r="909" spans="2:6" ht="12" customHeight="1" x14ac:dyDescent="0.15">
      <c r="B909" s="274"/>
      <c r="C909" s="273"/>
      <c r="D909" s="273"/>
      <c r="E909" s="273"/>
      <c r="F909" s="272"/>
    </row>
    <row r="910" spans="2:6" ht="12" customHeight="1" x14ac:dyDescent="0.15">
      <c r="B910" s="274"/>
      <c r="C910" s="273"/>
      <c r="D910" s="273"/>
      <c r="E910" s="273"/>
      <c r="F910" s="272"/>
    </row>
    <row r="911" spans="2:6" ht="12" customHeight="1" x14ac:dyDescent="0.15">
      <c r="B911" s="274"/>
      <c r="C911" s="273"/>
      <c r="D911" s="273"/>
      <c r="E911" s="273"/>
      <c r="F911" s="272"/>
    </row>
    <row r="912" spans="2:6" ht="12" customHeight="1" x14ac:dyDescent="0.15">
      <c r="B912" s="274"/>
      <c r="C912" s="273"/>
      <c r="D912" s="273"/>
      <c r="E912" s="273"/>
      <c r="F912" s="272"/>
    </row>
    <row r="913" spans="2:6" ht="12" customHeight="1" x14ac:dyDescent="0.15">
      <c r="B913" s="274"/>
      <c r="C913" s="273"/>
      <c r="D913" s="273"/>
      <c r="E913" s="273"/>
      <c r="F913" s="272"/>
    </row>
    <row r="914" spans="2:6" ht="12" customHeight="1" x14ac:dyDescent="0.15">
      <c r="B914" s="274"/>
      <c r="C914" s="273"/>
      <c r="D914" s="273"/>
      <c r="E914" s="273"/>
      <c r="F914" s="272"/>
    </row>
    <row r="915" spans="2:6" ht="12" customHeight="1" x14ac:dyDescent="0.15">
      <c r="B915" s="274"/>
      <c r="C915" s="273"/>
      <c r="D915" s="273"/>
      <c r="E915" s="273"/>
      <c r="F915" s="272"/>
    </row>
    <row r="916" spans="2:6" ht="12" customHeight="1" x14ac:dyDescent="0.15">
      <c r="B916" s="274"/>
      <c r="C916" s="273"/>
      <c r="D916" s="273"/>
      <c r="E916" s="273"/>
      <c r="F916" s="272"/>
    </row>
    <row r="917" spans="2:6" ht="12" customHeight="1" x14ac:dyDescent="0.15">
      <c r="B917" s="274"/>
      <c r="C917" s="273"/>
      <c r="D917" s="273"/>
      <c r="E917" s="273"/>
      <c r="F917" s="272"/>
    </row>
    <row r="918" spans="2:6" ht="12" customHeight="1" x14ac:dyDescent="0.15">
      <c r="B918" s="274"/>
      <c r="C918" s="273"/>
      <c r="D918" s="273"/>
      <c r="E918" s="273"/>
      <c r="F918" s="272"/>
    </row>
    <row r="919" spans="2:6" ht="12" customHeight="1" x14ac:dyDescent="0.15">
      <c r="B919" s="274"/>
      <c r="C919" s="273"/>
      <c r="D919" s="273"/>
      <c r="E919" s="273"/>
      <c r="F919" s="272"/>
    </row>
    <row r="920" spans="2:6" ht="12" customHeight="1" x14ac:dyDescent="0.15">
      <c r="B920" s="274"/>
      <c r="C920" s="273"/>
      <c r="D920" s="273"/>
      <c r="E920" s="273"/>
      <c r="F920" s="272"/>
    </row>
    <row r="921" spans="2:6" ht="12" customHeight="1" x14ac:dyDescent="0.15">
      <c r="B921" s="274"/>
      <c r="C921" s="273"/>
      <c r="D921" s="273"/>
      <c r="E921" s="273"/>
      <c r="F921" s="272"/>
    </row>
    <row r="922" spans="2:6" ht="12" customHeight="1" x14ac:dyDescent="0.15">
      <c r="B922" s="274"/>
      <c r="C922" s="273"/>
      <c r="D922" s="273"/>
      <c r="E922" s="273"/>
      <c r="F922" s="272"/>
    </row>
    <row r="923" spans="2:6" ht="12" customHeight="1" x14ac:dyDescent="0.15">
      <c r="B923" s="274"/>
      <c r="C923" s="273"/>
      <c r="D923" s="273"/>
      <c r="E923" s="273"/>
      <c r="F923" s="272"/>
    </row>
    <row r="924" spans="2:6" ht="12" customHeight="1" x14ac:dyDescent="0.15">
      <c r="B924" s="274"/>
      <c r="C924" s="273"/>
      <c r="D924" s="273"/>
      <c r="E924" s="273"/>
      <c r="F924" s="272"/>
    </row>
    <row r="925" spans="2:6" ht="12" customHeight="1" x14ac:dyDescent="0.15">
      <c r="B925" s="274"/>
      <c r="C925" s="273"/>
      <c r="D925" s="273"/>
      <c r="E925" s="273"/>
      <c r="F925" s="272"/>
    </row>
    <row r="926" spans="2:6" ht="12" customHeight="1" x14ac:dyDescent="0.15">
      <c r="B926" s="274"/>
      <c r="C926" s="273"/>
      <c r="D926" s="273"/>
      <c r="E926" s="273"/>
      <c r="F926" s="272"/>
    </row>
    <row r="927" spans="2:6" ht="12" customHeight="1" x14ac:dyDescent="0.15">
      <c r="B927" s="274"/>
      <c r="C927" s="273"/>
      <c r="D927" s="273"/>
      <c r="E927" s="273"/>
      <c r="F927" s="272"/>
    </row>
    <row r="928" spans="2:6" ht="12" customHeight="1" x14ac:dyDescent="0.15">
      <c r="B928" s="274"/>
      <c r="C928" s="273"/>
      <c r="D928" s="273"/>
      <c r="E928" s="273"/>
      <c r="F928" s="272"/>
    </row>
    <row r="929" spans="2:6" ht="12" customHeight="1" x14ac:dyDescent="0.15">
      <c r="B929" s="274"/>
      <c r="C929" s="273"/>
      <c r="D929" s="273"/>
      <c r="E929" s="273"/>
      <c r="F929" s="272"/>
    </row>
    <row r="930" spans="2:6" ht="12" customHeight="1" x14ac:dyDescent="0.15">
      <c r="B930" s="274"/>
      <c r="C930" s="273"/>
      <c r="D930" s="273"/>
      <c r="E930" s="273"/>
      <c r="F930" s="272"/>
    </row>
    <row r="931" spans="2:6" ht="12" customHeight="1" x14ac:dyDescent="0.15">
      <c r="B931" s="274"/>
      <c r="C931" s="273"/>
      <c r="D931" s="273"/>
      <c r="E931" s="273"/>
      <c r="F931" s="272"/>
    </row>
    <row r="932" spans="2:6" ht="12" customHeight="1" x14ac:dyDescent="0.15">
      <c r="B932" s="274"/>
      <c r="C932" s="273"/>
      <c r="D932" s="273"/>
      <c r="E932" s="273"/>
      <c r="F932" s="272"/>
    </row>
    <row r="933" spans="2:6" ht="12" customHeight="1" x14ac:dyDescent="0.15">
      <c r="B933" s="274"/>
      <c r="C933" s="273"/>
      <c r="D933" s="273"/>
      <c r="E933" s="273"/>
      <c r="F933" s="272"/>
    </row>
    <row r="934" spans="2:6" ht="12" customHeight="1" x14ac:dyDescent="0.15">
      <c r="B934" s="274"/>
      <c r="C934" s="273"/>
      <c r="D934" s="273"/>
      <c r="E934" s="273"/>
      <c r="F934" s="272"/>
    </row>
    <row r="935" spans="2:6" ht="12" customHeight="1" x14ac:dyDescent="0.15">
      <c r="B935" s="274"/>
      <c r="C935" s="273"/>
      <c r="D935" s="273"/>
      <c r="E935" s="273"/>
      <c r="F935" s="272"/>
    </row>
    <row r="936" spans="2:6" ht="12" customHeight="1" x14ac:dyDescent="0.15">
      <c r="B936" s="274"/>
      <c r="C936" s="273"/>
      <c r="D936" s="273"/>
      <c r="E936" s="273"/>
      <c r="F936" s="272"/>
    </row>
    <row r="937" spans="2:6" ht="12" customHeight="1" x14ac:dyDescent="0.15">
      <c r="B937" s="274"/>
      <c r="C937" s="273"/>
      <c r="D937" s="273"/>
      <c r="E937" s="273"/>
      <c r="F937" s="272"/>
    </row>
    <row r="938" spans="2:6" ht="12" customHeight="1" x14ac:dyDescent="0.15">
      <c r="B938" s="274"/>
      <c r="C938" s="273"/>
      <c r="D938" s="273"/>
      <c r="E938" s="273"/>
      <c r="F938" s="272"/>
    </row>
    <row r="939" spans="2:6" ht="12" customHeight="1" x14ac:dyDescent="0.15">
      <c r="B939" s="274"/>
      <c r="C939" s="273"/>
      <c r="D939" s="273"/>
      <c r="E939" s="273"/>
      <c r="F939" s="272"/>
    </row>
    <row r="940" spans="2:6" ht="12" customHeight="1" x14ac:dyDescent="0.15">
      <c r="B940" s="274"/>
      <c r="C940" s="273"/>
      <c r="D940" s="273"/>
      <c r="E940" s="273"/>
      <c r="F940" s="272"/>
    </row>
    <row r="941" spans="2:6" ht="12" customHeight="1" x14ac:dyDescent="0.15">
      <c r="B941" s="274"/>
      <c r="C941" s="273"/>
      <c r="D941" s="273"/>
      <c r="E941" s="273"/>
      <c r="F941" s="272"/>
    </row>
    <row r="942" spans="2:6" ht="12" customHeight="1" x14ac:dyDescent="0.15">
      <c r="B942" s="274"/>
      <c r="C942" s="273"/>
      <c r="D942" s="273"/>
      <c r="E942" s="273"/>
      <c r="F942" s="272"/>
    </row>
    <row r="943" spans="2:6" ht="12" customHeight="1" x14ac:dyDescent="0.15">
      <c r="B943" s="274"/>
      <c r="C943" s="273"/>
      <c r="D943" s="273"/>
      <c r="E943" s="273"/>
      <c r="F943" s="272"/>
    </row>
    <row r="944" spans="2:6" ht="12" customHeight="1" x14ac:dyDescent="0.15">
      <c r="B944" s="274"/>
      <c r="C944" s="273"/>
      <c r="D944" s="273"/>
      <c r="E944" s="273"/>
      <c r="F944" s="272"/>
    </row>
    <row r="945" spans="2:6" ht="12" customHeight="1" x14ac:dyDescent="0.15">
      <c r="B945" s="274"/>
      <c r="C945" s="273"/>
      <c r="D945" s="273"/>
      <c r="E945" s="273"/>
      <c r="F945" s="272"/>
    </row>
    <row r="946" spans="2:6" ht="12" customHeight="1" x14ac:dyDescent="0.15">
      <c r="B946" s="274"/>
      <c r="C946" s="273"/>
      <c r="D946" s="273"/>
      <c r="E946" s="273"/>
      <c r="F946" s="272"/>
    </row>
    <row r="947" spans="2:6" ht="12" customHeight="1" x14ac:dyDescent="0.15">
      <c r="B947" s="274"/>
      <c r="C947" s="273"/>
      <c r="D947" s="273"/>
      <c r="E947" s="273"/>
      <c r="F947" s="272"/>
    </row>
    <row r="948" spans="2:6" ht="12" customHeight="1" x14ac:dyDescent="0.15">
      <c r="B948" s="274"/>
      <c r="C948" s="273"/>
      <c r="D948" s="273"/>
      <c r="E948" s="273"/>
      <c r="F948" s="272"/>
    </row>
    <row r="949" spans="2:6" ht="12" customHeight="1" x14ac:dyDescent="0.15">
      <c r="B949" s="274"/>
      <c r="C949" s="273"/>
      <c r="D949" s="273"/>
      <c r="E949" s="273"/>
      <c r="F949" s="272"/>
    </row>
    <row r="950" spans="2:6" ht="12" customHeight="1" x14ac:dyDescent="0.15">
      <c r="B950" s="274"/>
      <c r="C950" s="273"/>
      <c r="D950" s="273"/>
      <c r="E950" s="273"/>
      <c r="F950" s="272"/>
    </row>
    <row r="951" spans="2:6" ht="12" customHeight="1" x14ac:dyDescent="0.15">
      <c r="B951" s="274"/>
      <c r="C951" s="273"/>
      <c r="D951" s="273"/>
      <c r="E951" s="273"/>
      <c r="F951" s="272"/>
    </row>
    <row r="952" spans="2:6" ht="12" customHeight="1" x14ac:dyDescent="0.15">
      <c r="B952" s="274"/>
      <c r="C952" s="273"/>
      <c r="D952" s="273"/>
      <c r="E952" s="273"/>
      <c r="F952" s="272"/>
    </row>
    <row r="953" spans="2:6" ht="12" customHeight="1" x14ac:dyDescent="0.15">
      <c r="B953" s="274"/>
      <c r="C953" s="273"/>
      <c r="D953" s="273"/>
      <c r="E953" s="273"/>
      <c r="F953" s="272"/>
    </row>
    <row r="954" spans="2:6" ht="12" customHeight="1" x14ac:dyDescent="0.15">
      <c r="B954" s="274"/>
      <c r="C954" s="273"/>
      <c r="D954" s="273"/>
      <c r="E954" s="273"/>
      <c r="F954" s="272"/>
    </row>
    <row r="955" spans="2:6" ht="12" customHeight="1" x14ac:dyDescent="0.15">
      <c r="B955" s="274"/>
      <c r="C955" s="273"/>
      <c r="D955" s="273"/>
      <c r="E955" s="273"/>
      <c r="F955" s="272"/>
    </row>
    <row r="956" spans="2:6" ht="12" customHeight="1" x14ac:dyDescent="0.15">
      <c r="B956" s="274"/>
      <c r="C956" s="273"/>
      <c r="D956" s="273"/>
      <c r="E956" s="273"/>
      <c r="F956" s="272"/>
    </row>
    <row r="957" spans="2:6" ht="12" customHeight="1" x14ac:dyDescent="0.15">
      <c r="B957" s="274"/>
      <c r="C957" s="273"/>
      <c r="D957" s="273"/>
      <c r="E957" s="273"/>
      <c r="F957" s="272"/>
    </row>
    <row r="958" spans="2:6" ht="12" customHeight="1" x14ac:dyDescent="0.15">
      <c r="B958" s="274"/>
      <c r="C958" s="273"/>
      <c r="D958" s="273"/>
      <c r="E958" s="273"/>
      <c r="F958" s="272"/>
    </row>
    <row r="959" spans="2:6" ht="12" customHeight="1" x14ac:dyDescent="0.15">
      <c r="B959" s="274"/>
      <c r="C959" s="273"/>
      <c r="D959" s="273"/>
      <c r="E959" s="273"/>
      <c r="F959" s="272"/>
    </row>
    <row r="960" spans="2:6" ht="12" customHeight="1" x14ac:dyDescent="0.15">
      <c r="B960" s="274"/>
      <c r="C960" s="273"/>
      <c r="D960" s="273"/>
      <c r="E960" s="273"/>
      <c r="F960" s="272"/>
    </row>
    <row r="961" spans="2:6" ht="12" customHeight="1" x14ac:dyDescent="0.15">
      <c r="B961" s="274"/>
      <c r="C961" s="273"/>
      <c r="D961" s="273"/>
      <c r="E961" s="273"/>
      <c r="F961" s="272"/>
    </row>
    <row r="962" spans="2:6" ht="12" customHeight="1" x14ac:dyDescent="0.15">
      <c r="B962" s="274"/>
      <c r="C962" s="273"/>
      <c r="D962" s="273"/>
      <c r="E962" s="273"/>
      <c r="F962" s="272"/>
    </row>
    <row r="963" spans="2:6" ht="12" customHeight="1" x14ac:dyDescent="0.15">
      <c r="B963" s="274"/>
      <c r="C963" s="273"/>
      <c r="D963" s="273"/>
      <c r="E963" s="273"/>
      <c r="F963" s="272"/>
    </row>
    <row r="964" spans="2:6" ht="12" customHeight="1" x14ac:dyDescent="0.15">
      <c r="B964" s="274"/>
      <c r="C964" s="273"/>
      <c r="D964" s="273"/>
      <c r="E964" s="273"/>
      <c r="F964" s="272"/>
    </row>
    <row r="965" spans="2:6" ht="12" customHeight="1" x14ac:dyDescent="0.15">
      <c r="B965" s="274"/>
      <c r="C965" s="273"/>
      <c r="D965" s="273"/>
      <c r="E965" s="273"/>
      <c r="F965" s="272"/>
    </row>
    <row r="966" spans="2:6" ht="12" customHeight="1" x14ac:dyDescent="0.15">
      <c r="B966" s="274"/>
      <c r="C966" s="273"/>
      <c r="D966" s="273"/>
      <c r="E966" s="273"/>
      <c r="F966" s="272"/>
    </row>
    <row r="967" spans="2:6" ht="12" customHeight="1" x14ac:dyDescent="0.15">
      <c r="B967" s="274"/>
      <c r="C967" s="273"/>
      <c r="D967" s="273"/>
      <c r="E967" s="273"/>
      <c r="F967" s="272"/>
    </row>
    <row r="968" spans="2:6" ht="12" customHeight="1" x14ac:dyDescent="0.15">
      <c r="B968" s="274"/>
      <c r="C968" s="273"/>
      <c r="D968" s="273"/>
      <c r="E968" s="273"/>
      <c r="F968" s="272"/>
    </row>
    <row r="969" spans="2:6" ht="12" customHeight="1" x14ac:dyDescent="0.15">
      <c r="B969" s="274"/>
      <c r="C969" s="273"/>
      <c r="D969" s="273"/>
      <c r="E969" s="273"/>
      <c r="F969" s="272"/>
    </row>
    <row r="970" spans="2:6" ht="12" customHeight="1" x14ac:dyDescent="0.15">
      <c r="B970" s="274"/>
      <c r="C970" s="273"/>
      <c r="D970" s="273"/>
      <c r="E970" s="273"/>
      <c r="F970" s="272"/>
    </row>
    <row r="971" spans="2:6" ht="12" customHeight="1" x14ac:dyDescent="0.15">
      <c r="B971" s="274"/>
      <c r="C971" s="273"/>
      <c r="D971" s="273"/>
      <c r="E971" s="273"/>
      <c r="F971" s="272"/>
    </row>
    <row r="972" spans="2:6" ht="12" customHeight="1" x14ac:dyDescent="0.15">
      <c r="B972" s="274"/>
      <c r="C972" s="273"/>
      <c r="D972" s="273"/>
      <c r="E972" s="273"/>
      <c r="F972" s="272"/>
    </row>
    <row r="973" spans="2:6" ht="12" customHeight="1" x14ac:dyDescent="0.15">
      <c r="B973" s="274"/>
      <c r="C973" s="273"/>
      <c r="D973" s="273"/>
      <c r="E973" s="273"/>
      <c r="F973" s="272"/>
    </row>
    <row r="974" spans="2:6" ht="12" customHeight="1" x14ac:dyDescent="0.15">
      <c r="B974" s="274"/>
      <c r="C974" s="273"/>
      <c r="D974" s="273"/>
      <c r="E974" s="273"/>
      <c r="F974" s="272"/>
    </row>
    <row r="975" spans="2:6" ht="12" customHeight="1" x14ac:dyDescent="0.15">
      <c r="B975" s="274"/>
      <c r="C975" s="273"/>
      <c r="D975" s="273"/>
      <c r="E975" s="273"/>
      <c r="F975" s="272"/>
    </row>
    <row r="976" spans="2:6" ht="12" customHeight="1" x14ac:dyDescent="0.15">
      <c r="B976" s="274"/>
      <c r="C976" s="273"/>
      <c r="D976" s="273"/>
      <c r="E976" s="273"/>
      <c r="F976" s="272"/>
    </row>
    <row r="977" spans="2:6" ht="12" customHeight="1" x14ac:dyDescent="0.15">
      <c r="B977" s="274"/>
      <c r="C977" s="273"/>
      <c r="D977" s="273"/>
      <c r="E977" s="273"/>
      <c r="F977" s="272"/>
    </row>
    <row r="978" spans="2:6" ht="12" customHeight="1" x14ac:dyDescent="0.15">
      <c r="B978" s="274"/>
      <c r="C978" s="273"/>
      <c r="D978" s="273"/>
      <c r="E978" s="273"/>
      <c r="F978" s="272"/>
    </row>
    <row r="979" spans="2:6" ht="12" customHeight="1" x14ac:dyDescent="0.15">
      <c r="B979" s="274"/>
      <c r="C979" s="273"/>
      <c r="D979" s="273"/>
      <c r="E979" s="273"/>
      <c r="F979" s="272"/>
    </row>
    <row r="980" spans="2:6" ht="12" customHeight="1" x14ac:dyDescent="0.15">
      <c r="B980" s="274"/>
      <c r="C980" s="273"/>
      <c r="D980" s="273"/>
      <c r="E980" s="273"/>
      <c r="F980" s="272"/>
    </row>
    <row r="981" spans="2:6" ht="12" customHeight="1" x14ac:dyDescent="0.15">
      <c r="B981" s="274"/>
      <c r="C981" s="273"/>
      <c r="D981" s="273"/>
      <c r="E981" s="273"/>
      <c r="F981" s="272"/>
    </row>
    <row r="982" spans="2:6" ht="12" customHeight="1" x14ac:dyDescent="0.15">
      <c r="B982" s="274"/>
      <c r="C982" s="273"/>
      <c r="D982" s="273"/>
      <c r="E982" s="273"/>
      <c r="F982" s="272"/>
    </row>
    <row r="983" spans="2:6" ht="12" customHeight="1" x14ac:dyDescent="0.15">
      <c r="B983" s="274"/>
      <c r="C983" s="273"/>
      <c r="D983" s="273"/>
      <c r="E983" s="273"/>
      <c r="F983" s="272"/>
    </row>
    <row r="984" spans="2:6" ht="12" customHeight="1" x14ac:dyDescent="0.15">
      <c r="B984" s="274"/>
      <c r="C984" s="273"/>
      <c r="D984" s="273"/>
      <c r="E984" s="273"/>
      <c r="F984" s="272"/>
    </row>
    <row r="985" spans="2:6" ht="12" customHeight="1" x14ac:dyDescent="0.15">
      <c r="B985" s="274"/>
      <c r="C985" s="273"/>
      <c r="D985" s="273"/>
      <c r="E985" s="273"/>
      <c r="F985" s="272"/>
    </row>
    <row r="986" spans="2:6" ht="12" customHeight="1" x14ac:dyDescent="0.15">
      <c r="B986" s="274"/>
      <c r="C986" s="273"/>
      <c r="D986" s="273"/>
      <c r="E986" s="273"/>
      <c r="F986" s="272"/>
    </row>
    <row r="987" spans="2:6" ht="12" customHeight="1" x14ac:dyDescent="0.15">
      <c r="B987" s="274"/>
      <c r="C987" s="273"/>
      <c r="D987" s="273"/>
      <c r="E987" s="273"/>
      <c r="F987" s="272"/>
    </row>
    <row r="988" spans="2:6" ht="12" customHeight="1" x14ac:dyDescent="0.15">
      <c r="B988" s="274"/>
      <c r="C988" s="273"/>
      <c r="D988" s="273"/>
      <c r="E988" s="273"/>
      <c r="F988" s="272"/>
    </row>
    <row r="989" spans="2:6" ht="12" customHeight="1" x14ac:dyDescent="0.15">
      <c r="B989" s="274"/>
      <c r="C989" s="273"/>
      <c r="D989" s="273"/>
      <c r="E989" s="273"/>
      <c r="F989" s="272"/>
    </row>
    <row r="990" spans="2:6" ht="12" customHeight="1" x14ac:dyDescent="0.15">
      <c r="B990" s="274"/>
      <c r="C990" s="273"/>
      <c r="D990" s="273"/>
      <c r="E990" s="273"/>
      <c r="F990" s="272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1BE9-00D7-47D5-A319-D7E43E7F5DA6}">
  <sheetPr>
    <tabColor theme="7"/>
    <pageSetUpPr fitToPage="1"/>
  </sheetPr>
  <dimension ref="A1:Z990"/>
  <sheetViews>
    <sheetView workbookViewId="0">
      <selection sqref="A1:G37"/>
    </sheetView>
  </sheetViews>
  <sheetFormatPr baseColWidth="10" defaultColWidth="12.5" defaultRowHeight="15" customHeight="1" x14ac:dyDescent="0.15"/>
  <cols>
    <col min="1" max="1" width="4.5" style="271" customWidth="1"/>
    <col min="2" max="2" width="36.5" style="271" customWidth="1"/>
    <col min="3" max="3" width="13.1640625" style="271" customWidth="1"/>
    <col min="4" max="4" width="13" style="271" customWidth="1"/>
    <col min="5" max="5" width="14.83203125" style="271" customWidth="1"/>
    <col min="6" max="6" width="13" style="271" customWidth="1"/>
    <col min="7" max="7" width="4.5" style="271" customWidth="1"/>
    <col min="8" max="16384" width="12.5" style="271"/>
  </cols>
  <sheetData>
    <row r="1" spans="1:26" ht="54" customHeight="1" x14ac:dyDescent="0.15">
      <c r="A1" s="414"/>
      <c r="B1" s="415"/>
      <c r="C1" s="415"/>
      <c r="D1" s="415"/>
      <c r="E1" s="415"/>
      <c r="F1" s="415"/>
    </row>
    <row r="2" spans="1:26" ht="12" customHeight="1" x14ac:dyDescent="0.15">
      <c r="B2" s="274"/>
      <c r="C2" s="273"/>
      <c r="D2" s="273"/>
      <c r="E2" s="273"/>
      <c r="F2" s="272"/>
    </row>
    <row r="3" spans="1:26" ht="18.75" customHeight="1" x14ac:dyDescent="0.2">
      <c r="A3" s="344" t="s">
        <v>0</v>
      </c>
      <c r="C3" s="273"/>
      <c r="D3" s="273"/>
      <c r="E3" s="273"/>
      <c r="F3" s="272"/>
    </row>
    <row r="4" spans="1:26" ht="12" customHeight="1" x14ac:dyDescent="0.15">
      <c r="A4" s="274" t="s">
        <v>1</v>
      </c>
      <c r="C4" s="273"/>
      <c r="D4" s="273"/>
      <c r="E4" s="273"/>
      <c r="F4" s="272"/>
    </row>
    <row r="5" spans="1:26" ht="12" customHeight="1" x14ac:dyDescent="0.15">
      <c r="A5" s="274"/>
      <c r="B5" s="343" t="s">
        <v>144</v>
      </c>
      <c r="C5" s="273"/>
      <c r="D5" s="273"/>
      <c r="E5" s="273"/>
      <c r="F5" s="272"/>
    </row>
    <row r="6" spans="1:26" ht="12" customHeight="1" x14ac:dyDescent="0.15">
      <c r="A6" s="274"/>
      <c r="B6" s="342" t="s">
        <v>43</v>
      </c>
      <c r="C6" s="273"/>
      <c r="D6" s="410" t="s">
        <v>270</v>
      </c>
      <c r="E6" s="411"/>
      <c r="F6" s="341"/>
      <c r="G6" s="272"/>
    </row>
    <row r="7" spans="1:26" ht="12" customHeight="1" x14ac:dyDescent="0.15">
      <c r="A7" s="274"/>
      <c r="B7" s="340" t="s">
        <v>145</v>
      </c>
      <c r="C7" s="273"/>
      <c r="D7" s="273"/>
      <c r="E7" s="273"/>
      <c r="F7" s="272"/>
    </row>
    <row r="8" spans="1:26" ht="12" customHeight="1" x14ac:dyDescent="0.15">
      <c r="B8" s="274"/>
      <c r="C8" s="273"/>
      <c r="D8" s="273"/>
      <c r="E8" s="273"/>
      <c r="F8" s="272"/>
    </row>
    <row r="9" spans="1:26" ht="12" customHeight="1" x14ac:dyDescent="0.15">
      <c r="B9" s="339"/>
      <c r="C9" s="273"/>
      <c r="D9" s="273"/>
      <c r="E9" s="273"/>
      <c r="F9" s="272"/>
      <c r="G9" s="338" t="s">
        <v>245</v>
      </c>
    </row>
    <row r="10" spans="1:26" ht="17.25" customHeight="1" x14ac:dyDescent="0.15">
      <c r="A10" s="302"/>
      <c r="B10" s="337" t="s">
        <v>98</v>
      </c>
      <c r="C10" s="336"/>
      <c r="D10" s="336"/>
      <c r="E10" s="336"/>
      <c r="F10" s="335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</row>
    <row r="11" spans="1:26" ht="12" customHeight="1" x14ac:dyDescent="0.15">
      <c r="B11" s="274"/>
      <c r="C11" s="273"/>
      <c r="D11" s="273"/>
      <c r="E11" s="273"/>
      <c r="F11" s="272"/>
    </row>
    <row r="12" spans="1:26" ht="15" customHeight="1" x14ac:dyDescent="0.15">
      <c r="A12" s="302"/>
      <c r="B12" s="334" t="s">
        <v>3</v>
      </c>
      <c r="C12" s="333" t="s">
        <v>4</v>
      </c>
      <c r="D12" s="333" t="s">
        <v>99</v>
      </c>
      <c r="E12" s="332" t="s">
        <v>100</v>
      </c>
      <c r="F12" s="332" t="s">
        <v>101</v>
      </c>
      <c r="G12" s="302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302"/>
    </row>
    <row r="13" spans="1:26" ht="12" customHeight="1" x14ac:dyDescent="0.15">
      <c r="A13" s="302"/>
      <c r="B13" s="329" t="s">
        <v>146</v>
      </c>
      <c r="C13" s="322">
        <v>45336</v>
      </c>
      <c r="D13" s="311"/>
      <c r="E13" s="311">
        <v>15000</v>
      </c>
      <c r="F13" s="310">
        <f>E13</f>
        <v>15000</v>
      </c>
      <c r="G13" s="302"/>
      <c r="H13" s="302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302"/>
    </row>
    <row r="14" spans="1:26" ht="12" customHeight="1" x14ac:dyDescent="0.15">
      <c r="A14" s="302"/>
      <c r="B14" s="329" t="s">
        <v>146</v>
      </c>
      <c r="C14" s="322">
        <v>45358</v>
      </c>
      <c r="D14" s="311"/>
      <c r="E14" s="311">
        <v>8900</v>
      </c>
      <c r="F14" s="310">
        <f t="shared" ref="F14:F26" si="0">F13-D14+E14</f>
        <v>23900</v>
      </c>
      <c r="G14" s="302"/>
      <c r="H14" s="302"/>
      <c r="I14" s="302"/>
      <c r="J14" s="302"/>
      <c r="K14" s="302"/>
      <c r="L14" s="302"/>
      <c r="M14" s="302"/>
      <c r="N14" s="302"/>
      <c r="O14" s="302"/>
      <c r="P14" s="302"/>
      <c r="Q14" s="302"/>
      <c r="R14" s="302"/>
      <c r="S14" s="302"/>
      <c r="T14" s="302"/>
      <c r="U14" s="302"/>
      <c r="V14" s="302"/>
      <c r="W14" s="302"/>
      <c r="X14" s="302"/>
      <c r="Y14" s="302"/>
      <c r="Z14" s="302"/>
    </row>
    <row r="15" spans="1:26" ht="12" customHeight="1" x14ac:dyDescent="0.15">
      <c r="A15" s="302"/>
      <c r="B15" s="329" t="s">
        <v>146</v>
      </c>
      <c r="C15" s="346">
        <v>45404</v>
      </c>
      <c r="D15" s="311"/>
      <c r="E15" s="311">
        <v>18600</v>
      </c>
      <c r="F15" s="310">
        <f t="shared" si="0"/>
        <v>42500</v>
      </c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</row>
    <row r="16" spans="1:26" ht="12" customHeight="1" x14ac:dyDescent="0.15">
      <c r="A16" s="302"/>
      <c r="B16" s="329" t="s">
        <v>146</v>
      </c>
      <c r="C16" s="346">
        <v>45414</v>
      </c>
      <c r="D16" s="311"/>
      <c r="E16" s="311">
        <v>2000</v>
      </c>
      <c r="F16" s="310">
        <f t="shared" si="0"/>
        <v>44500</v>
      </c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</row>
    <row r="17" spans="1:26" ht="12" customHeight="1" x14ac:dyDescent="0.15">
      <c r="A17" s="302"/>
      <c r="B17" s="329" t="s">
        <v>146</v>
      </c>
      <c r="C17" s="346">
        <v>45488</v>
      </c>
      <c r="D17" s="311"/>
      <c r="E17" s="311">
        <v>13025</v>
      </c>
      <c r="F17" s="310">
        <f t="shared" si="0"/>
        <v>57525</v>
      </c>
      <c r="G17" s="302"/>
      <c r="H17" s="302"/>
      <c r="I17" s="302"/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  <c r="Y17" s="302"/>
      <c r="Z17" s="302"/>
    </row>
    <row r="18" spans="1:26" ht="12" customHeight="1" x14ac:dyDescent="0.15">
      <c r="A18" s="302"/>
      <c r="B18" s="329" t="s">
        <v>146</v>
      </c>
      <c r="C18" s="346">
        <v>45527</v>
      </c>
      <c r="D18" s="311"/>
      <c r="E18" s="311">
        <v>7000</v>
      </c>
      <c r="F18" s="310">
        <f t="shared" si="0"/>
        <v>64525</v>
      </c>
      <c r="G18" s="302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T18" s="302"/>
      <c r="U18" s="302"/>
      <c r="V18" s="302"/>
      <c r="W18" s="302"/>
      <c r="X18" s="302"/>
      <c r="Y18" s="302"/>
      <c r="Z18" s="302"/>
    </row>
    <row r="19" spans="1:26" ht="12" customHeight="1" x14ac:dyDescent="0.15">
      <c r="A19" s="302"/>
      <c r="B19" s="329" t="s">
        <v>146</v>
      </c>
      <c r="C19" s="345">
        <v>45576</v>
      </c>
      <c r="D19" s="311"/>
      <c r="E19" s="311">
        <v>13000</v>
      </c>
      <c r="F19" s="310">
        <f t="shared" si="0"/>
        <v>77525</v>
      </c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</row>
    <row r="20" spans="1:26" ht="31" customHeight="1" x14ac:dyDescent="0.15">
      <c r="A20" s="302"/>
      <c r="B20" s="328" t="s">
        <v>249</v>
      </c>
      <c r="C20" s="357"/>
      <c r="D20" s="325">
        <v>83579.3</v>
      </c>
      <c r="E20" s="311"/>
      <c r="F20" s="310">
        <f t="shared" si="0"/>
        <v>-6054.3000000000029</v>
      </c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</row>
    <row r="21" spans="1:26" ht="34" customHeight="1" x14ac:dyDescent="0.15">
      <c r="A21" s="302"/>
      <c r="B21" s="383" t="s">
        <v>257</v>
      </c>
      <c r="C21" s="379">
        <v>45658</v>
      </c>
      <c r="D21" s="384"/>
      <c r="E21" s="381"/>
      <c r="F21" s="382">
        <f>F20</f>
        <v>-6054.3000000000029</v>
      </c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</row>
    <row r="22" spans="1:26" ht="36" customHeight="1" x14ac:dyDescent="0.15">
      <c r="A22" s="302"/>
      <c r="B22" s="315" t="s">
        <v>204</v>
      </c>
      <c r="C22" s="313">
        <v>45664</v>
      </c>
      <c r="D22" s="311">
        <v>4554.9222715010737</v>
      </c>
      <c r="E22" s="311"/>
      <c r="F22" s="310">
        <f>F20-D22+E22</f>
        <v>-10609.222271501076</v>
      </c>
      <c r="G22" s="30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</row>
    <row r="23" spans="1:26" ht="50" customHeight="1" x14ac:dyDescent="0.15">
      <c r="A23" s="302"/>
      <c r="B23" s="315" t="s">
        <v>205</v>
      </c>
      <c r="C23" s="313">
        <v>45664</v>
      </c>
      <c r="D23" s="311">
        <v>10841.105802203831</v>
      </c>
      <c r="E23" s="311"/>
      <c r="F23" s="310">
        <f t="shared" si="0"/>
        <v>-21450.328073704906</v>
      </c>
      <c r="G23" s="302"/>
      <c r="H23" s="302"/>
      <c r="I23" s="302"/>
      <c r="J23" s="302"/>
      <c r="K23" s="302"/>
      <c r="L23" s="302"/>
      <c r="M23" s="302"/>
      <c r="N23" s="302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</row>
    <row r="24" spans="1:26" ht="23" customHeight="1" x14ac:dyDescent="0.15">
      <c r="A24" s="302"/>
      <c r="B24" s="316" t="s">
        <v>206</v>
      </c>
      <c r="C24" s="313">
        <v>45664</v>
      </c>
      <c r="D24" s="311">
        <v>4084.5937314251742</v>
      </c>
      <c r="E24" s="311"/>
      <c r="F24" s="310">
        <f t="shared" si="0"/>
        <v>-25534.921805130081</v>
      </c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2"/>
      <c r="V24" s="302"/>
      <c r="W24" s="302"/>
      <c r="X24" s="302"/>
      <c r="Y24" s="302"/>
      <c r="Z24" s="302"/>
    </row>
    <row r="25" spans="1:26" ht="19" customHeight="1" x14ac:dyDescent="0.15">
      <c r="A25" s="302"/>
      <c r="B25" s="323" t="s">
        <v>146</v>
      </c>
      <c r="C25" s="345">
        <v>45678</v>
      </c>
      <c r="D25" s="311"/>
      <c r="E25" s="311">
        <v>19500</v>
      </c>
      <c r="F25" s="310">
        <f t="shared" si="0"/>
        <v>-6034.9218051300813</v>
      </c>
      <c r="G25" s="302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</row>
    <row r="26" spans="1:26" ht="38" customHeight="1" x14ac:dyDescent="0.15">
      <c r="A26" s="302"/>
      <c r="B26" s="314" t="s">
        <v>243</v>
      </c>
      <c r="C26" s="345">
        <v>45730</v>
      </c>
      <c r="D26" s="311">
        <v>13257.73</v>
      </c>
      <c r="E26" s="311"/>
      <c r="F26" s="310">
        <f t="shared" si="0"/>
        <v>-19292.651805130081</v>
      </c>
      <c r="G26" s="302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</row>
    <row r="27" spans="1:26" s="378" customFormat="1" ht="38" customHeight="1" x14ac:dyDescent="0.15">
      <c r="A27" s="302"/>
      <c r="B27" s="314" t="s">
        <v>261</v>
      </c>
      <c r="C27" s="404">
        <v>45730</v>
      </c>
      <c r="D27" s="311">
        <v>10230</v>
      </c>
      <c r="E27" s="311"/>
      <c r="F27" s="310">
        <f>F26-D27</f>
        <v>-29522.651805130081</v>
      </c>
      <c r="G27" s="302"/>
      <c r="H27" s="302"/>
      <c r="I27" s="302"/>
      <c r="J27" s="302"/>
      <c r="K27" s="302"/>
      <c r="L27" s="302"/>
      <c r="M27" s="302"/>
      <c r="N27" s="302"/>
      <c r="O27" s="302"/>
      <c r="P27" s="302"/>
      <c r="Q27" s="302"/>
      <c r="R27" s="302"/>
      <c r="S27" s="302"/>
      <c r="T27" s="302"/>
      <c r="U27" s="302"/>
      <c r="V27" s="302"/>
      <c r="W27" s="302"/>
      <c r="X27" s="302"/>
      <c r="Y27" s="302"/>
      <c r="Z27" s="302"/>
    </row>
    <row r="28" spans="1:26" ht="17" customHeight="1" x14ac:dyDescent="0.15">
      <c r="A28" s="302"/>
      <c r="B28" s="386"/>
      <c r="C28" s="387" t="s">
        <v>147</v>
      </c>
      <c r="D28" s="326">
        <f>SUM(D13:D27)</f>
        <v>126547.65180513008</v>
      </c>
      <c r="E28" s="326">
        <f>SUM(E13:E27)</f>
        <v>97025</v>
      </c>
      <c r="F28" s="324">
        <f>E28-D28</f>
        <v>-29522.651805130081</v>
      </c>
      <c r="G28" s="302"/>
      <c r="H28" s="302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</row>
    <row r="29" spans="1:26" ht="12" customHeight="1" x14ac:dyDescent="0.15">
      <c r="B29" s="274"/>
      <c r="C29" s="273"/>
      <c r="D29" s="273"/>
      <c r="E29" s="273"/>
      <c r="F29" s="272"/>
    </row>
    <row r="30" spans="1:26" ht="12" customHeight="1" x14ac:dyDescent="0.15">
      <c r="B30" s="286" t="s">
        <v>121</v>
      </c>
      <c r="C30" s="273"/>
      <c r="D30" s="273"/>
      <c r="E30" s="273"/>
      <c r="F30" s="272"/>
    </row>
    <row r="31" spans="1:26" ht="12" customHeight="1" x14ac:dyDescent="0.15">
      <c r="B31" s="274" t="s">
        <v>246</v>
      </c>
      <c r="C31" s="273"/>
      <c r="D31" s="273"/>
      <c r="E31" s="273"/>
      <c r="F31" s="272"/>
    </row>
    <row r="32" spans="1:26" ht="12" customHeight="1" x14ac:dyDescent="0.15">
      <c r="B32" s="284"/>
      <c r="C32" s="273"/>
      <c r="D32" s="273"/>
      <c r="E32" s="273"/>
      <c r="F32" s="272"/>
    </row>
    <row r="33" spans="2:6" ht="12" customHeight="1" x14ac:dyDescent="0.15">
      <c r="B33" s="283" t="s">
        <v>123</v>
      </c>
      <c r="C33" s="282"/>
      <c r="D33" s="281"/>
      <c r="E33" s="273"/>
      <c r="F33" s="272"/>
    </row>
    <row r="34" spans="2:6" ht="12" customHeight="1" x14ac:dyDescent="0.15">
      <c r="B34" s="280" t="s">
        <v>124</v>
      </c>
      <c r="C34" s="273"/>
      <c r="D34" s="279"/>
      <c r="E34" s="273"/>
      <c r="F34" s="272"/>
    </row>
    <row r="35" spans="2:6" ht="12" customHeight="1" x14ac:dyDescent="0.15">
      <c r="B35" s="280" t="s">
        <v>125</v>
      </c>
      <c r="C35" s="273"/>
      <c r="D35" s="279"/>
      <c r="E35" s="273"/>
      <c r="F35" s="272"/>
    </row>
    <row r="36" spans="2:6" ht="12" customHeight="1" x14ac:dyDescent="0.15">
      <c r="B36" s="278" t="s">
        <v>126</v>
      </c>
      <c r="C36" s="277"/>
      <c r="D36" s="276"/>
      <c r="E36" s="273"/>
      <c r="F36" s="272"/>
    </row>
    <row r="37" spans="2:6" ht="12" customHeight="1" x14ac:dyDescent="0.15">
      <c r="B37" s="274"/>
      <c r="C37" s="273"/>
      <c r="D37" s="273"/>
      <c r="E37" s="273"/>
      <c r="F37" s="272"/>
    </row>
    <row r="38" spans="2:6" ht="12" customHeight="1" x14ac:dyDescent="0.15">
      <c r="B38" s="274"/>
      <c r="C38" s="273"/>
      <c r="D38" s="273"/>
      <c r="E38" s="273"/>
      <c r="F38" s="272"/>
    </row>
    <row r="39" spans="2:6" ht="12" customHeight="1" x14ac:dyDescent="0.15">
      <c r="B39" s="274"/>
      <c r="C39" s="273"/>
      <c r="D39" s="273"/>
      <c r="E39" s="273"/>
      <c r="F39" s="272"/>
    </row>
    <row r="40" spans="2:6" ht="12" customHeight="1" x14ac:dyDescent="0.15">
      <c r="B40" s="274"/>
      <c r="C40" s="273"/>
      <c r="D40" s="273"/>
      <c r="E40" s="273"/>
      <c r="F40" s="272"/>
    </row>
    <row r="41" spans="2:6" ht="12" customHeight="1" x14ac:dyDescent="0.15">
      <c r="B41" s="274"/>
      <c r="C41" s="273"/>
      <c r="D41" s="273"/>
      <c r="E41" s="273"/>
      <c r="F41" s="272"/>
    </row>
    <row r="42" spans="2:6" ht="12" customHeight="1" x14ac:dyDescent="0.15">
      <c r="B42" s="274"/>
      <c r="C42" s="273"/>
      <c r="D42" s="273"/>
      <c r="E42" s="273"/>
      <c r="F42" s="272"/>
    </row>
    <row r="43" spans="2:6" ht="12" customHeight="1" x14ac:dyDescent="0.15">
      <c r="B43" s="274"/>
      <c r="C43" s="273"/>
      <c r="D43" s="273"/>
      <c r="E43" s="273"/>
      <c r="F43" s="272"/>
    </row>
    <row r="44" spans="2:6" ht="12" customHeight="1" x14ac:dyDescent="0.15">
      <c r="B44" s="274"/>
      <c r="C44" s="273"/>
      <c r="D44" s="273"/>
      <c r="E44" s="273"/>
      <c r="F44" s="272"/>
    </row>
    <row r="45" spans="2:6" ht="12" customHeight="1" x14ac:dyDescent="0.15">
      <c r="B45" s="274"/>
      <c r="C45" s="273"/>
      <c r="D45" s="273"/>
      <c r="E45" s="273"/>
      <c r="F45" s="272"/>
    </row>
    <row r="46" spans="2:6" ht="12" customHeight="1" x14ac:dyDescent="0.15">
      <c r="B46" s="274"/>
      <c r="C46" s="273"/>
      <c r="D46" s="273"/>
      <c r="E46" s="273"/>
      <c r="F46" s="272"/>
    </row>
    <row r="47" spans="2:6" ht="12" customHeight="1" x14ac:dyDescent="0.15">
      <c r="B47" s="274"/>
      <c r="C47" s="273"/>
      <c r="D47" s="273"/>
      <c r="E47" s="273"/>
      <c r="F47" s="272"/>
    </row>
    <row r="48" spans="2:6" ht="12" customHeight="1" x14ac:dyDescent="0.15">
      <c r="B48" s="274"/>
      <c r="C48" s="273"/>
      <c r="D48" s="273"/>
      <c r="E48" s="273"/>
      <c r="F48" s="272"/>
    </row>
    <row r="49" spans="2:6" ht="12" customHeight="1" x14ac:dyDescent="0.15">
      <c r="B49" s="274"/>
      <c r="C49" s="273"/>
      <c r="D49" s="273"/>
      <c r="E49" s="273"/>
      <c r="F49" s="272"/>
    </row>
    <row r="50" spans="2:6" ht="12" customHeight="1" x14ac:dyDescent="0.15">
      <c r="B50" s="274"/>
      <c r="C50" s="273"/>
      <c r="D50" s="273"/>
      <c r="E50" s="273"/>
      <c r="F50" s="272"/>
    </row>
    <row r="51" spans="2:6" ht="12" customHeight="1" x14ac:dyDescent="0.15">
      <c r="B51" s="274"/>
      <c r="C51" s="273"/>
      <c r="D51" s="273"/>
      <c r="E51" s="273"/>
      <c r="F51" s="272"/>
    </row>
    <row r="52" spans="2:6" ht="12" customHeight="1" x14ac:dyDescent="0.15">
      <c r="B52" s="274"/>
      <c r="C52" s="273"/>
      <c r="D52" s="273"/>
      <c r="E52" s="273"/>
      <c r="F52" s="272"/>
    </row>
    <row r="53" spans="2:6" ht="12" customHeight="1" x14ac:dyDescent="0.15">
      <c r="B53" s="274"/>
      <c r="C53" s="273"/>
      <c r="D53" s="273"/>
      <c r="E53" s="273"/>
      <c r="F53" s="272"/>
    </row>
    <row r="54" spans="2:6" ht="12" customHeight="1" x14ac:dyDescent="0.15">
      <c r="B54" s="274"/>
      <c r="C54" s="273"/>
      <c r="D54" s="273"/>
      <c r="E54" s="273"/>
      <c r="F54" s="272"/>
    </row>
    <row r="55" spans="2:6" ht="12" customHeight="1" x14ac:dyDescent="0.15">
      <c r="B55" s="274"/>
      <c r="C55" s="273"/>
      <c r="D55" s="273"/>
      <c r="E55" s="273"/>
      <c r="F55" s="272"/>
    </row>
    <row r="56" spans="2:6" ht="12" customHeight="1" x14ac:dyDescent="0.15">
      <c r="B56" s="274"/>
      <c r="C56" s="273"/>
      <c r="D56" s="273"/>
      <c r="E56" s="273"/>
      <c r="F56" s="272"/>
    </row>
    <row r="57" spans="2:6" ht="12" customHeight="1" x14ac:dyDescent="0.15">
      <c r="B57" s="274"/>
      <c r="C57" s="273"/>
      <c r="D57" s="273"/>
      <c r="E57" s="273"/>
      <c r="F57" s="272"/>
    </row>
    <row r="58" spans="2:6" ht="12" customHeight="1" x14ac:dyDescent="0.15">
      <c r="B58" s="274"/>
      <c r="C58" s="273"/>
      <c r="D58" s="273"/>
      <c r="E58" s="273"/>
      <c r="F58" s="272"/>
    </row>
    <row r="59" spans="2:6" ht="12" customHeight="1" x14ac:dyDescent="0.15">
      <c r="B59" s="274"/>
      <c r="C59" s="273"/>
      <c r="D59" s="273"/>
      <c r="E59" s="273"/>
      <c r="F59" s="272"/>
    </row>
    <row r="60" spans="2:6" ht="12" customHeight="1" x14ac:dyDescent="0.15">
      <c r="B60" s="274"/>
      <c r="C60" s="273"/>
      <c r="D60" s="273"/>
      <c r="E60" s="273"/>
      <c r="F60" s="272"/>
    </row>
    <row r="61" spans="2:6" ht="12" customHeight="1" x14ac:dyDescent="0.15">
      <c r="B61" s="274"/>
      <c r="C61" s="273"/>
      <c r="D61" s="273"/>
      <c r="E61" s="273"/>
      <c r="F61" s="272"/>
    </row>
    <row r="62" spans="2:6" ht="12" customHeight="1" x14ac:dyDescent="0.15">
      <c r="B62" s="274"/>
      <c r="C62" s="273"/>
      <c r="D62" s="273"/>
      <c r="E62" s="273"/>
      <c r="F62" s="272"/>
    </row>
    <row r="63" spans="2:6" ht="12" customHeight="1" x14ac:dyDescent="0.15">
      <c r="B63" s="274"/>
      <c r="C63" s="273"/>
      <c r="D63" s="273"/>
      <c r="E63" s="273"/>
      <c r="F63" s="272"/>
    </row>
    <row r="64" spans="2:6" ht="12" customHeight="1" x14ac:dyDescent="0.15">
      <c r="B64" s="274"/>
      <c r="C64" s="273"/>
      <c r="D64" s="273"/>
      <c r="E64" s="273"/>
      <c r="F64" s="272"/>
    </row>
    <row r="65" spans="2:6" ht="12" customHeight="1" x14ac:dyDescent="0.15">
      <c r="B65" s="274"/>
      <c r="C65" s="273"/>
      <c r="D65" s="273"/>
      <c r="E65" s="273"/>
      <c r="F65" s="272"/>
    </row>
    <row r="66" spans="2:6" ht="12" customHeight="1" x14ac:dyDescent="0.15">
      <c r="B66" s="274"/>
      <c r="C66" s="273"/>
      <c r="D66" s="273"/>
      <c r="E66" s="273"/>
      <c r="F66" s="272"/>
    </row>
    <row r="67" spans="2:6" ht="12" customHeight="1" x14ac:dyDescent="0.15">
      <c r="B67" s="274"/>
      <c r="C67" s="273"/>
      <c r="D67" s="273"/>
      <c r="E67" s="273"/>
      <c r="F67" s="272"/>
    </row>
    <row r="68" spans="2:6" ht="12" customHeight="1" x14ac:dyDescent="0.15">
      <c r="B68" s="274"/>
      <c r="C68" s="273"/>
      <c r="D68" s="273"/>
      <c r="E68" s="273"/>
      <c r="F68" s="272"/>
    </row>
    <row r="69" spans="2:6" ht="12" customHeight="1" x14ac:dyDescent="0.15">
      <c r="B69" s="274"/>
      <c r="C69" s="273"/>
      <c r="D69" s="273"/>
      <c r="E69" s="273"/>
      <c r="F69" s="272"/>
    </row>
    <row r="70" spans="2:6" ht="12" customHeight="1" x14ac:dyDescent="0.15">
      <c r="B70" s="274"/>
      <c r="C70" s="273"/>
      <c r="D70" s="273"/>
      <c r="E70" s="273"/>
      <c r="F70" s="272"/>
    </row>
    <row r="71" spans="2:6" ht="12" customHeight="1" x14ac:dyDescent="0.15">
      <c r="B71" s="274"/>
      <c r="C71" s="273"/>
      <c r="D71" s="273"/>
      <c r="E71" s="273"/>
      <c r="F71" s="272"/>
    </row>
    <row r="72" spans="2:6" ht="12" customHeight="1" x14ac:dyDescent="0.15">
      <c r="B72" s="274"/>
      <c r="C72" s="273"/>
      <c r="D72" s="273"/>
      <c r="E72" s="273"/>
      <c r="F72" s="272"/>
    </row>
    <row r="73" spans="2:6" ht="12" customHeight="1" x14ac:dyDescent="0.15">
      <c r="B73" s="274"/>
      <c r="C73" s="273"/>
      <c r="D73" s="273"/>
      <c r="E73" s="273"/>
      <c r="F73" s="272"/>
    </row>
    <row r="74" spans="2:6" ht="12" customHeight="1" x14ac:dyDescent="0.15">
      <c r="B74" s="274"/>
      <c r="C74" s="273"/>
      <c r="D74" s="273"/>
      <c r="E74" s="273"/>
      <c r="F74" s="272"/>
    </row>
    <row r="75" spans="2:6" ht="12" customHeight="1" x14ac:dyDescent="0.15">
      <c r="B75" s="274"/>
      <c r="C75" s="273"/>
      <c r="D75" s="273"/>
      <c r="E75" s="273"/>
      <c r="F75" s="272"/>
    </row>
    <row r="76" spans="2:6" ht="12" customHeight="1" x14ac:dyDescent="0.15">
      <c r="B76" s="274"/>
      <c r="C76" s="273"/>
      <c r="D76" s="273"/>
      <c r="E76" s="273"/>
      <c r="F76" s="272"/>
    </row>
    <row r="77" spans="2:6" ht="12" customHeight="1" x14ac:dyDescent="0.15">
      <c r="B77" s="274"/>
      <c r="C77" s="273"/>
      <c r="D77" s="273"/>
      <c r="E77" s="273"/>
      <c r="F77" s="272"/>
    </row>
    <row r="78" spans="2:6" ht="12" customHeight="1" x14ac:dyDescent="0.15">
      <c r="B78" s="274"/>
      <c r="C78" s="273"/>
      <c r="D78" s="273"/>
      <c r="E78" s="273"/>
      <c r="F78" s="272"/>
    </row>
    <row r="79" spans="2:6" ht="12" customHeight="1" x14ac:dyDescent="0.15">
      <c r="B79" s="274"/>
      <c r="C79" s="273"/>
      <c r="D79" s="273"/>
      <c r="E79" s="273"/>
      <c r="F79" s="272"/>
    </row>
    <row r="80" spans="2:6" ht="12" customHeight="1" x14ac:dyDescent="0.15">
      <c r="B80" s="274"/>
      <c r="C80" s="273"/>
      <c r="D80" s="273"/>
      <c r="E80" s="273"/>
      <c r="F80" s="272"/>
    </row>
    <row r="81" spans="2:6" ht="12" customHeight="1" x14ac:dyDescent="0.15">
      <c r="B81" s="274"/>
      <c r="C81" s="273"/>
      <c r="D81" s="273"/>
      <c r="E81" s="273"/>
      <c r="F81" s="272"/>
    </row>
    <row r="82" spans="2:6" ht="12" customHeight="1" x14ac:dyDescent="0.15">
      <c r="B82" s="274"/>
      <c r="C82" s="273"/>
      <c r="D82" s="273"/>
      <c r="E82" s="273"/>
      <c r="F82" s="272"/>
    </row>
    <row r="83" spans="2:6" ht="12" customHeight="1" x14ac:dyDescent="0.15">
      <c r="B83" s="274"/>
      <c r="C83" s="273"/>
      <c r="D83" s="273"/>
      <c r="E83" s="273"/>
      <c r="F83" s="272"/>
    </row>
    <row r="84" spans="2:6" ht="12" customHeight="1" x14ac:dyDescent="0.15">
      <c r="B84" s="274"/>
      <c r="C84" s="273"/>
      <c r="D84" s="273"/>
      <c r="E84" s="273"/>
      <c r="F84" s="272"/>
    </row>
    <row r="85" spans="2:6" ht="12" customHeight="1" x14ac:dyDescent="0.15">
      <c r="B85" s="274"/>
      <c r="C85" s="273"/>
      <c r="D85" s="273"/>
      <c r="E85" s="273"/>
      <c r="F85" s="272"/>
    </row>
    <row r="86" spans="2:6" ht="12" customHeight="1" x14ac:dyDescent="0.15">
      <c r="B86" s="274"/>
      <c r="C86" s="273"/>
      <c r="D86" s="273"/>
      <c r="E86" s="273"/>
      <c r="F86" s="272"/>
    </row>
    <row r="87" spans="2:6" ht="12" customHeight="1" x14ac:dyDescent="0.15">
      <c r="B87" s="274"/>
      <c r="C87" s="273"/>
      <c r="D87" s="273"/>
      <c r="E87" s="273"/>
      <c r="F87" s="272"/>
    </row>
    <row r="88" spans="2:6" ht="12" customHeight="1" x14ac:dyDescent="0.15">
      <c r="B88" s="274"/>
      <c r="C88" s="273"/>
      <c r="D88" s="273"/>
      <c r="E88" s="273"/>
      <c r="F88" s="272"/>
    </row>
    <row r="89" spans="2:6" ht="12" customHeight="1" x14ac:dyDescent="0.15">
      <c r="B89" s="274"/>
      <c r="C89" s="273"/>
      <c r="D89" s="273"/>
      <c r="E89" s="273"/>
      <c r="F89" s="272"/>
    </row>
    <row r="90" spans="2:6" ht="12" customHeight="1" x14ac:dyDescent="0.15">
      <c r="B90" s="274"/>
      <c r="C90" s="273"/>
      <c r="D90" s="273"/>
      <c r="E90" s="273"/>
      <c r="F90" s="272"/>
    </row>
    <row r="91" spans="2:6" ht="12" customHeight="1" x14ac:dyDescent="0.15">
      <c r="B91" s="274"/>
      <c r="C91" s="273"/>
      <c r="D91" s="273"/>
      <c r="E91" s="273"/>
      <c r="F91" s="272"/>
    </row>
    <row r="92" spans="2:6" ht="12" customHeight="1" x14ac:dyDescent="0.15">
      <c r="B92" s="274"/>
      <c r="C92" s="273"/>
      <c r="D92" s="273"/>
      <c r="E92" s="273"/>
      <c r="F92" s="272"/>
    </row>
    <row r="93" spans="2:6" ht="12" customHeight="1" x14ac:dyDescent="0.15">
      <c r="B93" s="274"/>
      <c r="C93" s="273"/>
      <c r="D93" s="273"/>
      <c r="E93" s="273"/>
      <c r="F93" s="272"/>
    </row>
    <row r="94" spans="2:6" ht="12" customHeight="1" x14ac:dyDescent="0.15">
      <c r="B94" s="274"/>
      <c r="C94" s="273"/>
      <c r="D94" s="273"/>
      <c r="E94" s="273"/>
      <c r="F94" s="272"/>
    </row>
    <row r="95" spans="2:6" ht="12" customHeight="1" x14ac:dyDescent="0.15">
      <c r="B95" s="274"/>
      <c r="C95" s="273"/>
      <c r="D95" s="273"/>
      <c r="E95" s="273"/>
      <c r="F95" s="272"/>
    </row>
    <row r="96" spans="2:6" ht="12" customHeight="1" x14ac:dyDescent="0.15">
      <c r="B96" s="274"/>
      <c r="C96" s="273"/>
      <c r="D96" s="273"/>
      <c r="E96" s="273"/>
      <c r="F96" s="272"/>
    </row>
    <row r="97" spans="2:6" ht="12" customHeight="1" x14ac:dyDescent="0.15">
      <c r="B97" s="274"/>
      <c r="C97" s="273"/>
      <c r="D97" s="273"/>
      <c r="E97" s="273"/>
      <c r="F97" s="272"/>
    </row>
    <row r="98" spans="2:6" ht="12" customHeight="1" x14ac:dyDescent="0.15">
      <c r="B98" s="274"/>
      <c r="C98" s="273"/>
      <c r="D98" s="273"/>
      <c r="E98" s="273"/>
      <c r="F98" s="272"/>
    </row>
    <row r="99" spans="2:6" ht="12" customHeight="1" x14ac:dyDescent="0.15">
      <c r="B99" s="274"/>
      <c r="C99" s="273"/>
      <c r="D99" s="273"/>
      <c r="E99" s="273"/>
      <c r="F99" s="272"/>
    </row>
    <row r="100" spans="2:6" ht="12" customHeight="1" x14ac:dyDescent="0.15">
      <c r="B100" s="274"/>
      <c r="C100" s="273"/>
      <c r="D100" s="273"/>
      <c r="E100" s="273"/>
      <c r="F100" s="272"/>
    </row>
    <row r="101" spans="2:6" ht="12" customHeight="1" x14ac:dyDescent="0.15">
      <c r="B101" s="274"/>
      <c r="C101" s="273"/>
      <c r="D101" s="273"/>
      <c r="E101" s="273"/>
      <c r="F101" s="272"/>
    </row>
    <row r="102" spans="2:6" ht="12" customHeight="1" x14ac:dyDescent="0.15">
      <c r="B102" s="274"/>
      <c r="C102" s="273"/>
      <c r="D102" s="273"/>
      <c r="E102" s="273"/>
      <c r="F102" s="272"/>
    </row>
    <row r="103" spans="2:6" ht="12" customHeight="1" x14ac:dyDescent="0.15">
      <c r="B103" s="274"/>
      <c r="C103" s="273"/>
      <c r="D103" s="273"/>
      <c r="E103" s="273"/>
      <c r="F103" s="272"/>
    </row>
    <row r="104" spans="2:6" ht="12" customHeight="1" x14ac:dyDescent="0.15">
      <c r="B104" s="274"/>
      <c r="C104" s="273"/>
      <c r="D104" s="273"/>
      <c r="E104" s="273"/>
      <c r="F104" s="272"/>
    </row>
    <row r="105" spans="2:6" ht="12" customHeight="1" x14ac:dyDescent="0.15">
      <c r="B105" s="274"/>
      <c r="C105" s="273"/>
      <c r="D105" s="273"/>
      <c r="E105" s="273"/>
      <c r="F105" s="272"/>
    </row>
    <row r="106" spans="2:6" ht="12" customHeight="1" x14ac:dyDescent="0.15">
      <c r="B106" s="274"/>
      <c r="C106" s="273"/>
      <c r="D106" s="273"/>
      <c r="E106" s="273"/>
      <c r="F106" s="272"/>
    </row>
    <row r="107" spans="2:6" ht="12" customHeight="1" x14ac:dyDescent="0.15">
      <c r="B107" s="274"/>
      <c r="C107" s="273"/>
      <c r="D107" s="273"/>
      <c r="E107" s="273"/>
      <c r="F107" s="272"/>
    </row>
    <row r="108" spans="2:6" ht="12" customHeight="1" x14ac:dyDescent="0.15">
      <c r="B108" s="274"/>
      <c r="C108" s="273"/>
      <c r="D108" s="273"/>
      <c r="E108" s="273"/>
      <c r="F108" s="272"/>
    </row>
    <row r="109" spans="2:6" ht="12" customHeight="1" x14ac:dyDescent="0.15">
      <c r="B109" s="274"/>
      <c r="C109" s="273"/>
      <c r="D109" s="273"/>
      <c r="E109" s="273"/>
      <c r="F109" s="272"/>
    </row>
    <row r="110" spans="2:6" ht="12" customHeight="1" x14ac:dyDescent="0.15">
      <c r="B110" s="274"/>
      <c r="C110" s="273"/>
      <c r="D110" s="273"/>
      <c r="E110" s="273"/>
      <c r="F110" s="272"/>
    </row>
    <row r="111" spans="2:6" ht="12" customHeight="1" x14ac:dyDescent="0.15">
      <c r="B111" s="274"/>
      <c r="C111" s="273"/>
      <c r="D111" s="273"/>
      <c r="E111" s="273"/>
      <c r="F111" s="272"/>
    </row>
    <row r="112" spans="2:6" ht="12" customHeight="1" x14ac:dyDescent="0.15">
      <c r="B112" s="274"/>
      <c r="C112" s="273"/>
      <c r="D112" s="273"/>
      <c r="E112" s="273"/>
      <c r="F112" s="272"/>
    </row>
    <row r="113" spans="2:6" ht="12" customHeight="1" x14ac:dyDescent="0.15">
      <c r="B113" s="274"/>
      <c r="C113" s="273"/>
      <c r="D113" s="273"/>
      <c r="E113" s="273"/>
      <c r="F113" s="272"/>
    </row>
    <row r="114" spans="2:6" ht="12" customHeight="1" x14ac:dyDescent="0.15">
      <c r="B114" s="274"/>
      <c r="C114" s="273"/>
      <c r="D114" s="273"/>
      <c r="E114" s="273"/>
      <c r="F114" s="272"/>
    </row>
    <row r="115" spans="2:6" ht="12" customHeight="1" x14ac:dyDescent="0.15">
      <c r="B115" s="274"/>
      <c r="C115" s="273"/>
      <c r="D115" s="273"/>
      <c r="E115" s="273"/>
      <c r="F115" s="272"/>
    </row>
    <row r="116" spans="2:6" ht="12" customHeight="1" x14ac:dyDescent="0.15">
      <c r="B116" s="274"/>
      <c r="C116" s="273"/>
      <c r="D116" s="273"/>
      <c r="E116" s="273"/>
      <c r="F116" s="272"/>
    </row>
    <row r="117" spans="2:6" ht="12" customHeight="1" x14ac:dyDescent="0.15">
      <c r="B117" s="274"/>
      <c r="C117" s="273"/>
      <c r="D117" s="273"/>
      <c r="E117" s="273"/>
      <c r="F117" s="272"/>
    </row>
    <row r="118" spans="2:6" ht="12" customHeight="1" x14ac:dyDescent="0.15">
      <c r="B118" s="274"/>
      <c r="C118" s="273"/>
      <c r="D118" s="273"/>
      <c r="E118" s="273"/>
      <c r="F118" s="272"/>
    </row>
    <row r="119" spans="2:6" ht="12" customHeight="1" x14ac:dyDescent="0.15">
      <c r="B119" s="274"/>
      <c r="C119" s="273"/>
      <c r="D119" s="273"/>
      <c r="E119" s="273"/>
      <c r="F119" s="272"/>
    </row>
    <row r="120" spans="2:6" ht="12" customHeight="1" x14ac:dyDescent="0.15">
      <c r="B120" s="274"/>
      <c r="C120" s="273"/>
      <c r="D120" s="273"/>
      <c r="E120" s="273"/>
      <c r="F120" s="272"/>
    </row>
    <row r="121" spans="2:6" ht="12" customHeight="1" x14ac:dyDescent="0.15">
      <c r="B121" s="274"/>
      <c r="C121" s="273"/>
      <c r="D121" s="273"/>
      <c r="E121" s="273"/>
      <c r="F121" s="272"/>
    </row>
    <row r="122" spans="2:6" ht="12" customHeight="1" x14ac:dyDescent="0.15">
      <c r="B122" s="274"/>
      <c r="C122" s="273"/>
      <c r="D122" s="273"/>
      <c r="E122" s="273"/>
      <c r="F122" s="272"/>
    </row>
    <row r="123" spans="2:6" ht="12" customHeight="1" x14ac:dyDescent="0.15">
      <c r="B123" s="274"/>
      <c r="C123" s="273"/>
      <c r="D123" s="273"/>
      <c r="E123" s="273"/>
      <c r="F123" s="272"/>
    </row>
    <row r="124" spans="2:6" ht="12" customHeight="1" x14ac:dyDescent="0.15">
      <c r="B124" s="274"/>
      <c r="C124" s="273"/>
      <c r="D124" s="273"/>
      <c r="E124" s="273"/>
      <c r="F124" s="272"/>
    </row>
    <row r="125" spans="2:6" ht="12" customHeight="1" x14ac:dyDescent="0.15">
      <c r="B125" s="274"/>
      <c r="C125" s="273"/>
      <c r="D125" s="273"/>
      <c r="E125" s="273"/>
      <c r="F125" s="272"/>
    </row>
    <row r="126" spans="2:6" ht="12" customHeight="1" x14ac:dyDescent="0.15">
      <c r="B126" s="274"/>
      <c r="C126" s="273"/>
      <c r="D126" s="273"/>
      <c r="E126" s="273"/>
      <c r="F126" s="272"/>
    </row>
    <row r="127" spans="2:6" ht="12" customHeight="1" x14ac:dyDescent="0.15">
      <c r="B127" s="274"/>
      <c r="C127" s="273"/>
      <c r="D127" s="273"/>
      <c r="E127" s="273"/>
      <c r="F127" s="272"/>
    </row>
    <row r="128" spans="2:6" ht="12" customHeight="1" x14ac:dyDescent="0.15">
      <c r="B128" s="274"/>
      <c r="C128" s="273"/>
      <c r="D128" s="273"/>
      <c r="E128" s="273"/>
      <c r="F128" s="272"/>
    </row>
    <row r="129" spans="2:6" ht="12" customHeight="1" x14ac:dyDescent="0.15">
      <c r="B129" s="274"/>
      <c r="C129" s="273"/>
      <c r="D129" s="273"/>
      <c r="E129" s="273"/>
      <c r="F129" s="272"/>
    </row>
    <row r="130" spans="2:6" ht="12" customHeight="1" x14ac:dyDescent="0.15">
      <c r="B130" s="274"/>
      <c r="C130" s="273"/>
      <c r="D130" s="273"/>
      <c r="E130" s="273"/>
      <c r="F130" s="272"/>
    </row>
    <row r="131" spans="2:6" ht="12" customHeight="1" x14ac:dyDescent="0.15">
      <c r="B131" s="274"/>
      <c r="C131" s="273"/>
      <c r="D131" s="273"/>
      <c r="E131" s="273"/>
      <c r="F131" s="272"/>
    </row>
    <row r="132" spans="2:6" ht="12" customHeight="1" x14ac:dyDescent="0.15">
      <c r="B132" s="274"/>
      <c r="C132" s="273"/>
      <c r="D132" s="273"/>
      <c r="E132" s="273"/>
      <c r="F132" s="272"/>
    </row>
    <row r="133" spans="2:6" ht="12" customHeight="1" x14ac:dyDescent="0.15">
      <c r="B133" s="274"/>
      <c r="C133" s="273"/>
      <c r="D133" s="273"/>
      <c r="E133" s="273"/>
      <c r="F133" s="272"/>
    </row>
    <row r="134" spans="2:6" ht="12" customHeight="1" x14ac:dyDescent="0.15">
      <c r="B134" s="274"/>
      <c r="C134" s="273"/>
      <c r="D134" s="273"/>
      <c r="E134" s="273"/>
      <c r="F134" s="272"/>
    </row>
    <row r="135" spans="2:6" ht="12" customHeight="1" x14ac:dyDescent="0.15">
      <c r="B135" s="274"/>
      <c r="C135" s="273"/>
      <c r="D135" s="273"/>
      <c r="E135" s="273"/>
      <c r="F135" s="272"/>
    </row>
    <row r="136" spans="2:6" ht="12" customHeight="1" x14ac:dyDescent="0.15">
      <c r="B136" s="274"/>
      <c r="C136" s="273"/>
      <c r="D136" s="273"/>
      <c r="E136" s="273"/>
      <c r="F136" s="272"/>
    </row>
    <row r="137" spans="2:6" ht="12" customHeight="1" x14ac:dyDescent="0.15">
      <c r="B137" s="274"/>
      <c r="C137" s="273"/>
      <c r="D137" s="273"/>
      <c r="E137" s="273"/>
      <c r="F137" s="272"/>
    </row>
    <row r="138" spans="2:6" ht="12" customHeight="1" x14ac:dyDescent="0.15">
      <c r="B138" s="274"/>
      <c r="C138" s="273"/>
      <c r="D138" s="273"/>
      <c r="E138" s="273"/>
      <c r="F138" s="272"/>
    </row>
    <row r="139" spans="2:6" ht="12" customHeight="1" x14ac:dyDescent="0.15">
      <c r="B139" s="274"/>
      <c r="C139" s="273"/>
      <c r="D139" s="273"/>
      <c r="E139" s="273"/>
      <c r="F139" s="272"/>
    </row>
    <row r="140" spans="2:6" ht="12" customHeight="1" x14ac:dyDescent="0.15">
      <c r="B140" s="274"/>
      <c r="C140" s="273"/>
      <c r="D140" s="273"/>
      <c r="E140" s="273"/>
      <c r="F140" s="272"/>
    </row>
    <row r="141" spans="2:6" ht="12" customHeight="1" x14ac:dyDescent="0.15">
      <c r="B141" s="274"/>
      <c r="C141" s="273"/>
      <c r="D141" s="273"/>
      <c r="E141" s="273"/>
      <c r="F141" s="272"/>
    </row>
    <row r="142" spans="2:6" ht="12" customHeight="1" x14ac:dyDescent="0.15">
      <c r="B142" s="274"/>
      <c r="C142" s="273"/>
      <c r="D142" s="273"/>
      <c r="E142" s="273"/>
      <c r="F142" s="272"/>
    </row>
    <row r="143" spans="2:6" ht="12" customHeight="1" x14ac:dyDescent="0.15">
      <c r="B143" s="274"/>
      <c r="C143" s="273"/>
      <c r="D143" s="273"/>
      <c r="E143" s="273"/>
      <c r="F143" s="272"/>
    </row>
    <row r="144" spans="2:6" ht="12" customHeight="1" x14ac:dyDescent="0.15">
      <c r="B144" s="274"/>
      <c r="C144" s="273"/>
      <c r="D144" s="273"/>
      <c r="E144" s="273"/>
      <c r="F144" s="272"/>
    </row>
    <row r="145" spans="2:6" ht="12" customHeight="1" x14ac:dyDescent="0.15">
      <c r="B145" s="274"/>
      <c r="C145" s="273"/>
      <c r="D145" s="273"/>
      <c r="E145" s="273"/>
      <c r="F145" s="272"/>
    </row>
    <row r="146" spans="2:6" ht="12" customHeight="1" x14ac:dyDescent="0.15">
      <c r="B146" s="274"/>
      <c r="C146" s="273"/>
      <c r="D146" s="273"/>
      <c r="E146" s="273"/>
      <c r="F146" s="272"/>
    </row>
    <row r="147" spans="2:6" ht="12" customHeight="1" x14ac:dyDescent="0.15">
      <c r="B147" s="274"/>
      <c r="C147" s="273"/>
      <c r="D147" s="273"/>
      <c r="E147" s="273"/>
      <c r="F147" s="272"/>
    </row>
    <row r="148" spans="2:6" ht="12" customHeight="1" x14ac:dyDescent="0.15">
      <c r="B148" s="274"/>
      <c r="C148" s="273"/>
      <c r="D148" s="273"/>
      <c r="E148" s="273"/>
      <c r="F148" s="272"/>
    </row>
    <row r="149" spans="2:6" ht="12" customHeight="1" x14ac:dyDescent="0.15">
      <c r="B149" s="274"/>
      <c r="C149" s="273"/>
      <c r="D149" s="273"/>
      <c r="E149" s="273"/>
      <c r="F149" s="272"/>
    </row>
    <row r="150" spans="2:6" ht="12" customHeight="1" x14ac:dyDescent="0.15">
      <c r="B150" s="274"/>
      <c r="C150" s="273"/>
      <c r="D150" s="273"/>
      <c r="E150" s="273"/>
      <c r="F150" s="272"/>
    </row>
    <row r="151" spans="2:6" ht="12" customHeight="1" x14ac:dyDescent="0.15">
      <c r="B151" s="274"/>
      <c r="C151" s="273"/>
      <c r="D151" s="273"/>
      <c r="E151" s="273"/>
      <c r="F151" s="272"/>
    </row>
    <row r="152" spans="2:6" ht="12" customHeight="1" x14ac:dyDescent="0.15">
      <c r="B152" s="274"/>
      <c r="C152" s="273"/>
      <c r="D152" s="273"/>
      <c r="E152" s="273"/>
      <c r="F152" s="272"/>
    </row>
    <row r="153" spans="2:6" ht="12" customHeight="1" x14ac:dyDescent="0.15">
      <c r="B153" s="274"/>
      <c r="C153" s="273"/>
      <c r="D153" s="273"/>
      <c r="E153" s="273"/>
      <c r="F153" s="272"/>
    </row>
    <row r="154" spans="2:6" ht="12" customHeight="1" x14ac:dyDescent="0.15">
      <c r="B154" s="274"/>
      <c r="C154" s="273"/>
      <c r="D154" s="273"/>
      <c r="E154" s="273"/>
      <c r="F154" s="272"/>
    </row>
    <row r="155" spans="2:6" ht="12" customHeight="1" x14ac:dyDescent="0.15">
      <c r="B155" s="274"/>
      <c r="C155" s="273"/>
      <c r="D155" s="273"/>
      <c r="E155" s="273"/>
      <c r="F155" s="272"/>
    </row>
    <row r="156" spans="2:6" ht="12" customHeight="1" x14ac:dyDescent="0.15">
      <c r="B156" s="274"/>
      <c r="C156" s="273"/>
      <c r="D156" s="273"/>
      <c r="E156" s="273"/>
      <c r="F156" s="272"/>
    </row>
    <row r="157" spans="2:6" ht="12" customHeight="1" x14ac:dyDescent="0.15">
      <c r="B157" s="274"/>
      <c r="C157" s="273"/>
      <c r="D157" s="273"/>
      <c r="E157" s="273"/>
      <c r="F157" s="272"/>
    </row>
    <row r="158" spans="2:6" ht="12" customHeight="1" x14ac:dyDescent="0.15">
      <c r="B158" s="274"/>
      <c r="C158" s="273"/>
      <c r="D158" s="273"/>
      <c r="E158" s="273"/>
      <c r="F158" s="272"/>
    </row>
    <row r="159" spans="2:6" ht="12" customHeight="1" x14ac:dyDescent="0.15">
      <c r="B159" s="274"/>
      <c r="C159" s="273"/>
      <c r="D159" s="273"/>
      <c r="E159" s="273"/>
      <c r="F159" s="272"/>
    </row>
    <row r="160" spans="2:6" ht="12" customHeight="1" x14ac:dyDescent="0.15">
      <c r="B160" s="274"/>
      <c r="C160" s="273"/>
      <c r="D160" s="273"/>
      <c r="E160" s="273"/>
      <c r="F160" s="272"/>
    </row>
    <row r="161" spans="2:6" ht="12" customHeight="1" x14ac:dyDescent="0.15">
      <c r="B161" s="274"/>
      <c r="C161" s="273"/>
      <c r="D161" s="273"/>
      <c r="E161" s="273"/>
      <c r="F161" s="272"/>
    </row>
    <row r="162" spans="2:6" ht="12" customHeight="1" x14ac:dyDescent="0.15">
      <c r="B162" s="274"/>
      <c r="C162" s="273"/>
      <c r="D162" s="273"/>
      <c r="E162" s="273"/>
      <c r="F162" s="272"/>
    </row>
    <row r="163" spans="2:6" ht="12" customHeight="1" x14ac:dyDescent="0.15">
      <c r="B163" s="274"/>
      <c r="C163" s="273"/>
      <c r="D163" s="273"/>
      <c r="E163" s="273"/>
      <c r="F163" s="272"/>
    </row>
    <row r="164" spans="2:6" ht="12" customHeight="1" x14ac:dyDescent="0.15">
      <c r="B164" s="274"/>
      <c r="C164" s="273"/>
      <c r="D164" s="273"/>
      <c r="E164" s="273"/>
      <c r="F164" s="272"/>
    </row>
    <row r="165" spans="2:6" ht="12" customHeight="1" x14ac:dyDescent="0.15">
      <c r="B165" s="274"/>
      <c r="C165" s="273"/>
      <c r="D165" s="273"/>
      <c r="E165" s="273"/>
      <c r="F165" s="272"/>
    </row>
    <row r="166" spans="2:6" ht="12" customHeight="1" x14ac:dyDescent="0.15">
      <c r="B166" s="274"/>
      <c r="C166" s="273"/>
      <c r="D166" s="273"/>
      <c r="E166" s="273"/>
      <c r="F166" s="272"/>
    </row>
    <row r="167" spans="2:6" ht="12" customHeight="1" x14ac:dyDescent="0.15">
      <c r="B167" s="274"/>
      <c r="C167" s="273"/>
      <c r="D167" s="273"/>
      <c r="E167" s="273"/>
      <c r="F167" s="272"/>
    </row>
    <row r="168" spans="2:6" ht="12" customHeight="1" x14ac:dyDescent="0.15">
      <c r="B168" s="274"/>
      <c r="C168" s="273"/>
      <c r="D168" s="273"/>
      <c r="E168" s="273"/>
      <c r="F168" s="272"/>
    </row>
    <row r="169" spans="2:6" ht="12" customHeight="1" x14ac:dyDescent="0.15">
      <c r="B169" s="274"/>
      <c r="C169" s="273"/>
      <c r="D169" s="273"/>
      <c r="E169" s="273"/>
      <c r="F169" s="272"/>
    </row>
    <row r="170" spans="2:6" ht="12" customHeight="1" x14ac:dyDescent="0.15">
      <c r="B170" s="274"/>
      <c r="C170" s="273"/>
      <c r="D170" s="273"/>
      <c r="E170" s="273"/>
      <c r="F170" s="272"/>
    </row>
    <row r="171" spans="2:6" ht="12" customHeight="1" x14ac:dyDescent="0.15">
      <c r="B171" s="274"/>
      <c r="C171" s="273"/>
      <c r="D171" s="273"/>
      <c r="E171" s="273"/>
      <c r="F171" s="272"/>
    </row>
    <row r="172" spans="2:6" ht="12" customHeight="1" x14ac:dyDescent="0.15">
      <c r="B172" s="274"/>
      <c r="C172" s="273"/>
      <c r="D172" s="273"/>
      <c r="E172" s="273"/>
      <c r="F172" s="272"/>
    </row>
    <row r="173" spans="2:6" ht="12" customHeight="1" x14ac:dyDescent="0.15">
      <c r="B173" s="274"/>
      <c r="C173" s="273"/>
      <c r="D173" s="273"/>
      <c r="E173" s="273"/>
      <c r="F173" s="272"/>
    </row>
    <row r="174" spans="2:6" ht="12" customHeight="1" x14ac:dyDescent="0.15">
      <c r="B174" s="274"/>
      <c r="C174" s="273"/>
      <c r="D174" s="273"/>
      <c r="E174" s="273"/>
      <c r="F174" s="272"/>
    </row>
    <row r="175" spans="2:6" ht="12" customHeight="1" x14ac:dyDescent="0.15">
      <c r="B175" s="274"/>
      <c r="C175" s="273"/>
      <c r="D175" s="273"/>
      <c r="E175" s="273"/>
      <c r="F175" s="272"/>
    </row>
    <row r="176" spans="2:6" ht="12" customHeight="1" x14ac:dyDescent="0.15">
      <c r="B176" s="274"/>
      <c r="C176" s="273"/>
      <c r="D176" s="273"/>
      <c r="E176" s="273"/>
      <c r="F176" s="272"/>
    </row>
    <row r="177" spans="2:6" ht="12" customHeight="1" x14ac:dyDescent="0.15">
      <c r="B177" s="274"/>
      <c r="C177" s="273"/>
      <c r="D177" s="273"/>
      <c r="E177" s="273"/>
      <c r="F177" s="272"/>
    </row>
    <row r="178" spans="2:6" ht="12" customHeight="1" x14ac:dyDescent="0.15">
      <c r="B178" s="274"/>
      <c r="C178" s="273"/>
      <c r="D178" s="273"/>
      <c r="E178" s="273"/>
      <c r="F178" s="272"/>
    </row>
    <row r="179" spans="2:6" ht="12" customHeight="1" x14ac:dyDescent="0.15">
      <c r="B179" s="274"/>
      <c r="C179" s="273"/>
      <c r="D179" s="273"/>
      <c r="E179" s="273"/>
      <c r="F179" s="272"/>
    </row>
    <row r="180" spans="2:6" ht="12" customHeight="1" x14ac:dyDescent="0.15">
      <c r="B180" s="274"/>
      <c r="C180" s="273"/>
      <c r="D180" s="273"/>
      <c r="E180" s="273"/>
      <c r="F180" s="272"/>
    </row>
    <row r="181" spans="2:6" ht="12" customHeight="1" x14ac:dyDescent="0.15">
      <c r="B181" s="274"/>
      <c r="C181" s="273"/>
      <c r="D181" s="273"/>
      <c r="E181" s="273"/>
      <c r="F181" s="272"/>
    </row>
    <row r="182" spans="2:6" ht="12" customHeight="1" x14ac:dyDescent="0.15">
      <c r="B182" s="274"/>
      <c r="C182" s="273"/>
      <c r="D182" s="273"/>
      <c r="E182" s="273"/>
      <c r="F182" s="272"/>
    </row>
    <row r="183" spans="2:6" ht="12" customHeight="1" x14ac:dyDescent="0.15">
      <c r="B183" s="274"/>
      <c r="C183" s="273"/>
      <c r="D183" s="273"/>
      <c r="E183" s="273"/>
      <c r="F183" s="272"/>
    </row>
    <row r="184" spans="2:6" ht="12" customHeight="1" x14ac:dyDescent="0.15">
      <c r="B184" s="274"/>
      <c r="C184" s="273"/>
      <c r="D184" s="273"/>
      <c r="E184" s="273"/>
      <c r="F184" s="272"/>
    </row>
    <row r="185" spans="2:6" ht="12" customHeight="1" x14ac:dyDescent="0.15">
      <c r="B185" s="274"/>
      <c r="C185" s="273"/>
      <c r="D185" s="273"/>
      <c r="E185" s="273"/>
      <c r="F185" s="272"/>
    </row>
    <row r="186" spans="2:6" ht="12" customHeight="1" x14ac:dyDescent="0.15">
      <c r="B186" s="274"/>
      <c r="C186" s="273"/>
      <c r="D186" s="273"/>
      <c r="E186" s="273"/>
      <c r="F186" s="272"/>
    </row>
    <row r="187" spans="2:6" ht="12" customHeight="1" x14ac:dyDescent="0.15">
      <c r="B187" s="274"/>
      <c r="C187" s="273"/>
      <c r="D187" s="273"/>
      <c r="E187" s="273"/>
      <c r="F187" s="272"/>
    </row>
    <row r="188" spans="2:6" ht="12" customHeight="1" x14ac:dyDescent="0.15">
      <c r="B188" s="274"/>
      <c r="C188" s="273"/>
      <c r="D188" s="273"/>
      <c r="E188" s="273"/>
      <c r="F188" s="272"/>
    </row>
    <row r="189" spans="2:6" ht="12" customHeight="1" x14ac:dyDescent="0.15">
      <c r="B189" s="274"/>
      <c r="C189" s="273"/>
      <c r="D189" s="273"/>
      <c r="E189" s="273"/>
      <c r="F189" s="272"/>
    </row>
    <row r="190" spans="2:6" ht="12" customHeight="1" x14ac:dyDescent="0.15">
      <c r="B190" s="274"/>
      <c r="C190" s="273"/>
      <c r="D190" s="273"/>
      <c r="E190" s="273"/>
      <c r="F190" s="272"/>
    </row>
    <row r="191" spans="2:6" ht="12" customHeight="1" x14ac:dyDescent="0.15">
      <c r="B191" s="274"/>
      <c r="C191" s="273"/>
      <c r="D191" s="273"/>
      <c r="E191" s="273"/>
      <c r="F191" s="272"/>
    </row>
    <row r="192" spans="2:6" ht="12" customHeight="1" x14ac:dyDescent="0.15">
      <c r="B192" s="274"/>
      <c r="C192" s="273"/>
      <c r="D192" s="273"/>
      <c r="E192" s="273"/>
      <c r="F192" s="272"/>
    </row>
    <row r="193" spans="2:6" ht="12" customHeight="1" x14ac:dyDescent="0.15">
      <c r="B193" s="274"/>
      <c r="C193" s="273"/>
      <c r="D193" s="273"/>
      <c r="E193" s="273"/>
      <c r="F193" s="272"/>
    </row>
    <row r="194" spans="2:6" ht="12" customHeight="1" x14ac:dyDescent="0.15">
      <c r="B194" s="274"/>
      <c r="C194" s="273"/>
      <c r="D194" s="273"/>
      <c r="E194" s="273"/>
      <c r="F194" s="272"/>
    </row>
    <row r="195" spans="2:6" ht="12" customHeight="1" x14ac:dyDescent="0.15">
      <c r="B195" s="274"/>
      <c r="C195" s="273"/>
      <c r="D195" s="273"/>
      <c r="E195" s="273"/>
      <c r="F195" s="272"/>
    </row>
    <row r="196" spans="2:6" ht="12" customHeight="1" x14ac:dyDescent="0.15">
      <c r="B196" s="274"/>
      <c r="C196" s="273"/>
      <c r="D196" s="273"/>
      <c r="E196" s="273"/>
      <c r="F196" s="272"/>
    </row>
    <row r="197" spans="2:6" ht="12" customHeight="1" x14ac:dyDescent="0.15">
      <c r="B197" s="274"/>
      <c r="C197" s="273"/>
      <c r="D197" s="273"/>
      <c r="E197" s="273"/>
      <c r="F197" s="272"/>
    </row>
    <row r="198" spans="2:6" ht="12" customHeight="1" x14ac:dyDescent="0.15">
      <c r="B198" s="274"/>
      <c r="C198" s="273"/>
      <c r="D198" s="273"/>
      <c r="E198" s="273"/>
      <c r="F198" s="272"/>
    </row>
    <row r="199" spans="2:6" ht="12" customHeight="1" x14ac:dyDescent="0.15">
      <c r="B199" s="274"/>
      <c r="C199" s="273"/>
      <c r="D199" s="273"/>
      <c r="E199" s="273"/>
      <c r="F199" s="272"/>
    </row>
    <row r="200" spans="2:6" ht="12" customHeight="1" x14ac:dyDescent="0.15">
      <c r="B200" s="274"/>
      <c r="C200" s="273"/>
      <c r="D200" s="273"/>
      <c r="E200" s="273"/>
      <c r="F200" s="272"/>
    </row>
    <row r="201" spans="2:6" ht="12" customHeight="1" x14ac:dyDescent="0.15">
      <c r="B201" s="274"/>
      <c r="C201" s="273"/>
      <c r="D201" s="273"/>
      <c r="E201" s="273"/>
      <c r="F201" s="272"/>
    </row>
    <row r="202" spans="2:6" ht="12" customHeight="1" x14ac:dyDescent="0.15">
      <c r="B202" s="274"/>
      <c r="C202" s="273"/>
      <c r="D202" s="273"/>
      <c r="E202" s="273"/>
      <c r="F202" s="272"/>
    </row>
    <row r="203" spans="2:6" ht="12" customHeight="1" x14ac:dyDescent="0.15">
      <c r="B203" s="274"/>
      <c r="C203" s="273"/>
      <c r="D203" s="273"/>
      <c r="E203" s="273"/>
      <c r="F203" s="272"/>
    </row>
    <row r="204" spans="2:6" ht="12" customHeight="1" x14ac:dyDescent="0.15">
      <c r="B204" s="274"/>
      <c r="C204" s="273"/>
      <c r="D204" s="273"/>
      <c r="E204" s="273"/>
      <c r="F204" s="272"/>
    </row>
    <row r="205" spans="2:6" ht="12" customHeight="1" x14ac:dyDescent="0.15">
      <c r="B205" s="274"/>
      <c r="C205" s="273"/>
      <c r="D205" s="273"/>
      <c r="E205" s="273"/>
      <c r="F205" s="272"/>
    </row>
    <row r="206" spans="2:6" ht="12" customHeight="1" x14ac:dyDescent="0.15">
      <c r="B206" s="274"/>
      <c r="C206" s="273"/>
      <c r="D206" s="273"/>
      <c r="E206" s="273"/>
      <c r="F206" s="272"/>
    </row>
    <row r="207" spans="2:6" ht="12" customHeight="1" x14ac:dyDescent="0.15">
      <c r="B207" s="274"/>
      <c r="C207" s="273"/>
      <c r="D207" s="273"/>
      <c r="E207" s="273"/>
      <c r="F207" s="272"/>
    </row>
    <row r="208" spans="2:6" ht="12" customHeight="1" x14ac:dyDescent="0.15">
      <c r="B208" s="274"/>
      <c r="C208" s="273"/>
      <c r="D208" s="273"/>
      <c r="E208" s="273"/>
      <c r="F208" s="272"/>
    </row>
    <row r="209" spans="2:6" ht="12" customHeight="1" x14ac:dyDescent="0.15">
      <c r="B209" s="274"/>
      <c r="C209" s="273"/>
      <c r="D209" s="273"/>
      <c r="E209" s="273"/>
      <c r="F209" s="272"/>
    </row>
    <row r="210" spans="2:6" ht="12" customHeight="1" x14ac:dyDescent="0.15">
      <c r="B210" s="274"/>
      <c r="C210" s="273"/>
      <c r="D210" s="273"/>
      <c r="E210" s="273"/>
      <c r="F210" s="272"/>
    </row>
    <row r="211" spans="2:6" ht="12" customHeight="1" x14ac:dyDescent="0.15">
      <c r="B211" s="274"/>
      <c r="C211" s="273"/>
      <c r="D211" s="273"/>
      <c r="E211" s="273"/>
      <c r="F211" s="272"/>
    </row>
    <row r="212" spans="2:6" ht="12" customHeight="1" x14ac:dyDescent="0.15">
      <c r="B212" s="274"/>
      <c r="C212" s="273"/>
      <c r="D212" s="273"/>
      <c r="E212" s="273"/>
      <c r="F212" s="272"/>
    </row>
    <row r="213" spans="2:6" ht="12" customHeight="1" x14ac:dyDescent="0.15">
      <c r="B213" s="274"/>
      <c r="C213" s="273"/>
      <c r="D213" s="273"/>
      <c r="E213" s="273"/>
      <c r="F213" s="272"/>
    </row>
    <row r="214" spans="2:6" ht="12" customHeight="1" x14ac:dyDescent="0.15">
      <c r="B214" s="274"/>
      <c r="C214" s="273"/>
      <c r="D214" s="273"/>
      <c r="E214" s="273"/>
      <c r="F214" s="272"/>
    </row>
    <row r="215" spans="2:6" ht="12" customHeight="1" x14ac:dyDescent="0.15">
      <c r="B215" s="274"/>
      <c r="C215" s="273"/>
      <c r="D215" s="273"/>
      <c r="E215" s="273"/>
      <c r="F215" s="272"/>
    </row>
    <row r="216" spans="2:6" ht="12" customHeight="1" x14ac:dyDescent="0.15">
      <c r="B216" s="274"/>
      <c r="C216" s="273"/>
      <c r="D216" s="273"/>
      <c r="E216" s="273"/>
      <c r="F216" s="272"/>
    </row>
    <row r="217" spans="2:6" ht="12" customHeight="1" x14ac:dyDescent="0.15">
      <c r="B217" s="274"/>
      <c r="C217" s="273"/>
      <c r="D217" s="273"/>
      <c r="E217" s="273"/>
      <c r="F217" s="272"/>
    </row>
    <row r="218" spans="2:6" ht="12" customHeight="1" x14ac:dyDescent="0.15">
      <c r="B218" s="274"/>
      <c r="C218" s="273"/>
      <c r="D218" s="273"/>
      <c r="E218" s="273"/>
      <c r="F218" s="272"/>
    </row>
    <row r="219" spans="2:6" ht="12" customHeight="1" x14ac:dyDescent="0.15">
      <c r="B219" s="274"/>
      <c r="C219" s="273"/>
      <c r="D219" s="273"/>
      <c r="E219" s="273"/>
      <c r="F219" s="272"/>
    </row>
    <row r="220" spans="2:6" ht="12" customHeight="1" x14ac:dyDescent="0.15">
      <c r="B220" s="274"/>
      <c r="C220" s="273"/>
      <c r="D220" s="273"/>
      <c r="E220" s="273"/>
      <c r="F220" s="272"/>
    </row>
    <row r="221" spans="2:6" ht="12" customHeight="1" x14ac:dyDescent="0.15">
      <c r="B221" s="274"/>
      <c r="C221" s="273"/>
      <c r="D221" s="273"/>
      <c r="E221" s="273"/>
      <c r="F221" s="272"/>
    </row>
    <row r="222" spans="2:6" ht="12" customHeight="1" x14ac:dyDescent="0.15">
      <c r="B222" s="274"/>
      <c r="C222" s="273"/>
      <c r="D222" s="273"/>
      <c r="E222" s="273"/>
      <c r="F222" s="272"/>
    </row>
    <row r="223" spans="2:6" ht="12" customHeight="1" x14ac:dyDescent="0.15">
      <c r="B223" s="274"/>
      <c r="C223" s="273"/>
      <c r="D223" s="273"/>
      <c r="E223" s="273"/>
      <c r="F223" s="272"/>
    </row>
    <row r="224" spans="2:6" ht="12" customHeight="1" x14ac:dyDescent="0.15">
      <c r="B224" s="274"/>
      <c r="C224" s="273"/>
      <c r="D224" s="273"/>
      <c r="E224" s="273"/>
      <c r="F224" s="272"/>
    </row>
    <row r="225" spans="2:6" ht="12" customHeight="1" x14ac:dyDescent="0.15">
      <c r="B225" s="274"/>
      <c r="C225" s="273"/>
      <c r="D225" s="273"/>
      <c r="E225" s="273"/>
      <c r="F225" s="272"/>
    </row>
    <row r="226" spans="2:6" ht="12" customHeight="1" x14ac:dyDescent="0.15">
      <c r="B226" s="274"/>
      <c r="C226" s="273"/>
      <c r="D226" s="273"/>
      <c r="E226" s="273"/>
      <c r="F226" s="272"/>
    </row>
    <row r="227" spans="2:6" ht="12" customHeight="1" x14ac:dyDescent="0.15">
      <c r="B227" s="274"/>
      <c r="C227" s="273"/>
      <c r="D227" s="273"/>
      <c r="E227" s="273"/>
      <c r="F227" s="272"/>
    </row>
    <row r="228" spans="2:6" ht="12" customHeight="1" x14ac:dyDescent="0.15">
      <c r="B228" s="274"/>
      <c r="C228" s="273"/>
      <c r="D228" s="273"/>
      <c r="E228" s="273"/>
      <c r="F228" s="272"/>
    </row>
    <row r="229" spans="2:6" ht="12" customHeight="1" x14ac:dyDescent="0.15">
      <c r="B229" s="274"/>
      <c r="C229" s="273"/>
      <c r="D229" s="273"/>
      <c r="E229" s="273"/>
      <c r="F229" s="272"/>
    </row>
    <row r="230" spans="2:6" ht="12" customHeight="1" x14ac:dyDescent="0.15">
      <c r="B230" s="274"/>
      <c r="C230" s="273"/>
      <c r="D230" s="273"/>
      <c r="E230" s="273"/>
      <c r="F230" s="272"/>
    </row>
    <row r="231" spans="2:6" ht="12" customHeight="1" x14ac:dyDescent="0.15">
      <c r="B231" s="274"/>
      <c r="C231" s="273"/>
      <c r="D231" s="273"/>
      <c r="E231" s="273"/>
      <c r="F231" s="272"/>
    </row>
    <row r="232" spans="2:6" ht="12" customHeight="1" x14ac:dyDescent="0.15">
      <c r="B232" s="274"/>
      <c r="C232" s="273"/>
      <c r="D232" s="273"/>
      <c r="E232" s="273"/>
      <c r="F232" s="272"/>
    </row>
    <row r="233" spans="2:6" ht="12" customHeight="1" x14ac:dyDescent="0.15">
      <c r="B233" s="274"/>
      <c r="C233" s="273"/>
      <c r="D233" s="273"/>
      <c r="E233" s="273"/>
      <c r="F233" s="272"/>
    </row>
    <row r="234" spans="2:6" ht="12" customHeight="1" x14ac:dyDescent="0.15">
      <c r="B234" s="274"/>
      <c r="C234" s="273"/>
      <c r="D234" s="273"/>
      <c r="E234" s="273"/>
      <c r="F234" s="272"/>
    </row>
    <row r="235" spans="2:6" ht="12" customHeight="1" x14ac:dyDescent="0.15">
      <c r="B235" s="274"/>
      <c r="C235" s="273"/>
      <c r="D235" s="273"/>
      <c r="E235" s="273"/>
      <c r="F235" s="272"/>
    </row>
    <row r="236" spans="2:6" ht="12" customHeight="1" x14ac:dyDescent="0.15">
      <c r="B236" s="274"/>
      <c r="C236" s="273"/>
      <c r="D236" s="273"/>
      <c r="E236" s="273"/>
      <c r="F236" s="272"/>
    </row>
    <row r="237" spans="2:6" ht="12" customHeight="1" x14ac:dyDescent="0.15">
      <c r="B237" s="274"/>
      <c r="C237" s="273"/>
      <c r="D237" s="273"/>
      <c r="E237" s="273"/>
      <c r="F237" s="272"/>
    </row>
    <row r="238" spans="2:6" ht="12" customHeight="1" x14ac:dyDescent="0.15">
      <c r="B238" s="274"/>
      <c r="C238" s="273"/>
      <c r="D238" s="273"/>
      <c r="E238" s="273"/>
      <c r="F238" s="272"/>
    </row>
    <row r="239" spans="2:6" ht="12" customHeight="1" x14ac:dyDescent="0.15">
      <c r="B239" s="274"/>
      <c r="C239" s="273"/>
      <c r="D239" s="273"/>
      <c r="E239" s="273"/>
      <c r="F239" s="272"/>
    </row>
    <row r="240" spans="2:6" ht="12" customHeight="1" x14ac:dyDescent="0.15">
      <c r="B240" s="274"/>
      <c r="C240" s="273"/>
      <c r="D240" s="273"/>
      <c r="E240" s="273"/>
      <c r="F240" s="272"/>
    </row>
    <row r="241" spans="2:6" ht="12" customHeight="1" x14ac:dyDescent="0.15">
      <c r="B241" s="274"/>
      <c r="C241" s="273"/>
      <c r="D241" s="273"/>
      <c r="E241" s="273"/>
      <c r="F241" s="272"/>
    </row>
    <row r="242" spans="2:6" ht="12" customHeight="1" x14ac:dyDescent="0.15">
      <c r="B242" s="274"/>
      <c r="C242" s="273"/>
      <c r="D242" s="273"/>
      <c r="E242" s="273"/>
      <c r="F242" s="272"/>
    </row>
    <row r="243" spans="2:6" ht="12" customHeight="1" x14ac:dyDescent="0.15">
      <c r="B243" s="274"/>
      <c r="C243" s="273"/>
      <c r="D243" s="273"/>
      <c r="E243" s="273"/>
      <c r="F243" s="272"/>
    </row>
    <row r="244" spans="2:6" ht="12" customHeight="1" x14ac:dyDescent="0.15">
      <c r="B244" s="274"/>
      <c r="C244" s="273"/>
      <c r="D244" s="273"/>
      <c r="E244" s="273"/>
      <c r="F244" s="272"/>
    </row>
    <row r="245" spans="2:6" ht="12" customHeight="1" x14ac:dyDescent="0.15">
      <c r="B245" s="274"/>
      <c r="C245" s="273"/>
      <c r="D245" s="273"/>
      <c r="E245" s="273"/>
      <c r="F245" s="272"/>
    </row>
    <row r="246" spans="2:6" ht="12" customHeight="1" x14ac:dyDescent="0.15">
      <c r="B246" s="274"/>
      <c r="C246" s="273"/>
      <c r="D246" s="273"/>
      <c r="E246" s="273"/>
      <c r="F246" s="272"/>
    </row>
    <row r="247" spans="2:6" ht="12" customHeight="1" x14ac:dyDescent="0.15">
      <c r="B247" s="274"/>
      <c r="C247" s="273"/>
      <c r="D247" s="273"/>
      <c r="E247" s="273"/>
      <c r="F247" s="272"/>
    </row>
    <row r="248" spans="2:6" ht="12" customHeight="1" x14ac:dyDescent="0.15">
      <c r="B248" s="274"/>
      <c r="C248" s="273"/>
      <c r="D248" s="273"/>
      <c r="E248" s="273"/>
      <c r="F248" s="272"/>
    </row>
    <row r="249" spans="2:6" ht="12" customHeight="1" x14ac:dyDescent="0.15">
      <c r="B249" s="274"/>
      <c r="C249" s="273"/>
      <c r="D249" s="273"/>
      <c r="E249" s="273"/>
      <c r="F249" s="272"/>
    </row>
    <row r="250" spans="2:6" ht="12" customHeight="1" x14ac:dyDescent="0.15">
      <c r="B250" s="274"/>
      <c r="C250" s="273"/>
      <c r="D250" s="273"/>
      <c r="E250" s="273"/>
      <c r="F250" s="272"/>
    </row>
    <row r="251" spans="2:6" ht="12" customHeight="1" x14ac:dyDescent="0.15">
      <c r="B251" s="274"/>
      <c r="C251" s="273"/>
      <c r="D251" s="273"/>
      <c r="E251" s="273"/>
      <c r="F251" s="272"/>
    </row>
    <row r="252" spans="2:6" ht="12" customHeight="1" x14ac:dyDescent="0.15">
      <c r="B252" s="274"/>
      <c r="C252" s="273"/>
      <c r="D252" s="273"/>
      <c r="E252" s="273"/>
      <c r="F252" s="272"/>
    </row>
    <row r="253" spans="2:6" ht="12" customHeight="1" x14ac:dyDescent="0.15">
      <c r="B253" s="274"/>
      <c r="C253" s="273"/>
      <c r="D253" s="273"/>
      <c r="E253" s="273"/>
      <c r="F253" s="272"/>
    </row>
    <row r="254" spans="2:6" ht="12" customHeight="1" x14ac:dyDescent="0.15">
      <c r="B254" s="274"/>
      <c r="C254" s="273"/>
      <c r="D254" s="273"/>
      <c r="E254" s="273"/>
      <c r="F254" s="272"/>
    </row>
    <row r="255" spans="2:6" ht="12" customHeight="1" x14ac:dyDescent="0.15">
      <c r="B255" s="274"/>
      <c r="C255" s="273"/>
      <c r="D255" s="273"/>
      <c r="E255" s="273"/>
      <c r="F255" s="272"/>
    </row>
    <row r="256" spans="2:6" ht="12" customHeight="1" x14ac:dyDescent="0.15">
      <c r="B256" s="274"/>
      <c r="C256" s="273"/>
      <c r="D256" s="273"/>
      <c r="E256" s="273"/>
      <c r="F256" s="272"/>
    </row>
    <row r="257" spans="2:6" ht="12" customHeight="1" x14ac:dyDescent="0.15">
      <c r="B257" s="274"/>
      <c r="C257" s="273"/>
      <c r="D257" s="273"/>
      <c r="E257" s="273"/>
      <c r="F257" s="272"/>
    </row>
    <row r="258" spans="2:6" ht="12" customHeight="1" x14ac:dyDescent="0.15">
      <c r="B258" s="274"/>
      <c r="C258" s="273"/>
      <c r="D258" s="273"/>
      <c r="E258" s="273"/>
      <c r="F258" s="272"/>
    </row>
    <row r="259" spans="2:6" ht="12" customHeight="1" x14ac:dyDescent="0.15">
      <c r="B259" s="274"/>
      <c r="C259" s="273"/>
      <c r="D259" s="273"/>
      <c r="E259" s="273"/>
      <c r="F259" s="272"/>
    </row>
    <row r="260" spans="2:6" ht="12" customHeight="1" x14ac:dyDescent="0.15">
      <c r="B260" s="274"/>
      <c r="C260" s="273"/>
      <c r="D260" s="273"/>
      <c r="E260" s="273"/>
      <c r="F260" s="272"/>
    </row>
    <row r="261" spans="2:6" ht="12" customHeight="1" x14ac:dyDescent="0.15">
      <c r="B261" s="274"/>
      <c r="C261" s="273"/>
      <c r="D261" s="273"/>
      <c r="E261" s="273"/>
      <c r="F261" s="272"/>
    </row>
    <row r="262" spans="2:6" ht="12" customHeight="1" x14ac:dyDescent="0.15">
      <c r="B262" s="274"/>
      <c r="C262" s="273"/>
      <c r="D262" s="273"/>
      <c r="E262" s="273"/>
      <c r="F262" s="272"/>
    </row>
    <row r="263" spans="2:6" ht="12" customHeight="1" x14ac:dyDescent="0.15">
      <c r="B263" s="274"/>
      <c r="C263" s="273"/>
      <c r="D263" s="273"/>
      <c r="E263" s="273"/>
      <c r="F263" s="272"/>
    </row>
    <row r="264" spans="2:6" ht="12" customHeight="1" x14ac:dyDescent="0.15">
      <c r="B264" s="274"/>
      <c r="C264" s="273"/>
      <c r="D264" s="273"/>
      <c r="E264" s="273"/>
      <c r="F264" s="272"/>
    </row>
    <row r="265" spans="2:6" ht="12" customHeight="1" x14ac:dyDescent="0.15">
      <c r="B265" s="274"/>
      <c r="C265" s="273"/>
      <c r="D265" s="273"/>
      <c r="E265" s="273"/>
      <c r="F265" s="272"/>
    </row>
    <row r="266" spans="2:6" ht="12" customHeight="1" x14ac:dyDescent="0.15">
      <c r="B266" s="274"/>
      <c r="C266" s="273"/>
      <c r="D266" s="273"/>
      <c r="E266" s="273"/>
      <c r="F266" s="272"/>
    </row>
    <row r="267" spans="2:6" ht="12" customHeight="1" x14ac:dyDescent="0.15">
      <c r="B267" s="274"/>
      <c r="C267" s="273"/>
      <c r="D267" s="273"/>
      <c r="E267" s="273"/>
      <c r="F267" s="272"/>
    </row>
    <row r="268" spans="2:6" ht="12" customHeight="1" x14ac:dyDescent="0.15">
      <c r="B268" s="274"/>
      <c r="C268" s="273"/>
      <c r="D268" s="273"/>
      <c r="E268" s="273"/>
      <c r="F268" s="272"/>
    </row>
    <row r="269" spans="2:6" ht="12" customHeight="1" x14ac:dyDescent="0.15">
      <c r="B269" s="274"/>
      <c r="C269" s="273"/>
      <c r="D269" s="273"/>
      <c r="E269" s="273"/>
      <c r="F269" s="272"/>
    </row>
    <row r="270" spans="2:6" ht="12" customHeight="1" x14ac:dyDescent="0.15">
      <c r="B270" s="274"/>
      <c r="C270" s="273"/>
      <c r="D270" s="273"/>
      <c r="E270" s="273"/>
      <c r="F270" s="272"/>
    </row>
    <row r="271" spans="2:6" ht="12" customHeight="1" x14ac:dyDescent="0.15">
      <c r="B271" s="274"/>
      <c r="C271" s="273"/>
      <c r="D271" s="273"/>
      <c r="E271" s="273"/>
      <c r="F271" s="272"/>
    </row>
    <row r="272" spans="2:6" ht="12" customHeight="1" x14ac:dyDescent="0.15">
      <c r="B272" s="274"/>
      <c r="C272" s="273"/>
      <c r="D272" s="273"/>
      <c r="E272" s="273"/>
      <c r="F272" s="272"/>
    </row>
    <row r="273" spans="2:6" ht="12" customHeight="1" x14ac:dyDescent="0.15">
      <c r="B273" s="274"/>
      <c r="C273" s="273"/>
      <c r="D273" s="273"/>
      <c r="E273" s="273"/>
      <c r="F273" s="272"/>
    </row>
    <row r="274" spans="2:6" ht="12" customHeight="1" x14ac:dyDescent="0.15">
      <c r="B274" s="274"/>
      <c r="C274" s="273"/>
      <c r="D274" s="273"/>
      <c r="E274" s="273"/>
      <c r="F274" s="272"/>
    </row>
    <row r="275" spans="2:6" ht="12" customHeight="1" x14ac:dyDescent="0.15">
      <c r="B275" s="274"/>
      <c r="C275" s="273"/>
      <c r="D275" s="273"/>
      <c r="E275" s="273"/>
      <c r="F275" s="272"/>
    </row>
    <row r="276" spans="2:6" ht="12" customHeight="1" x14ac:dyDescent="0.15">
      <c r="B276" s="274"/>
      <c r="C276" s="273"/>
      <c r="D276" s="273"/>
      <c r="E276" s="273"/>
      <c r="F276" s="272"/>
    </row>
    <row r="277" spans="2:6" ht="12" customHeight="1" x14ac:dyDescent="0.15">
      <c r="B277" s="274"/>
      <c r="C277" s="273"/>
      <c r="D277" s="273"/>
      <c r="E277" s="273"/>
      <c r="F277" s="272"/>
    </row>
    <row r="278" spans="2:6" ht="12" customHeight="1" x14ac:dyDescent="0.15">
      <c r="B278" s="274"/>
      <c r="C278" s="273"/>
      <c r="D278" s="273"/>
      <c r="E278" s="273"/>
      <c r="F278" s="272"/>
    </row>
    <row r="279" spans="2:6" ht="12" customHeight="1" x14ac:dyDescent="0.15">
      <c r="B279" s="274"/>
      <c r="C279" s="273"/>
      <c r="D279" s="273"/>
      <c r="E279" s="273"/>
      <c r="F279" s="272"/>
    </row>
    <row r="280" spans="2:6" ht="12" customHeight="1" x14ac:dyDescent="0.15">
      <c r="B280" s="274"/>
      <c r="C280" s="273"/>
      <c r="D280" s="273"/>
      <c r="E280" s="273"/>
      <c r="F280" s="272"/>
    </row>
    <row r="281" spans="2:6" ht="12" customHeight="1" x14ac:dyDescent="0.15">
      <c r="B281" s="274"/>
      <c r="C281" s="273"/>
      <c r="D281" s="273"/>
      <c r="E281" s="273"/>
      <c r="F281" s="272"/>
    </row>
    <row r="282" spans="2:6" ht="12" customHeight="1" x14ac:dyDescent="0.15">
      <c r="B282" s="274"/>
      <c r="C282" s="273"/>
      <c r="D282" s="273"/>
      <c r="E282" s="273"/>
      <c r="F282" s="272"/>
    </row>
    <row r="283" spans="2:6" ht="12" customHeight="1" x14ac:dyDescent="0.15">
      <c r="B283" s="274"/>
      <c r="C283" s="273"/>
      <c r="D283" s="273"/>
      <c r="E283" s="273"/>
      <c r="F283" s="272"/>
    </row>
    <row r="284" spans="2:6" ht="12" customHeight="1" x14ac:dyDescent="0.15">
      <c r="B284" s="274"/>
      <c r="C284" s="273"/>
      <c r="D284" s="273"/>
      <c r="E284" s="273"/>
      <c r="F284" s="272"/>
    </row>
    <row r="285" spans="2:6" ht="12" customHeight="1" x14ac:dyDescent="0.15">
      <c r="B285" s="274"/>
      <c r="C285" s="273"/>
      <c r="D285" s="273"/>
      <c r="E285" s="273"/>
      <c r="F285" s="272"/>
    </row>
    <row r="286" spans="2:6" ht="12" customHeight="1" x14ac:dyDescent="0.15">
      <c r="B286" s="274"/>
      <c r="C286" s="273"/>
      <c r="D286" s="273"/>
      <c r="E286" s="273"/>
      <c r="F286" s="272"/>
    </row>
    <row r="287" spans="2:6" ht="12" customHeight="1" x14ac:dyDescent="0.15">
      <c r="B287" s="274"/>
      <c r="C287" s="273"/>
      <c r="D287" s="273"/>
      <c r="E287" s="273"/>
      <c r="F287" s="272"/>
    </row>
    <row r="288" spans="2:6" ht="12" customHeight="1" x14ac:dyDescent="0.15">
      <c r="B288" s="274"/>
      <c r="C288" s="273"/>
      <c r="D288" s="273"/>
      <c r="E288" s="273"/>
      <c r="F288" s="272"/>
    </row>
    <row r="289" spans="2:6" ht="12" customHeight="1" x14ac:dyDescent="0.15">
      <c r="B289" s="274"/>
      <c r="C289" s="273"/>
      <c r="D289" s="273"/>
      <c r="E289" s="273"/>
      <c r="F289" s="272"/>
    </row>
    <row r="290" spans="2:6" ht="12" customHeight="1" x14ac:dyDescent="0.15">
      <c r="B290" s="274"/>
      <c r="C290" s="273"/>
      <c r="D290" s="273"/>
      <c r="E290" s="273"/>
      <c r="F290" s="272"/>
    </row>
    <row r="291" spans="2:6" ht="12" customHeight="1" x14ac:dyDescent="0.15">
      <c r="B291" s="274"/>
      <c r="C291" s="273"/>
      <c r="D291" s="273"/>
      <c r="E291" s="273"/>
      <c r="F291" s="272"/>
    </row>
    <row r="292" spans="2:6" ht="12" customHeight="1" x14ac:dyDescent="0.15">
      <c r="B292" s="274"/>
      <c r="C292" s="273"/>
      <c r="D292" s="273"/>
      <c r="E292" s="273"/>
      <c r="F292" s="272"/>
    </row>
    <row r="293" spans="2:6" ht="12" customHeight="1" x14ac:dyDescent="0.15">
      <c r="B293" s="274"/>
      <c r="C293" s="273"/>
      <c r="D293" s="273"/>
      <c r="E293" s="273"/>
      <c r="F293" s="272"/>
    </row>
    <row r="294" spans="2:6" ht="12" customHeight="1" x14ac:dyDescent="0.15">
      <c r="B294" s="274"/>
      <c r="C294" s="273"/>
      <c r="D294" s="273"/>
      <c r="E294" s="273"/>
      <c r="F294" s="272"/>
    </row>
    <row r="295" spans="2:6" ht="12" customHeight="1" x14ac:dyDescent="0.15">
      <c r="B295" s="274"/>
      <c r="C295" s="273"/>
      <c r="D295" s="273"/>
      <c r="E295" s="273"/>
      <c r="F295" s="272"/>
    </row>
    <row r="296" spans="2:6" ht="12" customHeight="1" x14ac:dyDescent="0.15">
      <c r="B296" s="274"/>
      <c r="C296" s="273"/>
      <c r="D296" s="273"/>
      <c r="E296" s="273"/>
      <c r="F296" s="272"/>
    </row>
    <row r="297" spans="2:6" ht="12" customHeight="1" x14ac:dyDescent="0.15">
      <c r="B297" s="274"/>
      <c r="C297" s="273"/>
      <c r="D297" s="273"/>
      <c r="E297" s="273"/>
      <c r="F297" s="272"/>
    </row>
    <row r="298" spans="2:6" ht="12" customHeight="1" x14ac:dyDescent="0.15">
      <c r="B298" s="274"/>
      <c r="C298" s="273"/>
      <c r="D298" s="273"/>
      <c r="E298" s="273"/>
      <c r="F298" s="272"/>
    </row>
    <row r="299" spans="2:6" ht="12" customHeight="1" x14ac:dyDescent="0.15">
      <c r="B299" s="274"/>
      <c r="C299" s="273"/>
      <c r="D299" s="273"/>
      <c r="E299" s="273"/>
      <c r="F299" s="272"/>
    </row>
    <row r="300" spans="2:6" ht="12" customHeight="1" x14ac:dyDescent="0.15">
      <c r="B300" s="274"/>
      <c r="C300" s="273"/>
      <c r="D300" s="273"/>
      <c r="E300" s="273"/>
      <c r="F300" s="272"/>
    </row>
    <row r="301" spans="2:6" ht="12" customHeight="1" x14ac:dyDescent="0.15">
      <c r="B301" s="274"/>
      <c r="C301" s="273"/>
      <c r="D301" s="273"/>
      <c r="E301" s="273"/>
      <c r="F301" s="272"/>
    </row>
    <row r="302" spans="2:6" ht="12" customHeight="1" x14ac:dyDescent="0.15">
      <c r="B302" s="274"/>
      <c r="C302" s="273"/>
      <c r="D302" s="273"/>
      <c r="E302" s="273"/>
      <c r="F302" s="272"/>
    </row>
    <row r="303" spans="2:6" ht="12" customHeight="1" x14ac:dyDescent="0.15">
      <c r="B303" s="274"/>
      <c r="C303" s="273"/>
      <c r="D303" s="273"/>
      <c r="E303" s="273"/>
      <c r="F303" s="272"/>
    </row>
    <row r="304" spans="2:6" ht="12" customHeight="1" x14ac:dyDescent="0.15">
      <c r="B304" s="274"/>
      <c r="C304" s="273"/>
      <c r="D304" s="273"/>
      <c r="E304" s="273"/>
      <c r="F304" s="272"/>
    </row>
    <row r="305" spans="2:6" ht="12" customHeight="1" x14ac:dyDescent="0.15">
      <c r="B305" s="274"/>
      <c r="C305" s="273"/>
      <c r="D305" s="273"/>
      <c r="E305" s="273"/>
      <c r="F305" s="272"/>
    </row>
    <row r="306" spans="2:6" ht="12" customHeight="1" x14ac:dyDescent="0.15">
      <c r="B306" s="274"/>
      <c r="C306" s="273"/>
      <c r="D306" s="273"/>
      <c r="E306" s="273"/>
      <c r="F306" s="272"/>
    </row>
    <row r="307" spans="2:6" ht="12" customHeight="1" x14ac:dyDescent="0.15">
      <c r="B307" s="274"/>
      <c r="C307" s="273"/>
      <c r="D307" s="273"/>
      <c r="E307" s="273"/>
      <c r="F307" s="272"/>
    </row>
    <row r="308" spans="2:6" ht="12" customHeight="1" x14ac:dyDescent="0.15">
      <c r="B308" s="274"/>
      <c r="C308" s="273"/>
      <c r="D308" s="273"/>
      <c r="E308" s="273"/>
      <c r="F308" s="272"/>
    </row>
    <row r="309" spans="2:6" ht="12" customHeight="1" x14ac:dyDescent="0.15">
      <c r="B309" s="274"/>
      <c r="C309" s="273"/>
      <c r="D309" s="273"/>
      <c r="E309" s="273"/>
      <c r="F309" s="272"/>
    </row>
    <row r="310" spans="2:6" ht="12" customHeight="1" x14ac:dyDescent="0.15">
      <c r="B310" s="274"/>
      <c r="C310" s="273"/>
      <c r="D310" s="273"/>
      <c r="E310" s="273"/>
      <c r="F310" s="272"/>
    </row>
    <row r="311" spans="2:6" ht="12" customHeight="1" x14ac:dyDescent="0.15">
      <c r="B311" s="274"/>
      <c r="C311" s="273"/>
      <c r="D311" s="273"/>
      <c r="E311" s="273"/>
      <c r="F311" s="272"/>
    </row>
    <row r="312" spans="2:6" ht="12" customHeight="1" x14ac:dyDescent="0.15">
      <c r="B312" s="274"/>
      <c r="C312" s="273"/>
      <c r="D312" s="273"/>
      <c r="E312" s="273"/>
      <c r="F312" s="272"/>
    </row>
    <row r="313" spans="2:6" ht="12" customHeight="1" x14ac:dyDescent="0.15">
      <c r="B313" s="274"/>
      <c r="C313" s="273"/>
      <c r="D313" s="273"/>
      <c r="E313" s="273"/>
      <c r="F313" s="272"/>
    </row>
    <row r="314" spans="2:6" ht="12" customHeight="1" x14ac:dyDescent="0.15">
      <c r="B314" s="274"/>
      <c r="C314" s="273"/>
      <c r="D314" s="273"/>
      <c r="E314" s="273"/>
      <c r="F314" s="272"/>
    </row>
    <row r="315" spans="2:6" ht="12" customHeight="1" x14ac:dyDescent="0.15">
      <c r="B315" s="274"/>
      <c r="C315" s="273"/>
      <c r="D315" s="273"/>
      <c r="E315" s="273"/>
      <c r="F315" s="272"/>
    </row>
    <row r="316" spans="2:6" ht="12" customHeight="1" x14ac:dyDescent="0.15">
      <c r="B316" s="274"/>
      <c r="C316" s="273"/>
      <c r="D316" s="273"/>
      <c r="E316" s="273"/>
      <c r="F316" s="272"/>
    </row>
    <row r="317" spans="2:6" ht="12" customHeight="1" x14ac:dyDescent="0.15">
      <c r="B317" s="274"/>
      <c r="C317" s="273"/>
      <c r="D317" s="273"/>
      <c r="E317" s="273"/>
      <c r="F317" s="272"/>
    </row>
    <row r="318" spans="2:6" ht="12" customHeight="1" x14ac:dyDescent="0.15">
      <c r="B318" s="274"/>
      <c r="C318" s="273"/>
      <c r="D318" s="273"/>
      <c r="E318" s="273"/>
      <c r="F318" s="272"/>
    </row>
    <row r="319" spans="2:6" ht="12" customHeight="1" x14ac:dyDescent="0.15">
      <c r="B319" s="274"/>
      <c r="C319" s="273"/>
      <c r="D319" s="273"/>
      <c r="E319" s="273"/>
      <c r="F319" s="272"/>
    </row>
    <row r="320" spans="2:6" ht="12" customHeight="1" x14ac:dyDescent="0.15">
      <c r="B320" s="274"/>
      <c r="C320" s="273"/>
      <c r="D320" s="273"/>
      <c r="E320" s="273"/>
      <c r="F320" s="272"/>
    </row>
    <row r="321" spans="2:6" ht="12" customHeight="1" x14ac:dyDescent="0.15">
      <c r="B321" s="274"/>
      <c r="C321" s="273"/>
      <c r="D321" s="273"/>
      <c r="E321" s="273"/>
      <c r="F321" s="272"/>
    </row>
    <row r="322" spans="2:6" ht="12" customHeight="1" x14ac:dyDescent="0.15">
      <c r="B322" s="274"/>
      <c r="C322" s="273"/>
      <c r="D322" s="273"/>
      <c r="E322" s="273"/>
      <c r="F322" s="272"/>
    </row>
    <row r="323" spans="2:6" ht="12" customHeight="1" x14ac:dyDescent="0.15">
      <c r="B323" s="274"/>
      <c r="C323" s="273"/>
      <c r="D323" s="273"/>
      <c r="E323" s="273"/>
      <c r="F323" s="272"/>
    </row>
    <row r="324" spans="2:6" ht="12" customHeight="1" x14ac:dyDescent="0.15">
      <c r="B324" s="274"/>
      <c r="C324" s="273"/>
      <c r="D324" s="273"/>
      <c r="E324" s="273"/>
      <c r="F324" s="272"/>
    </row>
    <row r="325" spans="2:6" ht="12" customHeight="1" x14ac:dyDescent="0.15">
      <c r="B325" s="274"/>
      <c r="C325" s="273"/>
      <c r="D325" s="273"/>
      <c r="E325" s="273"/>
      <c r="F325" s="272"/>
    </row>
    <row r="326" spans="2:6" ht="12" customHeight="1" x14ac:dyDescent="0.15">
      <c r="B326" s="274"/>
      <c r="C326" s="273"/>
      <c r="D326" s="273"/>
      <c r="E326" s="273"/>
      <c r="F326" s="272"/>
    </row>
    <row r="327" spans="2:6" ht="12" customHeight="1" x14ac:dyDescent="0.15">
      <c r="B327" s="274"/>
      <c r="C327" s="273"/>
      <c r="D327" s="273"/>
      <c r="E327" s="273"/>
      <c r="F327" s="272"/>
    </row>
    <row r="328" spans="2:6" ht="12" customHeight="1" x14ac:dyDescent="0.15">
      <c r="B328" s="274"/>
      <c r="C328" s="273"/>
      <c r="D328" s="273"/>
      <c r="E328" s="273"/>
      <c r="F328" s="272"/>
    </row>
    <row r="329" spans="2:6" ht="12" customHeight="1" x14ac:dyDescent="0.15">
      <c r="B329" s="274"/>
      <c r="C329" s="273"/>
      <c r="D329" s="273"/>
      <c r="E329" s="273"/>
      <c r="F329" s="272"/>
    </row>
    <row r="330" spans="2:6" ht="12" customHeight="1" x14ac:dyDescent="0.15">
      <c r="B330" s="274"/>
      <c r="C330" s="273"/>
      <c r="D330" s="273"/>
      <c r="E330" s="273"/>
      <c r="F330" s="272"/>
    </row>
    <row r="331" spans="2:6" ht="12" customHeight="1" x14ac:dyDescent="0.15">
      <c r="B331" s="274"/>
      <c r="C331" s="273"/>
      <c r="D331" s="273"/>
      <c r="E331" s="273"/>
      <c r="F331" s="272"/>
    </row>
    <row r="332" spans="2:6" ht="12" customHeight="1" x14ac:dyDescent="0.15">
      <c r="B332" s="274"/>
      <c r="C332" s="273"/>
      <c r="D332" s="273"/>
      <c r="E332" s="273"/>
      <c r="F332" s="272"/>
    </row>
    <row r="333" spans="2:6" ht="12" customHeight="1" x14ac:dyDescent="0.15">
      <c r="B333" s="274"/>
      <c r="C333" s="273"/>
      <c r="D333" s="273"/>
      <c r="E333" s="273"/>
      <c r="F333" s="272"/>
    </row>
    <row r="334" spans="2:6" ht="12" customHeight="1" x14ac:dyDescent="0.15">
      <c r="B334" s="274"/>
      <c r="C334" s="273"/>
      <c r="D334" s="273"/>
      <c r="E334" s="273"/>
      <c r="F334" s="272"/>
    </row>
    <row r="335" spans="2:6" ht="12" customHeight="1" x14ac:dyDescent="0.15">
      <c r="B335" s="274"/>
      <c r="C335" s="273"/>
      <c r="D335" s="273"/>
      <c r="E335" s="273"/>
      <c r="F335" s="272"/>
    </row>
    <row r="336" spans="2:6" ht="12" customHeight="1" x14ac:dyDescent="0.15">
      <c r="B336" s="274"/>
      <c r="C336" s="273"/>
      <c r="D336" s="273"/>
      <c r="E336" s="273"/>
      <c r="F336" s="272"/>
    </row>
    <row r="337" spans="2:6" ht="12" customHeight="1" x14ac:dyDescent="0.15">
      <c r="B337" s="274"/>
      <c r="C337" s="273"/>
      <c r="D337" s="273"/>
      <c r="E337" s="273"/>
      <c r="F337" s="272"/>
    </row>
    <row r="338" spans="2:6" ht="12" customHeight="1" x14ac:dyDescent="0.15">
      <c r="B338" s="274"/>
      <c r="C338" s="273"/>
      <c r="D338" s="273"/>
      <c r="E338" s="273"/>
      <c r="F338" s="272"/>
    </row>
    <row r="339" spans="2:6" ht="12" customHeight="1" x14ac:dyDescent="0.15">
      <c r="B339" s="274"/>
      <c r="C339" s="273"/>
      <c r="D339" s="273"/>
      <c r="E339" s="273"/>
      <c r="F339" s="272"/>
    </row>
    <row r="340" spans="2:6" ht="12" customHeight="1" x14ac:dyDescent="0.15">
      <c r="B340" s="274"/>
      <c r="C340" s="273"/>
      <c r="D340" s="273"/>
      <c r="E340" s="273"/>
      <c r="F340" s="272"/>
    </row>
    <row r="341" spans="2:6" ht="12" customHeight="1" x14ac:dyDescent="0.15">
      <c r="B341" s="274"/>
      <c r="C341" s="273"/>
      <c r="D341" s="273"/>
      <c r="E341" s="273"/>
      <c r="F341" s="272"/>
    </row>
    <row r="342" spans="2:6" ht="12" customHeight="1" x14ac:dyDescent="0.15">
      <c r="B342" s="274"/>
      <c r="C342" s="273"/>
      <c r="D342" s="273"/>
      <c r="E342" s="273"/>
      <c r="F342" s="272"/>
    </row>
    <row r="343" spans="2:6" ht="12" customHeight="1" x14ac:dyDescent="0.15">
      <c r="B343" s="274"/>
      <c r="C343" s="273"/>
      <c r="D343" s="273"/>
      <c r="E343" s="273"/>
      <c r="F343" s="272"/>
    </row>
    <row r="344" spans="2:6" ht="12" customHeight="1" x14ac:dyDescent="0.15">
      <c r="B344" s="274"/>
      <c r="C344" s="273"/>
      <c r="D344" s="273"/>
      <c r="E344" s="273"/>
      <c r="F344" s="272"/>
    </row>
    <row r="345" spans="2:6" ht="12" customHeight="1" x14ac:dyDescent="0.15">
      <c r="B345" s="274"/>
      <c r="C345" s="273"/>
      <c r="D345" s="273"/>
      <c r="E345" s="273"/>
      <c r="F345" s="272"/>
    </row>
    <row r="346" spans="2:6" ht="12" customHeight="1" x14ac:dyDescent="0.15">
      <c r="B346" s="274"/>
      <c r="C346" s="273"/>
      <c r="D346" s="273"/>
      <c r="E346" s="273"/>
      <c r="F346" s="272"/>
    </row>
    <row r="347" spans="2:6" ht="12" customHeight="1" x14ac:dyDescent="0.15">
      <c r="B347" s="274"/>
      <c r="C347" s="273"/>
      <c r="D347" s="273"/>
      <c r="E347" s="273"/>
      <c r="F347" s="272"/>
    </row>
    <row r="348" spans="2:6" ht="12" customHeight="1" x14ac:dyDescent="0.15">
      <c r="B348" s="274"/>
      <c r="C348" s="273"/>
      <c r="D348" s="273"/>
      <c r="E348" s="273"/>
      <c r="F348" s="272"/>
    </row>
    <row r="349" spans="2:6" ht="12" customHeight="1" x14ac:dyDescent="0.15">
      <c r="B349" s="274"/>
      <c r="C349" s="273"/>
      <c r="D349" s="273"/>
      <c r="E349" s="273"/>
      <c r="F349" s="272"/>
    </row>
    <row r="350" spans="2:6" ht="12" customHeight="1" x14ac:dyDescent="0.15">
      <c r="B350" s="274"/>
      <c r="C350" s="273"/>
      <c r="D350" s="273"/>
      <c r="E350" s="273"/>
      <c r="F350" s="272"/>
    </row>
    <row r="351" spans="2:6" ht="12" customHeight="1" x14ac:dyDescent="0.15">
      <c r="B351" s="274"/>
      <c r="C351" s="273"/>
      <c r="D351" s="273"/>
      <c r="E351" s="273"/>
      <c r="F351" s="272"/>
    </row>
    <row r="352" spans="2:6" ht="12" customHeight="1" x14ac:dyDescent="0.15">
      <c r="B352" s="274"/>
      <c r="C352" s="273"/>
      <c r="D352" s="273"/>
      <c r="E352" s="273"/>
      <c r="F352" s="272"/>
    </row>
    <row r="353" spans="2:6" ht="12" customHeight="1" x14ac:dyDescent="0.15">
      <c r="B353" s="274"/>
      <c r="C353" s="273"/>
      <c r="D353" s="273"/>
      <c r="E353" s="273"/>
      <c r="F353" s="272"/>
    </row>
    <row r="354" spans="2:6" ht="12" customHeight="1" x14ac:dyDescent="0.15">
      <c r="B354" s="274"/>
      <c r="C354" s="273"/>
      <c r="D354" s="273"/>
      <c r="E354" s="273"/>
      <c r="F354" s="272"/>
    </row>
    <row r="355" spans="2:6" ht="12" customHeight="1" x14ac:dyDescent="0.15">
      <c r="B355" s="274"/>
      <c r="C355" s="273"/>
      <c r="D355" s="273"/>
      <c r="E355" s="273"/>
      <c r="F355" s="272"/>
    </row>
    <row r="356" spans="2:6" ht="12" customHeight="1" x14ac:dyDescent="0.15">
      <c r="B356" s="274"/>
      <c r="C356" s="273"/>
      <c r="D356" s="273"/>
      <c r="E356" s="273"/>
      <c r="F356" s="272"/>
    </row>
    <row r="357" spans="2:6" ht="12" customHeight="1" x14ac:dyDescent="0.15">
      <c r="B357" s="274"/>
      <c r="C357" s="273"/>
      <c r="D357" s="273"/>
      <c r="E357" s="273"/>
      <c r="F357" s="272"/>
    </row>
    <row r="358" spans="2:6" ht="12" customHeight="1" x14ac:dyDescent="0.15">
      <c r="B358" s="274"/>
      <c r="C358" s="273"/>
      <c r="D358" s="273"/>
      <c r="E358" s="273"/>
      <c r="F358" s="272"/>
    </row>
    <row r="359" spans="2:6" ht="12" customHeight="1" x14ac:dyDescent="0.15">
      <c r="B359" s="274"/>
      <c r="C359" s="273"/>
      <c r="D359" s="273"/>
      <c r="E359" s="273"/>
      <c r="F359" s="272"/>
    </row>
    <row r="360" spans="2:6" ht="12" customHeight="1" x14ac:dyDescent="0.15">
      <c r="B360" s="274"/>
      <c r="C360" s="273"/>
      <c r="D360" s="273"/>
      <c r="E360" s="273"/>
      <c r="F360" s="272"/>
    </row>
    <row r="361" spans="2:6" ht="12" customHeight="1" x14ac:dyDescent="0.15">
      <c r="B361" s="274"/>
      <c r="C361" s="273"/>
      <c r="D361" s="273"/>
      <c r="E361" s="273"/>
      <c r="F361" s="272"/>
    </row>
    <row r="362" spans="2:6" ht="12" customHeight="1" x14ac:dyDescent="0.15">
      <c r="B362" s="274"/>
      <c r="C362" s="273"/>
      <c r="D362" s="273"/>
      <c r="E362" s="273"/>
      <c r="F362" s="272"/>
    </row>
    <row r="363" spans="2:6" ht="12" customHeight="1" x14ac:dyDescent="0.15">
      <c r="B363" s="274"/>
      <c r="C363" s="273"/>
      <c r="D363" s="273"/>
      <c r="E363" s="273"/>
      <c r="F363" s="272"/>
    </row>
    <row r="364" spans="2:6" ht="12" customHeight="1" x14ac:dyDescent="0.15">
      <c r="B364" s="274"/>
      <c r="C364" s="273"/>
      <c r="D364" s="273"/>
      <c r="E364" s="273"/>
      <c r="F364" s="272"/>
    </row>
    <row r="365" spans="2:6" ht="12" customHeight="1" x14ac:dyDescent="0.15">
      <c r="B365" s="274"/>
      <c r="C365" s="273"/>
      <c r="D365" s="273"/>
      <c r="E365" s="273"/>
      <c r="F365" s="272"/>
    </row>
    <row r="366" spans="2:6" ht="12" customHeight="1" x14ac:dyDescent="0.15">
      <c r="B366" s="274"/>
      <c r="C366" s="273"/>
      <c r="D366" s="273"/>
      <c r="E366" s="273"/>
      <c r="F366" s="272"/>
    </row>
    <row r="367" spans="2:6" ht="12" customHeight="1" x14ac:dyDescent="0.15">
      <c r="B367" s="274"/>
      <c r="C367" s="273"/>
      <c r="D367" s="273"/>
      <c r="E367" s="273"/>
      <c r="F367" s="272"/>
    </row>
    <row r="368" spans="2:6" ht="12" customHeight="1" x14ac:dyDescent="0.15">
      <c r="B368" s="274"/>
      <c r="C368" s="273"/>
      <c r="D368" s="273"/>
      <c r="E368" s="273"/>
      <c r="F368" s="272"/>
    </row>
    <row r="369" spans="2:6" ht="12" customHeight="1" x14ac:dyDescent="0.15">
      <c r="B369" s="274"/>
      <c r="C369" s="273"/>
      <c r="D369" s="273"/>
      <c r="E369" s="273"/>
      <c r="F369" s="272"/>
    </row>
    <row r="370" spans="2:6" ht="12" customHeight="1" x14ac:dyDescent="0.15">
      <c r="B370" s="274"/>
      <c r="C370" s="273"/>
      <c r="D370" s="273"/>
      <c r="E370" s="273"/>
      <c r="F370" s="272"/>
    </row>
    <row r="371" spans="2:6" ht="12" customHeight="1" x14ac:dyDescent="0.15">
      <c r="B371" s="274"/>
      <c r="C371" s="273"/>
      <c r="D371" s="273"/>
      <c r="E371" s="273"/>
      <c r="F371" s="272"/>
    </row>
    <row r="372" spans="2:6" ht="12" customHeight="1" x14ac:dyDescent="0.15">
      <c r="B372" s="274"/>
      <c r="C372" s="273"/>
      <c r="D372" s="273"/>
      <c r="E372" s="273"/>
      <c r="F372" s="272"/>
    </row>
    <row r="373" spans="2:6" ht="12" customHeight="1" x14ac:dyDescent="0.15">
      <c r="B373" s="274"/>
      <c r="C373" s="273"/>
      <c r="D373" s="273"/>
      <c r="E373" s="273"/>
      <c r="F373" s="272"/>
    </row>
    <row r="374" spans="2:6" ht="12" customHeight="1" x14ac:dyDescent="0.15">
      <c r="B374" s="274"/>
      <c r="C374" s="273"/>
      <c r="D374" s="273"/>
      <c r="E374" s="273"/>
      <c r="F374" s="272"/>
    </row>
    <row r="375" spans="2:6" ht="12" customHeight="1" x14ac:dyDescent="0.15">
      <c r="B375" s="274"/>
      <c r="C375" s="273"/>
      <c r="D375" s="273"/>
      <c r="E375" s="273"/>
      <c r="F375" s="272"/>
    </row>
    <row r="376" spans="2:6" ht="12" customHeight="1" x14ac:dyDescent="0.15">
      <c r="B376" s="274"/>
      <c r="C376" s="273"/>
      <c r="D376" s="273"/>
      <c r="E376" s="273"/>
      <c r="F376" s="272"/>
    </row>
    <row r="377" spans="2:6" ht="12" customHeight="1" x14ac:dyDescent="0.15">
      <c r="B377" s="274"/>
      <c r="C377" s="273"/>
      <c r="D377" s="273"/>
      <c r="E377" s="273"/>
      <c r="F377" s="272"/>
    </row>
    <row r="378" spans="2:6" ht="12" customHeight="1" x14ac:dyDescent="0.15">
      <c r="B378" s="274"/>
      <c r="C378" s="273"/>
      <c r="D378" s="273"/>
      <c r="E378" s="273"/>
      <c r="F378" s="272"/>
    </row>
    <row r="379" spans="2:6" ht="12" customHeight="1" x14ac:dyDescent="0.15">
      <c r="B379" s="274"/>
      <c r="C379" s="273"/>
      <c r="D379" s="273"/>
      <c r="E379" s="273"/>
      <c r="F379" s="272"/>
    </row>
    <row r="380" spans="2:6" ht="12" customHeight="1" x14ac:dyDescent="0.15">
      <c r="B380" s="274"/>
      <c r="C380" s="273"/>
      <c r="D380" s="273"/>
      <c r="E380" s="273"/>
      <c r="F380" s="272"/>
    </row>
    <row r="381" spans="2:6" ht="12" customHeight="1" x14ac:dyDescent="0.15">
      <c r="B381" s="274"/>
      <c r="C381" s="273"/>
      <c r="D381" s="273"/>
      <c r="E381" s="273"/>
      <c r="F381" s="272"/>
    </row>
    <row r="382" spans="2:6" ht="12" customHeight="1" x14ac:dyDescent="0.15">
      <c r="B382" s="274"/>
      <c r="C382" s="273"/>
      <c r="D382" s="273"/>
      <c r="E382" s="273"/>
      <c r="F382" s="272"/>
    </row>
    <row r="383" spans="2:6" ht="12" customHeight="1" x14ac:dyDescent="0.15">
      <c r="B383" s="274"/>
      <c r="C383" s="273"/>
      <c r="D383" s="273"/>
      <c r="E383" s="273"/>
      <c r="F383" s="272"/>
    </row>
    <row r="384" spans="2:6" ht="12" customHeight="1" x14ac:dyDescent="0.15">
      <c r="B384" s="274"/>
      <c r="C384" s="273"/>
      <c r="D384" s="273"/>
      <c r="E384" s="273"/>
      <c r="F384" s="272"/>
    </row>
    <row r="385" spans="2:6" ht="12" customHeight="1" x14ac:dyDescent="0.15">
      <c r="B385" s="274"/>
      <c r="C385" s="273"/>
      <c r="D385" s="273"/>
      <c r="E385" s="273"/>
      <c r="F385" s="272"/>
    </row>
    <row r="386" spans="2:6" ht="12" customHeight="1" x14ac:dyDescent="0.15">
      <c r="B386" s="274"/>
      <c r="C386" s="273"/>
      <c r="D386" s="273"/>
      <c r="E386" s="273"/>
      <c r="F386" s="272"/>
    </row>
    <row r="387" spans="2:6" ht="12" customHeight="1" x14ac:dyDescent="0.15">
      <c r="B387" s="274"/>
      <c r="C387" s="273"/>
      <c r="D387" s="273"/>
      <c r="E387" s="273"/>
      <c r="F387" s="272"/>
    </row>
    <row r="388" spans="2:6" ht="12" customHeight="1" x14ac:dyDescent="0.15">
      <c r="B388" s="274"/>
      <c r="C388" s="273"/>
      <c r="D388" s="273"/>
      <c r="E388" s="273"/>
      <c r="F388" s="272"/>
    </row>
    <row r="389" spans="2:6" ht="12" customHeight="1" x14ac:dyDescent="0.15">
      <c r="B389" s="274"/>
      <c r="C389" s="273"/>
      <c r="D389" s="273"/>
      <c r="E389" s="273"/>
      <c r="F389" s="272"/>
    </row>
    <row r="390" spans="2:6" ht="12" customHeight="1" x14ac:dyDescent="0.15">
      <c r="B390" s="274"/>
      <c r="C390" s="273"/>
      <c r="D390" s="273"/>
      <c r="E390" s="273"/>
      <c r="F390" s="272"/>
    </row>
    <row r="391" spans="2:6" ht="12" customHeight="1" x14ac:dyDescent="0.15">
      <c r="B391" s="274"/>
      <c r="C391" s="273"/>
      <c r="D391" s="273"/>
      <c r="E391" s="273"/>
      <c r="F391" s="272"/>
    </row>
    <row r="392" spans="2:6" ht="12" customHeight="1" x14ac:dyDescent="0.15">
      <c r="B392" s="274"/>
      <c r="C392" s="273"/>
      <c r="D392" s="273"/>
      <c r="E392" s="273"/>
      <c r="F392" s="272"/>
    </row>
    <row r="393" spans="2:6" ht="12" customHeight="1" x14ac:dyDescent="0.15">
      <c r="B393" s="274"/>
      <c r="C393" s="273"/>
      <c r="D393" s="273"/>
      <c r="E393" s="273"/>
      <c r="F393" s="272"/>
    </row>
    <row r="394" spans="2:6" ht="12" customHeight="1" x14ac:dyDescent="0.15">
      <c r="B394" s="274"/>
      <c r="C394" s="273"/>
      <c r="D394" s="273"/>
      <c r="E394" s="273"/>
      <c r="F394" s="272"/>
    </row>
    <row r="395" spans="2:6" ht="12" customHeight="1" x14ac:dyDescent="0.15">
      <c r="B395" s="274"/>
      <c r="C395" s="273"/>
      <c r="D395" s="273"/>
      <c r="E395" s="273"/>
      <c r="F395" s="272"/>
    </row>
    <row r="396" spans="2:6" ht="12" customHeight="1" x14ac:dyDescent="0.15">
      <c r="B396" s="274"/>
      <c r="C396" s="273"/>
      <c r="D396" s="273"/>
      <c r="E396" s="273"/>
      <c r="F396" s="272"/>
    </row>
    <row r="397" spans="2:6" ht="12" customHeight="1" x14ac:dyDescent="0.15">
      <c r="B397" s="274"/>
      <c r="C397" s="273"/>
      <c r="D397" s="273"/>
      <c r="E397" s="273"/>
      <c r="F397" s="272"/>
    </row>
    <row r="398" spans="2:6" ht="12" customHeight="1" x14ac:dyDescent="0.15">
      <c r="B398" s="274"/>
      <c r="C398" s="273"/>
      <c r="D398" s="273"/>
      <c r="E398" s="273"/>
      <c r="F398" s="272"/>
    </row>
    <row r="399" spans="2:6" ht="12" customHeight="1" x14ac:dyDescent="0.15">
      <c r="B399" s="274"/>
      <c r="C399" s="273"/>
      <c r="D399" s="273"/>
      <c r="E399" s="273"/>
      <c r="F399" s="272"/>
    </row>
    <row r="400" spans="2:6" ht="12" customHeight="1" x14ac:dyDescent="0.15">
      <c r="B400" s="274"/>
      <c r="C400" s="273"/>
      <c r="D400" s="273"/>
      <c r="E400" s="273"/>
      <c r="F400" s="272"/>
    </row>
    <row r="401" spans="2:6" ht="12" customHeight="1" x14ac:dyDescent="0.15">
      <c r="B401" s="274"/>
      <c r="C401" s="273"/>
      <c r="D401" s="273"/>
      <c r="E401" s="273"/>
      <c r="F401" s="272"/>
    </row>
    <row r="402" spans="2:6" ht="12" customHeight="1" x14ac:dyDescent="0.15">
      <c r="B402" s="274"/>
      <c r="C402" s="273"/>
      <c r="D402" s="273"/>
      <c r="E402" s="273"/>
      <c r="F402" s="272"/>
    </row>
    <row r="403" spans="2:6" ht="12" customHeight="1" x14ac:dyDescent="0.15">
      <c r="B403" s="274"/>
      <c r="C403" s="273"/>
      <c r="D403" s="273"/>
      <c r="E403" s="273"/>
      <c r="F403" s="272"/>
    </row>
    <row r="404" spans="2:6" ht="12" customHeight="1" x14ac:dyDescent="0.15">
      <c r="B404" s="274"/>
      <c r="C404" s="273"/>
      <c r="D404" s="273"/>
      <c r="E404" s="273"/>
      <c r="F404" s="272"/>
    </row>
    <row r="405" spans="2:6" ht="12" customHeight="1" x14ac:dyDescent="0.15">
      <c r="B405" s="274"/>
      <c r="C405" s="273"/>
      <c r="D405" s="273"/>
      <c r="E405" s="273"/>
      <c r="F405" s="272"/>
    </row>
    <row r="406" spans="2:6" ht="12" customHeight="1" x14ac:dyDescent="0.15">
      <c r="B406" s="274"/>
      <c r="C406" s="273"/>
      <c r="D406" s="273"/>
      <c r="E406" s="273"/>
      <c r="F406" s="272"/>
    </row>
    <row r="407" spans="2:6" ht="12" customHeight="1" x14ac:dyDescent="0.15">
      <c r="B407" s="274"/>
      <c r="C407" s="273"/>
      <c r="D407" s="273"/>
      <c r="E407" s="273"/>
      <c r="F407" s="272"/>
    </row>
    <row r="408" spans="2:6" ht="12" customHeight="1" x14ac:dyDescent="0.15">
      <c r="B408" s="274"/>
      <c r="C408" s="273"/>
      <c r="D408" s="273"/>
      <c r="E408" s="273"/>
      <c r="F408" s="272"/>
    </row>
    <row r="409" spans="2:6" ht="12" customHeight="1" x14ac:dyDescent="0.15">
      <c r="B409" s="274"/>
      <c r="C409" s="273"/>
      <c r="D409" s="273"/>
      <c r="E409" s="273"/>
      <c r="F409" s="272"/>
    </row>
    <row r="410" spans="2:6" ht="12" customHeight="1" x14ac:dyDescent="0.15">
      <c r="B410" s="274"/>
      <c r="C410" s="273"/>
      <c r="D410" s="273"/>
      <c r="E410" s="273"/>
      <c r="F410" s="272"/>
    </row>
    <row r="411" spans="2:6" ht="12" customHeight="1" x14ac:dyDescent="0.15">
      <c r="B411" s="274"/>
      <c r="C411" s="273"/>
      <c r="D411" s="273"/>
      <c r="E411" s="273"/>
      <c r="F411" s="272"/>
    </row>
    <row r="412" spans="2:6" ht="12" customHeight="1" x14ac:dyDescent="0.15">
      <c r="B412" s="274"/>
      <c r="C412" s="273"/>
      <c r="D412" s="273"/>
      <c r="E412" s="273"/>
      <c r="F412" s="272"/>
    </row>
    <row r="413" spans="2:6" ht="12" customHeight="1" x14ac:dyDescent="0.15">
      <c r="B413" s="274"/>
      <c r="C413" s="273"/>
      <c r="D413" s="273"/>
      <c r="E413" s="273"/>
      <c r="F413" s="272"/>
    </row>
    <row r="414" spans="2:6" ht="12" customHeight="1" x14ac:dyDescent="0.15">
      <c r="B414" s="274"/>
      <c r="C414" s="273"/>
      <c r="D414" s="273"/>
      <c r="E414" s="273"/>
      <c r="F414" s="272"/>
    </row>
    <row r="415" spans="2:6" ht="12" customHeight="1" x14ac:dyDescent="0.15">
      <c r="B415" s="274"/>
      <c r="C415" s="273"/>
      <c r="D415" s="273"/>
      <c r="E415" s="273"/>
      <c r="F415" s="272"/>
    </row>
    <row r="416" spans="2:6" ht="12" customHeight="1" x14ac:dyDescent="0.15">
      <c r="B416" s="274"/>
      <c r="C416" s="273"/>
      <c r="D416" s="273"/>
      <c r="E416" s="273"/>
      <c r="F416" s="272"/>
    </row>
    <row r="417" spans="2:6" ht="12" customHeight="1" x14ac:dyDescent="0.15">
      <c r="B417" s="274"/>
      <c r="C417" s="273"/>
      <c r="D417" s="273"/>
      <c r="E417" s="273"/>
      <c r="F417" s="272"/>
    </row>
    <row r="418" spans="2:6" ht="12" customHeight="1" x14ac:dyDescent="0.15">
      <c r="B418" s="274"/>
      <c r="C418" s="273"/>
      <c r="D418" s="273"/>
      <c r="E418" s="273"/>
      <c r="F418" s="272"/>
    </row>
    <row r="419" spans="2:6" ht="12" customHeight="1" x14ac:dyDescent="0.15">
      <c r="B419" s="274"/>
      <c r="C419" s="273"/>
      <c r="D419" s="273"/>
      <c r="E419" s="273"/>
      <c r="F419" s="272"/>
    </row>
    <row r="420" spans="2:6" ht="12" customHeight="1" x14ac:dyDescent="0.15">
      <c r="B420" s="274"/>
      <c r="C420" s="273"/>
      <c r="D420" s="273"/>
      <c r="E420" s="273"/>
      <c r="F420" s="272"/>
    </row>
    <row r="421" spans="2:6" ht="12" customHeight="1" x14ac:dyDescent="0.15">
      <c r="B421" s="274"/>
      <c r="C421" s="273"/>
      <c r="D421" s="273"/>
      <c r="E421" s="273"/>
      <c r="F421" s="272"/>
    </row>
    <row r="422" spans="2:6" ht="12" customHeight="1" x14ac:dyDescent="0.15">
      <c r="B422" s="274"/>
      <c r="C422" s="273"/>
      <c r="D422" s="273"/>
      <c r="E422" s="273"/>
      <c r="F422" s="272"/>
    </row>
    <row r="423" spans="2:6" ht="12" customHeight="1" x14ac:dyDescent="0.15">
      <c r="B423" s="274"/>
      <c r="C423" s="273"/>
      <c r="D423" s="273"/>
      <c r="E423" s="273"/>
      <c r="F423" s="272"/>
    </row>
    <row r="424" spans="2:6" ht="12" customHeight="1" x14ac:dyDescent="0.15">
      <c r="B424" s="274"/>
      <c r="C424" s="273"/>
      <c r="D424" s="273"/>
      <c r="E424" s="273"/>
      <c r="F424" s="272"/>
    </row>
    <row r="425" spans="2:6" ht="12" customHeight="1" x14ac:dyDescent="0.15">
      <c r="B425" s="274"/>
      <c r="C425" s="273"/>
      <c r="D425" s="273"/>
      <c r="E425" s="273"/>
      <c r="F425" s="272"/>
    </row>
    <row r="426" spans="2:6" ht="12" customHeight="1" x14ac:dyDescent="0.15">
      <c r="B426" s="274"/>
      <c r="C426" s="273"/>
      <c r="D426" s="273"/>
      <c r="E426" s="273"/>
      <c r="F426" s="272"/>
    </row>
    <row r="427" spans="2:6" ht="12" customHeight="1" x14ac:dyDescent="0.15">
      <c r="B427" s="274"/>
      <c r="C427" s="273"/>
      <c r="D427" s="273"/>
      <c r="E427" s="273"/>
      <c r="F427" s="272"/>
    </row>
    <row r="428" spans="2:6" ht="12" customHeight="1" x14ac:dyDescent="0.15">
      <c r="B428" s="274"/>
      <c r="C428" s="273"/>
      <c r="D428" s="273"/>
      <c r="E428" s="273"/>
      <c r="F428" s="272"/>
    </row>
    <row r="429" spans="2:6" ht="12" customHeight="1" x14ac:dyDescent="0.15">
      <c r="B429" s="274"/>
      <c r="C429" s="273"/>
      <c r="D429" s="273"/>
      <c r="E429" s="273"/>
      <c r="F429" s="272"/>
    </row>
    <row r="430" spans="2:6" ht="12" customHeight="1" x14ac:dyDescent="0.15">
      <c r="B430" s="274"/>
      <c r="C430" s="273"/>
      <c r="D430" s="273"/>
      <c r="E430" s="273"/>
      <c r="F430" s="272"/>
    </row>
    <row r="431" spans="2:6" ht="12" customHeight="1" x14ac:dyDescent="0.15">
      <c r="B431" s="274"/>
      <c r="C431" s="273"/>
      <c r="D431" s="273"/>
      <c r="E431" s="273"/>
      <c r="F431" s="272"/>
    </row>
    <row r="432" spans="2:6" ht="12" customHeight="1" x14ac:dyDescent="0.15">
      <c r="B432" s="274"/>
      <c r="C432" s="273"/>
      <c r="D432" s="273"/>
      <c r="E432" s="273"/>
      <c r="F432" s="272"/>
    </row>
    <row r="433" spans="2:6" ht="12" customHeight="1" x14ac:dyDescent="0.15">
      <c r="B433" s="274"/>
      <c r="C433" s="273"/>
      <c r="D433" s="273"/>
      <c r="E433" s="273"/>
      <c r="F433" s="272"/>
    </row>
    <row r="434" spans="2:6" ht="12" customHeight="1" x14ac:dyDescent="0.15">
      <c r="B434" s="274"/>
      <c r="C434" s="273"/>
      <c r="D434" s="273"/>
      <c r="E434" s="273"/>
      <c r="F434" s="272"/>
    </row>
    <row r="435" spans="2:6" ht="12" customHeight="1" x14ac:dyDescent="0.15">
      <c r="B435" s="274"/>
      <c r="C435" s="273"/>
      <c r="D435" s="273"/>
      <c r="E435" s="273"/>
      <c r="F435" s="272"/>
    </row>
    <row r="436" spans="2:6" ht="12" customHeight="1" x14ac:dyDescent="0.15">
      <c r="B436" s="274"/>
      <c r="C436" s="273"/>
      <c r="D436" s="273"/>
      <c r="E436" s="273"/>
      <c r="F436" s="272"/>
    </row>
    <row r="437" spans="2:6" ht="12" customHeight="1" x14ac:dyDescent="0.15">
      <c r="B437" s="274"/>
      <c r="C437" s="273"/>
      <c r="D437" s="273"/>
      <c r="E437" s="273"/>
      <c r="F437" s="272"/>
    </row>
    <row r="438" spans="2:6" ht="12" customHeight="1" x14ac:dyDescent="0.15">
      <c r="B438" s="274"/>
      <c r="C438" s="273"/>
      <c r="D438" s="273"/>
      <c r="E438" s="273"/>
      <c r="F438" s="272"/>
    </row>
    <row r="439" spans="2:6" ht="12" customHeight="1" x14ac:dyDescent="0.15">
      <c r="B439" s="274"/>
      <c r="C439" s="273"/>
      <c r="D439" s="273"/>
      <c r="E439" s="273"/>
      <c r="F439" s="272"/>
    </row>
    <row r="440" spans="2:6" ht="12" customHeight="1" x14ac:dyDescent="0.15">
      <c r="B440" s="274"/>
      <c r="C440" s="273"/>
      <c r="D440" s="273"/>
      <c r="E440" s="273"/>
      <c r="F440" s="272"/>
    </row>
    <row r="441" spans="2:6" ht="12" customHeight="1" x14ac:dyDescent="0.15">
      <c r="B441" s="274"/>
      <c r="C441" s="273"/>
      <c r="D441" s="273"/>
      <c r="E441" s="273"/>
      <c r="F441" s="272"/>
    </row>
    <row r="442" spans="2:6" ht="12" customHeight="1" x14ac:dyDescent="0.15">
      <c r="B442" s="274"/>
      <c r="C442" s="273"/>
      <c r="D442" s="273"/>
      <c r="E442" s="273"/>
      <c r="F442" s="272"/>
    </row>
    <row r="443" spans="2:6" ht="12" customHeight="1" x14ac:dyDescent="0.15">
      <c r="B443" s="274"/>
      <c r="C443" s="273"/>
      <c r="D443" s="273"/>
      <c r="E443" s="273"/>
      <c r="F443" s="272"/>
    </row>
    <row r="444" spans="2:6" ht="12" customHeight="1" x14ac:dyDescent="0.15">
      <c r="B444" s="274"/>
      <c r="C444" s="273"/>
      <c r="D444" s="273"/>
      <c r="E444" s="273"/>
      <c r="F444" s="272"/>
    </row>
    <row r="445" spans="2:6" ht="12" customHeight="1" x14ac:dyDescent="0.15">
      <c r="B445" s="274"/>
      <c r="C445" s="273"/>
      <c r="D445" s="273"/>
      <c r="E445" s="273"/>
      <c r="F445" s="272"/>
    </row>
    <row r="446" spans="2:6" ht="12" customHeight="1" x14ac:dyDescent="0.15">
      <c r="B446" s="274"/>
      <c r="C446" s="273"/>
      <c r="D446" s="273"/>
      <c r="E446" s="273"/>
      <c r="F446" s="272"/>
    </row>
    <row r="447" spans="2:6" ht="12" customHeight="1" x14ac:dyDescent="0.15">
      <c r="B447" s="274"/>
      <c r="C447" s="273"/>
      <c r="D447" s="273"/>
      <c r="E447" s="273"/>
      <c r="F447" s="272"/>
    </row>
    <row r="448" spans="2:6" ht="12" customHeight="1" x14ac:dyDescent="0.15">
      <c r="B448" s="274"/>
      <c r="C448" s="273"/>
      <c r="D448" s="273"/>
      <c r="E448" s="273"/>
      <c r="F448" s="272"/>
    </row>
    <row r="449" spans="2:6" ht="12" customHeight="1" x14ac:dyDescent="0.15">
      <c r="B449" s="274"/>
      <c r="C449" s="273"/>
      <c r="D449" s="273"/>
      <c r="E449" s="273"/>
      <c r="F449" s="272"/>
    </row>
    <row r="450" spans="2:6" ht="12" customHeight="1" x14ac:dyDescent="0.15">
      <c r="B450" s="274"/>
      <c r="C450" s="273"/>
      <c r="D450" s="273"/>
      <c r="E450" s="273"/>
      <c r="F450" s="272"/>
    </row>
    <row r="451" spans="2:6" ht="12" customHeight="1" x14ac:dyDescent="0.15">
      <c r="B451" s="274"/>
      <c r="C451" s="273"/>
      <c r="D451" s="273"/>
      <c r="E451" s="273"/>
      <c r="F451" s="272"/>
    </row>
    <row r="452" spans="2:6" ht="12" customHeight="1" x14ac:dyDescent="0.15">
      <c r="B452" s="274"/>
      <c r="C452" s="273"/>
      <c r="D452" s="273"/>
      <c r="E452" s="273"/>
      <c r="F452" s="272"/>
    </row>
    <row r="453" spans="2:6" ht="12" customHeight="1" x14ac:dyDescent="0.15">
      <c r="B453" s="274"/>
      <c r="C453" s="273"/>
      <c r="D453" s="273"/>
      <c r="E453" s="273"/>
      <c r="F453" s="272"/>
    </row>
    <row r="454" spans="2:6" ht="12" customHeight="1" x14ac:dyDescent="0.15">
      <c r="B454" s="274"/>
      <c r="C454" s="273"/>
      <c r="D454" s="273"/>
      <c r="E454" s="273"/>
      <c r="F454" s="272"/>
    </row>
    <row r="455" spans="2:6" ht="12" customHeight="1" x14ac:dyDescent="0.15">
      <c r="B455" s="274"/>
      <c r="C455" s="273"/>
      <c r="D455" s="273"/>
      <c r="E455" s="273"/>
      <c r="F455" s="272"/>
    </row>
    <row r="456" spans="2:6" ht="12" customHeight="1" x14ac:dyDescent="0.15">
      <c r="B456" s="274"/>
      <c r="C456" s="273"/>
      <c r="D456" s="273"/>
      <c r="E456" s="273"/>
      <c r="F456" s="272"/>
    </row>
    <row r="457" spans="2:6" ht="12" customHeight="1" x14ac:dyDescent="0.15">
      <c r="B457" s="274"/>
      <c r="C457" s="273"/>
      <c r="D457" s="273"/>
      <c r="E457" s="273"/>
      <c r="F457" s="272"/>
    </row>
    <row r="458" spans="2:6" ht="12" customHeight="1" x14ac:dyDescent="0.15">
      <c r="B458" s="274"/>
      <c r="C458" s="273"/>
      <c r="D458" s="273"/>
      <c r="E458" s="273"/>
      <c r="F458" s="272"/>
    </row>
    <row r="459" spans="2:6" ht="12" customHeight="1" x14ac:dyDescent="0.15">
      <c r="B459" s="274"/>
      <c r="C459" s="273"/>
      <c r="D459" s="273"/>
      <c r="E459" s="273"/>
      <c r="F459" s="272"/>
    </row>
    <row r="460" spans="2:6" ht="12" customHeight="1" x14ac:dyDescent="0.15">
      <c r="B460" s="274"/>
      <c r="C460" s="273"/>
      <c r="D460" s="273"/>
      <c r="E460" s="273"/>
      <c r="F460" s="272"/>
    </row>
    <row r="461" spans="2:6" ht="12" customHeight="1" x14ac:dyDescent="0.15">
      <c r="B461" s="274"/>
      <c r="C461" s="273"/>
      <c r="D461" s="273"/>
      <c r="E461" s="273"/>
      <c r="F461" s="272"/>
    </row>
    <row r="462" spans="2:6" ht="12" customHeight="1" x14ac:dyDescent="0.15">
      <c r="B462" s="274"/>
      <c r="C462" s="273"/>
      <c r="D462" s="273"/>
      <c r="E462" s="273"/>
      <c r="F462" s="272"/>
    </row>
    <row r="463" spans="2:6" ht="12" customHeight="1" x14ac:dyDescent="0.15">
      <c r="B463" s="274"/>
      <c r="C463" s="273"/>
      <c r="D463" s="273"/>
      <c r="E463" s="273"/>
      <c r="F463" s="272"/>
    </row>
    <row r="464" spans="2:6" ht="12" customHeight="1" x14ac:dyDescent="0.15">
      <c r="B464" s="274"/>
      <c r="C464" s="273"/>
      <c r="D464" s="273"/>
      <c r="E464" s="273"/>
      <c r="F464" s="272"/>
    </row>
    <row r="465" spans="2:6" ht="12" customHeight="1" x14ac:dyDescent="0.15">
      <c r="B465" s="274"/>
      <c r="C465" s="273"/>
      <c r="D465" s="273"/>
      <c r="E465" s="273"/>
      <c r="F465" s="272"/>
    </row>
    <row r="466" spans="2:6" ht="12" customHeight="1" x14ac:dyDescent="0.15">
      <c r="B466" s="274"/>
      <c r="C466" s="273"/>
      <c r="D466" s="273"/>
      <c r="E466" s="273"/>
      <c r="F466" s="272"/>
    </row>
    <row r="467" spans="2:6" ht="12" customHeight="1" x14ac:dyDescent="0.15">
      <c r="B467" s="274"/>
      <c r="C467" s="273"/>
      <c r="D467" s="273"/>
      <c r="E467" s="273"/>
      <c r="F467" s="272"/>
    </row>
    <row r="468" spans="2:6" ht="12" customHeight="1" x14ac:dyDescent="0.15">
      <c r="B468" s="274"/>
      <c r="C468" s="273"/>
      <c r="D468" s="273"/>
      <c r="E468" s="273"/>
      <c r="F468" s="272"/>
    </row>
    <row r="469" spans="2:6" ht="12" customHeight="1" x14ac:dyDescent="0.15">
      <c r="B469" s="274"/>
      <c r="C469" s="273"/>
      <c r="D469" s="273"/>
      <c r="E469" s="273"/>
      <c r="F469" s="272"/>
    </row>
    <row r="470" spans="2:6" ht="12" customHeight="1" x14ac:dyDescent="0.15">
      <c r="B470" s="274"/>
      <c r="C470" s="273"/>
      <c r="D470" s="273"/>
      <c r="E470" s="273"/>
      <c r="F470" s="272"/>
    </row>
    <row r="471" spans="2:6" ht="12" customHeight="1" x14ac:dyDescent="0.15">
      <c r="B471" s="274"/>
      <c r="C471" s="273"/>
      <c r="D471" s="273"/>
      <c r="E471" s="273"/>
      <c r="F471" s="272"/>
    </row>
    <row r="472" spans="2:6" ht="12" customHeight="1" x14ac:dyDescent="0.15">
      <c r="B472" s="274"/>
      <c r="C472" s="273"/>
      <c r="D472" s="273"/>
      <c r="E472" s="273"/>
      <c r="F472" s="272"/>
    </row>
    <row r="473" spans="2:6" ht="12" customHeight="1" x14ac:dyDescent="0.15">
      <c r="B473" s="274"/>
      <c r="C473" s="273"/>
      <c r="D473" s="273"/>
      <c r="E473" s="273"/>
      <c r="F473" s="272"/>
    </row>
    <row r="474" spans="2:6" ht="12" customHeight="1" x14ac:dyDescent="0.15">
      <c r="B474" s="274"/>
      <c r="C474" s="273"/>
      <c r="D474" s="273"/>
      <c r="E474" s="273"/>
      <c r="F474" s="272"/>
    </row>
    <row r="475" spans="2:6" ht="12" customHeight="1" x14ac:dyDescent="0.15">
      <c r="B475" s="274"/>
      <c r="C475" s="273"/>
      <c r="D475" s="273"/>
      <c r="E475" s="273"/>
      <c r="F475" s="272"/>
    </row>
    <row r="476" spans="2:6" ht="12" customHeight="1" x14ac:dyDescent="0.15">
      <c r="B476" s="274"/>
      <c r="C476" s="273"/>
      <c r="D476" s="273"/>
      <c r="E476" s="273"/>
      <c r="F476" s="272"/>
    </row>
    <row r="477" spans="2:6" ht="12" customHeight="1" x14ac:dyDescent="0.15">
      <c r="B477" s="274"/>
      <c r="C477" s="273"/>
      <c r="D477" s="273"/>
      <c r="E477" s="273"/>
      <c r="F477" s="272"/>
    </row>
    <row r="478" spans="2:6" ht="12" customHeight="1" x14ac:dyDescent="0.15">
      <c r="B478" s="274"/>
      <c r="C478" s="273"/>
      <c r="D478" s="273"/>
      <c r="E478" s="273"/>
      <c r="F478" s="272"/>
    </row>
    <row r="479" spans="2:6" ht="12" customHeight="1" x14ac:dyDescent="0.15">
      <c r="B479" s="274"/>
      <c r="C479" s="273"/>
      <c r="D479" s="273"/>
      <c r="E479" s="273"/>
      <c r="F479" s="272"/>
    </row>
    <row r="480" spans="2:6" ht="12" customHeight="1" x14ac:dyDescent="0.15">
      <c r="B480" s="274"/>
      <c r="C480" s="273"/>
      <c r="D480" s="273"/>
      <c r="E480" s="273"/>
      <c r="F480" s="272"/>
    </row>
    <row r="481" spans="2:6" ht="12" customHeight="1" x14ac:dyDescent="0.15">
      <c r="B481" s="274"/>
      <c r="C481" s="273"/>
      <c r="D481" s="273"/>
      <c r="E481" s="273"/>
      <c r="F481" s="272"/>
    </row>
    <row r="482" spans="2:6" ht="12" customHeight="1" x14ac:dyDescent="0.15">
      <c r="B482" s="274"/>
      <c r="C482" s="273"/>
      <c r="D482" s="273"/>
      <c r="E482" s="273"/>
      <c r="F482" s="272"/>
    </row>
    <row r="483" spans="2:6" ht="12" customHeight="1" x14ac:dyDescent="0.15">
      <c r="B483" s="274"/>
      <c r="C483" s="273"/>
      <c r="D483" s="273"/>
      <c r="E483" s="273"/>
      <c r="F483" s="272"/>
    </row>
    <row r="484" spans="2:6" ht="12" customHeight="1" x14ac:dyDescent="0.15">
      <c r="B484" s="274"/>
      <c r="C484" s="273"/>
      <c r="D484" s="273"/>
      <c r="E484" s="273"/>
      <c r="F484" s="272"/>
    </row>
    <row r="485" spans="2:6" ht="12" customHeight="1" x14ac:dyDescent="0.15">
      <c r="B485" s="274"/>
      <c r="C485" s="273"/>
      <c r="D485" s="273"/>
      <c r="E485" s="273"/>
      <c r="F485" s="272"/>
    </row>
    <row r="486" spans="2:6" ht="12" customHeight="1" x14ac:dyDescent="0.15">
      <c r="B486" s="274"/>
      <c r="C486" s="273"/>
      <c r="D486" s="273"/>
      <c r="E486" s="273"/>
      <c r="F486" s="272"/>
    </row>
    <row r="487" spans="2:6" ht="12" customHeight="1" x14ac:dyDescent="0.15">
      <c r="B487" s="274"/>
      <c r="C487" s="273"/>
      <c r="D487" s="273"/>
      <c r="E487" s="273"/>
      <c r="F487" s="272"/>
    </row>
    <row r="488" spans="2:6" ht="12" customHeight="1" x14ac:dyDescent="0.15">
      <c r="B488" s="274"/>
      <c r="C488" s="273"/>
      <c r="D488" s="273"/>
      <c r="E488" s="273"/>
      <c r="F488" s="272"/>
    </row>
    <row r="489" spans="2:6" ht="12" customHeight="1" x14ac:dyDescent="0.15">
      <c r="B489" s="274"/>
      <c r="C489" s="273"/>
      <c r="D489" s="273"/>
      <c r="E489" s="273"/>
      <c r="F489" s="272"/>
    </row>
    <row r="490" spans="2:6" ht="12" customHeight="1" x14ac:dyDescent="0.15">
      <c r="B490" s="274"/>
      <c r="C490" s="273"/>
      <c r="D490" s="273"/>
      <c r="E490" s="273"/>
      <c r="F490" s="272"/>
    </row>
    <row r="491" spans="2:6" ht="12" customHeight="1" x14ac:dyDescent="0.15">
      <c r="B491" s="274"/>
      <c r="C491" s="273"/>
      <c r="D491" s="273"/>
      <c r="E491" s="273"/>
      <c r="F491" s="272"/>
    </row>
    <row r="492" spans="2:6" ht="12" customHeight="1" x14ac:dyDescent="0.15">
      <c r="B492" s="274"/>
      <c r="C492" s="273"/>
      <c r="D492" s="273"/>
      <c r="E492" s="273"/>
      <c r="F492" s="272"/>
    </row>
    <row r="493" spans="2:6" ht="12" customHeight="1" x14ac:dyDescent="0.15">
      <c r="B493" s="274"/>
      <c r="C493" s="273"/>
      <c r="D493" s="273"/>
      <c r="E493" s="273"/>
      <c r="F493" s="272"/>
    </row>
    <row r="494" spans="2:6" ht="12" customHeight="1" x14ac:dyDescent="0.15">
      <c r="B494" s="274"/>
      <c r="C494" s="273"/>
      <c r="D494" s="273"/>
      <c r="E494" s="273"/>
      <c r="F494" s="272"/>
    </row>
    <row r="495" spans="2:6" ht="12" customHeight="1" x14ac:dyDescent="0.15">
      <c r="B495" s="274"/>
      <c r="C495" s="273"/>
      <c r="D495" s="273"/>
      <c r="E495" s="273"/>
      <c r="F495" s="272"/>
    </row>
    <row r="496" spans="2:6" ht="12" customHeight="1" x14ac:dyDescent="0.15">
      <c r="B496" s="274"/>
      <c r="C496" s="273"/>
      <c r="D496" s="273"/>
      <c r="E496" s="273"/>
      <c r="F496" s="272"/>
    </row>
    <row r="497" spans="2:6" ht="12" customHeight="1" x14ac:dyDescent="0.15">
      <c r="B497" s="274"/>
      <c r="C497" s="273"/>
      <c r="D497" s="273"/>
      <c r="E497" s="273"/>
      <c r="F497" s="272"/>
    </row>
    <row r="498" spans="2:6" ht="12" customHeight="1" x14ac:dyDescent="0.15">
      <c r="B498" s="274"/>
      <c r="C498" s="273"/>
      <c r="D498" s="273"/>
      <c r="E498" s="273"/>
      <c r="F498" s="272"/>
    </row>
    <row r="499" spans="2:6" ht="12" customHeight="1" x14ac:dyDescent="0.15">
      <c r="B499" s="274"/>
      <c r="C499" s="273"/>
      <c r="D499" s="273"/>
      <c r="E499" s="273"/>
      <c r="F499" s="272"/>
    </row>
    <row r="500" spans="2:6" ht="12" customHeight="1" x14ac:dyDescent="0.15">
      <c r="B500" s="274"/>
      <c r="C500" s="273"/>
      <c r="D500" s="273"/>
      <c r="E500" s="273"/>
      <c r="F500" s="272"/>
    </row>
    <row r="501" spans="2:6" ht="12" customHeight="1" x14ac:dyDescent="0.15">
      <c r="B501" s="274"/>
      <c r="C501" s="273"/>
      <c r="D501" s="273"/>
      <c r="E501" s="273"/>
      <c r="F501" s="272"/>
    </row>
    <row r="502" spans="2:6" ht="12" customHeight="1" x14ac:dyDescent="0.15">
      <c r="B502" s="274"/>
      <c r="C502" s="273"/>
      <c r="D502" s="273"/>
      <c r="E502" s="273"/>
      <c r="F502" s="272"/>
    </row>
    <row r="503" spans="2:6" ht="12" customHeight="1" x14ac:dyDescent="0.15">
      <c r="B503" s="274"/>
      <c r="C503" s="273"/>
      <c r="D503" s="273"/>
      <c r="E503" s="273"/>
      <c r="F503" s="272"/>
    </row>
    <row r="504" spans="2:6" ht="12" customHeight="1" x14ac:dyDescent="0.15">
      <c r="B504" s="274"/>
      <c r="C504" s="273"/>
      <c r="D504" s="273"/>
      <c r="E504" s="273"/>
      <c r="F504" s="272"/>
    </row>
    <row r="505" spans="2:6" ht="12" customHeight="1" x14ac:dyDescent="0.15">
      <c r="B505" s="274"/>
      <c r="C505" s="273"/>
      <c r="D505" s="273"/>
      <c r="E505" s="273"/>
      <c r="F505" s="272"/>
    </row>
    <row r="506" spans="2:6" ht="12" customHeight="1" x14ac:dyDescent="0.15">
      <c r="B506" s="274"/>
      <c r="C506" s="273"/>
      <c r="D506" s="273"/>
      <c r="E506" s="273"/>
      <c r="F506" s="272"/>
    </row>
    <row r="507" spans="2:6" ht="12" customHeight="1" x14ac:dyDescent="0.15">
      <c r="B507" s="274"/>
      <c r="C507" s="273"/>
      <c r="D507" s="273"/>
      <c r="E507" s="273"/>
      <c r="F507" s="272"/>
    </row>
    <row r="508" spans="2:6" ht="12" customHeight="1" x14ac:dyDescent="0.15">
      <c r="B508" s="274"/>
      <c r="C508" s="273"/>
      <c r="D508" s="273"/>
      <c r="E508" s="273"/>
      <c r="F508" s="272"/>
    </row>
    <row r="509" spans="2:6" ht="12" customHeight="1" x14ac:dyDescent="0.15">
      <c r="B509" s="274"/>
      <c r="C509" s="273"/>
      <c r="D509" s="273"/>
      <c r="E509" s="273"/>
      <c r="F509" s="272"/>
    </row>
    <row r="510" spans="2:6" ht="12" customHeight="1" x14ac:dyDescent="0.15">
      <c r="B510" s="274"/>
      <c r="C510" s="273"/>
      <c r="D510" s="273"/>
      <c r="E510" s="273"/>
      <c r="F510" s="272"/>
    </row>
    <row r="511" spans="2:6" ht="12" customHeight="1" x14ac:dyDescent="0.15">
      <c r="B511" s="274"/>
      <c r="C511" s="273"/>
      <c r="D511" s="273"/>
      <c r="E511" s="273"/>
      <c r="F511" s="272"/>
    </row>
    <row r="512" spans="2:6" ht="12" customHeight="1" x14ac:dyDescent="0.15">
      <c r="B512" s="274"/>
      <c r="C512" s="273"/>
      <c r="D512" s="273"/>
      <c r="E512" s="273"/>
      <c r="F512" s="272"/>
    </row>
    <row r="513" spans="2:6" ht="12" customHeight="1" x14ac:dyDescent="0.15">
      <c r="B513" s="274"/>
      <c r="C513" s="273"/>
      <c r="D513" s="273"/>
      <c r="E513" s="273"/>
      <c r="F513" s="272"/>
    </row>
    <row r="514" spans="2:6" ht="12" customHeight="1" x14ac:dyDescent="0.15">
      <c r="B514" s="274"/>
      <c r="C514" s="273"/>
      <c r="D514" s="273"/>
      <c r="E514" s="273"/>
      <c r="F514" s="272"/>
    </row>
    <row r="515" spans="2:6" ht="12" customHeight="1" x14ac:dyDescent="0.15">
      <c r="B515" s="274"/>
      <c r="C515" s="273"/>
      <c r="D515" s="273"/>
      <c r="E515" s="273"/>
      <c r="F515" s="272"/>
    </row>
    <row r="516" spans="2:6" ht="12" customHeight="1" x14ac:dyDescent="0.15">
      <c r="B516" s="274"/>
      <c r="C516" s="273"/>
      <c r="D516" s="273"/>
      <c r="E516" s="273"/>
      <c r="F516" s="272"/>
    </row>
    <row r="517" spans="2:6" ht="12" customHeight="1" x14ac:dyDescent="0.15">
      <c r="B517" s="274"/>
      <c r="C517" s="273"/>
      <c r="D517" s="273"/>
      <c r="E517" s="273"/>
      <c r="F517" s="272"/>
    </row>
    <row r="518" spans="2:6" ht="12" customHeight="1" x14ac:dyDescent="0.15">
      <c r="B518" s="274"/>
      <c r="C518" s="273"/>
      <c r="D518" s="273"/>
      <c r="E518" s="273"/>
      <c r="F518" s="272"/>
    </row>
    <row r="519" spans="2:6" ht="12" customHeight="1" x14ac:dyDescent="0.15">
      <c r="B519" s="274"/>
      <c r="C519" s="273"/>
      <c r="D519" s="273"/>
      <c r="E519" s="273"/>
      <c r="F519" s="272"/>
    </row>
    <row r="520" spans="2:6" ht="12" customHeight="1" x14ac:dyDescent="0.15">
      <c r="B520" s="274"/>
      <c r="C520" s="273"/>
      <c r="D520" s="273"/>
      <c r="E520" s="273"/>
      <c r="F520" s="272"/>
    </row>
    <row r="521" spans="2:6" ht="12" customHeight="1" x14ac:dyDescent="0.15">
      <c r="B521" s="274"/>
      <c r="C521" s="273"/>
      <c r="D521" s="273"/>
      <c r="E521" s="273"/>
      <c r="F521" s="272"/>
    </row>
    <row r="522" spans="2:6" ht="12" customHeight="1" x14ac:dyDescent="0.15">
      <c r="B522" s="274"/>
      <c r="C522" s="273"/>
      <c r="D522" s="273"/>
      <c r="E522" s="273"/>
      <c r="F522" s="272"/>
    </row>
    <row r="523" spans="2:6" ht="12" customHeight="1" x14ac:dyDescent="0.15">
      <c r="B523" s="274"/>
      <c r="C523" s="273"/>
      <c r="D523" s="273"/>
      <c r="E523" s="273"/>
      <c r="F523" s="272"/>
    </row>
    <row r="524" spans="2:6" ht="12" customHeight="1" x14ac:dyDescent="0.15">
      <c r="B524" s="274"/>
      <c r="C524" s="273"/>
      <c r="D524" s="273"/>
      <c r="E524" s="273"/>
      <c r="F524" s="272"/>
    </row>
    <row r="525" spans="2:6" ht="12" customHeight="1" x14ac:dyDescent="0.15">
      <c r="B525" s="274"/>
      <c r="C525" s="273"/>
      <c r="D525" s="273"/>
      <c r="E525" s="273"/>
      <c r="F525" s="272"/>
    </row>
    <row r="526" spans="2:6" ht="12" customHeight="1" x14ac:dyDescent="0.15">
      <c r="B526" s="274"/>
      <c r="C526" s="273"/>
      <c r="D526" s="273"/>
      <c r="E526" s="273"/>
      <c r="F526" s="272"/>
    </row>
    <row r="527" spans="2:6" ht="12" customHeight="1" x14ac:dyDescent="0.15">
      <c r="B527" s="274"/>
      <c r="C527" s="273"/>
      <c r="D527" s="273"/>
      <c r="E527" s="273"/>
      <c r="F527" s="272"/>
    </row>
    <row r="528" spans="2:6" ht="12" customHeight="1" x14ac:dyDescent="0.15">
      <c r="B528" s="274"/>
      <c r="C528" s="273"/>
      <c r="D528" s="273"/>
      <c r="E528" s="273"/>
      <c r="F528" s="272"/>
    </row>
    <row r="529" spans="2:6" ht="12" customHeight="1" x14ac:dyDescent="0.15">
      <c r="B529" s="274"/>
      <c r="C529" s="273"/>
      <c r="D529" s="273"/>
      <c r="E529" s="273"/>
      <c r="F529" s="272"/>
    </row>
    <row r="530" spans="2:6" ht="12" customHeight="1" x14ac:dyDescent="0.15">
      <c r="B530" s="274"/>
      <c r="C530" s="273"/>
      <c r="D530" s="273"/>
      <c r="E530" s="273"/>
      <c r="F530" s="272"/>
    </row>
    <row r="531" spans="2:6" ht="12" customHeight="1" x14ac:dyDescent="0.15">
      <c r="B531" s="274"/>
      <c r="C531" s="273"/>
      <c r="D531" s="273"/>
      <c r="E531" s="273"/>
      <c r="F531" s="272"/>
    </row>
    <row r="532" spans="2:6" ht="12" customHeight="1" x14ac:dyDescent="0.15">
      <c r="B532" s="274"/>
      <c r="C532" s="273"/>
      <c r="D532" s="273"/>
      <c r="E532" s="273"/>
      <c r="F532" s="272"/>
    </row>
    <row r="533" spans="2:6" ht="12" customHeight="1" x14ac:dyDescent="0.15">
      <c r="B533" s="274"/>
      <c r="C533" s="273"/>
      <c r="D533" s="273"/>
      <c r="E533" s="273"/>
      <c r="F533" s="272"/>
    </row>
    <row r="534" spans="2:6" ht="12" customHeight="1" x14ac:dyDescent="0.15">
      <c r="B534" s="274"/>
      <c r="C534" s="273"/>
      <c r="D534" s="273"/>
      <c r="E534" s="273"/>
      <c r="F534" s="272"/>
    </row>
    <row r="535" spans="2:6" ht="12" customHeight="1" x14ac:dyDescent="0.15">
      <c r="B535" s="274"/>
      <c r="C535" s="273"/>
      <c r="D535" s="273"/>
      <c r="E535" s="273"/>
      <c r="F535" s="272"/>
    </row>
    <row r="536" spans="2:6" ht="12" customHeight="1" x14ac:dyDescent="0.15">
      <c r="B536" s="274"/>
      <c r="C536" s="273"/>
      <c r="D536" s="273"/>
      <c r="E536" s="273"/>
      <c r="F536" s="272"/>
    </row>
    <row r="537" spans="2:6" ht="12" customHeight="1" x14ac:dyDescent="0.15">
      <c r="B537" s="274"/>
      <c r="C537" s="273"/>
      <c r="D537" s="273"/>
      <c r="E537" s="273"/>
      <c r="F537" s="272"/>
    </row>
    <row r="538" spans="2:6" ht="12" customHeight="1" x14ac:dyDescent="0.15">
      <c r="B538" s="274"/>
      <c r="C538" s="273"/>
      <c r="D538" s="273"/>
      <c r="E538" s="273"/>
      <c r="F538" s="272"/>
    </row>
    <row r="539" spans="2:6" ht="12" customHeight="1" x14ac:dyDescent="0.15">
      <c r="B539" s="274"/>
      <c r="C539" s="273"/>
      <c r="D539" s="273"/>
      <c r="E539" s="273"/>
      <c r="F539" s="272"/>
    </row>
    <row r="540" spans="2:6" ht="12" customHeight="1" x14ac:dyDescent="0.15">
      <c r="B540" s="274"/>
      <c r="C540" s="273"/>
      <c r="D540" s="273"/>
      <c r="E540" s="273"/>
      <c r="F540" s="272"/>
    </row>
    <row r="541" spans="2:6" ht="12" customHeight="1" x14ac:dyDescent="0.15">
      <c r="B541" s="274"/>
      <c r="C541" s="273"/>
      <c r="D541" s="273"/>
      <c r="E541" s="273"/>
      <c r="F541" s="272"/>
    </row>
    <row r="542" spans="2:6" ht="12" customHeight="1" x14ac:dyDescent="0.15">
      <c r="B542" s="274"/>
      <c r="C542" s="273"/>
      <c r="D542" s="273"/>
      <c r="E542" s="273"/>
      <c r="F542" s="272"/>
    </row>
    <row r="543" spans="2:6" ht="12" customHeight="1" x14ac:dyDescent="0.15">
      <c r="B543" s="274"/>
      <c r="C543" s="273"/>
      <c r="D543" s="273"/>
      <c r="E543" s="273"/>
      <c r="F543" s="272"/>
    </row>
    <row r="544" spans="2:6" ht="12" customHeight="1" x14ac:dyDescent="0.15">
      <c r="B544" s="274"/>
      <c r="C544" s="273"/>
      <c r="D544" s="273"/>
      <c r="E544" s="273"/>
      <c r="F544" s="272"/>
    </row>
    <row r="545" spans="2:6" ht="12" customHeight="1" x14ac:dyDescent="0.15">
      <c r="B545" s="274"/>
      <c r="C545" s="273"/>
      <c r="D545" s="273"/>
      <c r="E545" s="273"/>
      <c r="F545" s="272"/>
    </row>
    <row r="546" spans="2:6" ht="12" customHeight="1" x14ac:dyDescent="0.15">
      <c r="B546" s="274"/>
      <c r="C546" s="273"/>
      <c r="D546" s="273"/>
      <c r="E546" s="273"/>
      <c r="F546" s="272"/>
    </row>
    <row r="547" spans="2:6" ht="12" customHeight="1" x14ac:dyDescent="0.15">
      <c r="B547" s="274"/>
      <c r="C547" s="273"/>
      <c r="D547" s="273"/>
      <c r="E547" s="273"/>
      <c r="F547" s="272"/>
    </row>
    <row r="548" spans="2:6" ht="12" customHeight="1" x14ac:dyDescent="0.15">
      <c r="B548" s="274"/>
      <c r="C548" s="273"/>
      <c r="D548" s="273"/>
      <c r="E548" s="273"/>
      <c r="F548" s="272"/>
    </row>
    <row r="549" spans="2:6" ht="12" customHeight="1" x14ac:dyDescent="0.15">
      <c r="B549" s="274"/>
      <c r="C549" s="273"/>
      <c r="D549" s="273"/>
      <c r="E549" s="273"/>
      <c r="F549" s="272"/>
    </row>
    <row r="550" spans="2:6" ht="12" customHeight="1" x14ac:dyDescent="0.15">
      <c r="B550" s="274"/>
      <c r="C550" s="273"/>
      <c r="D550" s="273"/>
      <c r="E550" s="273"/>
      <c r="F550" s="272"/>
    </row>
    <row r="551" spans="2:6" ht="12" customHeight="1" x14ac:dyDescent="0.15">
      <c r="B551" s="274"/>
      <c r="C551" s="273"/>
      <c r="D551" s="273"/>
      <c r="E551" s="273"/>
      <c r="F551" s="272"/>
    </row>
    <row r="552" spans="2:6" ht="12" customHeight="1" x14ac:dyDescent="0.15">
      <c r="B552" s="274"/>
      <c r="C552" s="273"/>
      <c r="D552" s="273"/>
      <c r="E552" s="273"/>
      <c r="F552" s="272"/>
    </row>
    <row r="553" spans="2:6" ht="12" customHeight="1" x14ac:dyDescent="0.15">
      <c r="B553" s="274"/>
      <c r="C553" s="273"/>
      <c r="D553" s="273"/>
      <c r="E553" s="273"/>
      <c r="F553" s="272"/>
    </row>
    <row r="554" spans="2:6" ht="12" customHeight="1" x14ac:dyDescent="0.15">
      <c r="B554" s="274"/>
      <c r="C554" s="273"/>
      <c r="D554" s="273"/>
      <c r="E554" s="273"/>
      <c r="F554" s="272"/>
    </row>
    <row r="555" spans="2:6" ht="12" customHeight="1" x14ac:dyDescent="0.15">
      <c r="B555" s="274"/>
      <c r="C555" s="273"/>
      <c r="D555" s="273"/>
      <c r="E555" s="273"/>
      <c r="F555" s="272"/>
    </row>
    <row r="556" spans="2:6" ht="12" customHeight="1" x14ac:dyDescent="0.15">
      <c r="B556" s="274"/>
      <c r="C556" s="273"/>
      <c r="D556" s="273"/>
      <c r="E556" s="273"/>
      <c r="F556" s="272"/>
    </row>
    <row r="557" spans="2:6" ht="12" customHeight="1" x14ac:dyDescent="0.15">
      <c r="B557" s="274"/>
      <c r="C557" s="273"/>
      <c r="D557" s="273"/>
      <c r="E557" s="273"/>
      <c r="F557" s="272"/>
    </row>
    <row r="558" spans="2:6" ht="12" customHeight="1" x14ac:dyDescent="0.15">
      <c r="B558" s="274"/>
      <c r="C558" s="273"/>
      <c r="D558" s="273"/>
      <c r="E558" s="273"/>
      <c r="F558" s="272"/>
    </row>
    <row r="559" spans="2:6" ht="12" customHeight="1" x14ac:dyDescent="0.15">
      <c r="B559" s="274"/>
      <c r="C559" s="273"/>
      <c r="D559" s="273"/>
      <c r="E559" s="273"/>
      <c r="F559" s="272"/>
    </row>
    <row r="560" spans="2:6" ht="12" customHeight="1" x14ac:dyDescent="0.15">
      <c r="B560" s="274"/>
      <c r="C560" s="273"/>
      <c r="D560" s="273"/>
      <c r="E560" s="273"/>
      <c r="F560" s="272"/>
    </row>
    <row r="561" spans="2:6" ht="12" customHeight="1" x14ac:dyDescent="0.15">
      <c r="B561" s="274"/>
      <c r="C561" s="273"/>
      <c r="D561" s="273"/>
      <c r="E561" s="273"/>
      <c r="F561" s="272"/>
    </row>
    <row r="562" spans="2:6" ht="12" customHeight="1" x14ac:dyDescent="0.15">
      <c r="B562" s="274"/>
      <c r="C562" s="273"/>
      <c r="D562" s="273"/>
      <c r="E562" s="273"/>
      <c r="F562" s="272"/>
    </row>
    <row r="563" spans="2:6" ht="12" customHeight="1" x14ac:dyDescent="0.15">
      <c r="B563" s="274"/>
      <c r="C563" s="273"/>
      <c r="D563" s="273"/>
      <c r="E563" s="273"/>
      <c r="F563" s="272"/>
    </row>
    <row r="564" spans="2:6" ht="12" customHeight="1" x14ac:dyDescent="0.15">
      <c r="B564" s="274"/>
      <c r="C564" s="273"/>
      <c r="D564" s="273"/>
      <c r="E564" s="273"/>
      <c r="F564" s="272"/>
    </row>
    <row r="565" spans="2:6" ht="12" customHeight="1" x14ac:dyDescent="0.15">
      <c r="B565" s="274"/>
      <c r="C565" s="273"/>
      <c r="D565" s="273"/>
      <c r="E565" s="273"/>
      <c r="F565" s="272"/>
    </row>
    <row r="566" spans="2:6" ht="12" customHeight="1" x14ac:dyDescent="0.15">
      <c r="B566" s="274"/>
      <c r="C566" s="273"/>
      <c r="D566" s="273"/>
      <c r="E566" s="273"/>
      <c r="F566" s="272"/>
    </row>
    <row r="567" spans="2:6" ht="12" customHeight="1" x14ac:dyDescent="0.15">
      <c r="B567" s="274"/>
      <c r="C567" s="273"/>
      <c r="D567" s="273"/>
      <c r="E567" s="273"/>
      <c r="F567" s="272"/>
    </row>
    <row r="568" spans="2:6" ht="12" customHeight="1" x14ac:dyDescent="0.15">
      <c r="B568" s="274"/>
      <c r="C568" s="273"/>
      <c r="D568" s="273"/>
      <c r="E568" s="273"/>
      <c r="F568" s="272"/>
    </row>
    <row r="569" spans="2:6" ht="12" customHeight="1" x14ac:dyDescent="0.15">
      <c r="B569" s="274"/>
      <c r="C569" s="273"/>
      <c r="D569" s="273"/>
      <c r="E569" s="273"/>
      <c r="F569" s="272"/>
    </row>
    <row r="570" spans="2:6" ht="12" customHeight="1" x14ac:dyDescent="0.15">
      <c r="B570" s="274"/>
      <c r="C570" s="273"/>
      <c r="D570" s="273"/>
      <c r="E570" s="273"/>
      <c r="F570" s="272"/>
    </row>
    <row r="571" spans="2:6" ht="12" customHeight="1" x14ac:dyDescent="0.15">
      <c r="B571" s="274"/>
      <c r="C571" s="273"/>
      <c r="D571" s="273"/>
      <c r="E571" s="273"/>
      <c r="F571" s="272"/>
    </row>
    <row r="572" spans="2:6" ht="12" customHeight="1" x14ac:dyDescent="0.15">
      <c r="B572" s="274"/>
      <c r="C572" s="273"/>
      <c r="D572" s="273"/>
      <c r="E572" s="273"/>
      <c r="F572" s="272"/>
    </row>
    <row r="573" spans="2:6" ht="12" customHeight="1" x14ac:dyDescent="0.15">
      <c r="B573" s="274"/>
      <c r="C573" s="273"/>
      <c r="D573" s="273"/>
      <c r="E573" s="273"/>
      <c r="F573" s="272"/>
    </row>
    <row r="574" spans="2:6" ht="12" customHeight="1" x14ac:dyDescent="0.15">
      <c r="B574" s="274"/>
      <c r="C574" s="273"/>
      <c r="D574" s="273"/>
      <c r="E574" s="273"/>
      <c r="F574" s="272"/>
    </row>
    <row r="575" spans="2:6" ht="12" customHeight="1" x14ac:dyDescent="0.15">
      <c r="B575" s="274"/>
      <c r="C575" s="273"/>
      <c r="D575" s="273"/>
      <c r="E575" s="273"/>
      <c r="F575" s="272"/>
    </row>
    <row r="576" spans="2:6" ht="12" customHeight="1" x14ac:dyDescent="0.15">
      <c r="B576" s="274"/>
      <c r="C576" s="273"/>
      <c r="D576" s="273"/>
      <c r="E576" s="273"/>
      <c r="F576" s="272"/>
    </row>
    <row r="577" spans="2:6" ht="12" customHeight="1" x14ac:dyDescent="0.15">
      <c r="B577" s="274"/>
      <c r="C577" s="273"/>
      <c r="D577" s="273"/>
      <c r="E577" s="273"/>
      <c r="F577" s="272"/>
    </row>
    <row r="578" spans="2:6" ht="12" customHeight="1" x14ac:dyDescent="0.15">
      <c r="B578" s="274"/>
      <c r="C578" s="273"/>
      <c r="D578" s="273"/>
      <c r="E578" s="273"/>
      <c r="F578" s="272"/>
    </row>
    <row r="579" spans="2:6" ht="12" customHeight="1" x14ac:dyDescent="0.15">
      <c r="B579" s="274"/>
      <c r="C579" s="273"/>
      <c r="D579" s="273"/>
      <c r="E579" s="273"/>
      <c r="F579" s="272"/>
    </row>
    <row r="580" spans="2:6" ht="12" customHeight="1" x14ac:dyDescent="0.15">
      <c r="B580" s="274"/>
      <c r="C580" s="273"/>
      <c r="D580" s="273"/>
      <c r="E580" s="273"/>
      <c r="F580" s="272"/>
    </row>
    <row r="581" spans="2:6" ht="12" customHeight="1" x14ac:dyDescent="0.15">
      <c r="B581" s="274"/>
      <c r="C581" s="273"/>
      <c r="D581" s="273"/>
      <c r="E581" s="273"/>
      <c r="F581" s="272"/>
    </row>
    <row r="582" spans="2:6" ht="12" customHeight="1" x14ac:dyDescent="0.15">
      <c r="B582" s="274"/>
      <c r="C582" s="273"/>
      <c r="D582" s="273"/>
      <c r="E582" s="273"/>
      <c r="F582" s="272"/>
    </row>
    <row r="583" spans="2:6" ht="12" customHeight="1" x14ac:dyDescent="0.15">
      <c r="B583" s="274"/>
      <c r="C583" s="273"/>
      <c r="D583" s="273"/>
      <c r="E583" s="273"/>
      <c r="F583" s="272"/>
    </row>
    <row r="584" spans="2:6" ht="12" customHeight="1" x14ac:dyDescent="0.15">
      <c r="B584" s="274"/>
      <c r="C584" s="273"/>
      <c r="D584" s="273"/>
      <c r="E584" s="273"/>
      <c r="F584" s="272"/>
    </row>
    <row r="585" spans="2:6" ht="12" customHeight="1" x14ac:dyDescent="0.15">
      <c r="B585" s="274"/>
      <c r="C585" s="273"/>
      <c r="D585" s="273"/>
      <c r="E585" s="273"/>
      <c r="F585" s="272"/>
    </row>
    <row r="586" spans="2:6" ht="12" customHeight="1" x14ac:dyDescent="0.15">
      <c r="B586" s="274"/>
      <c r="C586" s="273"/>
      <c r="D586" s="273"/>
      <c r="E586" s="273"/>
      <c r="F586" s="272"/>
    </row>
    <row r="587" spans="2:6" ht="12" customHeight="1" x14ac:dyDescent="0.15">
      <c r="B587" s="274"/>
      <c r="C587" s="273"/>
      <c r="D587" s="273"/>
      <c r="E587" s="273"/>
      <c r="F587" s="272"/>
    </row>
    <row r="588" spans="2:6" ht="12" customHeight="1" x14ac:dyDescent="0.15">
      <c r="B588" s="274"/>
      <c r="C588" s="273"/>
      <c r="D588" s="273"/>
      <c r="E588" s="273"/>
      <c r="F588" s="272"/>
    </row>
    <row r="589" spans="2:6" ht="12" customHeight="1" x14ac:dyDescent="0.15">
      <c r="B589" s="274"/>
      <c r="C589" s="273"/>
      <c r="D589" s="273"/>
      <c r="E589" s="273"/>
      <c r="F589" s="272"/>
    </row>
    <row r="590" spans="2:6" ht="12" customHeight="1" x14ac:dyDescent="0.15">
      <c r="B590" s="274"/>
      <c r="C590" s="273"/>
      <c r="D590" s="273"/>
      <c r="E590" s="273"/>
      <c r="F590" s="272"/>
    </row>
    <row r="591" spans="2:6" ht="12" customHeight="1" x14ac:dyDescent="0.15">
      <c r="B591" s="274"/>
      <c r="C591" s="273"/>
      <c r="D591" s="273"/>
      <c r="E591" s="273"/>
      <c r="F591" s="272"/>
    </row>
    <row r="592" spans="2:6" ht="12" customHeight="1" x14ac:dyDescent="0.15">
      <c r="B592" s="274"/>
      <c r="C592" s="273"/>
      <c r="D592" s="273"/>
      <c r="E592" s="273"/>
      <c r="F592" s="272"/>
    </row>
    <row r="593" spans="2:6" ht="12" customHeight="1" x14ac:dyDescent="0.15">
      <c r="B593" s="274"/>
      <c r="C593" s="273"/>
      <c r="D593" s="273"/>
      <c r="E593" s="273"/>
      <c r="F593" s="272"/>
    </row>
    <row r="594" spans="2:6" ht="12" customHeight="1" x14ac:dyDescent="0.15">
      <c r="B594" s="274"/>
      <c r="C594" s="273"/>
      <c r="D594" s="273"/>
      <c r="E594" s="273"/>
      <c r="F594" s="272"/>
    </row>
    <row r="595" spans="2:6" ht="12" customHeight="1" x14ac:dyDescent="0.15">
      <c r="B595" s="274"/>
      <c r="C595" s="273"/>
      <c r="D595" s="273"/>
      <c r="E595" s="273"/>
      <c r="F595" s="272"/>
    </row>
    <row r="596" spans="2:6" ht="12" customHeight="1" x14ac:dyDescent="0.15">
      <c r="B596" s="274"/>
      <c r="C596" s="273"/>
      <c r="D596" s="273"/>
      <c r="E596" s="273"/>
      <c r="F596" s="272"/>
    </row>
    <row r="597" spans="2:6" ht="12" customHeight="1" x14ac:dyDescent="0.15">
      <c r="B597" s="274"/>
      <c r="C597" s="273"/>
      <c r="D597" s="273"/>
      <c r="E597" s="273"/>
      <c r="F597" s="272"/>
    </row>
    <row r="598" spans="2:6" ht="12" customHeight="1" x14ac:dyDescent="0.15">
      <c r="B598" s="274"/>
      <c r="C598" s="273"/>
      <c r="D598" s="273"/>
      <c r="E598" s="273"/>
      <c r="F598" s="272"/>
    </row>
    <row r="599" spans="2:6" ht="12" customHeight="1" x14ac:dyDescent="0.15">
      <c r="B599" s="274"/>
      <c r="C599" s="273"/>
      <c r="D599" s="273"/>
      <c r="E599" s="273"/>
      <c r="F599" s="272"/>
    </row>
    <row r="600" spans="2:6" ht="12" customHeight="1" x14ac:dyDescent="0.15">
      <c r="B600" s="274"/>
      <c r="C600" s="273"/>
      <c r="D600" s="273"/>
      <c r="E600" s="273"/>
      <c r="F600" s="272"/>
    </row>
    <row r="601" spans="2:6" ht="12" customHeight="1" x14ac:dyDescent="0.15">
      <c r="B601" s="274"/>
      <c r="C601" s="273"/>
      <c r="D601" s="273"/>
      <c r="E601" s="273"/>
      <c r="F601" s="272"/>
    </row>
    <row r="602" spans="2:6" ht="12" customHeight="1" x14ac:dyDescent="0.15">
      <c r="B602" s="274"/>
      <c r="C602" s="273"/>
      <c r="D602" s="273"/>
      <c r="E602" s="273"/>
      <c r="F602" s="272"/>
    </row>
    <row r="603" spans="2:6" ht="12" customHeight="1" x14ac:dyDescent="0.15">
      <c r="B603" s="274"/>
      <c r="C603" s="273"/>
      <c r="D603" s="273"/>
      <c r="E603" s="273"/>
      <c r="F603" s="272"/>
    </row>
    <row r="604" spans="2:6" ht="12" customHeight="1" x14ac:dyDescent="0.15">
      <c r="B604" s="274"/>
      <c r="C604" s="273"/>
      <c r="D604" s="273"/>
      <c r="E604" s="273"/>
      <c r="F604" s="272"/>
    </row>
    <row r="605" spans="2:6" ht="12" customHeight="1" x14ac:dyDescent="0.15">
      <c r="B605" s="274"/>
      <c r="C605" s="273"/>
      <c r="D605" s="273"/>
      <c r="E605" s="273"/>
      <c r="F605" s="272"/>
    </row>
    <row r="606" spans="2:6" ht="12" customHeight="1" x14ac:dyDescent="0.15">
      <c r="B606" s="274"/>
      <c r="C606" s="273"/>
      <c r="D606" s="273"/>
      <c r="E606" s="273"/>
      <c r="F606" s="272"/>
    </row>
    <row r="607" spans="2:6" ht="12" customHeight="1" x14ac:dyDescent="0.15">
      <c r="B607" s="274"/>
      <c r="C607" s="273"/>
      <c r="D607" s="273"/>
      <c r="E607" s="273"/>
      <c r="F607" s="272"/>
    </row>
    <row r="608" spans="2:6" ht="12" customHeight="1" x14ac:dyDescent="0.15">
      <c r="B608" s="274"/>
      <c r="C608" s="273"/>
      <c r="D608" s="273"/>
      <c r="E608" s="273"/>
      <c r="F608" s="272"/>
    </row>
    <row r="609" spans="2:6" ht="12" customHeight="1" x14ac:dyDescent="0.15">
      <c r="B609" s="274"/>
      <c r="C609" s="273"/>
      <c r="D609" s="273"/>
      <c r="E609" s="273"/>
      <c r="F609" s="272"/>
    </row>
    <row r="610" spans="2:6" ht="12" customHeight="1" x14ac:dyDescent="0.15">
      <c r="B610" s="274"/>
      <c r="C610" s="273"/>
      <c r="D610" s="273"/>
      <c r="E610" s="273"/>
      <c r="F610" s="272"/>
    </row>
    <row r="611" spans="2:6" ht="12" customHeight="1" x14ac:dyDescent="0.15">
      <c r="B611" s="274"/>
      <c r="C611" s="273"/>
      <c r="D611" s="273"/>
      <c r="E611" s="273"/>
      <c r="F611" s="272"/>
    </row>
    <row r="612" spans="2:6" ht="12" customHeight="1" x14ac:dyDescent="0.15">
      <c r="B612" s="274"/>
      <c r="C612" s="273"/>
      <c r="D612" s="273"/>
      <c r="E612" s="273"/>
      <c r="F612" s="272"/>
    </row>
    <row r="613" spans="2:6" ht="12" customHeight="1" x14ac:dyDescent="0.15">
      <c r="B613" s="274"/>
      <c r="C613" s="273"/>
      <c r="D613" s="273"/>
      <c r="E613" s="273"/>
      <c r="F613" s="272"/>
    </row>
    <row r="614" spans="2:6" ht="12" customHeight="1" x14ac:dyDescent="0.15">
      <c r="B614" s="274"/>
      <c r="C614" s="273"/>
      <c r="D614" s="273"/>
      <c r="E614" s="273"/>
      <c r="F614" s="272"/>
    </row>
    <row r="615" spans="2:6" ht="12" customHeight="1" x14ac:dyDescent="0.15">
      <c r="B615" s="274"/>
      <c r="C615" s="273"/>
      <c r="D615" s="273"/>
      <c r="E615" s="273"/>
      <c r="F615" s="272"/>
    </row>
    <row r="616" spans="2:6" ht="12" customHeight="1" x14ac:dyDescent="0.15">
      <c r="B616" s="274"/>
      <c r="C616" s="273"/>
      <c r="D616" s="273"/>
      <c r="E616" s="273"/>
      <c r="F616" s="272"/>
    </row>
    <row r="617" spans="2:6" ht="12" customHeight="1" x14ac:dyDescent="0.15">
      <c r="B617" s="274"/>
      <c r="C617" s="273"/>
      <c r="D617" s="273"/>
      <c r="E617" s="273"/>
      <c r="F617" s="272"/>
    </row>
    <row r="618" spans="2:6" ht="12" customHeight="1" x14ac:dyDescent="0.15">
      <c r="B618" s="274"/>
      <c r="C618" s="273"/>
      <c r="D618" s="273"/>
      <c r="E618" s="273"/>
      <c r="F618" s="272"/>
    </row>
    <row r="619" spans="2:6" ht="12" customHeight="1" x14ac:dyDescent="0.15">
      <c r="B619" s="274"/>
      <c r="C619" s="273"/>
      <c r="D619" s="273"/>
      <c r="E619" s="273"/>
      <c r="F619" s="272"/>
    </row>
    <row r="620" spans="2:6" ht="12" customHeight="1" x14ac:dyDescent="0.15">
      <c r="B620" s="274"/>
      <c r="C620" s="273"/>
      <c r="D620" s="273"/>
      <c r="E620" s="273"/>
      <c r="F620" s="272"/>
    </row>
    <row r="621" spans="2:6" ht="12" customHeight="1" x14ac:dyDescent="0.15">
      <c r="B621" s="274"/>
      <c r="C621" s="273"/>
      <c r="D621" s="273"/>
      <c r="E621" s="273"/>
      <c r="F621" s="272"/>
    </row>
    <row r="622" spans="2:6" ht="12" customHeight="1" x14ac:dyDescent="0.15">
      <c r="B622" s="274"/>
      <c r="C622" s="273"/>
      <c r="D622" s="273"/>
      <c r="E622" s="273"/>
      <c r="F622" s="272"/>
    </row>
    <row r="623" spans="2:6" ht="12" customHeight="1" x14ac:dyDescent="0.15">
      <c r="B623" s="274"/>
      <c r="C623" s="273"/>
      <c r="D623" s="273"/>
      <c r="E623" s="273"/>
      <c r="F623" s="272"/>
    </row>
    <row r="624" spans="2:6" ht="12" customHeight="1" x14ac:dyDescent="0.15">
      <c r="B624" s="274"/>
      <c r="C624" s="273"/>
      <c r="D624" s="273"/>
      <c r="E624" s="273"/>
      <c r="F624" s="272"/>
    </row>
    <row r="625" spans="2:6" ht="12" customHeight="1" x14ac:dyDescent="0.15">
      <c r="B625" s="274"/>
      <c r="C625" s="273"/>
      <c r="D625" s="273"/>
      <c r="E625" s="273"/>
      <c r="F625" s="272"/>
    </row>
    <row r="626" spans="2:6" ht="12" customHeight="1" x14ac:dyDescent="0.15">
      <c r="B626" s="274"/>
      <c r="C626" s="273"/>
      <c r="D626" s="273"/>
      <c r="E626" s="273"/>
      <c r="F626" s="272"/>
    </row>
    <row r="627" spans="2:6" ht="12" customHeight="1" x14ac:dyDescent="0.15">
      <c r="B627" s="274"/>
      <c r="C627" s="273"/>
      <c r="D627" s="273"/>
      <c r="E627" s="273"/>
      <c r="F627" s="272"/>
    </row>
    <row r="628" spans="2:6" ht="12" customHeight="1" x14ac:dyDescent="0.15">
      <c r="B628" s="274"/>
      <c r="C628" s="273"/>
      <c r="D628" s="273"/>
      <c r="E628" s="273"/>
      <c r="F628" s="272"/>
    </row>
    <row r="629" spans="2:6" ht="12" customHeight="1" x14ac:dyDescent="0.15">
      <c r="B629" s="274"/>
      <c r="C629" s="273"/>
      <c r="D629" s="273"/>
      <c r="E629" s="273"/>
      <c r="F629" s="272"/>
    </row>
    <row r="630" spans="2:6" ht="12" customHeight="1" x14ac:dyDescent="0.15">
      <c r="B630" s="274"/>
      <c r="C630" s="273"/>
      <c r="D630" s="273"/>
      <c r="E630" s="273"/>
      <c r="F630" s="272"/>
    </row>
    <row r="631" spans="2:6" ht="12" customHeight="1" x14ac:dyDescent="0.15">
      <c r="B631" s="274"/>
      <c r="C631" s="273"/>
      <c r="D631" s="273"/>
      <c r="E631" s="273"/>
      <c r="F631" s="272"/>
    </row>
    <row r="632" spans="2:6" ht="12" customHeight="1" x14ac:dyDescent="0.15">
      <c r="B632" s="274"/>
      <c r="C632" s="273"/>
      <c r="D632" s="273"/>
      <c r="E632" s="273"/>
      <c r="F632" s="272"/>
    </row>
    <row r="633" spans="2:6" ht="12" customHeight="1" x14ac:dyDescent="0.15">
      <c r="B633" s="274"/>
      <c r="C633" s="273"/>
      <c r="D633" s="273"/>
      <c r="E633" s="273"/>
      <c r="F633" s="272"/>
    </row>
    <row r="634" spans="2:6" ht="12" customHeight="1" x14ac:dyDescent="0.15">
      <c r="B634" s="274"/>
      <c r="C634" s="273"/>
      <c r="D634" s="273"/>
      <c r="E634" s="273"/>
      <c r="F634" s="272"/>
    </row>
    <row r="635" spans="2:6" ht="12" customHeight="1" x14ac:dyDescent="0.15">
      <c r="B635" s="274"/>
      <c r="C635" s="273"/>
      <c r="D635" s="273"/>
      <c r="E635" s="273"/>
      <c r="F635" s="272"/>
    </row>
    <row r="636" spans="2:6" ht="12" customHeight="1" x14ac:dyDescent="0.15">
      <c r="B636" s="274"/>
      <c r="C636" s="273"/>
      <c r="D636" s="273"/>
      <c r="E636" s="273"/>
      <c r="F636" s="272"/>
    </row>
    <row r="637" spans="2:6" ht="12" customHeight="1" x14ac:dyDescent="0.15">
      <c r="B637" s="274"/>
      <c r="C637" s="273"/>
      <c r="D637" s="273"/>
      <c r="E637" s="273"/>
      <c r="F637" s="272"/>
    </row>
    <row r="638" spans="2:6" ht="12" customHeight="1" x14ac:dyDescent="0.15">
      <c r="B638" s="274"/>
      <c r="C638" s="273"/>
      <c r="D638" s="273"/>
      <c r="E638" s="273"/>
      <c r="F638" s="272"/>
    </row>
    <row r="639" spans="2:6" ht="12" customHeight="1" x14ac:dyDescent="0.15">
      <c r="B639" s="274"/>
      <c r="C639" s="273"/>
      <c r="D639" s="273"/>
      <c r="E639" s="273"/>
      <c r="F639" s="272"/>
    </row>
    <row r="640" spans="2:6" ht="12" customHeight="1" x14ac:dyDescent="0.15">
      <c r="B640" s="274"/>
      <c r="C640" s="273"/>
      <c r="D640" s="273"/>
      <c r="E640" s="273"/>
      <c r="F640" s="272"/>
    </row>
    <row r="641" spans="2:6" ht="12" customHeight="1" x14ac:dyDescent="0.15">
      <c r="B641" s="274"/>
      <c r="C641" s="273"/>
      <c r="D641" s="273"/>
      <c r="E641" s="273"/>
      <c r="F641" s="272"/>
    </row>
    <row r="642" spans="2:6" ht="12" customHeight="1" x14ac:dyDescent="0.15">
      <c r="B642" s="274"/>
      <c r="C642" s="273"/>
      <c r="D642" s="273"/>
      <c r="E642" s="273"/>
      <c r="F642" s="272"/>
    </row>
    <row r="643" spans="2:6" ht="12" customHeight="1" x14ac:dyDescent="0.15">
      <c r="B643" s="274"/>
      <c r="C643" s="273"/>
      <c r="D643" s="273"/>
      <c r="E643" s="273"/>
      <c r="F643" s="272"/>
    </row>
    <row r="644" spans="2:6" ht="12" customHeight="1" x14ac:dyDescent="0.15">
      <c r="B644" s="274"/>
      <c r="C644" s="273"/>
      <c r="D644" s="273"/>
      <c r="E644" s="273"/>
      <c r="F644" s="272"/>
    </row>
    <row r="645" spans="2:6" ht="12" customHeight="1" x14ac:dyDescent="0.15">
      <c r="B645" s="274"/>
      <c r="C645" s="273"/>
      <c r="D645" s="273"/>
      <c r="E645" s="273"/>
      <c r="F645" s="272"/>
    </row>
    <row r="646" spans="2:6" ht="12" customHeight="1" x14ac:dyDescent="0.15">
      <c r="B646" s="274"/>
      <c r="C646" s="273"/>
      <c r="D646" s="273"/>
      <c r="E646" s="273"/>
      <c r="F646" s="272"/>
    </row>
    <row r="647" spans="2:6" ht="12" customHeight="1" x14ac:dyDescent="0.15">
      <c r="B647" s="274"/>
      <c r="C647" s="273"/>
      <c r="D647" s="273"/>
      <c r="E647" s="273"/>
      <c r="F647" s="272"/>
    </row>
    <row r="648" spans="2:6" ht="12" customHeight="1" x14ac:dyDescent="0.15">
      <c r="B648" s="274"/>
      <c r="C648" s="273"/>
      <c r="D648" s="273"/>
      <c r="E648" s="273"/>
      <c r="F648" s="272"/>
    </row>
    <row r="649" spans="2:6" ht="12" customHeight="1" x14ac:dyDescent="0.15">
      <c r="B649" s="274"/>
      <c r="C649" s="273"/>
      <c r="D649" s="273"/>
      <c r="E649" s="273"/>
      <c r="F649" s="272"/>
    </row>
    <row r="650" spans="2:6" ht="12" customHeight="1" x14ac:dyDescent="0.15">
      <c r="B650" s="274"/>
      <c r="C650" s="273"/>
      <c r="D650" s="273"/>
      <c r="E650" s="273"/>
      <c r="F650" s="272"/>
    </row>
    <row r="651" spans="2:6" ht="12" customHeight="1" x14ac:dyDescent="0.15">
      <c r="B651" s="274"/>
      <c r="C651" s="273"/>
      <c r="D651" s="273"/>
      <c r="E651" s="273"/>
      <c r="F651" s="272"/>
    </row>
    <row r="652" spans="2:6" ht="12" customHeight="1" x14ac:dyDescent="0.15">
      <c r="B652" s="274"/>
      <c r="C652" s="273"/>
      <c r="D652" s="273"/>
      <c r="E652" s="273"/>
      <c r="F652" s="272"/>
    </row>
    <row r="653" spans="2:6" ht="12" customHeight="1" x14ac:dyDescent="0.15">
      <c r="B653" s="274"/>
      <c r="C653" s="273"/>
      <c r="D653" s="273"/>
      <c r="E653" s="273"/>
      <c r="F653" s="272"/>
    </row>
    <row r="654" spans="2:6" ht="12" customHeight="1" x14ac:dyDescent="0.15">
      <c r="B654" s="274"/>
      <c r="C654" s="273"/>
      <c r="D654" s="273"/>
      <c r="E654" s="273"/>
      <c r="F654" s="272"/>
    </row>
    <row r="655" spans="2:6" ht="12" customHeight="1" x14ac:dyDescent="0.15">
      <c r="B655" s="274"/>
      <c r="C655" s="273"/>
      <c r="D655" s="273"/>
      <c r="E655" s="273"/>
      <c r="F655" s="272"/>
    </row>
    <row r="656" spans="2:6" ht="12" customHeight="1" x14ac:dyDescent="0.15">
      <c r="B656" s="274"/>
      <c r="C656" s="273"/>
      <c r="D656" s="273"/>
      <c r="E656" s="273"/>
      <c r="F656" s="272"/>
    </row>
    <row r="657" spans="2:6" ht="12" customHeight="1" x14ac:dyDescent="0.15">
      <c r="B657" s="274"/>
      <c r="C657" s="273"/>
      <c r="D657" s="273"/>
      <c r="E657" s="273"/>
      <c r="F657" s="272"/>
    </row>
    <row r="658" spans="2:6" ht="12" customHeight="1" x14ac:dyDescent="0.15">
      <c r="B658" s="274"/>
      <c r="C658" s="273"/>
      <c r="D658" s="273"/>
      <c r="E658" s="273"/>
      <c r="F658" s="272"/>
    </row>
    <row r="659" spans="2:6" ht="12" customHeight="1" x14ac:dyDescent="0.15">
      <c r="B659" s="274"/>
      <c r="C659" s="273"/>
      <c r="D659" s="273"/>
      <c r="E659" s="273"/>
      <c r="F659" s="272"/>
    </row>
    <row r="660" spans="2:6" ht="12" customHeight="1" x14ac:dyDescent="0.15">
      <c r="B660" s="274"/>
      <c r="C660" s="273"/>
      <c r="D660" s="273"/>
      <c r="E660" s="273"/>
      <c r="F660" s="272"/>
    </row>
    <row r="661" spans="2:6" ht="12" customHeight="1" x14ac:dyDescent="0.15">
      <c r="B661" s="274"/>
      <c r="C661" s="273"/>
      <c r="D661" s="273"/>
      <c r="E661" s="273"/>
      <c r="F661" s="272"/>
    </row>
    <row r="662" spans="2:6" ht="12" customHeight="1" x14ac:dyDescent="0.15">
      <c r="B662" s="274"/>
      <c r="C662" s="273"/>
      <c r="D662" s="273"/>
      <c r="E662" s="273"/>
      <c r="F662" s="272"/>
    </row>
    <row r="663" spans="2:6" ht="12" customHeight="1" x14ac:dyDescent="0.15">
      <c r="B663" s="274"/>
      <c r="C663" s="273"/>
      <c r="D663" s="273"/>
      <c r="E663" s="273"/>
      <c r="F663" s="272"/>
    </row>
    <row r="664" spans="2:6" ht="12" customHeight="1" x14ac:dyDescent="0.15">
      <c r="B664" s="274"/>
      <c r="C664" s="273"/>
      <c r="D664" s="273"/>
      <c r="E664" s="273"/>
      <c r="F664" s="272"/>
    </row>
    <row r="665" spans="2:6" ht="12" customHeight="1" x14ac:dyDescent="0.15">
      <c r="B665" s="274"/>
      <c r="C665" s="273"/>
      <c r="D665" s="273"/>
      <c r="E665" s="273"/>
      <c r="F665" s="272"/>
    </row>
    <row r="666" spans="2:6" ht="12" customHeight="1" x14ac:dyDescent="0.15">
      <c r="B666" s="274"/>
      <c r="C666" s="273"/>
      <c r="D666" s="273"/>
      <c r="E666" s="273"/>
      <c r="F666" s="272"/>
    </row>
    <row r="667" spans="2:6" ht="12" customHeight="1" x14ac:dyDescent="0.15">
      <c r="B667" s="274"/>
      <c r="C667" s="273"/>
      <c r="D667" s="273"/>
      <c r="E667" s="273"/>
      <c r="F667" s="272"/>
    </row>
    <row r="668" spans="2:6" ht="12" customHeight="1" x14ac:dyDescent="0.15">
      <c r="B668" s="274"/>
      <c r="C668" s="273"/>
      <c r="D668" s="273"/>
      <c r="E668" s="273"/>
      <c r="F668" s="272"/>
    </row>
    <row r="669" spans="2:6" ht="12" customHeight="1" x14ac:dyDescent="0.15">
      <c r="B669" s="274"/>
      <c r="C669" s="273"/>
      <c r="D669" s="273"/>
      <c r="E669" s="273"/>
      <c r="F669" s="272"/>
    </row>
    <row r="670" spans="2:6" ht="12" customHeight="1" x14ac:dyDescent="0.15">
      <c r="B670" s="274"/>
      <c r="C670" s="273"/>
      <c r="D670" s="273"/>
      <c r="E670" s="273"/>
      <c r="F670" s="272"/>
    </row>
    <row r="671" spans="2:6" ht="12" customHeight="1" x14ac:dyDescent="0.15">
      <c r="B671" s="274"/>
      <c r="C671" s="273"/>
      <c r="D671" s="273"/>
      <c r="E671" s="273"/>
      <c r="F671" s="272"/>
    </row>
    <row r="672" spans="2:6" ht="12" customHeight="1" x14ac:dyDescent="0.15">
      <c r="B672" s="274"/>
      <c r="C672" s="273"/>
      <c r="D672" s="273"/>
      <c r="E672" s="273"/>
      <c r="F672" s="272"/>
    </row>
    <row r="673" spans="2:6" ht="12" customHeight="1" x14ac:dyDescent="0.15">
      <c r="B673" s="274"/>
      <c r="C673" s="273"/>
      <c r="D673" s="273"/>
      <c r="E673" s="273"/>
      <c r="F673" s="272"/>
    </row>
    <row r="674" spans="2:6" ht="12" customHeight="1" x14ac:dyDescent="0.15">
      <c r="B674" s="274"/>
      <c r="C674" s="273"/>
      <c r="D674" s="273"/>
      <c r="E674" s="273"/>
      <c r="F674" s="272"/>
    </row>
    <row r="675" spans="2:6" ht="12" customHeight="1" x14ac:dyDescent="0.15">
      <c r="B675" s="274"/>
      <c r="C675" s="273"/>
      <c r="D675" s="273"/>
      <c r="E675" s="273"/>
      <c r="F675" s="272"/>
    </row>
    <row r="676" spans="2:6" ht="12" customHeight="1" x14ac:dyDescent="0.15">
      <c r="B676" s="274"/>
      <c r="C676" s="273"/>
      <c r="D676" s="273"/>
      <c r="E676" s="273"/>
      <c r="F676" s="272"/>
    </row>
    <row r="677" spans="2:6" ht="12" customHeight="1" x14ac:dyDescent="0.15">
      <c r="B677" s="274"/>
      <c r="C677" s="273"/>
      <c r="D677" s="273"/>
      <c r="E677" s="273"/>
      <c r="F677" s="272"/>
    </row>
    <row r="678" spans="2:6" ht="12" customHeight="1" x14ac:dyDescent="0.15">
      <c r="B678" s="274"/>
      <c r="C678" s="273"/>
      <c r="D678" s="273"/>
      <c r="E678" s="273"/>
      <c r="F678" s="272"/>
    </row>
    <row r="679" spans="2:6" ht="12" customHeight="1" x14ac:dyDescent="0.15">
      <c r="B679" s="274"/>
      <c r="C679" s="273"/>
      <c r="D679" s="273"/>
      <c r="E679" s="273"/>
      <c r="F679" s="272"/>
    </row>
    <row r="680" spans="2:6" ht="12" customHeight="1" x14ac:dyDescent="0.15">
      <c r="B680" s="274"/>
      <c r="C680" s="273"/>
      <c r="D680" s="273"/>
      <c r="E680" s="273"/>
      <c r="F680" s="272"/>
    </row>
    <row r="681" spans="2:6" ht="12" customHeight="1" x14ac:dyDescent="0.15">
      <c r="B681" s="274"/>
      <c r="C681" s="273"/>
      <c r="D681" s="273"/>
      <c r="E681" s="273"/>
      <c r="F681" s="272"/>
    </row>
    <row r="682" spans="2:6" ht="12" customHeight="1" x14ac:dyDescent="0.15">
      <c r="B682" s="274"/>
      <c r="C682" s="273"/>
      <c r="D682" s="273"/>
      <c r="E682" s="273"/>
      <c r="F682" s="272"/>
    </row>
    <row r="683" spans="2:6" ht="12" customHeight="1" x14ac:dyDescent="0.15">
      <c r="B683" s="274"/>
      <c r="C683" s="273"/>
      <c r="D683" s="273"/>
      <c r="E683" s="273"/>
      <c r="F683" s="272"/>
    </row>
    <row r="684" spans="2:6" ht="12" customHeight="1" x14ac:dyDescent="0.15">
      <c r="B684" s="274"/>
      <c r="C684" s="273"/>
      <c r="D684" s="273"/>
      <c r="E684" s="273"/>
      <c r="F684" s="272"/>
    </row>
    <row r="685" spans="2:6" ht="12" customHeight="1" x14ac:dyDescent="0.15">
      <c r="B685" s="274"/>
      <c r="C685" s="273"/>
      <c r="D685" s="273"/>
      <c r="E685" s="273"/>
      <c r="F685" s="272"/>
    </row>
    <row r="686" spans="2:6" ht="12" customHeight="1" x14ac:dyDescent="0.15">
      <c r="B686" s="274"/>
      <c r="C686" s="273"/>
      <c r="D686" s="273"/>
      <c r="E686" s="273"/>
      <c r="F686" s="272"/>
    </row>
    <row r="687" spans="2:6" ht="12" customHeight="1" x14ac:dyDescent="0.15">
      <c r="B687" s="274"/>
      <c r="C687" s="273"/>
      <c r="D687" s="273"/>
      <c r="E687" s="273"/>
      <c r="F687" s="272"/>
    </row>
    <row r="688" spans="2:6" ht="12" customHeight="1" x14ac:dyDescent="0.15">
      <c r="B688" s="274"/>
      <c r="C688" s="273"/>
      <c r="D688" s="273"/>
      <c r="E688" s="273"/>
      <c r="F688" s="272"/>
    </row>
    <row r="689" spans="2:6" ht="12" customHeight="1" x14ac:dyDescent="0.15">
      <c r="B689" s="274"/>
      <c r="C689" s="273"/>
      <c r="D689" s="273"/>
      <c r="E689" s="273"/>
      <c r="F689" s="272"/>
    </row>
    <row r="690" spans="2:6" ht="12" customHeight="1" x14ac:dyDescent="0.15">
      <c r="B690" s="274"/>
      <c r="C690" s="273"/>
      <c r="D690" s="273"/>
      <c r="E690" s="273"/>
      <c r="F690" s="272"/>
    </row>
    <row r="691" spans="2:6" ht="12" customHeight="1" x14ac:dyDescent="0.15">
      <c r="B691" s="274"/>
      <c r="C691" s="273"/>
      <c r="D691" s="273"/>
      <c r="E691" s="273"/>
      <c r="F691" s="272"/>
    </row>
    <row r="692" spans="2:6" ht="12" customHeight="1" x14ac:dyDescent="0.15">
      <c r="B692" s="274"/>
      <c r="C692" s="273"/>
      <c r="D692" s="273"/>
      <c r="E692" s="273"/>
      <c r="F692" s="272"/>
    </row>
    <row r="693" spans="2:6" ht="12" customHeight="1" x14ac:dyDescent="0.15">
      <c r="B693" s="274"/>
      <c r="C693" s="273"/>
      <c r="D693" s="273"/>
      <c r="E693" s="273"/>
      <c r="F693" s="272"/>
    </row>
    <row r="694" spans="2:6" ht="12" customHeight="1" x14ac:dyDescent="0.15">
      <c r="B694" s="274"/>
      <c r="C694" s="273"/>
      <c r="D694" s="273"/>
      <c r="E694" s="273"/>
      <c r="F694" s="272"/>
    </row>
    <row r="695" spans="2:6" ht="12" customHeight="1" x14ac:dyDescent="0.15">
      <c r="B695" s="274"/>
      <c r="C695" s="273"/>
      <c r="D695" s="273"/>
      <c r="E695" s="273"/>
      <c r="F695" s="272"/>
    </row>
    <row r="696" spans="2:6" ht="12" customHeight="1" x14ac:dyDescent="0.15">
      <c r="B696" s="274"/>
      <c r="C696" s="273"/>
      <c r="D696" s="273"/>
      <c r="E696" s="273"/>
      <c r="F696" s="272"/>
    </row>
    <row r="697" spans="2:6" ht="12" customHeight="1" x14ac:dyDescent="0.15">
      <c r="B697" s="274"/>
      <c r="C697" s="273"/>
      <c r="D697" s="273"/>
      <c r="E697" s="273"/>
      <c r="F697" s="272"/>
    </row>
    <row r="698" spans="2:6" ht="12" customHeight="1" x14ac:dyDescent="0.15">
      <c r="B698" s="274"/>
      <c r="C698" s="273"/>
      <c r="D698" s="273"/>
      <c r="E698" s="273"/>
      <c r="F698" s="272"/>
    </row>
    <row r="699" spans="2:6" ht="12" customHeight="1" x14ac:dyDescent="0.15">
      <c r="B699" s="274"/>
      <c r="C699" s="273"/>
      <c r="D699" s="273"/>
      <c r="E699" s="273"/>
      <c r="F699" s="272"/>
    </row>
    <row r="700" spans="2:6" ht="12" customHeight="1" x14ac:dyDescent="0.15">
      <c r="B700" s="274"/>
      <c r="C700" s="273"/>
      <c r="D700" s="273"/>
      <c r="E700" s="273"/>
      <c r="F700" s="272"/>
    </row>
    <row r="701" spans="2:6" ht="12" customHeight="1" x14ac:dyDescent="0.15">
      <c r="B701" s="274"/>
      <c r="C701" s="273"/>
      <c r="D701" s="273"/>
      <c r="E701" s="273"/>
      <c r="F701" s="272"/>
    </row>
    <row r="702" spans="2:6" ht="12" customHeight="1" x14ac:dyDescent="0.15">
      <c r="B702" s="274"/>
      <c r="C702" s="273"/>
      <c r="D702" s="273"/>
      <c r="E702" s="273"/>
      <c r="F702" s="272"/>
    </row>
    <row r="703" spans="2:6" ht="12" customHeight="1" x14ac:dyDescent="0.15">
      <c r="B703" s="274"/>
      <c r="C703" s="273"/>
      <c r="D703" s="273"/>
      <c r="E703" s="273"/>
      <c r="F703" s="272"/>
    </row>
    <row r="704" spans="2:6" ht="12" customHeight="1" x14ac:dyDescent="0.15">
      <c r="B704" s="274"/>
      <c r="C704" s="273"/>
      <c r="D704" s="273"/>
      <c r="E704" s="273"/>
      <c r="F704" s="272"/>
    </row>
    <row r="705" spans="2:6" ht="12" customHeight="1" x14ac:dyDescent="0.15">
      <c r="B705" s="274"/>
      <c r="C705" s="273"/>
      <c r="D705" s="273"/>
      <c r="E705" s="273"/>
      <c r="F705" s="272"/>
    </row>
    <row r="706" spans="2:6" ht="12" customHeight="1" x14ac:dyDescent="0.15">
      <c r="B706" s="274"/>
      <c r="C706" s="273"/>
      <c r="D706" s="273"/>
      <c r="E706" s="273"/>
      <c r="F706" s="272"/>
    </row>
    <row r="707" spans="2:6" ht="12" customHeight="1" x14ac:dyDescent="0.15">
      <c r="B707" s="274"/>
      <c r="C707" s="273"/>
      <c r="D707" s="273"/>
      <c r="E707" s="273"/>
      <c r="F707" s="272"/>
    </row>
    <row r="708" spans="2:6" ht="12" customHeight="1" x14ac:dyDescent="0.15">
      <c r="B708" s="274"/>
      <c r="C708" s="273"/>
      <c r="D708" s="273"/>
      <c r="E708" s="273"/>
      <c r="F708" s="272"/>
    </row>
    <row r="709" spans="2:6" ht="12" customHeight="1" x14ac:dyDescent="0.15">
      <c r="B709" s="274"/>
      <c r="C709" s="273"/>
      <c r="D709" s="273"/>
      <c r="E709" s="273"/>
      <c r="F709" s="272"/>
    </row>
    <row r="710" spans="2:6" ht="12" customHeight="1" x14ac:dyDescent="0.15">
      <c r="B710" s="274"/>
      <c r="C710" s="273"/>
      <c r="D710" s="273"/>
      <c r="E710" s="273"/>
      <c r="F710" s="272"/>
    </row>
    <row r="711" spans="2:6" ht="12" customHeight="1" x14ac:dyDescent="0.15">
      <c r="B711" s="274"/>
      <c r="C711" s="273"/>
      <c r="D711" s="273"/>
      <c r="E711" s="273"/>
      <c r="F711" s="272"/>
    </row>
    <row r="712" spans="2:6" ht="12" customHeight="1" x14ac:dyDescent="0.15">
      <c r="B712" s="274"/>
      <c r="C712" s="273"/>
      <c r="D712" s="273"/>
      <c r="E712" s="273"/>
      <c r="F712" s="272"/>
    </row>
    <row r="713" spans="2:6" ht="12" customHeight="1" x14ac:dyDescent="0.15">
      <c r="B713" s="274"/>
      <c r="C713" s="273"/>
      <c r="D713" s="273"/>
      <c r="E713" s="273"/>
      <c r="F713" s="272"/>
    </row>
    <row r="714" spans="2:6" ht="12" customHeight="1" x14ac:dyDescent="0.15">
      <c r="B714" s="274"/>
      <c r="C714" s="273"/>
      <c r="D714" s="273"/>
      <c r="E714" s="273"/>
      <c r="F714" s="272"/>
    </row>
    <row r="715" spans="2:6" ht="12" customHeight="1" x14ac:dyDescent="0.15">
      <c r="B715" s="274"/>
      <c r="C715" s="273"/>
      <c r="D715" s="273"/>
      <c r="E715" s="273"/>
      <c r="F715" s="272"/>
    </row>
    <row r="716" spans="2:6" ht="12" customHeight="1" x14ac:dyDescent="0.15">
      <c r="B716" s="274"/>
      <c r="C716" s="273"/>
      <c r="D716" s="273"/>
      <c r="E716" s="273"/>
      <c r="F716" s="272"/>
    </row>
    <row r="717" spans="2:6" ht="12" customHeight="1" x14ac:dyDescent="0.15">
      <c r="B717" s="274"/>
      <c r="C717" s="273"/>
      <c r="D717" s="273"/>
      <c r="E717" s="273"/>
      <c r="F717" s="272"/>
    </row>
    <row r="718" spans="2:6" ht="12" customHeight="1" x14ac:dyDescent="0.15">
      <c r="B718" s="274"/>
      <c r="C718" s="273"/>
      <c r="D718" s="273"/>
      <c r="E718" s="273"/>
      <c r="F718" s="272"/>
    </row>
    <row r="719" spans="2:6" ht="12" customHeight="1" x14ac:dyDescent="0.15">
      <c r="B719" s="274"/>
      <c r="C719" s="273"/>
      <c r="D719" s="273"/>
      <c r="E719" s="273"/>
      <c r="F719" s="272"/>
    </row>
    <row r="720" spans="2:6" ht="12" customHeight="1" x14ac:dyDescent="0.15">
      <c r="B720" s="274"/>
      <c r="C720" s="273"/>
      <c r="D720" s="273"/>
      <c r="E720" s="273"/>
      <c r="F720" s="272"/>
    </row>
    <row r="721" spans="2:6" ht="12" customHeight="1" x14ac:dyDescent="0.15">
      <c r="B721" s="274"/>
      <c r="C721" s="273"/>
      <c r="D721" s="273"/>
      <c r="E721" s="273"/>
      <c r="F721" s="272"/>
    </row>
    <row r="722" spans="2:6" ht="12" customHeight="1" x14ac:dyDescent="0.15">
      <c r="B722" s="274"/>
      <c r="C722" s="273"/>
      <c r="D722" s="273"/>
      <c r="E722" s="273"/>
      <c r="F722" s="272"/>
    </row>
    <row r="723" spans="2:6" ht="12" customHeight="1" x14ac:dyDescent="0.15">
      <c r="B723" s="274"/>
      <c r="C723" s="273"/>
      <c r="D723" s="273"/>
      <c r="E723" s="273"/>
      <c r="F723" s="272"/>
    </row>
    <row r="724" spans="2:6" ht="12" customHeight="1" x14ac:dyDescent="0.15">
      <c r="B724" s="274"/>
      <c r="C724" s="273"/>
      <c r="D724" s="273"/>
      <c r="E724" s="273"/>
      <c r="F724" s="272"/>
    </row>
    <row r="725" spans="2:6" ht="12" customHeight="1" x14ac:dyDescent="0.15">
      <c r="B725" s="274"/>
      <c r="C725" s="273"/>
      <c r="D725" s="273"/>
      <c r="E725" s="273"/>
      <c r="F725" s="272"/>
    </row>
    <row r="726" spans="2:6" ht="12" customHeight="1" x14ac:dyDescent="0.15">
      <c r="B726" s="274"/>
      <c r="C726" s="273"/>
      <c r="D726" s="273"/>
      <c r="E726" s="273"/>
      <c r="F726" s="272"/>
    </row>
    <row r="727" spans="2:6" ht="12" customHeight="1" x14ac:dyDescent="0.15">
      <c r="B727" s="274"/>
      <c r="C727" s="273"/>
      <c r="D727" s="273"/>
      <c r="E727" s="273"/>
      <c r="F727" s="272"/>
    </row>
    <row r="728" spans="2:6" ht="12" customHeight="1" x14ac:dyDescent="0.15">
      <c r="B728" s="274"/>
      <c r="C728" s="273"/>
      <c r="D728" s="273"/>
      <c r="E728" s="273"/>
      <c r="F728" s="272"/>
    </row>
    <row r="729" spans="2:6" ht="12" customHeight="1" x14ac:dyDescent="0.15">
      <c r="B729" s="274"/>
      <c r="C729" s="273"/>
      <c r="D729" s="273"/>
      <c r="E729" s="273"/>
      <c r="F729" s="272"/>
    </row>
    <row r="730" spans="2:6" ht="12" customHeight="1" x14ac:dyDescent="0.15">
      <c r="B730" s="274"/>
      <c r="C730" s="273"/>
      <c r="D730" s="273"/>
      <c r="E730" s="273"/>
      <c r="F730" s="272"/>
    </row>
    <row r="731" spans="2:6" ht="12" customHeight="1" x14ac:dyDescent="0.15">
      <c r="B731" s="274"/>
      <c r="C731" s="273"/>
      <c r="D731" s="273"/>
      <c r="E731" s="273"/>
      <c r="F731" s="272"/>
    </row>
    <row r="732" spans="2:6" ht="12" customHeight="1" x14ac:dyDescent="0.15">
      <c r="B732" s="274"/>
      <c r="C732" s="273"/>
      <c r="D732" s="273"/>
      <c r="E732" s="273"/>
      <c r="F732" s="272"/>
    </row>
    <row r="733" spans="2:6" ht="12" customHeight="1" x14ac:dyDescent="0.15">
      <c r="B733" s="274"/>
      <c r="C733" s="273"/>
      <c r="D733" s="273"/>
      <c r="E733" s="273"/>
      <c r="F733" s="272"/>
    </row>
    <row r="734" spans="2:6" ht="12" customHeight="1" x14ac:dyDescent="0.15">
      <c r="B734" s="274"/>
      <c r="C734" s="273"/>
      <c r="D734" s="273"/>
      <c r="E734" s="273"/>
      <c r="F734" s="272"/>
    </row>
    <row r="735" spans="2:6" ht="12" customHeight="1" x14ac:dyDescent="0.15">
      <c r="B735" s="274"/>
      <c r="C735" s="273"/>
      <c r="D735" s="273"/>
      <c r="E735" s="273"/>
      <c r="F735" s="272"/>
    </row>
    <row r="736" spans="2:6" ht="12" customHeight="1" x14ac:dyDescent="0.15">
      <c r="B736" s="274"/>
      <c r="C736" s="273"/>
      <c r="D736" s="273"/>
      <c r="E736" s="273"/>
      <c r="F736" s="272"/>
    </row>
    <row r="737" spans="2:6" ht="12" customHeight="1" x14ac:dyDescent="0.15">
      <c r="B737" s="274"/>
      <c r="C737" s="273"/>
      <c r="D737" s="273"/>
      <c r="E737" s="273"/>
      <c r="F737" s="272"/>
    </row>
    <row r="738" spans="2:6" ht="12" customHeight="1" x14ac:dyDescent="0.15">
      <c r="B738" s="274"/>
      <c r="C738" s="273"/>
      <c r="D738" s="273"/>
      <c r="E738" s="273"/>
      <c r="F738" s="272"/>
    </row>
    <row r="739" spans="2:6" ht="12" customHeight="1" x14ac:dyDescent="0.15">
      <c r="B739" s="274"/>
      <c r="C739" s="273"/>
      <c r="D739" s="273"/>
      <c r="E739" s="273"/>
      <c r="F739" s="272"/>
    </row>
    <row r="740" spans="2:6" ht="12" customHeight="1" x14ac:dyDescent="0.15">
      <c r="B740" s="274"/>
      <c r="C740" s="273"/>
      <c r="D740" s="273"/>
      <c r="E740" s="273"/>
      <c r="F740" s="272"/>
    </row>
    <row r="741" spans="2:6" ht="12" customHeight="1" x14ac:dyDescent="0.15">
      <c r="B741" s="274"/>
      <c r="C741" s="273"/>
      <c r="D741" s="273"/>
      <c r="E741" s="273"/>
      <c r="F741" s="272"/>
    </row>
    <row r="742" spans="2:6" ht="12" customHeight="1" x14ac:dyDescent="0.15">
      <c r="B742" s="274"/>
      <c r="C742" s="273"/>
      <c r="D742" s="273"/>
      <c r="E742" s="273"/>
      <c r="F742" s="272"/>
    </row>
    <row r="743" spans="2:6" ht="12" customHeight="1" x14ac:dyDescent="0.15">
      <c r="B743" s="274"/>
      <c r="C743" s="273"/>
      <c r="D743" s="273"/>
      <c r="E743" s="273"/>
      <c r="F743" s="272"/>
    </row>
    <row r="744" spans="2:6" ht="12" customHeight="1" x14ac:dyDescent="0.15">
      <c r="B744" s="274"/>
      <c r="C744" s="273"/>
      <c r="D744" s="273"/>
      <c r="E744" s="273"/>
      <c r="F744" s="272"/>
    </row>
    <row r="745" spans="2:6" ht="12" customHeight="1" x14ac:dyDescent="0.15">
      <c r="B745" s="274"/>
      <c r="C745" s="273"/>
      <c r="D745" s="273"/>
      <c r="E745" s="273"/>
      <c r="F745" s="272"/>
    </row>
    <row r="746" spans="2:6" ht="12" customHeight="1" x14ac:dyDescent="0.15">
      <c r="B746" s="274"/>
      <c r="C746" s="273"/>
      <c r="D746" s="273"/>
      <c r="E746" s="273"/>
      <c r="F746" s="272"/>
    </row>
    <row r="747" spans="2:6" ht="12" customHeight="1" x14ac:dyDescent="0.15">
      <c r="B747" s="274"/>
      <c r="C747" s="273"/>
      <c r="D747" s="273"/>
      <c r="E747" s="273"/>
      <c r="F747" s="272"/>
    </row>
    <row r="748" spans="2:6" ht="12" customHeight="1" x14ac:dyDescent="0.15">
      <c r="B748" s="274"/>
      <c r="C748" s="273"/>
      <c r="D748" s="273"/>
      <c r="E748" s="273"/>
      <c r="F748" s="272"/>
    </row>
    <row r="749" spans="2:6" ht="12" customHeight="1" x14ac:dyDescent="0.15">
      <c r="B749" s="274"/>
      <c r="C749" s="273"/>
      <c r="D749" s="273"/>
      <c r="E749" s="273"/>
      <c r="F749" s="272"/>
    </row>
    <row r="750" spans="2:6" ht="12" customHeight="1" x14ac:dyDescent="0.15">
      <c r="B750" s="274"/>
      <c r="C750" s="273"/>
      <c r="D750" s="273"/>
      <c r="E750" s="273"/>
      <c r="F750" s="272"/>
    </row>
    <row r="751" spans="2:6" ht="12" customHeight="1" x14ac:dyDescent="0.15">
      <c r="B751" s="274"/>
      <c r="C751" s="273"/>
      <c r="D751" s="273"/>
      <c r="E751" s="273"/>
      <c r="F751" s="272"/>
    </row>
    <row r="752" spans="2:6" ht="12" customHeight="1" x14ac:dyDescent="0.15">
      <c r="B752" s="274"/>
      <c r="C752" s="273"/>
      <c r="D752" s="273"/>
      <c r="E752" s="273"/>
      <c r="F752" s="272"/>
    </row>
    <row r="753" spans="2:6" ht="12" customHeight="1" x14ac:dyDescent="0.15">
      <c r="B753" s="274"/>
      <c r="C753" s="273"/>
      <c r="D753" s="273"/>
      <c r="E753" s="273"/>
      <c r="F753" s="272"/>
    </row>
    <row r="754" spans="2:6" ht="12" customHeight="1" x14ac:dyDescent="0.15">
      <c r="B754" s="274"/>
      <c r="C754" s="273"/>
      <c r="D754" s="273"/>
      <c r="E754" s="273"/>
      <c r="F754" s="272"/>
    </row>
    <row r="755" spans="2:6" ht="12" customHeight="1" x14ac:dyDescent="0.15">
      <c r="B755" s="274"/>
      <c r="C755" s="273"/>
      <c r="D755" s="273"/>
      <c r="E755" s="273"/>
      <c r="F755" s="272"/>
    </row>
    <row r="756" spans="2:6" ht="12" customHeight="1" x14ac:dyDescent="0.15">
      <c r="B756" s="274"/>
      <c r="C756" s="273"/>
      <c r="D756" s="273"/>
      <c r="E756" s="273"/>
      <c r="F756" s="272"/>
    </row>
    <row r="757" spans="2:6" ht="12" customHeight="1" x14ac:dyDescent="0.15">
      <c r="B757" s="274"/>
      <c r="C757" s="273"/>
      <c r="D757" s="273"/>
      <c r="E757" s="273"/>
      <c r="F757" s="272"/>
    </row>
    <row r="758" spans="2:6" ht="12" customHeight="1" x14ac:dyDescent="0.15">
      <c r="B758" s="274"/>
      <c r="C758" s="273"/>
      <c r="D758" s="273"/>
      <c r="E758" s="273"/>
      <c r="F758" s="272"/>
    </row>
    <row r="759" spans="2:6" ht="12" customHeight="1" x14ac:dyDescent="0.15">
      <c r="B759" s="274"/>
      <c r="C759" s="273"/>
      <c r="D759" s="273"/>
      <c r="E759" s="273"/>
      <c r="F759" s="272"/>
    </row>
    <row r="760" spans="2:6" ht="12" customHeight="1" x14ac:dyDescent="0.15">
      <c r="B760" s="274"/>
      <c r="C760" s="273"/>
      <c r="D760" s="273"/>
      <c r="E760" s="273"/>
      <c r="F760" s="272"/>
    </row>
    <row r="761" spans="2:6" ht="12" customHeight="1" x14ac:dyDescent="0.15">
      <c r="B761" s="274"/>
      <c r="C761" s="273"/>
      <c r="D761" s="273"/>
      <c r="E761" s="273"/>
      <c r="F761" s="272"/>
    </row>
    <row r="762" spans="2:6" ht="12" customHeight="1" x14ac:dyDescent="0.15">
      <c r="B762" s="274"/>
      <c r="C762" s="273"/>
      <c r="D762" s="273"/>
      <c r="E762" s="273"/>
      <c r="F762" s="272"/>
    </row>
    <row r="763" spans="2:6" ht="12" customHeight="1" x14ac:dyDescent="0.15">
      <c r="B763" s="274"/>
      <c r="C763" s="273"/>
      <c r="D763" s="273"/>
      <c r="E763" s="273"/>
      <c r="F763" s="272"/>
    </row>
    <row r="764" spans="2:6" ht="12" customHeight="1" x14ac:dyDescent="0.15">
      <c r="B764" s="274"/>
      <c r="C764" s="273"/>
      <c r="D764" s="273"/>
      <c r="E764" s="273"/>
      <c r="F764" s="272"/>
    </row>
    <row r="765" spans="2:6" ht="12" customHeight="1" x14ac:dyDescent="0.15">
      <c r="B765" s="274"/>
      <c r="C765" s="273"/>
      <c r="D765" s="273"/>
      <c r="E765" s="273"/>
      <c r="F765" s="272"/>
    </row>
    <row r="766" spans="2:6" ht="12" customHeight="1" x14ac:dyDescent="0.15">
      <c r="B766" s="274"/>
      <c r="C766" s="273"/>
      <c r="D766" s="273"/>
      <c r="E766" s="273"/>
      <c r="F766" s="272"/>
    </row>
    <row r="767" spans="2:6" ht="12" customHeight="1" x14ac:dyDescent="0.15">
      <c r="B767" s="274"/>
      <c r="C767" s="273"/>
      <c r="D767" s="273"/>
      <c r="E767" s="273"/>
      <c r="F767" s="272"/>
    </row>
    <row r="768" spans="2:6" ht="12" customHeight="1" x14ac:dyDescent="0.15">
      <c r="B768" s="274"/>
      <c r="C768" s="273"/>
      <c r="D768" s="273"/>
      <c r="E768" s="273"/>
      <c r="F768" s="272"/>
    </row>
    <row r="769" spans="2:6" ht="12" customHeight="1" x14ac:dyDescent="0.15">
      <c r="B769" s="274"/>
      <c r="C769" s="273"/>
      <c r="D769" s="273"/>
      <c r="E769" s="273"/>
      <c r="F769" s="272"/>
    </row>
    <row r="770" spans="2:6" ht="12" customHeight="1" x14ac:dyDescent="0.15">
      <c r="B770" s="274"/>
      <c r="C770" s="273"/>
      <c r="D770" s="273"/>
      <c r="E770" s="273"/>
      <c r="F770" s="272"/>
    </row>
    <row r="771" spans="2:6" ht="12" customHeight="1" x14ac:dyDescent="0.15">
      <c r="B771" s="274"/>
      <c r="C771" s="273"/>
      <c r="D771" s="273"/>
      <c r="E771" s="273"/>
      <c r="F771" s="272"/>
    </row>
    <row r="772" spans="2:6" ht="12" customHeight="1" x14ac:dyDescent="0.15">
      <c r="B772" s="274"/>
      <c r="C772" s="273"/>
      <c r="D772" s="273"/>
      <c r="E772" s="273"/>
      <c r="F772" s="272"/>
    </row>
    <row r="773" spans="2:6" ht="12" customHeight="1" x14ac:dyDescent="0.15">
      <c r="B773" s="274"/>
      <c r="C773" s="273"/>
      <c r="D773" s="273"/>
      <c r="E773" s="273"/>
      <c r="F773" s="272"/>
    </row>
    <row r="774" spans="2:6" ht="12" customHeight="1" x14ac:dyDescent="0.15">
      <c r="B774" s="274"/>
      <c r="C774" s="273"/>
      <c r="D774" s="273"/>
      <c r="E774" s="273"/>
      <c r="F774" s="272"/>
    </row>
    <row r="775" spans="2:6" ht="12" customHeight="1" x14ac:dyDescent="0.15">
      <c r="B775" s="274"/>
      <c r="C775" s="273"/>
      <c r="D775" s="273"/>
      <c r="E775" s="273"/>
      <c r="F775" s="272"/>
    </row>
    <row r="776" spans="2:6" ht="12" customHeight="1" x14ac:dyDescent="0.15">
      <c r="B776" s="274"/>
      <c r="C776" s="273"/>
      <c r="D776" s="273"/>
      <c r="E776" s="273"/>
      <c r="F776" s="272"/>
    </row>
    <row r="777" spans="2:6" ht="12" customHeight="1" x14ac:dyDescent="0.15">
      <c r="B777" s="274"/>
      <c r="C777" s="273"/>
      <c r="D777" s="273"/>
      <c r="E777" s="273"/>
      <c r="F777" s="272"/>
    </row>
    <row r="778" spans="2:6" ht="12" customHeight="1" x14ac:dyDescent="0.15">
      <c r="B778" s="274"/>
      <c r="C778" s="273"/>
      <c r="D778" s="273"/>
      <c r="E778" s="273"/>
      <c r="F778" s="272"/>
    </row>
    <row r="779" spans="2:6" ht="12" customHeight="1" x14ac:dyDescent="0.15">
      <c r="B779" s="274"/>
      <c r="C779" s="273"/>
      <c r="D779" s="273"/>
      <c r="E779" s="273"/>
      <c r="F779" s="272"/>
    </row>
    <row r="780" spans="2:6" ht="12" customHeight="1" x14ac:dyDescent="0.15">
      <c r="B780" s="274"/>
      <c r="C780" s="273"/>
      <c r="D780" s="273"/>
      <c r="E780" s="273"/>
      <c r="F780" s="272"/>
    </row>
    <row r="781" spans="2:6" ht="12" customHeight="1" x14ac:dyDescent="0.15">
      <c r="B781" s="274"/>
      <c r="C781" s="273"/>
      <c r="D781" s="273"/>
      <c r="E781" s="273"/>
      <c r="F781" s="272"/>
    </row>
    <row r="782" spans="2:6" ht="12" customHeight="1" x14ac:dyDescent="0.15">
      <c r="B782" s="274"/>
      <c r="C782" s="273"/>
      <c r="D782" s="273"/>
      <c r="E782" s="273"/>
      <c r="F782" s="272"/>
    </row>
    <row r="783" spans="2:6" ht="12" customHeight="1" x14ac:dyDescent="0.15">
      <c r="B783" s="274"/>
      <c r="C783" s="273"/>
      <c r="D783" s="273"/>
      <c r="E783" s="273"/>
      <c r="F783" s="272"/>
    </row>
    <row r="784" spans="2:6" ht="12" customHeight="1" x14ac:dyDescent="0.15">
      <c r="B784" s="274"/>
      <c r="C784" s="273"/>
      <c r="D784" s="273"/>
      <c r="E784" s="273"/>
      <c r="F784" s="272"/>
    </row>
    <row r="785" spans="2:6" ht="12" customHeight="1" x14ac:dyDescent="0.15">
      <c r="B785" s="274"/>
      <c r="C785" s="273"/>
      <c r="D785" s="273"/>
      <c r="E785" s="273"/>
      <c r="F785" s="272"/>
    </row>
    <row r="786" spans="2:6" ht="12" customHeight="1" x14ac:dyDescent="0.15">
      <c r="B786" s="274"/>
      <c r="C786" s="273"/>
      <c r="D786" s="273"/>
      <c r="E786" s="273"/>
      <c r="F786" s="272"/>
    </row>
    <row r="787" spans="2:6" ht="12" customHeight="1" x14ac:dyDescent="0.15">
      <c r="B787" s="274"/>
      <c r="C787" s="273"/>
      <c r="D787" s="273"/>
      <c r="E787" s="273"/>
      <c r="F787" s="272"/>
    </row>
    <row r="788" spans="2:6" ht="12" customHeight="1" x14ac:dyDescent="0.15">
      <c r="B788" s="274"/>
      <c r="C788" s="273"/>
      <c r="D788" s="273"/>
      <c r="E788" s="273"/>
      <c r="F788" s="272"/>
    </row>
    <row r="789" spans="2:6" ht="12" customHeight="1" x14ac:dyDescent="0.15">
      <c r="B789" s="274"/>
      <c r="C789" s="273"/>
      <c r="D789" s="273"/>
      <c r="E789" s="273"/>
      <c r="F789" s="272"/>
    </row>
    <row r="790" spans="2:6" ht="12" customHeight="1" x14ac:dyDescent="0.15">
      <c r="B790" s="274"/>
      <c r="C790" s="273"/>
      <c r="D790" s="273"/>
      <c r="E790" s="273"/>
      <c r="F790" s="272"/>
    </row>
    <row r="791" spans="2:6" ht="12" customHeight="1" x14ac:dyDescent="0.15">
      <c r="B791" s="274"/>
      <c r="C791" s="273"/>
      <c r="D791" s="273"/>
      <c r="E791" s="273"/>
      <c r="F791" s="272"/>
    </row>
    <row r="792" spans="2:6" ht="12" customHeight="1" x14ac:dyDescent="0.15">
      <c r="B792" s="274"/>
      <c r="C792" s="273"/>
      <c r="D792" s="273"/>
      <c r="E792" s="273"/>
      <c r="F792" s="272"/>
    </row>
    <row r="793" spans="2:6" ht="12" customHeight="1" x14ac:dyDescent="0.15">
      <c r="B793" s="274"/>
      <c r="C793" s="273"/>
      <c r="D793" s="273"/>
      <c r="E793" s="273"/>
      <c r="F793" s="272"/>
    </row>
    <row r="794" spans="2:6" ht="12" customHeight="1" x14ac:dyDescent="0.15">
      <c r="B794" s="274"/>
      <c r="C794" s="273"/>
      <c r="D794" s="273"/>
      <c r="E794" s="273"/>
      <c r="F794" s="272"/>
    </row>
    <row r="795" spans="2:6" ht="12" customHeight="1" x14ac:dyDescent="0.15">
      <c r="B795" s="274"/>
      <c r="C795" s="273"/>
      <c r="D795" s="273"/>
      <c r="E795" s="273"/>
      <c r="F795" s="272"/>
    </row>
    <row r="796" spans="2:6" ht="12" customHeight="1" x14ac:dyDescent="0.15">
      <c r="B796" s="274"/>
      <c r="C796" s="273"/>
      <c r="D796" s="273"/>
      <c r="E796" s="273"/>
      <c r="F796" s="272"/>
    </row>
    <row r="797" spans="2:6" ht="12" customHeight="1" x14ac:dyDescent="0.15">
      <c r="B797" s="274"/>
      <c r="C797" s="273"/>
      <c r="D797" s="273"/>
      <c r="E797" s="273"/>
      <c r="F797" s="272"/>
    </row>
    <row r="798" spans="2:6" ht="12" customHeight="1" x14ac:dyDescent="0.15">
      <c r="B798" s="274"/>
      <c r="C798" s="273"/>
      <c r="D798" s="273"/>
      <c r="E798" s="273"/>
      <c r="F798" s="272"/>
    </row>
    <row r="799" spans="2:6" ht="12" customHeight="1" x14ac:dyDescent="0.15">
      <c r="B799" s="274"/>
      <c r="C799" s="273"/>
      <c r="D799" s="273"/>
      <c r="E799" s="273"/>
      <c r="F799" s="272"/>
    </row>
    <row r="800" spans="2:6" ht="12" customHeight="1" x14ac:dyDescent="0.15">
      <c r="B800" s="274"/>
      <c r="C800" s="273"/>
      <c r="D800" s="273"/>
      <c r="E800" s="273"/>
      <c r="F800" s="272"/>
    </row>
    <row r="801" spans="2:6" ht="12" customHeight="1" x14ac:dyDescent="0.15">
      <c r="B801" s="274"/>
      <c r="C801" s="273"/>
      <c r="D801" s="273"/>
      <c r="E801" s="273"/>
      <c r="F801" s="272"/>
    </row>
    <row r="802" spans="2:6" ht="12" customHeight="1" x14ac:dyDescent="0.15">
      <c r="B802" s="274"/>
      <c r="C802" s="273"/>
      <c r="D802" s="273"/>
      <c r="E802" s="273"/>
      <c r="F802" s="272"/>
    </row>
    <row r="803" spans="2:6" ht="12" customHeight="1" x14ac:dyDescent="0.15">
      <c r="B803" s="274"/>
      <c r="C803" s="273"/>
      <c r="D803" s="273"/>
      <c r="E803" s="273"/>
      <c r="F803" s="272"/>
    </row>
    <row r="804" spans="2:6" ht="12" customHeight="1" x14ac:dyDescent="0.15">
      <c r="B804" s="274"/>
      <c r="C804" s="273"/>
      <c r="D804" s="273"/>
      <c r="E804" s="273"/>
      <c r="F804" s="272"/>
    </row>
    <row r="805" spans="2:6" ht="12" customHeight="1" x14ac:dyDescent="0.15">
      <c r="B805" s="274"/>
      <c r="C805" s="273"/>
      <c r="D805" s="273"/>
      <c r="E805" s="273"/>
      <c r="F805" s="272"/>
    </row>
    <row r="806" spans="2:6" ht="12" customHeight="1" x14ac:dyDescent="0.15">
      <c r="B806" s="274"/>
      <c r="C806" s="273"/>
      <c r="D806" s="273"/>
      <c r="E806" s="273"/>
      <c r="F806" s="272"/>
    </row>
    <row r="807" spans="2:6" ht="12" customHeight="1" x14ac:dyDescent="0.15">
      <c r="B807" s="274"/>
      <c r="C807" s="273"/>
      <c r="D807" s="273"/>
      <c r="E807" s="273"/>
      <c r="F807" s="272"/>
    </row>
    <row r="808" spans="2:6" ht="12" customHeight="1" x14ac:dyDescent="0.15">
      <c r="B808" s="274"/>
      <c r="C808" s="273"/>
      <c r="D808" s="273"/>
      <c r="E808" s="273"/>
      <c r="F808" s="272"/>
    </row>
    <row r="809" spans="2:6" ht="12" customHeight="1" x14ac:dyDescent="0.15">
      <c r="B809" s="274"/>
      <c r="C809" s="273"/>
      <c r="D809" s="273"/>
      <c r="E809" s="273"/>
      <c r="F809" s="272"/>
    </row>
    <row r="810" spans="2:6" ht="12" customHeight="1" x14ac:dyDescent="0.15">
      <c r="B810" s="274"/>
      <c r="C810" s="273"/>
      <c r="D810" s="273"/>
      <c r="E810" s="273"/>
      <c r="F810" s="272"/>
    </row>
    <row r="811" spans="2:6" ht="12" customHeight="1" x14ac:dyDescent="0.15">
      <c r="B811" s="274"/>
      <c r="C811" s="273"/>
      <c r="D811" s="273"/>
      <c r="E811" s="273"/>
      <c r="F811" s="272"/>
    </row>
    <row r="812" spans="2:6" ht="12" customHeight="1" x14ac:dyDescent="0.15">
      <c r="B812" s="274"/>
      <c r="C812" s="273"/>
      <c r="D812" s="273"/>
      <c r="E812" s="273"/>
      <c r="F812" s="272"/>
    </row>
    <row r="813" spans="2:6" ht="12" customHeight="1" x14ac:dyDescent="0.15">
      <c r="B813" s="274"/>
      <c r="C813" s="273"/>
      <c r="D813" s="273"/>
      <c r="E813" s="273"/>
      <c r="F813" s="272"/>
    </row>
    <row r="814" spans="2:6" ht="12" customHeight="1" x14ac:dyDescent="0.15">
      <c r="B814" s="274"/>
      <c r="C814" s="273"/>
      <c r="D814" s="273"/>
      <c r="E814" s="273"/>
      <c r="F814" s="272"/>
    </row>
    <row r="815" spans="2:6" ht="12" customHeight="1" x14ac:dyDescent="0.15">
      <c r="B815" s="274"/>
      <c r="C815" s="273"/>
      <c r="D815" s="273"/>
      <c r="E815" s="273"/>
      <c r="F815" s="272"/>
    </row>
    <row r="816" spans="2:6" ht="12" customHeight="1" x14ac:dyDescent="0.15">
      <c r="B816" s="274"/>
      <c r="C816" s="273"/>
      <c r="D816" s="273"/>
      <c r="E816" s="273"/>
      <c r="F816" s="272"/>
    </row>
    <row r="817" spans="2:6" ht="12" customHeight="1" x14ac:dyDescent="0.15">
      <c r="B817" s="274"/>
      <c r="C817" s="273"/>
      <c r="D817" s="273"/>
      <c r="E817" s="273"/>
      <c r="F817" s="272"/>
    </row>
    <row r="818" spans="2:6" ht="12" customHeight="1" x14ac:dyDescent="0.15">
      <c r="B818" s="274"/>
      <c r="C818" s="273"/>
      <c r="D818" s="273"/>
      <c r="E818" s="273"/>
      <c r="F818" s="272"/>
    </row>
    <row r="819" spans="2:6" ht="12" customHeight="1" x14ac:dyDescent="0.15">
      <c r="B819" s="274"/>
      <c r="C819" s="273"/>
      <c r="D819" s="273"/>
      <c r="E819" s="273"/>
      <c r="F819" s="272"/>
    </row>
    <row r="820" spans="2:6" ht="12" customHeight="1" x14ac:dyDescent="0.15">
      <c r="B820" s="274"/>
      <c r="C820" s="273"/>
      <c r="D820" s="273"/>
      <c r="E820" s="273"/>
      <c r="F820" s="272"/>
    </row>
    <row r="821" spans="2:6" ht="12" customHeight="1" x14ac:dyDescent="0.15">
      <c r="B821" s="274"/>
      <c r="C821" s="273"/>
      <c r="D821" s="273"/>
      <c r="E821" s="273"/>
      <c r="F821" s="272"/>
    </row>
    <row r="822" spans="2:6" ht="12" customHeight="1" x14ac:dyDescent="0.15">
      <c r="B822" s="274"/>
      <c r="C822" s="273"/>
      <c r="D822" s="273"/>
      <c r="E822" s="273"/>
      <c r="F822" s="272"/>
    </row>
    <row r="823" spans="2:6" ht="12" customHeight="1" x14ac:dyDescent="0.15">
      <c r="B823" s="274"/>
      <c r="C823" s="273"/>
      <c r="D823" s="273"/>
      <c r="E823" s="273"/>
      <c r="F823" s="272"/>
    </row>
    <row r="824" spans="2:6" ht="12" customHeight="1" x14ac:dyDescent="0.15">
      <c r="B824" s="274"/>
      <c r="C824" s="273"/>
      <c r="D824" s="273"/>
      <c r="E824" s="273"/>
      <c r="F824" s="272"/>
    </row>
    <row r="825" spans="2:6" ht="12" customHeight="1" x14ac:dyDescent="0.15">
      <c r="B825" s="274"/>
      <c r="C825" s="273"/>
      <c r="D825" s="273"/>
      <c r="E825" s="273"/>
      <c r="F825" s="272"/>
    </row>
    <row r="826" spans="2:6" ht="12" customHeight="1" x14ac:dyDescent="0.15">
      <c r="B826" s="274"/>
      <c r="C826" s="273"/>
      <c r="D826" s="273"/>
      <c r="E826" s="273"/>
      <c r="F826" s="272"/>
    </row>
    <row r="827" spans="2:6" ht="12" customHeight="1" x14ac:dyDescent="0.15">
      <c r="B827" s="274"/>
      <c r="C827" s="273"/>
      <c r="D827" s="273"/>
      <c r="E827" s="273"/>
      <c r="F827" s="272"/>
    </row>
    <row r="828" spans="2:6" ht="12" customHeight="1" x14ac:dyDescent="0.15">
      <c r="B828" s="274"/>
      <c r="C828" s="273"/>
      <c r="D828" s="273"/>
      <c r="E828" s="273"/>
      <c r="F828" s="272"/>
    </row>
    <row r="829" spans="2:6" ht="12" customHeight="1" x14ac:dyDescent="0.15">
      <c r="B829" s="274"/>
      <c r="C829" s="273"/>
      <c r="D829" s="273"/>
      <c r="E829" s="273"/>
      <c r="F829" s="272"/>
    </row>
    <row r="830" spans="2:6" ht="12" customHeight="1" x14ac:dyDescent="0.15">
      <c r="B830" s="274"/>
      <c r="C830" s="273"/>
      <c r="D830" s="273"/>
      <c r="E830" s="273"/>
      <c r="F830" s="272"/>
    </row>
    <row r="831" spans="2:6" ht="12" customHeight="1" x14ac:dyDescent="0.15">
      <c r="B831" s="274"/>
      <c r="C831" s="273"/>
      <c r="D831" s="273"/>
      <c r="E831" s="273"/>
      <c r="F831" s="272"/>
    </row>
    <row r="832" spans="2:6" ht="12" customHeight="1" x14ac:dyDescent="0.15">
      <c r="B832" s="274"/>
      <c r="C832" s="273"/>
      <c r="D832" s="273"/>
      <c r="E832" s="273"/>
      <c r="F832" s="272"/>
    </row>
    <row r="833" spans="2:6" ht="12" customHeight="1" x14ac:dyDescent="0.15">
      <c r="B833" s="274"/>
      <c r="C833" s="273"/>
      <c r="D833" s="273"/>
      <c r="E833" s="273"/>
      <c r="F833" s="272"/>
    </row>
    <row r="834" spans="2:6" ht="12" customHeight="1" x14ac:dyDescent="0.15">
      <c r="B834" s="274"/>
      <c r="C834" s="273"/>
      <c r="D834" s="273"/>
      <c r="E834" s="273"/>
      <c r="F834" s="272"/>
    </row>
    <row r="835" spans="2:6" ht="12" customHeight="1" x14ac:dyDescent="0.15">
      <c r="B835" s="274"/>
      <c r="C835" s="273"/>
      <c r="D835" s="273"/>
      <c r="E835" s="273"/>
      <c r="F835" s="272"/>
    </row>
    <row r="836" spans="2:6" ht="12" customHeight="1" x14ac:dyDescent="0.15">
      <c r="B836" s="274"/>
      <c r="C836" s="273"/>
      <c r="D836" s="273"/>
      <c r="E836" s="273"/>
      <c r="F836" s="272"/>
    </row>
    <row r="837" spans="2:6" ht="12" customHeight="1" x14ac:dyDescent="0.15">
      <c r="B837" s="274"/>
      <c r="C837" s="273"/>
      <c r="D837" s="273"/>
      <c r="E837" s="273"/>
      <c r="F837" s="272"/>
    </row>
    <row r="838" spans="2:6" ht="12" customHeight="1" x14ac:dyDescent="0.15">
      <c r="B838" s="274"/>
      <c r="C838" s="273"/>
      <c r="D838" s="273"/>
      <c r="E838" s="273"/>
      <c r="F838" s="272"/>
    </row>
    <row r="839" spans="2:6" ht="12" customHeight="1" x14ac:dyDescent="0.15">
      <c r="B839" s="274"/>
      <c r="C839" s="273"/>
      <c r="D839" s="273"/>
      <c r="E839" s="273"/>
      <c r="F839" s="272"/>
    </row>
    <row r="840" spans="2:6" ht="12" customHeight="1" x14ac:dyDescent="0.15">
      <c r="B840" s="274"/>
      <c r="C840" s="273"/>
      <c r="D840" s="273"/>
      <c r="E840" s="273"/>
      <c r="F840" s="272"/>
    </row>
    <row r="841" spans="2:6" ht="12" customHeight="1" x14ac:dyDescent="0.15">
      <c r="B841" s="274"/>
      <c r="C841" s="273"/>
      <c r="D841" s="273"/>
      <c r="E841" s="273"/>
      <c r="F841" s="272"/>
    </row>
    <row r="842" spans="2:6" ht="12" customHeight="1" x14ac:dyDescent="0.15">
      <c r="B842" s="274"/>
      <c r="C842" s="273"/>
      <c r="D842" s="273"/>
      <c r="E842" s="273"/>
      <c r="F842" s="272"/>
    </row>
    <row r="843" spans="2:6" ht="12" customHeight="1" x14ac:dyDescent="0.15">
      <c r="B843" s="274"/>
      <c r="C843" s="273"/>
      <c r="D843" s="273"/>
      <c r="E843" s="273"/>
      <c r="F843" s="272"/>
    </row>
    <row r="844" spans="2:6" ht="12" customHeight="1" x14ac:dyDescent="0.15">
      <c r="B844" s="274"/>
      <c r="C844" s="273"/>
      <c r="D844" s="273"/>
      <c r="E844" s="273"/>
      <c r="F844" s="272"/>
    </row>
    <row r="845" spans="2:6" ht="12" customHeight="1" x14ac:dyDescent="0.15">
      <c r="B845" s="274"/>
      <c r="C845" s="273"/>
      <c r="D845" s="273"/>
      <c r="E845" s="273"/>
      <c r="F845" s="272"/>
    </row>
    <row r="846" spans="2:6" ht="12" customHeight="1" x14ac:dyDescent="0.15">
      <c r="B846" s="274"/>
      <c r="C846" s="273"/>
      <c r="D846" s="273"/>
      <c r="E846" s="273"/>
      <c r="F846" s="272"/>
    </row>
    <row r="847" spans="2:6" ht="12" customHeight="1" x14ac:dyDescent="0.15">
      <c r="B847" s="274"/>
      <c r="C847" s="273"/>
      <c r="D847" s="273"/>
      <c r="E847" s="273"/>
      <c r="F847" s="272"/>
    </row>
    <row r="848" spans="2:6" ht="12" customHeight="1" x14ac:dyDescent="0.15">
      <c r="B848" s="274"/>
      <c r="C848" s="273"/>
      <c r="D848" s="273"/>
      <c r="E848" s="273"/>
      <c r="F848" s="272"/>
    </row>
    <row r="849" spans="2:6" ht="12" customHeight="1" x14ac:dyDescent="0.15">
      <c r="B849" s="274"/>
      <c r="C849" s="273"/>
      <c r="D849" s="273"/>
      <c r="E849" s="273"/>
      <c r="F849" s="272"/>
    </row>
    <row r="850" spans="2:6" ht="12" customHeight="1" x14ac:dyDescent="0.15">
      <c r="B850" s="274"/>
      <c r="C850" s="273"/>
      <c r="D850" s="273"/>
      <c r="E850" s="273"/>
      <c r="F850" s="272"/>
    </row>
    <row r="851" spans="2:6" ht="12" customHeight="1" x14ac:dyDescent="0.15">
      <c r="B851" s="274"/>
      <c r="C851" s="273"/>
      <c r="D851" s="273"/>
      <c r="E851" s="273"/>
      <c r="F851" s="272"/>
    </row>
    <row r="852" spans="2:6" ht="12" customHeight="1" x14ac:dyDescent="0.15">
      <c r="B852" s="274"/>
      <c r="C852" s="273"/>
      <c r="D852" s="273"/>
      <c r="E852" s="273"/>
      <c r="F852" s="272"/>
    </row>
    <row r="853" spans="2:6" ht="12" customHeight="1" x14ac:dyDescent="0.15">
      <c r="B853" s="274"/>
      <c r="C853" s="273"/>
      <c r="D853" s="273"/>
      <c r="E853" s="273"/>
      <c r="F853" s="272"/>
    </row>
    <row r="854" spans="2:6" ht="12" customHeight="1" x14ac:dyDescent="0.15">
      <c r="B854" s="274"/>
      <c r="C854" s="273"/>
      <c r="D854" s="273"/>
      <c r="E854" s="273"/>
      <c r="F854" s="272"/>
    </row>
    <row r="855" spans="2:6" ht="12" customHeight="1" x14ac:dyDescent="0.15">
      <c r="B855" s="274"/>
      <c r="C855" s="273"/>
      <c r="D855" s="273"/>
      <c r="E855" s="273"/>
      <c r="F855" s="272"/>
    </row>
    <row r="856" spans="2:6" ht="12" customHeight="1" x14ac:dyDescent="0.15">
      <c r="B856" s="274"/>
      <c r="C856" s="273"/>
      <c r="D856" s="273"/>
      <c r="E856" s="273"/>
      <c r="F856" s="272"/>
    </row>
    <row r="857" spans="2:6" ht="12" customHeight="1" x14ac:dyDescent="0.15">
      <c r="B857" s="274"/>
      <c r="C857" s="273"/>
      <c r="D857" s="273"/>
      <c r="E857" s="273"/>
      <c r="F857" s="272"/>
    </row>
    <row r="858" spans="2:6" ht="12" customHeight="1" x14ac:dyDescent="0.15">
      <c r="B858" s="274"/>
      <c r="C858" s="273"/>
      <c r="D858" s="273"/>
      <c r="E858" s="273"/>
      <c r="F858" s="272"/>
    </row>
    <row r="859" spans="2:6" ht="12" customHeight="1" x14ac:dyDescent="0.15">
      <c r="B859" s="274"/>
      <c r="C859" s="273"/>
      <c r="D859" s="273"/>
      <c r="E859" s="273"/>
      <c r="F859" s="272"/>
    </row>
    <row r="860" spans="2:6" ht="12" customHeight="1" x14ac:dyDescent="0.15">
      <c r="B860" s="274"/>
      <c r="C860" s="273"/>
      <c r="D860" s="273"/>
      <c r="E860" s="273"/>
      <c r="F860" s="272"/>
    </row>
    <row r="861" spans="2:6" ht="12" customHeight="1" x14ac:dyDescent="0.15">
      <c r="B861" s="274"/>
      <c r="C861" s="273"/>
      <c r="D861" s="273"/>
      <c r="E861" s="273"/>
      <c r="F861" s="272"/>
    </row>
    <row r="862" spans="2:6" ht="12" customHeight="1" x14ac:dyDescent="0.15">
      <c r="B862" s="274"/>
      <c r="C862" s="273"/>
      <c r="D862" s="273"/>
      <c r="E862" s="273"/>
      <c r="F862" s="272"/>
    </row>
    <row r="863" spans="2:6" ht="12" customHeight="1" x14ac:dyDescent="0.15">
      <c r="B863" s="274"/>
      <c r="C863" s="273"/>
      <c r="D863" s="273"/>
      <c r="E863" s="273"/>
      <c r="F863" s="272"/>
    </row>
    <row r="864" spans="2:6" ht="12" customHeight="1" x14ac:dyDescent="0.15">
      <c r="B864" s="274"/>
      <c r="C864" s="273"/>
      <c r="D864" s="273"/>
      <c r="E864" s="273"/>
      <c r="F864" s="272"/>
    </row>
    <row r="865" spans="2:6" ht="12" customHeight="1" x14ac:dyDescent="0.15">
      <c r="B865" s="274"/>
      <c r="C865" s="273"/>
      <c r="D865" s="273"/>
      <c r="E865" s="273"/>
      <c r="F865" s="272"/>
    </row>
    <row r="866" spans="2:6" ht="12" customHeight="1" x14ac:dyDescent="0.15">
      <c r="B866" s="274"/>
      <c r="C866" s="273"/>
      <c r="D866" s="273"/>
      <c r="E866" s="273"/>
      <c r="F866" s="272"/>
    </row>
    <row r="867" spans="2:6" ht="12" customHeight="1" x14ac:dyDescent="0.15">
      <c r="B867" s="274"/>
      <c r="C867" s="273"/>
      <c r="D867" s="273"/>
      <c r="E867" s="273"/>
      <c r="F867" s="272"/>
    </row>
    <row r="868" spans="2:6" ht="12" customHeight="1" x14ac:dyDescent="0.15">
      <c r="B868" s="274"/>
      <c r="C868" s="273"/>
      <c r="D868" s="273"/>
      <c r="E868" s="273"/>
      <c r="F868" s="272"/>
    </row>
    <row r="869" spans="2:6" ht="12" customHeight="1" x14ac:dyDescent="0.15">
      <c r="B869" s="274"/>
      <c r="C869" s="273"/>
      <c r="D869" s="273"/>
      <c r="E869" s="273"/>
      <c r="F869" s="272"/>
    </row>
    <row r="870" spans="2:6" ht="12" customHeight="1" x14ac:dyDescent="0.15">
      <c r="B870" s="274"/>
      <c r="C870" s="273"/>
      <c r="D870" s="273"/>
      <c r="E870" s="273"/>
      <c r="F870" s="272"/>
    </row>
    <row r="871" spans="2:6" ht="12" customHeight="1" x14ac:dyDescent="0.15">
      <c r="B871" s="274"/>
      <c r="C871" s="273"/>
      <c r="D871" s="273"/>
      <c r="E871" s="273"/>
      <c r="F871" s="272"/>
    </row>
    <row r="872" spans="2:6" ht="12" customHeight="1" x14ac:dyDescent="0.15">
      <c r="B872" s="274"/>
      <c r="C872" s="273"/>
      <c r="D872" s="273"/>
      <c r="E872" s="273"/>
      <c r="F872" s="272"/>
    </row>
    <row r="873" spans="2:6" ht="12" customHeight="1" x14ac:dyDescent="0.15">
      <c r="B873" s="274"/>
      <c r="C873" s="273"/>
      <c r="D873" s="273"/>
      <c r="E873" s="273"/>
      <c r="F873" s="272"/>
    </row>
    <row r="874" spans="2:6" ht="12" customHeight="1" x14ac:dyDescent="0.15">
      <c r="B874" s="274"/>
      <c r="C874" s="273"/>
      <c r="D874" s="273"/>
      <c r="E874" s="273"/>
      <c r="F874" s="272"/>
    </row>
    <row r="875" spans="2:6" ht="12" customHeight="1" x14ac:dyDescent="0.15">
      <c r="B875" s="274"/>
      <c r="C875" s="273"/>
      <c r="D875" s="273"/>
      <c r="E875" s="273"/>
      <c r="F875" s="272"/>
    </row>
    <row r="876" spans="2:6" ht="12" customHeight="1" x14ac:dyDescent="0.15">
      <c r="B876" s="274"/>
      <c r="C876" s="273"/>
      <c r="D876" s="273"/>
      <c r="E876" s="273"/>
      <c r="F876" s="272"/>
    </row>
    <row r="877" spans="2:6" ht="12" customHeight="1" x14ac:dyDescent="0.15">
      <c r="B877" s="274"/>
      <c r="C877" s="273"/>
      <c r="D877" s="273"/>
      <c r="E877" s="273"/>
      <c r="F877" s="272"/>
    </row>
    <row r="878" spans="2:6" ht="12" customHeight="1" x14ac:dyDescent="0.15">
      <c r="B878" s="274"/>
      <c r="C878" s="273"/>
      <c r="D878" s="273"/>
      <c r="E878" s="273"/>
      <c r="F878" s="272"/>
    </row>
    <row r="879" spans="2:6" ht="12" customHeight="1" x14ac:dyDescent="0.15">
      <c r="B879" s="274"/>
      <c r="C879" s="273"/>
      <c r="D879" s="273"/>
      <c r="E879" s="273"/>
      <c r="F879" s="272"/>
    </row>
    <row r="880" spans="2:6" ht="12" customHeight="1" x14ac:dyDescent="0.15">
      <c r="B880" s="274"/>
      <c r="C880" s="273"/>
      <c r="D880" s="273"/>
      <c r="E880" s="273"/>
      <c r="F880" s="272"/>
    </row>
    <row r="881" spans="2:6" ht="12" customHeight="1" x14ac:dyDescent="0.15">
      <c r="B881" s="274"/>
      <c r="C881" s="273"/>
      <c r="D881" s="273"/>
      <c r="E881" s="273"/>
      <c r="F881" s="272"/>
    </row>
    <row r="882" spans="2:6" ht="12" customHeight="1" x14ac:dyDescent="0.15">
      <c r="B882" s="274"/>
      <c r="C882" s="273"/>
      <c r="D882" s="273"/>
      <c r="E882" s="273"/>
      <c r="F882" s="272"/>
    </row>
    <row r="883" spans="2:6" ht="12" customHeight="1" x14ac:dyDescent="0.15">
      <c r="B883" s="274"/>
      <c r="C883" s="273"/>
      <c r="D883" s="273"/>
      <c r="E883" s="273"/>
      <c r="F883" s="272"/>
    </row>
    <row r="884" spans="2:6" ht="12" customHeight="1" x14ac:dyDescent="0.15">
      <c r="B884" s="274"/>
      <c r="C884" s="273"/>
      <c r="D884" s="273"/>
      <c r="E884" s="273"/>
      <c r="F884" s="272"/>
    </row>
    <row r="885" spans="2:6" ht="12" customHeight="1" x14ac:dyDescent="0.15">
      <c r="B885" s="274"/>
      <c r="C885" s="273"/>
      <c r="D885" s="273"/>
      <c r="E885" s="273"/>
      <c r="F885" s="272"/>
    </row>
    <row r="886" spans="2:6" ht="12" customHeight="1" x14ac:dyDescent="0.15">
      <c r="B886" s="274"/>
      <c r="C886" s="273"/>
      <c r="D886" s="273"/>
      <c r="E886" s="273"/>
      <c r="F886" s="272"/>
    </row>
    <row r="887" spans="2:6" ht="12" customHeight="1" x14ac:dyDescent="0.15">
      <c r="B887" s="274"/>
      <c r="C887" s="273"/>
      <c r="D887" s="273"/>
      <c r="E887" s="273"/>
      <c r="F887" s="272"/>
    </row>
    <row r="888" spans="2:6" ht="12" customHeight="1" x14ac:dyDescent="0.15">
      <c r="B888" s="274"/>
      <c r="C888" s="273"/>
      <c r="D888" s="273"/>
      <c r="E888" s="273"/>
      <c r="F888" s="272"/>
    </row>
    <row r="889" spans="2:6" ht="12" customHeight="1" x14ac:dyDescent="0.15">
      <c r="B889" s="274"/>
      <c r="C889" s="273"/>
      <c r="D889" s="273"/>
      <c r="E889" s="273"/>
      <c r="F889" s="272"/>
    </row>
    <row r="890" spans="2:6" ht="12" customHeight="1" x14ac:dyDescent="0.15">
      <c r="B890" s="274"/>
      <c r="C890" s="273"/>
      <c r="D890" s="273"/>
      <c r="E890" s="273"/>
      <c r="F890" s="272"/>
    </row>
    <row r="891" spans="2:6" ht="12" customHeight="1" x14ac:dyDescent="0.15">
      <c r="B891" s="274"/>
      <c r="C891" s="273"/>
      <c r="D891" s="273"/>
      <c r="E891" s="273"/>
      <c r="F891" s="272"/>
    </row>
    <row r="892" spans="2:6" ht="12" customHeight="1" x14ac:dyDescent="0.15">
      <c r="B892" s="274"/>
      <c r="C892" s="273"/>
      <c r="D892" s="273"/>
      <c r="E892" s="273"/>
      <c r="F892" s="272"/>
    </row>
    <row r="893" spans="2:6" ht="12" customHeight="1" x14ac:dyDescent="0.15">
      <c r="B893" s="274"/>
      <c r="C893" s="273"/>
      <c r="D893" s="273"/>
      <c r="E893" s="273"/>
      <c r="F893" s="272"/>
    </row>
    <row r="894" spans="2:6" ht="12" customHeight="1" x14ac:dyDescent="0.15">
      <c r="B894" s="274"/>
      <c r="C894" s="273"/>
      <c r="D894" s="273"/>
      <c r="E894" s="273"/>
      <c r="F894" s="272"/>
    </row>
    <row r="895" spans="2:6" ht="12" customHeight="1" x14ac:dyDescent="0.15">
      <c r="B895" s="274"/>
      <c r="C895" s="273"/>
      <c r="D895" s="273"/>
      <c r="E895" s="273"/>
      <c r="F895" s="272"/>
    </row>
    <row r="896" spans="2:6" ht="12" customHeight="1" x14ac:dyDescent="0.15">
      <c r="B896" s="274"/>
      <c r="C896" s="273"/>
      <c r="D896" s="273"/>
      <c r="E896" s="273"/>
      <c r="F896" s="272"/>
    </row>
    <row r="897" spans="2:6" ht="12" customHeight="1" x14ac:dyDescent="0.15">
      <c r="B897" s="274"/>
      <c r="C897" s="273"/>
      <c r="D897" s="273"/>
      <c r="E897" s="273"/>
      <c r="F897" s="272"/>
    </row>
    <row r="898" spans="2:6" ht="12" customHeight="1" x14ac:dyDescent="0.15">
      <c r="B898" s="274"/>
      <c r="C898" s="273"/>
      <c r="D898" s="273"/>
      <c r="E898" s="273"/>
      <c r="F898" s="272"/>
    </row>
    <row r="899" spans="2:6" ht="12" customHeight="1" x14ac:dyDescent="0.15">
      <c r="B899" s="274"/>
      <c r="C899" s="273"/>
      <c r="D899" s="273"/>
      <c r="E899" s="273"/>
      <c r="F899" s="272"/>
    </row>
    <row r="900" spans="2:6" ht="12" customHeight="1" x14ac:dyDescent="0.15">
      <c r="B900" s="274"/>
      <c r="C900" s="273"/>
      <c r="D900" s="273"/>
      <c r="E900" s="273"/>
      <c r="F900" s="272"/>
    </row>
    <row r="901" spans="2:6" ht="12" customHeight="1" x14ac:dyDescent="0.15">
      <c r="B901" s="274"/>
      <c r="C901" s="273"/>
      <c r="D901" s="273"/>
      <c r="E901" s="273"/>
      <c r="F901" s="272"/>
    </row>
    <row r="902" spans="2:6" ht="12" customHeight="1" x14ac:dyDescent="0.15">
      <c r="B902" s="274"/>
      <c r="C902" s="273"/>
      <c r="D902" s="273"/>
      <c r="E902" s="273"/>
      <c r="F902" s="272"/>
    </row>
    <row r="903" spans="2:6" ht="12" customHeight="1" x14ac:dyDescent="0.15">
      <c r="B903" s="274"/>
      <c r="C903" s="273"/>
      <c r="D903" s="273"/>
      <c r="E903" s="273"/>
      <c r="F903" s="272"/>
    </row>
    <row r="904" spans="2:6" ht="12" customHeight="1" x14ac:dyDescent="0.15">
      <c r="B904" s="274"/>
      <c r="C904" s="273"/>
      <c r="D904" s="273"/>
      <c r="E904" s="273"/>
      <c r="F904" s="272"/>
    </row>
    <row r="905" spans="2:6" ht="12" customHeight="1" x14ac:dyDescent="0.15">
      <c r="B905" s="274"/>
      <c r="C905" s="273"/>
      <c r="D905" s="273"/>
      <c r="E905" s="273"/>
      <c r="F905" s="272"/>
    </row>
    <row r="906" spans="2:6" ht="12" customHeight="1" x14ac:dyDescent="0.15">
      <c r="B906" s="274"/>
      <c r="C906" s="273"/>
      <c r="D906" s="273"/>
      <c r="E906" s="273"/>
      <c r="F906" s="272"/>
    </row>
    <row r="907" spans="2:6" ht="12" customHeight="1" x14ac:dyDescent="0.15">
      <c r="B907" s="274"/>
      <c r="C907" s="273"/>
      <c r="D907" s="273"/>
      <c r="E907" s="273"/>
      <c r="F907" s="272"/>
    </row>
    <row r="908" spans="2:6" ht="12" customHeight="1" x14ac:dyDescent="0.15">
      <c r="B908" s="274"/>
      <c r="C908" s="273"/>
      <c r="D908" s="273"/>
      <c r="E908" s="273"/>
      <c r="F908" s="272"/>
    </row>
    <row r="909" spans="2:6" ht="12" customHeight="1" x14ac:dyDescent="0.15">
      <c r="B909" s="274"/>
      <c r="C909" s="273"/>
      <c r="D909" s="273"/>
      <c r="E909" s="273"/>
      <c r="F909" s="272"/>
    </row>
    <row r="910" spans="2:6" ht="12" customHeight="1" x14ac:dyDescent="0.15">
      <c r="B910" s="274"/>
      <c r="C910" s="273"/>
      <c r="D910" s="273"/>
      <c r="E910" s="273"/>
      <c r="F910" s="272"/>
    </row>
    <row r="911" spans="2:6" ht="12" customHeight="1" x14ac:dyDescent="0.15">
      <c r="B911" s="274"/>
      <c r="C911" s="273"/>
      <c r="D911" s="273"/>
      <c r="E911" s="273"/>
      <c r="F911" s="272"/>
    </row>
    <row r="912" spans="2:6" ht="12" customHeight="1" x14ac:dyDescent="0.15">
      <c r="B912" s="274"/>
      <c r="C912" s="273"/>
      <c r="D912" s="273"/>
      <c r="E912" s="273"/>
      <c r="F912" s="272"/>
    </row>
    <row r="913" spans="2:6" ht="12" customHeight="1" x14ac:dyDescent="0.15">
      <c r="B913" s="274"/>
      <c r="C913" s="273"/>
      <c r="D913" s="273"/>
      <c r="E913" s="273"/>
      <c r="F913" s="272"/>
    </row>
    <row r="914" spans="2:6" ht="12" customHeight="1" x14ac:dyDescent="0.15">
      <c r="B914" s="274"/>
      <c r="C914" s="273"/>
      <c r="D914" s="273"/>
      <c r="E914" s="273"/>
      <c r="F914" s="272"/>
    </row>
    <row r="915" spans="2:6" ht="12" customHeight="1" x14ac:dyDescent="0.15">
      <c r="B915" s="274"/>
      <c r="C915" s="273"/>
      <c r="D915" s="273"/>
      <c r="E915" s="273"/>
      <c r="F915" s="272"/>
    </row>
    <row r="916" spans="2:6" ht="12" customHeight="1" x14ac:dyDescent="0.15">
      <c r="B916" s="274"/>
      <c r="C916" s="273"/>
      <c r="D916" s="273"/>
      <c r="E916" s="273"/>
      <c r="F916" s="272"/>
    </row>
    <row r="917" spans="2:6" ht="12" customHeight="1" x14ac:dyDescent="0.15">
      <c r="B917" s="274"/>
      <c r="C917" s="273"/>
      <c r="D917" s="273"/>
      <c r="E917" s="273"/>
      <c r="F917" s="272"/>
    </row>
    <row r="918" spans="2:6" ht="12" customHeight="1" x14ac:dyDescent="0.15">
      <c r="B918" s="274"/>
      <c r="C918" s="273"/>
      <c r="D918" s="273"/>
      <c r="E918" s="273"/>
      <c r="F918" s="272"/>
    </row>
    <row r="919" spans="2:6" ht="12" customHeight="1" x14ac:dyDescent="0.15">
      <c r="B919" s="274"/>
      <c r="C919" s="273"/>
      <c r="D919" s="273"/>
      <c r="E919" s="273"/>
      <c r="F919" s="272"/>
    </row>
    <row r="920" spans="2:6" ht="12" customHeight="1" x14ac:dyDescent="0.15">
      <c r="B920" s="274"/>
      <c r="C920" s="273"/>
      <c r="D920" s="273"/>
      <c r="E920" s="273"/>
      <c r="F920" s="272"/>
    </row>
    <row r="921" spans="2:6" ht="12" customHeight="1" x14ac:dyDescent="0.15">
      <c r="B921" s="274"/>
      <c r="C921" s="273"/>
      <c r="D921" s="273"/>
      <c r="E921" s="273"/>
      <c r="F921" s="272"/>
    </row>
    <row r="922" spans="2:6" ht="12" customHeight="1" x14ac:dyDescent="0.15">
      <c r="B922" s="274"/>
      <c r="C922" s="273"/>
      <c r="D922" s="273"/>
      <c r="E922" s="273"/>
      <c r="F922" s="272"/>
    </row>
    <row r="923" spans="2:6" ht="12" customHeight="1" x14ac:dyDescent="0.15">
      <c r="B923" s="274"/>
      <c r="C923" s="273"/>
      <c r="D923" s="273"/>
      <c r="E923" s="273"/>
      <c r="F923" s="272"/>
    </row>
    <row r="924" spans="2:6" ht="12" customHeight="1" x14ac:dyDescent="0.15">
      <c r="B924" s="274"/>
      <c r="C924" s="273"/>
      <c r="D924" s="273"/>
      <c r="E924" s="273"/>
      <c r="F924" s="272"/>
    </row>
    <row r="925" spans="2:6" ht="12" customHeight="1" x14ac:dyDescent="0.15">
      <c r="B925" s="274"/>
      <c r="C925" s="273"/>
      <c r="D925" s="273"/>
      <c r="E925" s="273"/>
      <c r="F925" s="272"/>
    </row>
    <row r="926" spans="2:6" ht="12" customHeight="1" x14ac:dyDescent="0.15">
      <c r="B926" s="274"/>
      <c r="C926" s="273"/>
      <c r="D926" s="273"/>
      <c r="E926" s="273"/>
      <c r="F926" s="272"/>
    </row>
    <row r="927" spans="2:6" ht="12" customHeight="1" x14ac:dyDescent="0.15">
      <c r="B927" s="274"/>
      <c r="C927" s="273"/>
      <c r="D927" s="273"/>
      <c r="E927" s="273"/>
      <c r="F927" s="272"/>
    </row>
    <row r="928" spans="2:6" ht="12" customHeight="1" x14ac:dyDescent="0.15">
      <c r="B928" s="274"/>
      <c r="C928" s="273"/>
      <c r="D928" s="273"/>
      <c r="E928" s="273"/>
      <c r="F928" s="272"/>
    </row>
    <row r="929" spans="2:6" ht="12" customHeight="1" x14ac:dyDescent="0.15">
      <c r="B929" s="274"/>
      <c r="C929" s="273"/>
      <c r="D929" s="273"/>
      <c r="E929" s="273"/>
      <c r="F929" s="272"/>
    </row>
    <row r="930" spans="2:6" ht="12" customHeight="1" x14ac:dyDescent="0.15">
      <c r="B930" s="274"/>
      <c r="C930" s="273"/>
      <c r="D930" s="273"/>
      <c r="E930" s="273"/>
      <c r="F930" s="272"/>
    </row>
    <row r="931" spans="2:6" ht="12" customHeight="1" x14ac:dyDescent="0.15">
      <c r="B931" s="274"/>
      <c r="C931" s="273"/>
      <c r="D931" s="273"/>
      <c r="E931" s="273"/>
      <c r="F931" s="272"/>
    </row>
    <row r="932" spans="2:6" ht="12" customHeight="1" x14ac:dyDescent="0.15">
      <c r="B932" s="274"/>
      <c r="C932" s="273"/>
      <c r="D932" s="273"/>
      <c r="E932" s="273"/>
      <c r="F932" s="272"/>
    </row>
    <row r="933" spans="2:6" ht="12" customHeight="1" x14ac:dyDescent="0.15">
      <c r="B933" s="274"/>
      <c r="C933" s="273"/>
      <c r="D933" s="273"/>
      <c r="E933" s="273"/>
      <c r="F933" s="272"/>
    </row>
    <row r="934" spans="2:6" ht="12" customHeight="1" x14ac:dyDescent="0.15">
      <c r="B934" s="274"/>
      <c r="C934" s="273"/>
      <c r="D934" s="273"/>
      <c r="E934" s="273"/>
      <c r="F934" s="272"/>
    </row>
    <row r="935" spans="2:6" ht="12" customHeight="1" x14ac:dyDescent="0.15">
      <c r="B935" s="274"/>
      <c r="C935" s="273"/>
      <c r="D935" s="273"/>
      <c r="E935" s="273"/>
      <c r="F935" s="272"/>
    </row>
    <row r="936" spans="2:6" ht="12" customHeight="1" x14ac:dyDescent="0.15">
      <c r="B936" s="274"/>
      <c r="C936" s="273"/>
      <c r="D936" s="273"/>
      <c r="E936" s="273"/>
      <c r="F936" s="272"/>
    </row>
    <row r="937" spans="2:6" ht="12" customHeight="1" x14ac:dyDescent="0.15">
      <c r="B937" s="274"/>
      <c r="C937" s="273"/>
      <c r="D937" s="273"/>
      <c r="E937" s="273"/>
      <c r="F937" s="272"/>
    </row>
    <row r="938" spans="2:6" ht="12" customHeight="1" x14ac:dyDescent="0.15">
      <c r="B938" s="274"/>
      <c r="C938" s="273"/>
      <c r="D938" s="273"/>
      <c r="E938" s="273"/>
      <c r="F938" s="272"/>
    </row>
    <row r="939" spans="2:6" ht="12" customHeight="1" x14ac:dyDescent="0.15">
      <c r="B939" s="274"/>
      <c r="C939" s="273"/>
      <c r="D939" s="273"/>
      <c r="E939" s="273"/>
      <c r="F939" s="272"/>
    </row>
    <row r="940" spans="2:6" ht="12" customHeight="1" x14ac:dyDescent="0.15">
      <c r="B940" s="274"/>
      <c r="C940" s="273"/>
      <c r="D940" s="273"/>
      <c r="E940" s="273"/>
      <c r="F940" s="272"/>
    </row>
    <row r="941" spans="2:6" ht="12" customHeight="1" x14ac:dyDescent="0.15">
      <c r="B941" s="274"/>
      <c r="C941" s="273"/>
      <c r="D941" s="273"/>
      <c r="E941" s="273"/>
      <c r="F941" s="272"/>
    </row>
    <row r="942" spans="2:6" ht="12" customHeight="1" x14ac:dyDescent="0.15">
      <c r="B942" s="274"/>
      <c r="C942" s="273"/>
      <c r="D942" s="273"/>
      <c r="E942" s="273"/>
      <c r="F942" s="272"/>
    </row>
    <row r="943" spans="2:6" ht="12" customHeight="1" x14ac:dyDescent="0.15">
      <c r="B943" s="274"/>
      <c r="C943" s="273"/>
      <c r="D943" s="273"/>
      <c r="E943" s="273"/>
      <c r="F943" s="272"/>
    </row>
    <row r="944" spans="2:6" ht="12" customHeight="1" x14ac:dyDescent="0.15">
      <c r="B944" s="274"/>
      <c r="C944" s="273"/>
      <c r="D944" s="273"/>
      <c r="E944" s="273"/>
      <c r="F944" s="272"/>
    </row>
    <row r="945" spans="2:6" ht="12" customHeight="1" x14ac:dyDescent="0.15">
      <c r="B945" s="274"/>
      <c r="C945" s="273"/>
      <c r="D945" s="273"/>
      <c r="E945" s="273"/>
      <c r="F945" s="272"/>
    </row>
    <row r="946" spans="2:6" ht="12" customHeight="1" x14ac:dyDescent="0.15">
      <c r="B946" s="274"/>
      <c r="C946" s="273"/>
      <c r="D946" s="273"/>
      <c r="E946" s="273"/>
      <c r="F946" s="272"/>
    </row>
    <row r="947" spans="2:6" ht="12" customHeight="1" x14ac:dyDescent="0.15">
      <c r="B947" s="274"/>
      <c r="C947" s="273"/>
      <c r="D947" s="273"/>
      <c r="E947" s="273"/>
      <c r="F947" s="272"/>
    </row>
    <row r="948" spans="2:6" ht="12" customHeight="1" x14ac:dyDescent="0.15">
      <c r="B948" s="274"/>
      <c r="C948" s="273"/>
      <c r="D948" s="273"/>
      <c r="E948" s="273"/>
      <c r="F948" s="272"/>
    </row>
    <row r="949" spans="2:6" ht="12" customHeight="1" x14ac:dyDescent="0.15">
      <c r="B949" s="274"/>
      <c r="C949" s="273"/>
      <c r="D949" s="273"/>
      <c r="E949" s="273"/>
      <c r="F949" s="272"/>
    </row>
    <row r="950" spans="2:6" ht="12" customHeight="1" x14ac:dyDescent="0.15">
      <c r="B950" s="274"/>
      <c r="C950" s="273"/>
      <c r="D950" s="273"/>
      <c r="E950" s="273"/>
      <c r="F950" s="272"/>
    </row>
    <row r="951" spans="2:6" ht="12" customHeight="1" x14ac:dyDescent="0.15">
      <c r="B951" s="274"/>
      <c r="C951" s="273"/>
      <c r="D951" s="273"/>
      <c r="E951" s="273"/>
      <c r="F951" s="272"/>
    </row>
    <row r="952" spans="2:6" ht="12" customHeight="1" x14ac:dyDescent="0.15">
      <c r="B952" s="274"/>
      <c r="C952" s="273"/>
      <c r="D952" s="273"/>
      <c r="E952" s="273"/>
      <c r="F952" s="272"/>
    </row>
    <row r="953" spans="2:6" ht="12" customHeight="1" x14ac:dyDescent="0.15">
      <c r="B953" s="274"/>
      <c r="C953" s="273"/>
      <c r="D953" s="273"/>
      <c r="E953" s="273"/>
      <c r="F953" s="272"/>
    </row>
    <row r="954" spans="2:6" ht="12" customHeight="1" x14ac:dyDescent="0.15">
      <c r="B954" s="274"/>
      <c r="C954" s="273"/>
      <c r="D954" s="273"/>
      <c r="E954" s="273"/>
      <c r="F954" s="272"/>
    </row>
    <row r="955" spans="2:6" ht="12" customHeight="1" x14ac:dyDescent="0.15">
      <c r="B955" s="274"/>
      <c r="C955" s="273"/>
      <c r="D955" s="273"/>
      <c r="E955" s="273"/>
      <c r="F955" s="272"/>
    </row>
    <row r="956" spans="2:6" ht="12" customHeight="1" x14ac:dyDescent="0.15">
      <c r="B956" s="274"/>
      <c r="C956" s="273"/>
      <c r="D956" s="273"/>
      <c r="E956" s="273"/>
      <c r="F956" s="272"/>
    </row>
    <row r="957" spans="2:6" ht="12" customHeight="1" x14ac:dyDescent="0.15">
      <c r="B957" s="274"/>
      <c r="C957" s="273"/>
      <c r="D957" s="273"/>
      <c r="E957" s="273"/>
      <c r="F957" s="272"/>
    </row>
    <row r="958" spans="2:6" ht="12" customHeight="1" x14ac:dyDescent="0.15">
      <c r="B958" s="274"/>
      <c r="C958" s="273"/>
      <c r="D958" s="273"/>
      <c r="E958" s="273"/>
      <c r="F958" s="272"/>
    </row>
    <row r="959" spans="2:6" ht="12" customHeight="1" x14ac:dyDescent="0.15">
      <c r="B959" s="274"/>
      <c r="C959" s="273"/>
      <c r="D959" s="273"/>
      <c r="E959" s="273"/>
      <c r="F959" s="272"/>
    </row>
    <row r="960" spans="2:6" ht="12" customHeight="1" x14ac:dyDescent="0.15">
      <c r="B960" s="274"/>
      <c r="C960" s="273"/>
      <c r="D960" s="273"/>
      <c r="E960" s="273"/>
      <c r="F960" s="272"/>
    </row>
    <row r="961" spans="2:6" ht="12" customHeight="1" x14ac:dyDescent="0.15">
      <c r="B961" s="274"/>
      <c r="C961" s="273"/>
      <c r="D961" s="273"/>
      <c r="E961" s="273"/>
      <c r="F961" s="272"/>
    </row>
    <row r="962" spans="2:6" ht="12" customHeight="1" x14ac:dyDescent="0.15">
      <c r="B962" s="274"/>
      <c r="C962" s="273"/>
      <c r="D962" s="273"/>
      <c r="E962" s="273"/>
      <c r="F962" s="272"/>
    </row>
    <row r="963" spans="2:6" ht="12" customHeight="1" x14ac:dyDescent="0.15">
      <c r="B963" s="274"/>
      <c r="C963" s="273"/>
      <c r="D963" s="273"/>
      <c r="E963" s="273"/>
      <c r="F963" s="272"/>
    </row>
    <row r="964" spans="2:6" ht="12" customHeight="1" x14ac:dyDescent="0.15">
      <c r="B964" s="274"/>
      <c r="C964" s="273"/>
      <c r="D964" s="273"/>
      <c r="E964" s="273"/>
      <c r="F964" s="272"/>
    </row>
    <row r="965" spans="2:6" ht="12" customHeight="1" x14ac:dyDescent="0.15">
      <c r="B965" s="274"/>
      <c r="C965" s="273"/>
      <c r="D965" s="273"/>
      <c r="E965" s="273"/>
      <c r="F965" s="272"/>
    </row>
    <row r="966" spans="2:6" ht="12" customHeight="1" x14ac:dyDescent="0.15">
      <c r="B966" s="274"/>
      <c r="C966" s="273"/>
      <c r="D966" s="273"/>
      <c r="E966" s="273"/>
      <c r="F966" s="272"/>
    </row>
    <row r="967" spans="2:6" ht="12" customHeight="1" x14ac:dyDescent="0.15">
      <c r="B967" s="274"/>
      <c r="C967" s="273"/>
      <c r="D967" s="273"/>
      <c r="E967" s="273"/>
      <c r="F967" s="272"/>
    </row>
    <row r="968" spans="2:6" ht="12" customHeight="1" x14ac:dyDescent="0.15">
      <c r="B968" s="274"/>
      <c r="C968" s="273"/>
      <c r="D968" s="273"/>
      <c r="E968" s="273"/>
      <c r="F968" s="272"/>
    </row>
    <row r="969" spans="2:6" ht="12" customHeight="1" x14ac:dyDescent="0.15">
      <c r="B969" s="274"/>
      <c r="C969" s="273"/>
      <c r="D969" s="273"/>
      <c r="E969" s="273"/>
      <c r="F969" s="272"/>
    </row>
    <row r="970" spans="2:6" ht="12" customHeight="1" x14ac:dyDescent="0.15">
      <c r="B970" s="274"/>
      <c r="C970" s="273"/>
      <c r="D970" s="273"/>
      <c r="E970" s="273"/>
      <c r="F970" s="272"/>
    </row>
    <row r="971" spans="2:6" ht="12" customHeight="1" x14ac:dyDescent="0.15">
      <c r="B971" s="274"/>
      <c r="C971" s="273"/>
      <c r="D971" s="273"/>
      <c r="E971" s="273"/>
      <c r="F971" s="272"/>
    </row>
    <row r="972" spans="2:6" ht="12" customHeight="1" x14ac:dyDescent="0.15">
      <c r="B972" s="274"/>
      <c r="C972" s="273"/>
      <c r="D972" s="273"/>
      <c r="E972" s="273"/>
      <c r="F972" s="272"/>
    </row>
    <row r="973" spans="2:6" ht="12" customHeight="1" x14ac:dyDescent="0.15">
      <c r="B973" s="274"/>
      <c r="C973" s="273"/>
      <c r="D973" s="273"/>
      <c r="E973" s="273"/>
      <c r="F973" s="272"/>
    </row>
    <row r="974" spans="2:6" ht="12" customHeight="1" x14ac:dyDescent="0.15">
      <c r="B974" s="274"/>
      <c r="C974" s="273"/>
      <c r="D974" s="273"/>
      <c r="E974" s="273"/>
      <c r="F974" s="272"/>
    </row>
    <row r="975" spans="2:6" ht="12" customHeight="1" x14ac:dyDescent="0.15">
      <c r="B975" s="274"/>
      <c r="C975" s="273"/>
      <c r="D975" s="273"/>
      <c r="E975" s="273"/>
      <c r="F975" s="272"/>
    </row>
    <row r="976" spans="2:6" ht="12" customHeight="1" x14ac:dyDescent="0.15">
      <c r="B976" s="274"/>
      <c r="C976" s="273"/>
      <c r="D976" s="273"/>
      <c r="E976" s="273"/>
      <c r="F976" s="272"/>
    </row>
    <row r="977" spans="2:6" ht="12" customHeight="1" x14ac:dyDescent="0.15">
      <c r="B977" s="274"/>
      <c r="C977" s="273"/>
      <c r="D977" s="273"/>
      <c r="E977" s="273"/>
      <c r="F977" s="272"/>
    </row>
    <row r="978" spans="2:6" ht="12" customHeight="1" x14ac:dyDescent="0.15">
      <c r="B978" s="274"/>
      <c r="C978" s="273"/>
      <c r="D978" s="273"/>
      <c r="E978" s="273"/>
      <c r="F978" s="272"/>
    </row>
    <row r="979" spans="2:6" ht="12" customHeight="1" x14ac:dyDescent="0.15">
      <c r="B979" s="274"/>
      <c r="C979" s="273"/>
      <c r="D979" s="273"/>
      <c r="E979" s="273"/>
      <c r="F979" s="272"/>
    </row>
    <row r="980" spans="2:6" ht="12" customHeight="1" x14ac:dyDescent="0.15">
      <c r="B980" s="274"/>
      <c r="C980" s="273"/>
      <c r="D980" s="273"/>
      <c r="E980" s="273"/>
      <c r="F980" s="272"/>
    </row>
    <row r="981" spans="2:6" ht="12" customHeight="1" x14ac:dyDescent="0.15">
      <c r="B981" s="274"/>
      <c r="C981" s="273"/>
      <c r="D981" s="273"/>
      <c r="E981" s="273"/>
      <c r="F981" s="272"/>
    </row>
    <row r="982" spans="2:6" ht="12" customHeight="1" x14ac:dyDescent="0.15">
      <c r="B982" s="274"/>
      <c r="C982" s="273"/>
      <c r="D982" s="273"/>
      <c r="E982" s="273"/>
      <c r="F982" s="272"/>
    </row>
    <row r="983" spans="2:6" ht="12" customHeight="1" x14ac:dyDescent="0.15">
      <c r="B983" s="274"/>
      <c r="C983" s="273"/>
      <c r="D983" s="273"/>
      <c r="E983" s="273"/>
      <c r="F983" s="272"/>
    </row>
    <row r="984" spans="2:6" ht="12" customHeight="1" x14ac:dyDescent="0.15">
      <c r="B984" s="274"/>
      <c r="C984" s="273"/>
      <c r="D984" s="273"/>
      <c r="E984" s="273"/>
      <c r="F984" s="272"/>
    </row>
    <row r="985" spans="2:6" ht="12" customHeight="1" x14ac:dyDescent="0.15">
      <c r="B985" s="274"/>
      <c r="C985" s="273"/>
      <c r="D985" s="273"/>
      <c r="E985" s="273"/>
      <c r="F985" s="272"/>
    </row>
    <row r="986" spans="2:6" ht="12" customHeight="1" x14ac:dyDescent="0.15">
      <c r="B986" s="274"/>
      <c r="C986" s="273"/>
      <c r="D986" s="273"/>
      <c r="E986" s="273"/>
      <c r="F986" s="272"/>
    </row>
    <row r="987" spans="2:6" ht="12" customHeight="1" x14ac:dyDescent="0.15">
      <c r="B987" s="274"/>
      <c r="C987" s="273"/>
      <c r="D987" s="273"/>
      <c r="E987" s="273"/>
      <c r="F987" s="272"/>
    </row>
    <row r="988" spans="2:6" ht="12" customHeight="1" x14ac:dyDescent="0.15">
      <c r="B988" s="274"/>
      <c r="C988" s="273"/>
      <c r="D988" s="273"/>
      <c r="E988" s="273"/>
      <c r="F988" s="272"/>
    </row>
    <row r="989" spans="2:6" ht="12" customHeight="1" x14ac:dyDescent="0.15">
      <c r="B989" s="274"/>
      <c r="C989" s="273"/>
      <c r="D989" s="273"/>
      <c r="E989" s="273"/>
      <c r="F989" s="272"/>
    </row>
    <row r="990" spans="2:6" ht="12" customHeight="1" x14ac:dyDescent="0.15">
      <c r="B990" s="274"/>
      <c r="C990" s="273"/>
      <c r="D990" s="273"/>
      <c r="E990" s="273"/>
      <c r="F990" s="272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EE67-DB2C-4380-B1C0-B5D4DC176F60}">
  <sheetPr>
    <tabColor theme="7"/>
    <pageSetUpPr fitToPage="1"/>
  </sheetPr>
  <dimension ref="A1:Z990"/>
  <sheetViews>
    <sheetView workbookViewId="0">
      <selection sqref="A1:G36"/>
    </sheetView>
  </sheetViews>
  <sheetFormatPr baseColWidth="10" defaultColWidth="12.5" defaultRowHeight="15" customHeight="1" x14ac:dyDescent="0.15"/>
  <cols>
    <col min="1" max="1" width="4.5" style="271" customWidth="1"/>
    <col min="2" max="2" width="36.5" style="271" customWidth="1"/>
    <col min="3" max="3" width="13.1640625" style="271" customWidth="1"/>
    <col min="4" max="4" width="13" style="271" customWidth="1"/>
    <col min="5" max="5" width="15.5" style="271" customWidth="1"/>
    <col min="6" max="6" width="13" style="271" customWidth="1"/>
    <col min="7" max="7" width="4.5" style="271" customWidth="1"/>
    <col min="8" max="16384" width="12.5" style="271"/>
  </cols>
  <sheetData>
    <row r="1" spans="1:26" ht="54" customHeight="1" x14ac:dyDescent="0.15">
      <c r="A1" s="414"/>
      <c r="B1" s="415"/>
      <c r="C1" s="415"/>
      <c r="D1" s="415"/>
      <c r="E1" s="415"/>
      <c r="F1" s="415"/>
    </row>
    <row r="2" spans="1:26" ht="12" customHeight="1" x14ac:dyDescent="0.15">
      <c r="B2" s="274"/>
      <c r="C2" s="273"/>
      <c r="D2" s="273"/>
      <c r="E2" s="273"/>
      <c r="F2" s="272"/>
    </row>
    <row r="3" spans="1:26" ht="18.75" customHeight="1" x14ac:dyDescent="0.2">
      <c r="A3" s="344" t="s">
        <v>0</v>
      </c>
      <c r="C3" s="273"/>
      <c r="D3" s="273"/>
      <c r="E3" s="273"/>
      <c r="F3" s="272"/>
    </row>
    <row r="4" spans="1:26" ht="12" customHeight="1" x14ac:dyDescent="0.15">
      <c r="A4" s="274" t="s">
        <v>1</v>
      </c>
      <c r="C4" s="273"/>
      <c r="D4" s="273"/>
      <c r="E4" s="273"/>
      <c r="F4" s="272"/>
    </row>
    <row r="5" spans="1:26" ht="12" customHeight="1" x14ac:dyDescent="0.15">
      <c r="A5" s="274"/>
      <c r="B5" s="343" t="s">
        <v>148</v>
      </c>
      <c r="C5" s="273"/>
      <c r="D5" s="273"/>
      <c r="E5" s="273"/>
      <c r="F5" s="272"/>
    </row>
    <row r="6" spans="1:26" ht="12" customHeight="1" x14ac:dyDescent="0.15">
      <c r="A6" s="274"/>
      <c r="B6" s="342" t="s">
        <v>149</v>
      </c>
      <c r="C6" s="273"/>
      <c r="D6" s="410" t="s">
        <v>270</v>
      </c>
      <c r="E6" s="411"/>
      <c r="F6" s="341"/>
      <c r="G6" s="272"/>
    </row>
    <row r="7" spans="1:26" ht="12" customHeight="1" x14ac:dyDescent="0.15">
      <c r="A7" s="274"/>
      <c r="B7" s="340" t="s">
        <v>150</v>
      </c>
      <c r="C7" s="273"/>
      <c r="D7" s="273"/>
      <c r="E7" s="273"/>
      <c r="F7" s="272"/>
    </row>
    <row r="8" spans="1:26" ht="12" customHeight="1" x14ac:dyDescent="0.15">
      <c r="B8" s="274"/>
      <c r="C8" s="273"/>
      <c r="D8" s="273"/>
      <c r="E8" s="273"/>
      <c r="F8" s="272"/>
    </row>
    <row r="9" spans="1:26" ht="12" customHeight="1" x14ac:dyDescent="0.15">
      <c r="B9" s="339"/>
      <c r="C9" s="273"/>
      <c r="D9" s="273"/>
      <c r="E9" s="273"/>
      <c r="F9" s="272"/>
      <c r="G9" s="338" t="s">
        <v>245</v>
      </c>
    </row>
    <row r="10" spans="1:26" ht="17.25" customHeight="1" x14ac:dyDescent="0.15">
      <c r="A10" s="302"/>
      <c r="B10" s="337" t="s">
        <v>98</v>
      </c>
      <c r="C10" s="336"/>
      <c r="D10" s="336"/>
      <c r="E10" s="336"/>
      <c r="F10" s="335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</row>
    <row r="11" spans="1:26" ht="12" customHeight="1" x14ac:dyDescent="0.15">
      <c r="B11" s="274"/>
      <c r="C11" s="273"/>
      <c r="D11" s="273"/>
      <c r="E11" s="273"/>
      <c r="F11" s="272"/>
    </row>
    <row r="12" spans="1:26" ht="14" customHeight="1" x14ac:dyDescent="0.15">
      <c r="B12" s="370" t="s">
        <v>3</v>
      </c>
      <c r="C12" s="369" t="s">
        <v>4</v>
      </c>
      <c r="D12" s="369" t="s">
        <v>99</v>
      </c>
      <c r="E12" s="368" t="s">
        <v>100</v>
      </c>
      <c r="F12" s="368" t="s">
        <v>101</v>
      </c>
    </row>
    <row r="13" spans="1:26" ht="12" customHeight="1" x14ac:dyDescent="0.15">
      <c r="B13" s="364" t="s">
        <v>151</v>
      </c>
      <c r="C13" s="367">
        <v>45334</v>
      </c>
      <c r="D13" s="359"/>
      <c r="E13" s="359">
        <v>24787</v>
      </c>
      <c r="F13" s="358">
        <f>E13</f>
        <v>24787</v>
      </c>
    </row>
    <row r="14" spans="1:26" ht="12" customHeight="1" x14ac:dyDescent="0.15">
      <c r="B14" s="364" t="s">
        <v>151</v>
      </c>
      <c r="C14" s="322">
        <v>45358</v>
      </c>
      <c r="D14" s="359"/>
      <c r="E14" s="359">
        <v>18230.03</v>
      </c>
      <c r="F14" s="358">
        <f t="shared" ref="F14:F25" si="0">F13-D14+E14</f>
        <v>43017.03</v>
      </c>
    </row>
    <row r="15" spans="1:26" ht="12" customHeight="1" x14ac:dyDescent="0.15">
      <c r="B15" s="364" t="s">
        <v>151</v>
      </c>
      <c r="C15" s="346">
        <v>45412</v>
      </c>
      <c r="D15" s="366"/>
      <c r="E15" s="359">
        <v>33871.61</v>
      </c>
      <c r="F15" s="358">
        <f t="shared" si="0"/>
        <v>76888.639999999999</v>
      </c>
    </row>
    <row r="16" spans="1:26" ht="12" customHeight="1" x14ac:dyDescent="0.15">
      <c r="B16" s="364" t="s">
        <v>151</v>
      </c>
      <c r="C16" s="346">
        <v>45484</v>
      </c>
      <c r="D16" s="365"/>
      <c r="E16" s="359">
        <v>21445.21</v>
      </c>
      <c r="F16" s="358">
        <f t="shared" si="0"/>
        <v>98333.85</v>
      </c>
    </row>
    <row r="17" spans="2:6" ht="12" customHeight="1" x14ac:dyDescent="0.15">
      <c r="B17" s="364" t="s">
        <v>151</v>
      </c>
      <c r="C17" s="346">
        <v>45530</v>
      </c>
      <c r="D17" s="365"/>
      <c r="E17" s="359">
        <v>11404.47</v>
      </c>
      <c r="F17" s="358">
        <f t="shared" si="0"/>
        <v>109738.32</v>
      </c>
    </row>
    <row r="18" spans="2:6" ht="19" customHeight="1" x14ac:dyDescent="0.15">
      <c r="B18" s="364" t="s">
        <v>151</v>
      </c>
      <c r="C18" s="346">
        <v>45579</v>
      </c>
      <c r="D18" s="360"/>
      <c r="E18" s="359">
        <v>21455.21</v>
      </c>
      <c r="F18" s="358">
        <f t="shared" si="0"/>
        <v>131193.53</v>
      </c>
    </row>
    <row r="19" spans="2:6" ht="37" customHeight="1" x14ac:dyDescent="0.15">
      <c r="B19" s="363" t="s">
        <v>249</v>
      </c>
      <c r="C19" s="357"/>
      <c r="D19" s="362">
        <v>137284.18</v>
      </c>
      <c r="E19" s="361"/>
      <c r="F19" s="358">
        <f t="shared" si="0"/>
        <v>-6090.6499999999942</v>
      </c>
    </row>
    <row r="20" spans="2:6" ht="36" customHeight="1" x14ac:dyDescent="0.15">
      <c r="B20" s="383" t="s">
        <v>257</v>
      </c>
      <c r="C20" s="379">
        <v>45658</v>
      </c>
      <c r="D20" s="390"/>
      <c r="E20" s="391"/>
      <c r="F20" s="392">
        <f>F19</f>
        <v>-6090.6499999999942</v>
      </c>
    </row>
    <row r="21" spans="2:6" ht="37" customHeight="1" x14ac:dyDescent="0.15">
      <c r="B21" s="315" t="s">
        <v>204</v>
      </c>
      <c r="C21" s="313">
        <v>45664</v>
      </c>
      <c r="D21" s="360">
        <v>7484.4187371405051</v>
      </c>
      <c r="E21" s="359"/>
      <c r="F21" s="358">
        <f>F19-D21+E21</f>
        <v>-13575.0687371405</v>
      </c>
    </row>
    <row r="22" spans="2:6" ht="30" customHeight="1" x14ac:dyDescent="0.15">
      <c r="B22" s="315" t="s">
        <v>205</v>
      </c>
      <c r="C22" s="313">
        <v>45664</v>
      </c>
      <c r="D22" s="360">
        <v>17813.558730739333</v>
      </c>
      <c r="E22" s="359"/>
      <c r="F22" s="358">
        <f t="shared" si="0"/>
        <v>-31388.627467879833</v>
      </c>
    </row>
    <row r="23" spans="2:6" ht="19" customHeight="1" x14ac:dyDescent="0.15">
      <c r="B23" s="405" t="s">
        <v>206</v>
      </c>
      <c r="C23" s="313">
        <v>45664</v>
      </c>
      <c r="D23" s="360">
        <v>6711.5985816835073</v>
      </c>
      <c r="E23" s="359"/>
      <c r="F23" s="358">
        <f t="shared" si="0"/>
        <v>-38100.226049563338</v>
      </c>
    </row>
    <row r="24" spans="2:6" ht="22" customHeight="1" x14ac:dyDescent="0.15">
      <c r="B24" s="323" t="s">
        <v>151</v>
      </c>
      <c r="C24" s="345">
        <v>45677</v>
      </c>
      <c r="D24" s="360"/>
      <c r="E24" s="359">
        <v>31999.57</v>
      </c>
      <c r="F24" s="358">
        <f t="shared" si="0"/>
        <v>-6100.6560495633385</v>
      </c>
    </row>
    <row r="25" spans="2:6" ht="55" customHeight="1" x14ac:dyDescent="0.15">
      <c r="B25" s="314" t="s">
        <v>243</v>
      </c>
      <c r="C25" s="404">
        <v>45730</v>
      </c>
      <c r="D25" s="360">
        <v>21776.639999999999</v>
      </c>
      <c r="E25" s="359"/>
      <c r="F25" s="358">
        <f t="shared" si="0"/>
        <v>-27877.296049563338</v>
      </c>
    </row>
    <row r="26" spans="2:6" s="378" customFormat="1" ht="55" customHeight="1" x14ac:dyDescent="0.15">
      <c r="B26" s="314" t="s">
        <v>261</v>
      </c>
      <c r="C26" s="404">
        <v>45730</v>
      </c>
      <c r="D26" s="360">
        <v>16740</v>
      </c>
      <c r="E26" s="359"/>
      <c r="F26" s="358">
        <f>F25-D26</f>
        <v>-44617.296049563338</v>
      </c>
    </row>
    <row r="27" spans="2:6" ht="15" customHeight="1" x14ac:dyDescent="0.15">
      <c r="B27" s="388"/>
      <c r="C27" s="393" t="s">
        <v>152</v>
      </c>
      <c r="D27" s="385">
        <f>SUM(D13:D26)</f>
        <v>207810.39604956337</v>
      </c>
      <c r="E27" s="385">
        <f>SUM(E13:E26)</f>
        <v>163193.1</v>
      </c>
      <c r="F27" s="395">
        <f>E27-D27</f>
        <v>-44617.29604956336</v>
      </c>
    </row>
    <row r="28" spans="2:6" ht="12" customHeight="1" x14ac:dyDescent="0.15">
      <c r="B28" s="274"/>
      <c r="C28" s="273"/>
      <c r="D28" s="273"/>
      <c r="E28" s="273"/>
      <c r="F28" s="272"/>
    </row>
    <row r="29" spans="2:6" ht="12" customHeight="1" x14ac:dyDescent="0.15">
      <c r="B29" s="286" t="s">
        <v>121</v>
      </c>
      <c r="C29" s="273"/>
      <c r="D29" s="273"/>
      <c r="E29" s="273"/>
      <c r="F29" s="272"/>
    </row>
    <row r="30" spans="2:6" ht="12" customHeight="1" x14ac:dyDescent="0.15">
      <c r="B30" s="274" t="s">
        <v>246</v>
      </c>
      <c r="C30" s="273"/>
      <c r="D30" s="273"/>
      <c r="E30" s="273"/>
      <c r="F30" s="272"/>
    </row>
    <row r="31" spans="2:6" ht="12" customHeight="1" x14ac:dyDescent="0.15">
      <c r="B31" s="284"/>
      <c r="C31" s="273"/>
      <c r="D31" s="273"/>
      <c r="E31" s="273"/>
      <c r="F31" s="272"/>
    </row>
    <row r="32" spans="2:6" ht="12" customHeight="1" x14ac:dyDescent="0.15">
      <c r="B32" s="283" t="s">
        <v>123</v>
      </c>
      <c r="C32" s="282"/>
      <c r="D32" s="281"/>
      <c r="E32" s="273"/>
      <c r="F32" s="272"/>
    </row>
    <row r="33" spans="2:6" ht="12" customHeight="1" x14ac:dyDescent="0.15">
      <c r="B33" s="280" t="s">
        <v>124</v>
      </c>
      <c r="C33" s="273"/>
      <c r="D33" s="279"/>
      <c r="E33" s="273"/>
      <c r="F33" s="272"/>
    </row>
    <row r="34" spans="2:6" ht="12" customHeight="1" x14ac:dyDescent="0.15">
      <c r="B34" s="280" t="s">
        <v>125</v>
      </c>
      <c r="C34" s="273"/>
      <c r="D34" s="279"/>
      <c r="E34" s="273"/>
      <c r="F34" s="272"/>
    </row>
    <row r="35" spans="2:6" ht="12" customHeight="1" x14ac:dyDescent="0.15">
      <c r="B35" s="278" t="s">
        <v>126</v>
      </c>
      <c r="C35" s="277"/>
      <c r="D35" s="276"/>
      <c r="E35" s="273"/>
      <c r="F35" s="272"/>
    </row>
    <row r="36" spans="2:6" ht="12" customHeight="1" x14ac:dyDescent="0.15">
      <c r="B36" s="274"/>
      <c r="C36" s="273"/>
      <c r="D36" s="273"/>
      <c r="E36" s="273"/>
      <c r="F36" s="272"/>
    </row>
    <row r="37" spans="2:6" ht="12" customHeight="1" x14ac:dyDescent="0.15">
      <c r="B37" s="274"/>
      <c r="C37" s="273"/>
      <c r="D37" s="273"/>
      <c r="E37" s="273"/>
      <c r="F37" s="272"/>
    </row>
    <row r="38" spans="2:6" ht="12" customHeight="1" x14ac:dyDescent="0.15">
      <c r="B38" s="274"/>
      <c r="C38" s="273"/>
      <c r="D38" s="273"/>
      <c r="E38" s="273"/>
      <c r="F38" s="272"/>
    </row>
    <row r="39" spans="2:6" ht="12" customHeight="1" x14ac:dyDescent="0.15">
      <c r="B39" s="274"/>
      <c r="C39" s="273"/>
      <c r="D39" s="273"/>
      <c r="E39" s="273"/>
      <c r="F39" s="272"/>
    </row>
    <row r="40" spans="2:6" ht="12" customHeight="1" x14ac:dyDescent="0.15">
      <c r="B40" s="274"/>
      <c r="C40" s="273"/>
      <c r="D40" s="273"/>
      <c r="E40" s="273"/>
      <c r="F40" s="272"/>
    </row>
    <row r="41" spans="2:6" ht="12" customHeight="1" x14ac:dyDescent="0.15">
      <c r="B41" s="274"/>
      <c r="C41" s="273"/>
      <c r="D41" s="273"/>
      <c r="E41" s="273"/>
      <c r="F41" s="272"/>
    </row>
    <row r="42" spans="2:6" ht="12" customHeight="1" x14ac:dyDescent="0.15">
      <c r="B42" s="274"/>
      <c r="C42" s="273"/>
      <c r="D42" s="273"/>
      <c r="E42" s="273"/>
      <c r="F42" s="272"/>
    </row>
    <row r="43" spans="2:6" ht="12" customHeight="1" x14ac:dyDescent="0.15">
      <c r="B43" s="274"/>
      <c r="C43" s="273"/>
      <c r="D43" s="273"/>
      <c r="E43" s="273"/>
      <c r="F43" s="272"/>
    </row>
    <row r="44" spans="2:6" ht="12" customHeight="1" x14ac:dyDescent="0.15">
      <c r="B44" s="274"/>
      <c r="C44" s="273"/>
      <c r="D44" s="273"/>
      <c r="E44" s="273"/>
      <c r="F44" s="272"/>
    </row>
    <row r="45" spans="2:6" ht="12" customHeight="1" x14ac:dyDescent="0.15">
      <c r="B45" s="274"/>
      <c r="C45" s="273"/>
      <c r="D45" s="273"/>
      <c r="E45" s="273"/>
      <c r="F45" s="272"/>
    </row>
    <row r="46" spans="2:6" ht="12" customHeight="1" x14ac:dyDescent="0.15">
      <c r="B46" s="274"/>
      <c r="C46" s="273"/>
      <c r="D46" s="273"/>
      <c r="E46" s="273"/>
      <c r="F46" s="272"/>
    </row>
    <row r="47" spans="2:6" ht="12" customHeight="1" x14ac:dyDescent="0.15">
      <c r="B47" s="274"/>
      <c r="C47" s="273"/>
      <c r="D47" s="273"/>
      <c r="E47" s="273"/>
      <c r="F47" s="272"/>
    </row>
    <row r="48" spans="2:6" ht="12" customHeight="1" x14ac:dyDescent="0.15">
      <c r="B48" s="274"/>
      <c r="C48" s="273"/>
      <c r="D48" s="273"/>
      <c r="E48" s="273"/>
      <c r="F48" s="272"/>
    </row>
    <row r="49" spans="2:6" ht="12" customHeight="1" x14ac:dyDescent="0.15">
      <c r="B49" s="274"/>
      <c r="C49" s="273"/>
      <c r="D49" s="273"/>
      <c r="E49" s="273"/>
      <c r="F49" s="272"/>
    </row>
    <row r="50" spans="2:6" ht="12" customHeight="1" x14ac:dyDescent="0.15">
      <c r="B50" s="274"/>
      <c r="C50" s="273"/>
      <c r="D50" s="273"/>
      <c r="E50" s="273"/>
      <c r="F50" s="272"/>
    </row>
    <row r="51" spans="2:6" ht="12" customHeight="1" x14ac:dyDescent="0.15">
      <c r="B51" s="274"/>
      <c r="C51" s="273"/>
      <c r="D51" s="273"/>
      <c r="E51" s="273"/>
      <c r="F51" s="272"/>
    </row>
    <row r="52" spans="2:6" ht="12" customHeight="1" x14ac:dyDescent="0.15">
      <c r="B52" s="274"/>
      <c r="C52" s="273"/>
      <c r="D52" s="273"/>
      <c r="E52" s="273"/>
      <c r="F52" s="272"/>
    </row>
    <row r="53" spans="2:6" ht="12" customHeight="1" x14ac:dyDescent="0.15">
      <c r="B53" s="274"/>
      <c r="C53" s="273"/>
      <c r="D53" s="273"/>
      <c r="E53" s="273"/>
      <c r="F53" s="272"/>
    </row>
    <row r="54" spans="2:6" ht="12" customHeight="1" x14ac:dyDescent="0.15">
      <c r="B54" s="274"/>
      <c r="C54" s="273"/>
      <c r="D54" s="273"/>
      <c r="E54" s="273"/>
      <c r="F54" s="272"/>
    </row>
    <row r="55" spans="2:6" ht="12" customHeight="1" x14ac:dyDescent="0.15">
      <c r="B55" s="274"/>
      <c r="C55" s="273"/>
      <c r="D55" s="273"/>
      <c r="E55" s="273"/>
      <c r="F55" s="272"/>
    </row>
    <row r="56" spans="2:6" ht="12" customHeight="1" x14ac:dyDescent="0.15">
      <c r="B56" s="274"/>
      <c r="C56" s="273"/>
      <c r="D56" s="273"/>
      <c r="E56" s="273"/>
      <c r="F56" s="272"/>
    </row>
    <row r="57" spans="2:6" ht="12" customHeight="1" x14ac:dyDescent="0.15">
      <c r="B57" s="274"/>
      <c r="C57" s="273"/>
      <c r="D57" s="273"/>
      <c r="E57" s="273"/>
      <c r="F57" s="272"/>
    </row>
    <row r="58" spans="2:6" ht="12" customHeight="1" x14ac:dyDescent="0.15">
      <c r="B58" s="274"/>
      <c r="C58" s="273"/>
      <c r="D58" s="273"/>
      <c r="E58" s="273"/>
      <c r="F58" s="272"/>
    </row>
    <row r="59" spans="2:6" ht="12" customHeight="1" x14ac:dyDescent="0.15">
      <c r="B59" s="274"/>
      <c r="C59" s="273"/>
      <c r="D59" s="273"/>
      <c r="E59" s="273"/>
      <c r="F59" s="272"/>
    </row>
    <row r="60" spans="2:6" ht="12" customHeight="1" x14ac:dyDescent="0.15">
      <c r="B60" s="274"/>
      <c r="C60" s="273"/>
      <c r="D60" s="273"/>
      <c r="E60" s="273"/>
      <c r="F60" s="272"/>
    </row>
    <row r="61" spans="2:6" ht="12" customHeight="1" x14ac:dyDescent="0.15">
      <c r="B61" s="274"/>
      <c r="C61" s="273"/>
      <c r="D61" s="273"/>
      <c r="E61" s="273"/>
      <c r="F61" s="272"/>
    </row>
    <row r="62" spans="2:6" ht="12" customHeight="1" x14ac:dyDescent="0.15">
      <c r="B62" s="274"/>
      <c r="C62" s="273"/>
      <c r="D62" s="273"/>
      <c r="E62" s="273"/>
      <c r="F62" s="272"/>
    </row>
    <row r="63" spans="2:6" ht="12" customHeight="1" x14ac:dyDescent="0.15">
      <c r="B63" s="274"/>
      <c r="C63" s="273"/>
      <c r="D63" s="273"/>
      <c r="E63" s="273"/>
      <c r="F63" s="272"/>
    </row>
    <row r="64" spans="2:6" ht="12" customHeight="1" x14ac:dyDescent="0.15">
      <c r="B64" s="274"/>
      <c r="C64" s="273"/>
      <c r="D64" s="273"/>
      <c r="E64" s="273"/>
      <c r="F64" s="272"/>
    </row>
    <row r="65" spans="2:6" ht="12" customHeight="1" x14ac:dyDescent="0.15">
      <c r="B65" s="274"/>
      <c r="C65" s="273"/>
      <c r="D65" s="273"/>
      <c r="E65" s="273"/>
      <c r="F65" s="272"/>
    </row>
    <row r="66" spans="2:6" ht="12" customHeight="1" x14ac:dyDescent="0.15">
      <c r="B66" s="274"/>
      <c r="C66" s="273"/>
      <c r="D66" s="273"/>
      <c r="E66" s="273"/>
      <c r="F66" s="272"/>
    </row>
    <row r="67" spans="2:6" ht="12" customHeight="1" x14ac:dyDescent="0.15">
      <c r="B67" s="274"/>
      <c r="C67" s="273"/>
      <c r="D67" s="273"/>
      <c r="E67" s="273"/>
      <c r="F67" s="272"/>
    </row>
    <row r="68" spans="2:6" ht="12" customHeight="1" x14ac:dyDescent="0.15">
      <c r="B68" s="274"/>
      <c r="C68" s="273"/>
      <c r="D68" s="273"/>
      <c r="E68" s="273"/>
      <c r="F68" s="272"/>
    </row>
    <row r="69" spans="2:6" ht="12" customHeight="1" x14ac:dyDescent="0.15">
      <c r="B69" s="274"/>
      <c r="C69" s="273"/>
      <c r="D69" s="273"/>
      <c r="E69" s="273"/>
      <c r="F69" s="272"/>
    </row>
    <row r="70" spans="2:6" ht="12" customHeight="1" x14ac:dyDescent="0.15">
      <c r="B70" s="274"/>
      <c r="C70" s="273"/>
      <c r="D70" s="273"/>
      <c r="E70" s="273"/>
      <c r="F70" s="272"/>
    </row>
    <row r="71" spans="2:6" ht="12" customHeight="1" x14ac:dyDescent="0.15">
      <c r="B71" s="274"/>
      <c r="C71" s="273"/>
      <c r="D71" s="273"/>
      <c r="E71" s="273"/>
      <c r="F71" s="272"/>
    </row>
    <row r="72" spans="2:6" ht="12" customHeight="1" x14ac:dyDescent="0.15">
      <c r="B72" s="274"/>
      <c r="C72" s="273"/>
      <c r="D72" s="273"/>
      <c r="E72" s="273"/>
      <c r="F72" s="272"/>
    </row>
    <row r="73" spans="2:6" ht="12" customHeight="1" x14ac:dyDescent="0.15">
      <c r="B73" s="274"/>
      <c r="C73" s="273"/>
      <c r="D73" s="273"/>
      <c r="E73" s="273"/>
      <c r="F73" s="272"/>
    </row>
    <row r="74" spans="2:6" ht="12" customHeight="1" x14ac:dyDescent="0.15">
      <c r="B74" s="274"/>
      <c r="C74" s="273"/>
      <c r="D74" s="273"/>
      <c r="E74" s="273"/>
      <c r="F74" s="272"/>
    </row>
    <row r="75" spans="2:6" ht="12" customHeight="1" x14ac:dyDescent="0.15">
      <c r="B75" s="274"/>
      <c r="C75" s="273"/>
      <c r="D75" s="273"/>
      <c r="E75" s="273"/>
      <c r="F75" s="272"/>
    </row>
    <row r="76" spans="2:6" ht="12" customHeight="1" x14ac:dyDescent="0.15">
      <c r="B76" s="274"/>
      <c r="C76" s="273"/>
      <c r="D76" s="273"/>
      <c r="E76" s="273"/>
      <c r="F76" s="272"/>
    </row>
    <row r="77" spans="2:6" ht="12" customHeight="1" x14ac:dyDescent="0.15">
      <c r="B77" s="274"/>
      <c r="C77" s="273"/>
      <c r="D77" s="273"/>
      <c r="E77" s="273"/>
      <c r="F77" s="272"/>
    </row>
    <row r="78" spans="2:6" ht="12" customHeight="1" x14ac:dyDescent="0.15">
      <c r="B78" s="274"/>
      <c r="C78" s="273"/>
      <c r="D78" s="273"/>
      <c r="E78" s="273"/>
      <c r="F78" s="272"/>
    </row>
    <row r="79" spans="2:6" ht="12" customHeight="1" x14ac:dyDescent="0.15">
      <c r="B79" s="274"/>
      <c r="C79" s="273"/>
      <c r="D79" s="273"/>
      <c r="E79" s="273"/>
      <c r="F79" s="272"/>
    </row>
    <row r="80" spans="2:6" ht="12" customHeight="1" x14ac:dyDescent="0.15">
      <c r="B80" s="274"/>
      <c r="C80" s="273"/>
      <c r="D80" s="273"/>
      <c r="E80" s="273"/>
      <c r="F80" s="272"/>
    </row>
    <row r="81" spans="2:6" ht="12" customHeight="1" x14ac:dyDescent="0.15">
      <c r="B81" s="274"/>
      <c r="C81" s="273"/>
      <c r="D81" s="273"/>
      <c r="E81" s="273"/>
      <c r="F81" s="272"/>
    </row>
    <row r="82" spans="2:6" ht="12" customHeight="1" x14ac:dyDescent="0.15">
      <c r="B82" s="274"/>
      <c r="C82" s="273"/>
      <c r="D82" s="273"/>
      <c r="E82" s="273"/>
      <c r="F82" s="272"/>
    </row>
    <row r="83" spans="2:6" ht="12" customHeight="1" x14ac:dyDescent="0.15">
      <c r="B83" s="274"/>
      <c r="C83" s="273"/>
      <c r="D83" s="273"/>
      <c r="E83" s="273"/>
      <c r="F83" s="272"/>
    </row>
    <row r="84" spans="2:6" ht="12" customHeight="1" x14ac:dyDescent="0.15">
      <c r="B84" s="274"/>
      <c r="C84" s="273"/>
      <c r="D84" s="273"/>
      <c r="E84" s="273"/>
      <c r="F84" s="272"/>
    </row>
    <row r="85" spans="2:6" ht="12" customHeight="1" x14ac:dyDescent="0.15">
      <c r="B85" s="274"/>
      <c r="C85" s="273"/>
      <c r="D85" s="273"/>
      <c r="E85" s="273"/>
      <c r="F85" s="272"/>
    </row>
    <row r="86" spans="2:6" ht="12" customHeight="1" x14ac:dyDescent="0.15">
      <c r="B86" s="274"/>
      <c r="C86" s="273"/>
      <c r="D86" s="273"/>
      <c r="E86" s="273"/>
      <c r="F86" s="272"/>
    </row>
    <row r="87" spans="2:6" ht="12" customHeight="1" x14ac:dyDescent="0.15">
      <c r="B87" s="274"/>
      <c r="C87" s="273"/>
      <c r="D87" s="273"/>
      <c r="E87" s="273"/>
      <c r="F87" s="272"/>
    </row>
    <row r="88" spans="2:6" ht="12" customHeight="1" x14ac:dyDescent="0.15">
      <c r="B88" s="274"/>
      <c r="C88" s="273"/>
      <c r="D88" s="273"/>
      <c r="E88" s="273"/>
      <c r="F88" s="272"/>
    </row>
    <row r="89" spans="2:6" ht="12" customHeight="1" x14ac:dyDescent="0.15">
      <c r="B89" s="274"/>
      <c r="C89" s="273"/>
      <c r="D89" s="273"/>
      <c r="E89" s="273"/>
      <c r="F89" s="272"/>
    </row>
    <row r="90" spans="2:6" ht="12" customHeight="1" x14ac:dyDescent="0.15">
      <c r="B90" s="274"/>
      <c r="C90" s="273"/>
      <c r="D90" s="273"/>
      <c r="E90" s="273"/>
      <c r="F90" s="272"/>
    </row>
    <row r="91" spans="2:6" ht="12" customHeight="1" x14ac:dyDescent="0.15">
      <c r="B91" s="274"/>
      <c r="C91" s="273"/>
      <c r="D91" s="273"/>
      <c r="E91" s="273"/>
      <c r="F91" s="272"/>
    </row>
    <row r="92" spans="2:6" ht="12" customHeight="1" x14ac:dyDescent="0.15">
      <c r="B92" s="274"/>
      <c r="C92" s="273"/>
      <c r="D92" s="273"/>
      <c r="E92" s="273"/>
      <c r="F92" s="272"/>
    </row>
    <row r="93" spans="2:6" ht="12" customHeight="1" x14ac:dyDescent="0.15">
      <c r="B93" s="274"/>
      <c r="C93" s="273"/>
      <c r="D93" s="273"/>
      <c r="E93" s="273"/>
      <c r="F93" s="272"/>
    </row>
    <row r="94" spans="2:6" ht="12" customHeight="1" x14ac:dyDescent="0.15">
      <c r="B94" s="274"/>
      <c r="C94" s="273"/>
      <c r="D94" s="273"/>
      <c r="E94" s="273"/>
      <c r="F94" s="272"/>
    </row>
    <row r="95" spans="2:6" ht="12" customHeight="1" x14ac:dyDescent="0.15">
      <c r="B95" s="274"/>
      <c r="C95" s="273"/>
      <c r="D95" s="273"/>
      <c r="E95" s="273"/>
      <c r="F95" s="272"/>
    </row>
    <row r="96" spans="2:6" ht="12" customHeight="1" x14ac:dyDescent="0.15">
      <c r="B96" s="274"/>
      <c r="C96" s="273"/>
      <c r="D96" s="273"/>
      <c r="E96" s="273"/>
      <c r="F96" s="272"/>
    </row>
    <row r="97" spans="2:6" ht="12" customHeight="1" x14ac:dyDescent="0.15">
      <c r="B97" s="274"/>
      <c r="C97" s="273"/>
      <c r="D97" s="273"/>
      <c r="E97" s="273"/>
      <c r="F97" s="272"/>
    </row>
    <row r="98" spans="2:6" ht="12" customHeight="1" x14ac:dyDescent="0.15">
      <c r="B98" s="274"/>
      <c r="C98" s="273"/>
      <c r="D98" s="273"/>
      <c r="E98" s="273"/>
      <c r="F98" s="272"/>
    </row>
    <row r="99" spans="2:6" ht="12" customHeight="1" x14ac:dyDescent="0.15">
      <c r="B99" s="274"/>
      <c r="C99" s="273"/>
      <c r="D99" s="273"/>
      <c r="E99" s="273"/>
      <c r="F99" s="272"/>
    </row>
    <row r="100" spans="2:6" ht="12" customHeight="1" x14ac:dyDescent="0.15">
      <c r="B100" s="274"/>
      <c r="C100" s="273"/>
      <c r="D100" s="273"/>
      <c r="E100" s="273"/>
      <c r="F100" s="272"/>
    </row>
    <row r="101" spans="2:6" ht="12" customHeight="1" x14ac:dyDescent="0.15">
      <c r="B101" s="274"/>
      <c r="C101" s="273"/>
      <c r="D101" s="273"/>
      <c r="E101" s="273"/>
      <c r="F101" s="272"/>
    </row>
    <row r="102" spans="2:6" ht="12" customHeight="1" x14ac:dyDescent="0.15">
      <c r="B102" s="274"/>
      <c r="C102" s="273"/>
      <c r="D102" s="273"/>
      <c r="E102" s="273"/>
      <c r="F102" s="272"/>
    </row>
    <row r="103" spans="2:6" ht="12" customHeight="1" x14ac:dyDescent="0.15">
      <c r="B103" s="274"/>
      <c r="C103" s="273"/>
      <c r="D103" s="273"/>
      <c r="E103" s="273"/>
      <c r="F103" s="272"/>
    </row>
    <row r="104" spans="2:6" ht="12" customHeight="1" x14ac:dyDescent="0.15">
      <c r="B104" s="274"/>
      <c r="C104" s="273"/>
      <c r="D104" s="273"/>
      <c r="E104" s="273"/>
      <c r="F104" s="272"/>
    </row>
    <row r="105" spans="2:6" ht="12" customHeight="1" x14ac:dyDescent="0.15">
      <c r="B105" s="274"/>
      <c r="C105" s="273"/>
      <c r="D105" s="273"/>
      <c r="E105" s="273"/>
      <c r="F105" s="272"/>
    </row>
    <row r="106" spans="2:6" ht="12" customHeight="1" x14ac:dyDescent="0.15">
      <c r="B106" s="274"/>
      <c r="C106" s="273"/>
      <c r="D106" s="273"/>
      <c r="E106" s="273"/>
      <c r="F106" s="272"/>
    </row>
    <row r="107" spans="2:6" ht="12" customHeight="1" x14ac:dyDescent="0.15">
      <c r="B107" s="274"/>
      <c r="C107" s="273"/>
      <c r="D107" s="273"/>
      <c r="E107" s="273"/>
      <c r="F107" s="272"/>
    </row>
    <row r="108" spans="2:6" ht="12" customHeight="1" x14ac:dyDescent="0.15">
      <c r="B108" s="274"/>
      <c r="C108" s="273"/>
      <c r="D108" s="273"/>
      <c r="E108" s="273"/>
      <c r="F108" s="272"/>
    </row>
    <row r="109" spans="2:6" ht="12" customHeight="1" x14ac:dyDescent="0.15">
      <c r="B109" s="274"/>
      <c r="C109" s="273"/>
      <c r="D109" s="273"/>
      <c r="E109" s="273"/>
      <c r="F109" s="272"/>
    </row>
    <row r="110" spans="2:6" ht="12" customHeight="1" x14ac:dyDescent="0.15">
      <c r="B110" s="274"/>
      <c r="C110" s="273"/>
      <c r="D110" s="273"/>
      <c r="E110" s="273"/>
      <c r="F110" s="272"/>
    </row>
    <row r="111" spans="2:6" ht="12" customHeight="1" x14ac:dyDescent="0.15">
      <c r="B111" s="274"/>
      <c r="C111" s="273"/>
      <c r="D111" s="273"/>
      <c r="E111" s="273"/>
      <c r="F111" s="272"/>
    </row>
    <row r="112" spans="2:6" ht="12" customHeight="1" x14ac:dyDescent="0.15">
      <c r="B112" s="274"/>
      <c r="C112" s="273"/>
      <c r="D112" s="273"/>
      <c r="E112" s="273"/>
      <c r="F112" s="272"/>
    </row>
    <row r="113" spans="2:6" ht="12" customHeight="1" x14ac:dyDescent="0.15">
      <c r="B113" s="274"/>
      <c r="C113" s="273"/>
      <c r="D113" s="273"/>
      <c r="E113" s="273"/>
      <c r="F113" s="272"/>
    </row>
    <row r="114" spans="2:6" ht="12" customHeight="1" x14ac:dyDescent="0.15">
      <c r="B114" s="274"/>
      <c r="C114" s="273"/>
      <c r="D114" s="273"/>
      <c r="E114" s="273"/>
      <c r="F114" s="272"/>
    </row>
    <row r="115" spans="2:6" ht="12" customHeight="1" x14ac:dyDescent="0.15">
      <c r="B115" s="274"/>
      <c r="C115" s="273"/>
      <c r="D115" s="273"/>
      <c r="E115" s="273"/>
      <c r="F115" s="272"/>
    </row>
    <row r="116" spans="2:6" ht="12" customHeight="1" x14ac:dyDescent="0.15">
      <c r="B116" s="274"/>
      <c r="C116" s="273"/>
      <c r="D116" s="273"/>
      <c r="E116" s="273"/>
      <c r="F116" s="272"/>
    </row>
    <row r="117" spans="2:6" ht="12" customHeight="1" x14ac:dyDescent="0.15">
      <c r="B117" s="274"/>
      <c r="C117" s="273"/>
      <c r="D117" s="273"/>
      <c r="E117" s="273"/>
      <c r="F117" s="272"/>
    </row>
    <row r="118" spans="2:6" ht="12" customHeight="1" x14ac:dyDescent="0.15">
      <c r="B118" s="274"/>
      <c r="C118" s="273"/>
      <c r="D118" s="273"/>
      <c r="E118" s="273"/>
      <c r="F118" s="272"/>
    </row>
    <row r="119" spans="2:6" ht="12" customHeight="1" x14ac:dyDescent="0.15">
      <c r="B119" s="274"/>
      <c r="C119" s="273"/>
      <c r="D119" s="273"/>
      <c r="E119" s="273"/>
      <c r="F119" s="272"/>
    </row>
    <row r="120" spans="2:6" ht="12" customHeight="1" x14ac:dyDescent="0.15">
      <c r="B120" s="274"/>
      <c r="C120" s="273"/>
      <c r="D120" s="273"/>
      <c r="E120" s="273"/>
      <c r="F120" s="272"/>
    </row>
    <row r="121" spans="2:6" ht="12" customHeight="1" x14ac:dyDescent="0.15">
      <c r="B121" s="274"/>
      <c r="C121" s="273"/>
      <c r="D121" s="273"/>
      <c r="E121" s="273"/>
      <c r="F121" s="272"/>
    </row>
    <row r="122" spans="2:6" ht="12" customHeight="1" x14ac:dyDescent="0.15">
      <c r="B122" s="274"/>
      <c r="C122" s="273"/>
      <c r="D122" s="273"/>
      <c r="E122" s="273"/>
      <c r="F122" s="272"/>
    </row>
    <row r="123" spans="2:6" ht="12" customHeight="1" x14ac:dyDescent="0.15">
      <c r="B123" s="274"/>
      <c r="C123" s="273"/>
      <c r="D123" s="273"/>
      <c r="E123" s="273"/>
      <c r="F123" s="272"/>
    </row>
    <row r="124" spans="2:6" ht="12" customHeight="1" x14ac:dyDescent="0.15">
      <c r="B124" s="274"/>
      <c r="C124" s="273"/>
      <c r="D124" s="273"/>
      <c r="E124" s="273"/>
      <c r="F124" s="272"/>
    </row>
    <row r="125" spans="2:6" ht="12" customHeight="1" x14ac:dyDescent="0.15">
      <c r="B125" s="274"/>
      <c r="C125" s="273"/>
      <c r="D125" s="273"/>
      <c r="E125" s="273"/>
      <c r="F125" s="272"/>
    </row>
    <row r="126" spans="2:6" ht="12" customHeight="1" x14ac:dyDescent="0.15">
      <c r="B126" s="274"/>
      <c r="C126" s="273"/>
      <c r="D126" s="273"/>
      <c r="E126" s="273"/>
      <c r="F126" s="272"/>
    </row>
    <row r="127" spans="2:6" ht="12" customHeight="1" x14ac:dyDescent="0.15">
      <c r="B127" s="274"/>
      <c r="C127" s="273"/>
      <c r="D127" s="273"/>
      <c r="E127" s="273"/>
      <c r="F127" s="272"/>
    </row>
    <row r="128" spans="2:6" ht="12" customHeight="1" x14ac:dyDescent="0.15">
      <c r="B128" s="274"/>
      <c r="C128" s="273"/>
      <c r="D128" s="273"/>
      <c r="E128" s="273"/>
      <c r="F128" s="272"/>
    </row>
    <row r="129" spans="2:6" ht="12" customHeight="1" x14ac:dyDescent="0.15">
      <c r="B129" s="274"/>
      <c r="C129" s="273"/>
      <c r="D129" s="273"/>
      <c r="E129" s="273"/>
      <c r="F129" s="272"/>
    </row>
    <row r="130" spans="2:6" ht="12" customHeight="1" x14ac:dyDescent="0.15">
      <c r="B130" s="274"/>
      <c r="C130" s="273"/>
      <c r="D130" s="273"/>
      <c r="E130" s="273"/>
      <c r="F130" s="272"/>
    </row>
    <row r="131" spans="2:6" ht="12" customHeight="1" x14ac:dyDescent="0.15">
      <c r="B131" s="274"/>
      <c r="C131" s="273"/>
      <c r="D131" s="273"/>
      <c r="E131" s="273"/>
      <c r="F131" s="272"/>
    </row>
    <row r="132" spans="2:6" ht="12" customHeight="1" x14ac:dyDescent="0.15">
      <c r="B132" s="274"/>
      <c r="C132" s="273"/>
      <c r="D132" s="273"/>
      <c r="E132" s="273"/>
      <c r="F132" s="272"/>
    </row>
    <row r="133" spans="2:6" ht="12" customHeight="1" x14ac:dyDescent="0.15">
      <c r="B133" s="274"/>
      <c r="C133" s="273"/>
      <c r="D133" s="273"/>
      <c r="E133" s="273"/>
      <c r="F133" s="272"/>
    </row>
    <row r="134" spans="2:6" ht="12" customHeight="1" x14ac:dyDescent="0.15">
      <c r="B134" s="274"/>
      <c r="C134" s="273"/>
      <c r="D134" s="273"/>
      <c r="E134" s="273"/>
      <c r="F134" s="272"/>
    </row>
    <row r="135" spans="2:6" ht="12" customHeight="1" x14ac:dyDescent="0.15">
      <c r="B135" s="274"/>
      <c r="C135" s="273"/>
      <c r="D135" s="273"/>
      <c r="E135" s="273"/>
      <c r="F135" s="272"/>
    </row>
    <row r="136" spans="2:6" ht="12" customHeight="1" x14ac:dyDescent="0.15">
      <c r="B136" s="274"/>
      <c r="C136" s="273"/>
      <c r="D136" s="273"/>
      <c r="E136" s="273"/>
      <c r="F136" s="272"/>
    </row>
    <row r="137" spans="2:6" ht="12" customHeight="1" x14ac:dyDescent="0.15">
      <c r="B137" s="274"/>
      <c r="C137" s="273"/>
      <c r="D137" s="273"/>
      <c r="E137" s="273"/>
      <c r="F137" s="272"/>
    </row>
    <row r="138" spans="2:6" ht="12" customHeight="1" x14ac:dyDescent="0.15">
      <c r="B138" s="274"/>
      <c r="C138" s="273"/>
      <c r="D138" s="273"/>
      <c r="E138" s="273"/>
      <c r="F138" s="272"/>
    </row>
    <row r="139" spans="2:6" ht="12" customHeight="1" x14ac:dyDescent="0.15">
      <c r="B139" s="274"/>
      <c r="C139" s="273"/>
      <c r="D139" s="273"/>
      <c r="E139" s="273"/>
      <c r="F139" s="272"/>
    </row>
    <row r="140" spans="2:6" ht="12" customHeight="1" x14ac:dyDescent="0.15">
      <c r="B140" s="274"/>
      <c r="C140" s="273"/>
      <c r="D140" s="273"/>
      <c r="E140" s="273"/>
      <c r="F140" s="272"/>
    </row>
    <row r="141" spans="2:6" ht="12" customHeight="1" x14ac:dyDescent="0.15">
      <c r="B141" s="274"/>
      <c r="C141" s="273"/>
      <c r="D141" s="273"/>
      <c r="E141" s="273"/>
      <c r="F141" s="272"/>
    </row>
    <row r="142" spans="2:6" ht="12" customHeight="1" x14ac:dyDescent="0.15">
      <c r="B142" s="274"/>
      <c r="C142" s="273"/>
      <c r="D142" s="273"/>
      <c r="E142" s="273"/>
      <c r="F142" s="272"/>
    </row>
    <row r="143" spans="2:6" ht="12" customHeight="1" x14ac:dyDescent="0.15">
      <c r="B143" s="274"/>
      <c r="C143" s="273"/>
      <c r="D143" s="273"/>
      <c r="E143" s="273"/>
      <c r="F143" s="272"/>
    </row>
    <row r="144" spans="2:6" ht="12" customHeight="1" x14ac:dyDescent="0.15">
      <c r="B144" s="274"/>
      <c r="C144" s="273"/>
      <c r="D144" s="273"/>
      <c r="E144" s="273"/>
      <c r="F144" s="272"/>
    </row>
    <row r="145" spans="2:6" ht="12" customHeight="1" x14ac:dyDescent="0.15">
      <c r="B145" s="274"/>
      <c r="C145" s="273"/>
      <c r="D145" s="273"/>
      <c r="E145" s="273"/>
      <c r="F145" s="272"/>
    </row>
    <row r="146" spans="2:6" ht="12" customHeight="1" x14ac:dyDescent="0.15">
      <c r="B146" s="274"/>
      <c r="C146" s="273"/>
      <c r="D146" s="273"/>
      <c r="E146" s="273"/>
      <c r="F146" s="272"/>
    </row>
    <row r="147" spans="2:6" ht="12" customHeight="1" x14ac:dyDescent="0.15">
      <c r="B147" s="274"/>
      <c r="C147" s="273"/>
      <c r="D147" s="273"/>
      <c r="E147" s="273"/>
      <c r="F147" s="272"/>
    </row>
    <row r="148" spans="2:6" ht="12" customHeight="1" x14ac:dyDescent="0.15">
      <c r="B148" s="274"/>
      <c r="C148" s="273"/>
      <c r="D148" s="273"/>
      <c r="E148" s="273"/>
      <c r="F148" s="272"/>
    </row>
    <row r="149" spans="2:6" ht="12" customHeight="1" x14ac:dyDescent="0.15">
      <c r="B149" s="274"/>
      <c r="C149" s="273"/>
      <c r="D149" s="273"/>
      <c r="E149" s="273"/>
      <c r="F149" s="272"/>
    </row>
    <row r="150" spans="2:6" ht="12" customHeight="1" x14ac:dyDescent="0.15">
      <c r="B150" s="274"/>
      <c r="C150" s="273"/>
      <c r="D150" s="273"/>
      <c r="E150" s="273"/>
      <c r="F150" s="272"/>
    </row>
    <row r="151" spans="2:6" ht="12" customHeight="1" x14ac:dyDescent="0.15">
      <c r="B151" s="274"/>
      <c r="C151" s="273"/>
      <c r="D151" s="273"/>
      <c r="E151" s="273"/>
      <c r="F151" s="272"/>
    </row>
    <row r="152" spans="2:6" ht="12" customHeight="1" x14ac:dyDescent="0.15">
      <c r="B152" s="274"/>
      <c r="C152" s="273"/>
      <c r="D152" s="273"/>
      <c r="E152" s="273"/>
      <c r="F152" s="272"/>
    </row>
    <row r="153" spans="2:6" ht="12" customHeight="1" x14ac:dyDescent="0.15">
      <c r="B153" s="274"/>
      <c r="C153" s="273"/>
      <c r="D153" s="273"/>
      <c r="E153" s="273"/>
      <c r="F153" s="272"/>
    </row>
    <row r="154" spans="2:6" ht="12" customHeight="1" x14ac:dyDescent="0.15">
      <c r="B154" s="274"/>
      <c r="C154" s="273"/>
      <c r="D154" s="273"/>
      <c r="E154" s="273"/>
      <c r="F154" s="272"/>
    </row>
    <row r="155" spans="2:6" ht="12" customHeight="1" x14ac:dyDescent="0.15">
      <c r="B155" s="274"/>
      <c r="C155" s="273"/>
      <c r="D155" s="273"/>
      <c r="E155" s="273"/>
      <c r="F155" s="272"/>
    </row>
    <row r="156" spans="2:6" ht="12" customHeight="1" x14ac:dyDescent="0.15">
      <c r="B156" s="274"/>
      <c r="C156" s="273"/>
      <c r="D156" s="273"/>
      <c r="E156" s="273"/>
      <c r="F156" s="272"/>
    </row>
    <row r="157" spans="2:6" ht="12" customHeight="1" x14ac:dyDescent="0.15">
      <c r="B157" s="274"/>
      <c r="C157" s="273"/>
      <c r="D157" s="273"/>
      <c r="E157" s="273"/>
      <c r="F157" s="272"/>
    </row>
    <row r="158" spans="2:6" ht="12" customHeight="1" x14ac:dyDescent="0.15">
      <c r="B158" s="274"/>
      <c r="C158" s="273"/>
      <c r="D158" s="273"/>
      <c r="E158" s="273"/>
      <c r="F158" s="272"/>
    </row>
    <row r="159" spans="2:6" ht="12" customHeight="1" x14ac:dyDescent="0.15">
      <c r="B159" s="274"/>
      <c r="C159" s="273"/>
      <c r="D159" s="273"/>
      <c r="E159" s="273"/>
      <c r="F159" s="272"/>
    </row>
    <row r="160" spans="2:6" ht="12" customHeight="1" x14ac:dyDescent="0.15">
      <c r="B160" s="274"/>
      <c r="C160" s="273"/>
      <c r="D160" s="273"/>
      <c r="E160" s="273"/>
      <c r="F160" s="272"/>
    </row>
    <row r="161" spans="2:6" ht="12" customHeight="1" x14ac:dyDescent="0.15">
      <c r="B161" s="274"/>
      <c r="C161" s="273"/>
      <c r="D161" s="273"/>
      <c r="E161" s="273"/>
      <c r="F161" s="272"/>
    </row>
    <row r="162" spans="2:6" ht="12" customHeight="1" x14ac:dyDescent="0.15">
      <c r="B162" s="274"/>
      <c r="C162" s="273"/>
      <c r="D162" s="273"/>
      <c r="E162" s="273"/>
      <c r="F162" s="272"/>
    </row>
    <row r="163" spans="2:6" ht="12" customHeight="1" x14ac:dyDescent="0.15">
      <c r="B163" s="274"/>
      <c r="C163" s="273"/>
      <c r="D163" s="273"/>
      <c r="E163" s="273"/>
      <c r="F163" s="272"/>
    </row>
    <row r="164" spans="2:6" ht="12" customHeight="1" x14ac:dyDescent="0.15">
      <c r="B164" s="274"/>
      <c r="C164" s="273"/>
      <c r="D164" s="273"/>
      <c r="E164" s="273"/>
      <c r="F164" s="272"/>
    </row>
    <row r="165" spans="2:6" ht="12" customHeight="1" x14ac:dyDescent="0.15">
      <c r="B165" s="274"/>
      <c r="C165" s="273"/>
      <c r="D165" s="273"/>
      <c r="E165" s="273"/>
      <c r="F165" s="272"/>
    </row>
    <row r="166" spans="2:6" ht="12" customHeight="1" x14ac:dyDescent="0.15">
      <c r="B166" s="274"/>
      <c r="C166" s="273"/>
      <c r="D166" s="273"/>
      <c r="E166" s="273"/>
      <c r="F166" s="272"/>
    </row>
    <row r="167" spans="2:6" ht="12" customHeight="1" x14ac:dyDescent="0.15">
      <c r="B167" s="274"/>
      <c r="C167" s="273"/>
      <c r="D167" s="273"/>
      <c r="E167" s="273"/>
      <c r="F167" s="272"/>
    </row>
    <row r="168" spans="2:6" ht="12" customHeight="1" x14ac:dyDescent="0.15">
      <c r="B168" s="274"/>
      <c r="C168" s="273"/>
      <c r="D168" s="273"/>
      <c r="E168" s="273"/>
      <c r="F168" s="272"/>
    </row>
    <row r="169" spans="2:6" ht="12" customHeight="1" x14ac:dyDescent="0.15">
      <c r="B169" s="274"/>
      <c r="C169" s="273"/>
      <c r="D169" s="273"/>
      <c r="E169" s="273"/>
      <c r="F169" s="272"/>
    </row>
    <row r="170" spans="2:6" ht="12" customHeight="1" x14ac:dyDescent="0.15">
      <c r="B170" s="274"/>
      <c r="C170" s="273"/>
      <c r="D170" s="273"/>
      <c r="E170" s="273"/>
      <c r="F170" s="272"/>
    </row>
    <row r="171" spans="2:6" ht="12" customHeight="1" x14ac:dyDescent="0.15">
      <c r="B171" s="274"/>
      <c r="C171" s="273"/>
      <c r="D171" s="273"/>
      <c r="E171" s="273"/>
      <c r="F171" s="272"/>
    </row>
    <row r="172" spans="2:6" ht="12" customHeight="1" x14ac:dyDescent="0.15">
      <c r="B172" s="274"/>
      <c r="C172" s="273"/>
      <c r="D172" s="273"/>
      <c r="E172" s="273"/>
      <c r="F172" s="272"/>
    </row>
    <row r="173" spans="2:6" ht="12" customHeight="1" x14ac:dyDescent="0.15">
      <c r="B173" s="274"/>
      <c r="C173" s="273"/>
      <c r="D173" s="273"/>
      <c r="E173" s="273"/>
      <c r="F173" s="272"/>
    </row>
    <row r="174" spans="2:6" ht="12" customHeight="1" x14ac:dyDescent="0.15">
      <c r="B174" s="274"/>
      <c r="C174" s="273"/>
      <c r="D174" s="273"/>
      <c r="E174" s="273"/>
      <c r="F174" s="272"/>
    </row>
    <row r="175" spans="2:6" ht="12" customHeight="1" x14ac:dyDescent="0.15">
      <c r="B175" s="274"/>
      <c r="C175" s="273"/>
      <c r="D175" s="273"/>
      <c r="E175" s="273"/>
      <c r="F175" s="272"/>
    </row>
    <row r="176" spans="2:6" ht="12" customHeight="1" x14ac:dyDescent="0.15">
      <c r="B176" s="274"/>
      <c r="C176" s="273"/>
      <c r="D176" s="273"/>
      <c r="E176" s="273"/>
      <c r="F176" s="272"/>
    </row>
    <row r="177" spans="2:6" ht="12" customHeight="1" x14ac:dyDescent="0.15">
      <c r="B177" s="274"/>
      <c r="C177" s="273"/>
      <c r="D177" s="273"/>
      <c r="E177" s="273"/>
      <c r="F177" s="272"/>
    </row>
    <row r="178" spans="2:6" ht="12" customHeight="1" x14ac:dyDescent="0.15">
      <c r="B178" s="274"/>
      <c r="C178" s="273"/>
      <c r="D178" s="273"/>
      <c r="E178" s="273"/>
      <c r="F178" s="272"/>
    </row>
    <row r="179" spans="2:6" ht="12" customHeight="1" x14ac:dyDescent="0.15">
      <c r="B179" s="274"/>
      <c r="C179" s="273"/>
      <c r="D179" s="273"/>
      <c r="E179" s="273"/>
      <c r="F179" s="272"/>
    </row>
    <row r="180" spans="2:6" ht="12" customHeight="1" x14ac:dyDescent="0.15">
      <c r="B180" s="274"/>
      <c r="C180" s="273"/>
      <c r="D180" s="273"/>
      <c r="E180" s="273"/>
      <c r="F180" s="272"/>
    </row>
    <row r="181" spans="2:6" ht="12" customHeight="1" x14ac:dyDescent="0.15">
      <c r="B181" s="274"/>
      <c r="C181" s="273"/>
      <c r="D181" s="273"/>
      <c r="E181" s="273"/>
      <c r="F181" s="272"/>
    </row>
    <row r="182" spans="2:6" ht="12" customHeight="1" x14ac:dyDescent="0.15">
      <c r="B182" s="274"/>
      <c r="C182" s="273"/>
      <c r="D182" s="273"/>
      <c r="E182" s="273"/>
      <c r="F182" s="272"/>
    </row>
    <row r="183" spans="2:6" ht="12" customHeight="1" x14ac:dyDescent="0.15">
      <c r="B183" s="274"/>
      <c r="C183" s="273"/>
      <c r="D183" s="273"/>
      <c r="E183" s="273"/>
      <c r="F183" s="272"/>
    </row>
    <row r="184" spans="2:6" ht="12" customHeight="1" x14ac:dyDescent="0.15">
      <c r="B184" s="274"/>
      <c r="C184" s="273"/>
      <c r="D184" s="273"/>
      <c r="E184" s="273"/>
      <c r="F184" s="272"/>
    </row>
    <row r="185" spans="2:6" ht="12" customHeight="1" x14ac:dyDescent="0.15">
      <c r="B185" s="274"/>
      <c r="C185" s="273"/>
      <c r="D185" s="273"/>
      <c r="E185" s="273"/>
      <c r="F185" s="272"/>
    </row>
    <row r="186" spans="2:6" ht="12" customHeight="1" x14ac:dyDescent="0.15">
      <c r="B186" s="274"/>
      <c r="C186" s="273"/>
      <c r="D186" s="273"/>
      <c r="E186" s="273"/>
      <c r="F186" s="272"/>
    </row>
    <row r="187" spans="2:6" ht="12" customHeight="1" x14ac:dyDescent="0.15">
      <c r="B187" s="274"/>
      <c r="C187" s="273"/>
      <c r="D187" s="273"/>
      <c r="E187" s="273"/>
      <c r="F187" s="272"/>
    </row>
    <row r="188" spans="2:6" ht="12" customHeight="1" x14ac:dyDescent="0.15">
      <c r="B188" s="274"/>
      <c r="C188" s="273"/>
      <c r="D188" s="273"/>
      <c r="E188" s="273"/>
      <c r="F188" s="272"/>
    </row>
    <row r="189" spans="2:6" ht="12" customHeight="1" x14ac:dyDescent="0.15">
      <c r="B189" s="274"/>
      <c r="C189" s="273"/>
      <c r="D189" s="273"/>
      <c r="E189" s="273"/>
      <c r="F189" s="272"/>
    </row>
    <row r="190" spans="2:6" ht="12" customHeight="1" x14ac:dyDescent="0.15">
      <c r="B190" s="274"/>
      <c r="C190" s="273"/>
      <c r="D190" s="273"/>
      <c r="E190" s="273"/>
      <c r="F190" s="272"/>
    </row>
    <row r="191" spans="2:6" ht="12" customHeight="1" x14ac:dyDescent="0.15">
      <c r="B191" s="274"/>
      <c r="C191" s="273"/>
      <c r="D191" s="273"/>
      <c r="E191" s="273"/>
      <c r="F191" s="272"/>
    </row>
    <row r="192" spans="2:6" ht="12" customHeight="1" x14ac:dyDescent="0.15">
      <c r="B192" s="274"/>
      <c r="C192" s="273"/>
      <c r="D192" s="273"/>
      <c r="E192" s="273"/>
      <c r="F192" s="272"/>
    </row>
    <row r="193" spans="2:6" ht="12" customHeight="1" x14ac:dyDescent="0.15">
      <c r="B193" s="274"/>
      <c r="C193" s="273"/>
      <c r="D193" s="273"/>
      <c r="E193" s="273"/>
      <c r="F193" s="272"/>
    </row>
    <row r="194" spans="2:6" ht="12" customHeight="1" x14ac:dyDescent="0.15">
      <c r="B194" s="274"/>
      <c r="C194" s="273"/>
      <c r="D194" s="273"/>
      <c r="E194" s="273"/>
      <c r="F194" s="272"/>
    </row>
    <row r="195" spans="2:6" ht="12" customHeight="1" x14ac:dyDescent="0.15">
      <c r="B195" s="274"/>
      <c r="C195" s="273"/>
      <c r="D195" s="273"/>
      <c r="E195" s="273"/>
      <c r="F195" s="272"/>
    </row>
    <row r="196" spans="2:6" ht="12" customHeight="1" x14ac:dyDescent="0.15">
      <c r="B196" s="274"/>
      <c r="C196" s="273"/>
      <c r="D196" s="273"/>
      <c r="E196" s="273"/>
      <c r="F196" s="272"/>
    </row>
    <row r="197" spans="2:6" ht="12" customHeight="1" x14ac:dyDescent="0.15">
      <c r="B197" s="274"/>
      <c r="C197" s="273"/>
      <c r="D197" s="273"/>
      <c r="E197" s="273"/>
      <c r="F197" s="272"/>
    </row>
    <row r="198" spans="2:6" ht="12" customHeight="1" x14ac:dyDescent="0.15">
      <c r="B198" s="274"/>
      <c r="C198" s="273"/>
      <c r="D198" s="273"/>
      <c r="E198" s="273"/>
      <c r="F198" s="272"/>
    </row>
    <row r="199" spans="2:6" ht="12" customHeight="1" x14ac:dyDescent="0.15">
      <c r="B199" s="274"/>
      <c r="C199" s="273"/>
      <c r="D199" s="273"/>
      <c r="E199" s="273"/>
      <c r="F199" s="272"/>
    </row>
    <row r="200" spans="2:6" ht="12" customHeight="1" x14ac:dyDescent="0.15">
      <c r="B200" s="274"/>
      <c r="C200" s="273"/>
      <c r="D200" s="273"/>
      <c r="E200" s="273"/>
      <c r="F200" s="272"/>
    </row>
    <row r="201" spans="2:6" ht="12" customHeight="1" x14ac:dyDescent="0.15">
      <c r="B201" s="274"/>
      <c r="C201" s="273"/>
      <c r="D201" s="273"/>
      <c r="E201" s="273"/>
      <c r="F201" s="272"/>
    </row>
    <row r="202" spans="2:6" ht="12" customHeight="1" x14ac:dyDescent="0.15">
      <c r="B202" s="274"/>
      <c r="C202" s="273"/>
      <c r="D202" s="273"/>
      <c r="E202" s="273"/>
      <c r="F202" s="272"/>
    </row>
    <row r="203" spans="2:6" ht="12" customHeight="1" x14ac:dyDescent="0.15">
      <c r="B203" s="274"/>
      <c r="C203" s="273"/>
      <c r="D203" s="273"/>
      <c r="E203" s="273"/>
      <c r="F203" s="272"/>
    </row>
    <row r="204" spans="2:6" ht="12" customHeight="1" x14ac:dyDescent="0.15">
      <c r="B204" s="274"/>
      <c r="C204" s="273"/>
      <c r="D204" s="273"/>
      <c r="E204" s="273"/>
      <c r="F204" s="272"/>
    </row>
    <row r="205" spans="2:6" ht="12" customHeight="1" x14ac:dyDescent="0.15">
      <c r="B205" s="274"/>
      <c r="C205" s="273"/>
      <c r="D205" s="273"/>
      <c r="E205" s="273"/>
      <c r="F205" s="272"/>
    </row>
    <row r="206" spans="2:6" ht="12" customHeight="1" x14ac:dyDescent="0.15">
      <c r="B206" s="274"/>
      <c r="C206" s="273"/>
      <c r="D206" s="273"/>
      <c r="E206" s="273"/>
      <c r="F206" s="272"/>
    </row>
    <row r="207" spans="2:6" ht="12" customHeight="1" x14ac:dyDescent="0.15">
      <c r="B207" s="274"/>
      <c r="C207" s="273"/>
      <c r="D207" s="273"/>
      <c r="E207" s="273"/>
      <c r="F207" s="272"/>
    </row>
    <row r="208" spans="2:6" ht="12" customHeight="1" x14ac:dyDescent="0.15">
      <c r="B208" s="274"/>
      <c r="C208" s="273"/>
      <c r="D208" s="273"/>
      <c r="E208" s="273"/>
      <c r="F208" s="272"/>
    </row>
    <row r="209" spans="2:6" ht="12" customHeight="1" x14ac:dyDescent="0.15">
      <c r="B209" s="274"/>
      <c r="C209" s="273"/>
      <c r="D209" s="273"/>
      <c r="E209" s="273"/>
      <c r="F209" s="272"/>
    </row>
    <row r="210" spans="2:6" ht="12" customHeight="1" x14ac:dyDescent="0.15">
      <c r="B210" s="274"/>
      <c r="C210" s="273"/>
      <c r="D210" s="273"/>
      <c r="E210" s="273"/>
      <c r="F210" s="272"/>
    </row>
    <row r="211" spans="2:6" ht="12" customHeight="1" x14ac:dyDescent="0.15">
      <c r="B211" s="274"/>
      <c r="C211" s="273"/>
      <c r="D211" s="273"/>
      <c r="E211" s="273"/>
      <c r="F211" s="272"/>
    </row>
    <row r="212" spans="2:6" ht="12" customHeight="1" x14ac:dyDescent="0.15">
      <c r="B212" s="274"/>
      <c r="C212" s="273"/>
      <c r="D212" s="273"/>
      <c r="E212" s="273"/>
      <c r="F212" s="272"/>
    </row>
    <row r="213" spans="2:6" ht="12" customHeight="1" x14ac:dyDescent="0.15">
      <c r="B213" s="274"/>
      <c r="C213" s="273"/>
      <c r="D213" s="273"/>
      <c r="E213" s="273"/>
      <c r="F213" s="272"/>
    </row>
    <row r="214" spans="2:6" ht="12" customHeight="1" x14ac:dyDescent="0.15">
      <c r="B214" s="274"/>
      <c r="C214" s="273"/>
      <c r="D214" s="273"/>
      <c r="E214" s="273"/>
      <c r="F214" s="272"/>
    </row>
    <row r="215" spans="2:6" ht="12" customHeight="1" x14ac:dyDescent="0.15">
      <c r="B215" s="274"/>
      <c r="C215" s="273"/>
      <c r="D215" s="273"/>
      <c r="E215" s="273"/>
      <c r="F215" s="272"/>
    </row>
    <row r="216" spans="2:6" ht="12" customHeight="1" x14ac:dyDescent="0.15">
      <c r="B216" s="274"/>
      <c r="C216" s="273"/>
      <c r="D216" s="273"/>
      <c r="E216" s="273"/>
      <c r="F216" s="272"/>
    </row>
    <row r="217" spans="2:6" ht="12" customHeight="1" x14ac:dyDescent="0.15">
      <c r="B217" s="274"/>
      <c r="C217" s="273"/>
      <c r="D217" s="273"/>
      <c r="E217" s="273"/>
      <c r="F217" s="272"/>
    </row>
    <row r="218" spans="2:6" ht="12" customHeight="1" x14ac:dyDescent="0.15">
      <c r="B218" s="274"/>
      <c r="C218" s="273"/>
      <c r="D218" s="273"/>
      <c r="E218" s="273"/>
      <c r="F218" s="272"/>
    </row>
    <row r="219" spans="2:6" ht="12" customHeight="1" x14ac:dyDescent="0.15">
      <c r="B219" s="274"/>
      <c r="C219" s="273"/>
      <c r="D219" s="273"/>
      <c r="E219" s="273"/>
      <c r="F219" s="272"/>
    </row>
    <row r="220" spans="2:6" ht="12" customHeight="1" x14ac:dyDescent="0.15">
      <c r="B220" s="274"/>
      <c r="C220" s="273"/>
      <c r="D220" s="273"/>
      <c r="E220" s="273"/>
      <c r="F220" s="272"/>
    </row>
    <row r="221" spans="2:6" ht="12" customHeight="1" x14ac:dyDescent="0.15">
      <c r="B221" s="274"/>
      <c r="C221" s="273"/>
      <c r="D221" s="273"/>
      <c r="E221" s="273"/>
      <c r="F221" s="272"/>
    </row>
    <row r="222" spans="2:6" ht="12" customHeight="1" x14ac:dyDescent="0.15">
      <c r="B222" s="274"/>
      <c r="C222" s="273"/>
      <c r="D222" s="273"/>
      <c r="E222" s="273"/>
      <c r="F222" s="272"/>
    </row>
    <row r="223" spans="2:6" ht="12" customHeight="1" x14ac:dyDescent="0.15">
      <c r="B223" s="274"/>
      <c r="C223" s="273"/>
      <c r="D223" s="273"/>
      <c r="E223" s="273"/>
      <c r="F223" s="272"/>
    </row>
    <row r="224" spans="2:6" ht="12" customHeight="1" x14ac:dyDescent="0.15">
      <c r="B224" s="274"/>
      <c r="C224" s="273"/>
      <c r="D224" s="273"/>
      <c r="E224" s="273"/>
      <c r="F224" s="272"/>
    </row>
    <row r="225" spans="2:6" ht="12" customHeight="1" x14ac:dyDescent="0.15">
      <c r="B225" s="274"/>
      <c r="C225" s="273"/>
      <c r="D225" s="273"/>
      <c r="E225" s="273"/>
      <c r="F225" s="272"/>
    </row>
    <row r="226" spans="2:6" ht="12" customHeight="1" x14ac:dyDescent="0.15">
      <c r="B226" s="274"/>
      <c r="C226" s="273"/>
      <c r="D226" s="273"/>
      <c r="E226" s="273"/>
      <c r="F226" s="272"/>
    </row>
    <row r="227" spans="2:6" ht="12" customHeight="1" x14ac:dyDescent="0.15">
      <c r="B227" s="274"/>
      <c r="C227" s="273"/>
      <c r="D227" s="273"/>
      <c r="E227" s="273"/>
      <c r="F227" s="272"/>
    </row>
    <row r="228" spans="2:6" ht="12" customHeight="1" x14ac:dyDescent="0.15">
      <c r="B228" s="274"/>
      <c r="C228" s="273"/>
      <c r="D228" s="273"/>
      <c r="E228" s="273"/>
      <c r="F228" s="272"/>
    </row>
    <row r="229" spans="2:6" ht="12" customHeight="1" x14ac:dyDescent="0.15">
      <c r="B229" s="274"/>
      <c r="C229" s="273"/>
      <c r="D229" s="273"/>
      <c r="E229" s="273"/>
      <c r="F229" s="272"/>
    </row>
    <row r="230" spans="2:6" ht="12" customHeight="1" x14ac:dyDescent="0.15">
      <c r="B230" s="274"/>
      <c r="C230" s="273"/>
      <c r="D230" s="273"/>
      <c r="E230" s="273"/>
      <c r="F230" s="272"/>
    </row>
    <row r="231" spans="2:6" ht="12" customHeight="1" x14ac:dyDescent="0.15">
      <c r="B231" s="274"/>
      <c r="C231" s="273"/>
      <c r="D231" s="273"/>
      <c r="E231" s="273"/>
      <c r="F231" s="272"/>
    </row>
    <row r="232" spans="2:6" ht="12" customHeight="1" x14ac:dyDescent="0.15">
      <c r="B232" s="274"/>
      <c r="C232" s="273"/>
      <c r="D232" s="273"/>
      <c r="E232" s="273"/>
      <c r="F232" s="272"/>
    </row>
    <row r="233" spans="2:6" ht="12" customHeight="1" x14ac:dyDescent="0.15">
      <c r="B233" s="274"/>
      <c r="C233" s="273"/>
      <c r="D233" s="273"/>
      <c r="E233" s="273"/>
      <c r="F233" s="272"/>
    </row>
    <row r="234" spans="2:6" ht="12" customHeight="1" x14ac:dyDescent="0.15">
      <c r="B234" s="274"/>
      <c r="C234" s="273"/>
      <c r="D234" s="273"/>
      <c r="E234" s="273"/>
      <c r="F234" s="272"/>
    </row>
    <row r="235" spans="2:6" ht="12" customHeight="1" x14ac:dyDescent="0.15">
      <c r="B235" s="274"/>
      <c r="C235" s="273"/>
      <c r="D235" s="273"/>
      <c r="E235" s="273"/>
      <c r="F235" s="272"/>
    </row>
    <row r="236" spans="2:6" ht="12" customHeight="1" x14ac:dyDescent="0.15">
      <c r="B236" s="274"/>
      <c r="C236" s="273"/>
      <c r="D236" s="273"/>
      <c r="E236" s="273"/>
      <c r="F236" s="272"/>
    </row>
    <row r="237" spans="2:6" ht="12" customHeight="1" x14ac:dyDescent="0.15">
      <c r="B237" s="274"/>
      <c r="C237" s="273"/>
      <c r="D237" s="273"/>
      <c r="E237" s="273"/>
      <c r="F237" s="272"/>
    </row>
    <row r="238" spans="2:6" ht="12" customHeight="1" x14ac:dyDescent="0.15">
      <c r="B238" s="274"/>
      <c r="C238" s="273"/>
      <c r="D238" s="273"/>
      <c r="E238" s="273"/>
      <c r="F238" s="272"/>
    </row>
    <row r="239" spans="2:6" ht="12" customHeight="1" x14ac:dyDescent="0.15">
      <c r="B239" s="274"/>
      <c r="C239" s="273"/>
      <c r="D239" s="273"/>
      <c r="E239" s="273"/>
      <c r="F239" s="272"/>
    </row>
    <row r="240" spans="2:6" ht="12" customHeight="1" x14ac:dyDescent="0.15">
      <c r="B240" s="274"/>
      <c r="C240" s="273"/>
      <c r="D240" s="273"/>
      <c r="E240" s="273"/>
      <c r="F240" s="272"/>
    </row>
    <row r="241" spans="2:6" ht="12" customHeight="1" x14ac:dyDescent="0.15">
      <c r="B241" s="274"/>
      <c r="C241" s="273"/>
      <c r="D241" s="273"/>
      <c r="E241" s="273"/>
      <c r="F241" s="272"/>
    </row>
    <row r="242" spans="2:6" ht="12" customHeight="1" x14ac:dyDescent="0.15">
      <c r="B242" s="274"/>
      <c r="C242" s="273"/>
      <c r="D242" s="273"/>
      <c r="E242" s="273"/>
      <c r="F242" s="272"/>
    </row>
    <row r="243" spans="2:6" ht="12" customHeight="1" x14ac:dyDescent="0.15">
      <c r="B243" s="274"/>
      <c r="C243" s="273"/>
      <c r="D243" s="273"/>
      <c r="E243" s="273"/>
      <c r="F243" s="272"/>
    </row>
    <row r="244" spans="2:6" ht="12" customHeight="1" x14ac:dyDescent="0.15">
      <c r="B244" s="274"/>
      <c r="C244" s="273"/>
      <c r="D244" s="273"/>
      <c r="E244" s="273"/>
      <c r="F244" s="272"/>
    </row>
    <row r="245" spans="2:6" ht="12" customHeight="1" x14ac:dyDescent="0.15">
      <c r="B245" s="274"/>
      <c r="C245" s="273"/>
      <c r="D245" s="273"/>
      <c r="E245" s="273"/>
      <c r="F245" s="272"/>
    </row>
    <row r="246" spans="2:6" ht="12" customHeight="1" x14ac:dyDescent="0.15">
      <c r="B246" s="274"/>
      <c r="C246" s="273"/>
      <c r="D246" s="273"/>
      <c r="E246" s="273"/>
      <c r="F246" s="272"/>
    </row>
    <row r="247" spans="2:6" ht="12" customHeight="1" x14ac:dyDescent="0.15">
      <c r="B247" s="274"/>
      <c r="C247" s="273"/>
      <c r="D247" s="273"/>
      <c r="E247" s="273"/>
      <c r="F247" s="272"/>
    </row>
    <row r="248" spans="2:6" ht="12" customHeight="1" x14ac:dyDescent="0.15">
      <c r="B248" s="274"/>
      <c r="C248" s="273"/>
      <c r="D248" s="273"/>
      <c r="E248" s="273"/>
      <c r="F248" s="272"/>
    </row>
    <row r="249" spans="2:6" ht="12" customHeight="1" x14ac:dyDescent="0.15">
      <c r="B249" s="274"/>
      <c r="C249" s="273"/>
      <c r="D249" s="273"/>
      <c r="E249" s="273"/>
      <c r="F249" s="272"/>
    </row>
    <row r="250" spans="2:6" ht="12" customHeight="1" x14ac:dyDescent="0.15">
      <c r="B250" s="274"/>
      <c r="C250" s="273"/>
      <c r="D250" s="273"/>
      <c r="E250" s="273"/>
      <c r="F250" s="272"/>
    </row>
    <row r="251" spans="2:6" ht="12" customHeight="1" x14ac:dyDescent="0.15">
      <c r="B251" s="274"/>
      <c r="C251" s="273"/>
      <c r="D251" s="273"/>
      <c r="E251" s="273"/>
      <c r="F251" s="272"/>
    </row>
    <row r="252" spans="2:6" ht="12" customHeight="1" x14ac:dyDescent="0.15">
      <c r="B252" s="274"/>
      <c r="C252" s="273"/>
      <c r="D252" s="273"/>
      <c r="E252" s="273"/>
      <c r="F252" s="272"/>
    </row>
    <row r="253" spans="2:6" ht="12" customHeight="1" x14ac:dyDescent="0.15">
      <c r="B253" s="274"/>
      <c r="C253" s="273"/>
      <c r="D253" s="273"/>
      <c r="E253" s="273"/>
      <c r="F253" s="272"/>
    </row>
    <row r="254" spans="2:6" ht="12" customHeight="1" x14ac:dyDescent="0.15">
      <c r="B254" s="274"/>
      <c r="C254" s="273"/>
      <c r="D254" s="273"/>
      <c r="E254" s="273"/>
      <c r="F254" s="272"/>
    </row>
    <row r="255" spans="2:6" ht="12" customHeight="1" x14ac:dyDescent="0.15">
      <c r="B255" s="274"/>
      <c r="C255" s="273"/>
      <c r="D255" s="273"/>
      <c r="E255" s="273"/>
      <c r="F255" s="272"/>
    </row>
    <row r="256" spans="2:6" ht="12" customHeight="1" x14ac:dyDescent="0.15">
      <c r="B256" s="274"/>
      <c r="C256" s="273"/>
      <c r="D256" s="273"/>
      <c r="E256" s="273"/>
      <c r="F256" s="272"/>
    </row>
    <row r="257" spans="2:6" ht="12" customHeight="1" x14ac:dyDescent="0.15">
      <c r="B257" s="274"/>
      <c r="C257" s="273"/>
      <c r="D257" s="273"/>
      <c r="E257" s="273"/>
      <c r="F257" s="272"/>
    </row>
    <row r="258" spans="2:6" ht="12" customHeight="1" x14ac:dyDescent="0.15">
      <c r="B258" s="274"/>
      <c r="C258" s="273"/>
      <c r="D258" s="273"/>
      <c r="E258" s="273"/>
      <c r="F258" s="272"/>
    </row>
    <row r="259" spans="2:6" ht="12" customHeight="1" x14ac:dyDescent="0.15">
      <c r="B259" s="274"/>
      <c r="C259" s="273"/>
      <c r="D259" s="273"/>
      <c r="E259" s="273"/>
      <c r="F259" s="272"/>
    </row>
    <row r="260" spans="2:6" ht="12" customHeight="1" x14ac:dyDescent="0.15">
      <c r="B260" s="274"/>
      <c r="C260" s="273"/>
      <c r="D260" s="273"/>
      <c r="E260" s="273"/>
      <c r="F260" s="272"/>
    </row>
    <row r="261" spans="2:6" ht="12" customHeight="1" x14ac:dyDescent="0.15">
      <c r="B261" s="274"/>
      <c r="C261" s="273"/>
      <c r="D261" s="273"/>
      <c r="E261" s="273"/>
      <c r="F261" s="272"/>
    </row>
    <row r="262" spans="2:6" ht="12" customHeight="1" x14ac:dyDescent="0.15">
      <c r="B262" s="274"/>
      <c r="C262" s="273"/>
      <c r="D262" s="273"/>
      <c r="E262" s="273"/>
      <c r="F262" s="272"/>
    </row>
    <row r="263" spans="2:6" ht="12" customHeight="1" x14ac:dyDescent="0.15">
      <c r="B263" s="274"/>
      <c r="C263" s="273"/>
      <c r="D263" s="273"/>
      <c r="E263" s="273"/>
      <c r="F263" s="272"/>
    </row>
    <row r="264" spans="2:6" ht="12" customHeight="1" x14ac:dyDescent="0.15">
      <c r="B264" s="274"/>
      <c r="C264" s="273"/>
      <c r="D264" s="273"/>
      <c r="E264" s="273"/>
      <c r="F264" s="272"/>
    </row>
    <row r="265" spans="2:6" ht="12" customHeight="1" x14ac:dyDescent="0.15">
      <c r="B265" s="274"/>
      <c r="C265" s="273"/>
      <c r="D265" s="273"/>
      <c r="E265" s="273"/>
      <c r="F265" s="272"/>
    </row>
    <row r="266" spans="2:6" ht="12" customHeight="1" x14ac:dyDescent="0.15">
      <c r="B266" s="274"/>
      <c r="C266" s="273"/>
      <c r="D266" s="273"/>
      <c r="E266" s="273"/>
      <c r="F266" s="272"/>
    </row>
    <row r="267" spans="2:6" ht="12" customHeight="1" x14ac:dyDescent="0.15">
      <c r="B267" s="274"/>
      <c r="C267" s="273"/>
      <c r="D267" s="273"/>
      <c r="E267" s="273"/>
      <c r="F267" s="272"/>
    </row>
    <row r="268" spans="2:6" ht="12" customHeight="1" x14ac:dyDescent="0.15">
      <c r="B268" s="274"/>
      <c r="C268" s="273"/>
      <c r="D268" s="273"/>
      <c r="E268" s="273"/>
      <c r="F268" s="272"/>
    </row>
    <row r="269" spans="2:6" ht="12" customHeight="1" x14ac:dyDescent="0.15">
      <c r="B269" s="274"/>
      <c r="C269" s="273"/>
      <c r="D269" s="273"/>
      <c r="E269" s="273"/>
      <c r="F269" s="272"/>
    </row>
    <row r="270" spans="2:6" ht="12" customHeight="1" x14ac:dyDescent="0.15">
      <c r="B270" s="274"/>
      <c r="C270" s="273"/>
      <c r="D270" s="273"/>
      <c r="E270" s="273"/>
      <c r="F270" s="272"/>
    </row>
    <row r="271" spans="2:6" ht="12" customHeight="1" x14ac:dyDescent="0.15">
      <c r="B271" s="274"/>
      <c r="C271" s="273"/>
      <c r="D271" s="273"/>
      <c r="E271" s="273"/>
      <c r="F271" s="272"/>
    </row>
    <row r="272" spans="2:6" ht="12" customHeight="1" x14ac:dyDescent="0.15">
      <c r="B272" s="274"/>
      <c r="C272" s="273"/>
      <c r="D272" s="273"/>
      <c r="E272" s="273"/>
      <c r="F272" s="272"/>
    </row>
    <row r="273" spans="2:6" ht="12" customHeight="1" x14ac:dyDescent="0.15">
      <c r="B273" s="274"/>
      <c r="C273" s="273"/>
      <c r="D273" s="273"/>
      <c r="E273" s="273"/>
      <c r="F273" s="272"/>
    </row>
    <row r="274" spans="2:6" ht="12" customHeight="1" x14ac:dyDescent="0.15">
      <c r="B274" s="274"/>
      <c r="C274" s="273"/>
      <c r="D274" s="273"/>
      <c r="E274" s="273"/>
      <c r="F274" s="272"/>
    </row>
    <row r="275" spans="2:6" ht="12" customHeight="1" x14ac:dyDescent="0.15">
      <c r="B275" s="274"/>
      <c r="C275" s="273"/>
      <c r="D275" s="273"/>
      <c r="E275" s="273"/>
      <c r="F275" s="272"/>
    </row>
    <row r="276" spans="2:6" ht="12" customHeight="1" x14ac:dyDescent="0.15">
      <c r="B276" s="274"/>
      <c r="C276" s="273"/>
      <c r="D276" s="273"/>
      <c r="E276" s="273"/>
      <c r="F276" s="272"/>
    </row>
    <row r="277" spans="2:6" ht="12" customHeight="1" x14ac:dyDescent="0.15">
      <c r="B277" s="274"/>
      <c r="C277" s="273"/>
      <c r="D277" s="273"/>
      <c r="E277" s="273"/>
      <c r="F277" s="272"/>
    </row>
    <row r="278" spans="2:6" ht="12" customHeight="1" x14ac:dyDescent="0.15">
      <c r="B278" s="274"/>
      <c r="C278" s="273"/>
      <c r="D278" s="273"/>
      <c r="E278" s="273"/>
      <c r="F278" s="272"/>
    </row>
    <row r="279" spans="2:6" ht="12" customHeight="1" x14ac:dyDescent="0.15">
      <c r="B279" s="274"/>
      <c r="C279" s="273"/>
      <c r="D279" s="273"/>
      <c r="E279" s="273"/>
      <c r="F279" s="272"/>
    </row>
    <row r="280" spans="2:6" ht="12" customHeight="1" x14ac:dyDescent="0.15">
      <c r="B280" s="274"/>
      <c r="C280" s="273"/>
      <c r="D280" s="273"/>
      <c r="E280" s="273"/>
      <c r="F280" s="272"/>
    </row>
    <row r="281" spans="2:6" ht="12" customHeight="1" x14ac:dyDescent="0.15">
      <c r="B281" s="274"/>
      <c r="C281" s="273"/>
      <c r="D281" s="273"/>
      <c r="E281" s="273"/>
      <c r="F281" s="272"/>
    </row>
    <row r="282" spans="2:6" ht="12" customHeight="1" x14ac:dyDescent="0.15">
      <c r="B282" s="274"/>
      <c r="C282" s="273"/>
      <c r="D282" s="273"/>
      <c r="E282" s="273"/>
      <c r="F282" s="272"/>
    </row>
    <row r="283" spans="2:6" ht="12" customHeight="1" x14ac:dyDescent="0.15">
      <c r="B283" s="274"/>
      <c r="C283" s="273"/>
      <c r="D283" s="273"/>
      <c r="E283" s="273"/>
      <c r="F283" s="272"/>
    </row>
    <row r="284" spans="2:6" ht="12" customHeight="1" x14ac:dyDescent="0.15">
      <c r="B284" s="274"/>
      <c r="C284" s="273"/>
      <c r="D284" s="273"/>
      <c r="E284" s="273"/>
      <c r="F284" s="272"/>
    </row>
    <row r="285" spans="2:6" ht="12" customHeight="1" x14ac:dyDescent="0.15">
      <c r="B285" s="274"/>
      <c r="C285" s="273"/>
      <c r="D285" s="273"/>
      <c r="E285" s="273"/>
      <c r="F285" s="272"/>
    </row>
    <row r="286" spans="2:6" ht="12" customHeight="1" x14ac:dyDescent="0.15">
      <c r="B286" s="274"/>
      <c r="C286" s="273"/>
      <c r="D286" s="273"/>
      <c r="E286" s="273"/>
      <c r="F286" s="272"/>
    </row>
    <row r="287" spans="2:6" ht="12" customHeight="1" x14ac:dyDescent="0.15">
      <c r="B287" s="274"/>
      <c r="C287" s="273"/>
      <c r="D287" s="273"/>
      <c r="E287" s="273"/>
      <c r="F287" s="272"/>
    </row>
    <row r="288" spans="2:6" ht="12" customHeight="1" x14ac:dyDescent="0.15">
      <c r="B288" s="274"/>
      <c r="C288" s="273"/>
      <c r="D288" s="273"/>
      <c r="E288" s="273"/>
      <c r="F288" s="272"/>
    </row>
    <row r="289" spans="2:6" ht="12" customHeight="1" x14ac:dyDescent="0.15">
      <c r="B289" s="274"/>
      <c r="C289" s="273"/>
      <c r="D289" s="273"/>
      <c r="E289" s="273"/>
      <c r="F289" s="272"/>
    </row>
    <row r="290" spans="2:6" ht="12" customHeight="1" x14ac:dyDescent="0.15">
      <c r="B290" s="274"/>
      <c r="C290" s="273"/>
      <c r="D290" s="273"/>
      <c r="E290" s="273"/>
      <c r="F290" s="272"/>
    </row>
    <row r="291" spans="2:6" ht="12" customHeight="1" x14ac:dyDescent="0.15">
      <c r="B291" s="274"/>
      <c r="C291" s="273"/>
      <c r="D291" s="273"/>
      <c r="E291" s="273"/>
      <c r="F291" s="272"/>
    </row>
    <row r="292" spans="2:6" ht="12" customHeight="1" x14ac:dyDescent="0.15">
      <c r="B292" s="274"/>
      <c r="C292" s="273"/>
      <c r="D292" s="273"/>
      <c r="E292" s="273"/>
      <c r="F292" s="272"/>
    </row>
    <row r="293" spans="2:6" ht="12" customHeight="1" x14ac:dyDescent="0.15">
      <c r="B293" s="274"/>
      <c r="C293" s="273"/>
      <c r="D293" s="273"/>
      <c r="E293" s="273"/>
      <c r="F293" s="272"/>
    </row>
    <row r="294" spans="2:6" ht="12" customHeight="1" x14ac:dyDescent="0.15">
      <c r="B294" s="274"/>
      <c r="C294" s="273"/>
      <c r="D294" s="273"/>
      <c r="E294" s="273"/>
      <c r="F294" s="272"/>
    </row>
    <row r="295" spans="2:6" ht="12" customHeight="1" x14ac:dyDescent="0.15">
      <c r="B295" s="274"/>
      <c r="C295" s="273"/>
      <c r="D295" s="273"/>
      <c r="E295" s="273"/>
      <c r="F295" s="272"/>
    </row>
    <row r="296" spans="2:6" ht="12" customHeight="1" x14ac:dyDescent="0.15">
      <c r="B296" s="274"/>
      <c r="C296" s="273"/>
      <c r="D296" s="273"/>
      <c r="E296" s="273"/>
      <c r="F296" s="272"/>
    </row>
    <row r="297" spans="2:6" ht="12" customHeight="1" x14ac:dyDescent="0.15">
      <c r="B297" s="274"/>
      <c r="C297" s="273"/>
      <c r="D297" s="273"/>
      <c r="E297" s="273"/>
      <c r="F297" s="272"/>
    </row>
    <row r="298" spans="2:6" ht="12" customHeight="1" x14ac:dyDescent="0.15">
      <c r="B298" s="274"/>
      <c r="C298" s="273"/>
      <c r="D298" s="273"/>
      <c r="E298" s="273"/>
      <c r="F298" s="272"/>
    </row>
    <row r="299" spans="2:6" ht="12" customHeight="1" x14ac:dyDescent="0.15">
      <c r="B299" s="274"/>
      <c r="C299" s="273"/>
      <c r="D299" s="273"/>
      <c r="E299" s="273"/>
      <c r="F299" s="272"/>
    </row>
    <row r="300" spans="2:6" ht="12" customHeight="1" x14ac:dyDescent="0.15">
      <c r="B300" s="274"/>
      <c r="C300" s="273"/>
      <c r="D300" s="273"/>
      <c r="E300" s="273"/>
      <c r="F300" s="272"/>
    </row>
    <row r="301" spans="2:6" ht="12" customHeight="1" x14ac:dyDescent="0.15">
      <c r="B301" s="274"/>
      <c r="C301" s="273"/>
      <c r="D301" s="273"/>
      <c r="E301" s="273"/>
      <c r="F301" s="272"/>
    </row>
    <row r="302" spans="2:6" ht="12" customHeight="1" x14ac:dyDescent="0.15">
      <c r="B302" s="274"/>
      <c r="C302" s="273"/>
      <c r="D302" s="273"/>
      <c r="E302" s="273"/>
      <c r="F302" s="272"/>
    </row>
    <row r="303" spans="2:6" ht="12" customHeight="1" x14ac:dyDescent="0.15">
      <c r="B303" s="274"/>
      <c r="C303" s="273"/>
      <c r="D303" s="273"/>
      <c r="E303" s="273"/>
      <c r="F303" s="272"/>
    </row>
    <row r="304" spans="2:6" ht="12" customHeight="1" x14ac:dyDescent="0.15">
      <c r="B304" s="274"/>
      <c r="C304" s="273"/>
      <c r="D304" s="273"/>
      <c r="E304" s="273"/>
      <c r="F304" s="272"/>
    </row>
    <row r="305" spans="2:6" ht="12" customHeight="1" x14ac:dyDescent="0.15">
      <c r="B305" s="274"/>
      <c r="C305" s="273"/>
      <c r="D305" s="273"/>
      <c r="E305" s="273"/>
      <c r="F305" s="272"/>
    </row>
    <row r="306" spans="2:6" ht="12" customHeight="1" x14ac:dyDescent="0.15">
      <c r="B306" s="274"/>
      <c r="C306" s="273"/>
      <c r="D306" s="273"/>
      <c r="E306" s="273"/>
      <c r="F306" s="272"/>
    </row>
    <row r="307" spans="2:6" ht="12" customHeight="1" x14ac:dyDescent="0.15">
      <c r="B307" s="274"/>
      <c r="C307" s="273"/>
      <c r="D307" s="273"/>
      <c r="E307" s="273"/>
      <c r="F307" s="272"/>
    </row>
    <row r="308" spans="2:6" ht="12" customHeight="1" x14ac:dyDescent="0.15">
      <c r="B308" s="274"/>
      <c r="C308" s="273"/>
      <c r="D308" s="273"/>
      <c r="E308" s="273"/>
      <c r="F308" s="272"/>
    </row>
    <row r="309" spans="2:6" ht="12" customHeight="1" x14ac:dyDescent="0.15">
      <c r="B309" s="274"/>
      <c r="C309" s="273"/>
      <c r="D309" s="273"/>
      <c r="E309" s="273"/>
      <c r="F309" s="272"/>
    </row>
    <row r="310" spans="2:6" ht="12" customHeight="1" x14ac:dyDescent="0.15">
      <c r="B310" s="274"/>
      <c r="C310" s="273"/>
      <c r="D310" s="273"/>
      <c r="E310" s="273"/>
      <c r="F310" s="272"/>
    </row>
    <row r="311" spans="2:6" ht="12" customHeight="1" x14ac:dyDescent="0.15">
      <c r="B311" s="274"/>
      <c r="C311" s="273"/>
      <c r="D311" s="273"/>
      <c r="E311" s="273"/>
      <c r="F311" s="272"/>
    </row>
    <row r="312" spans="2:6" ht="12" customHeight="1" x14ac:dyDescent="0.15">
      <c r="B312" s="274"/>
      <c r="C312" s="273"/>
      <c r="D312" s="273"/>
      <c r="E312" s="273"/>
      <c r="F312" s="272"/>
    </row>
    <row r="313" spans="2:6" ht="12" customHeight="1" x14ac:dyDescent="0.15">
      <c r="B313" s="274"/>
      <c r="C313" s="273"/>
      <c r="D313" s="273"/>
      <c r="E313" s="273"/>
      <c r="F313" s="272"/>
    </row>
    <row r="314" spans="2:6" ht="12" customHeight="1" x14ac:dyDescent="0.15">
      <c r="B314" s="274"/>
      <c r="C314" s="273"/>
      <c r="D314" s="273"/>
      <c r="E314" s="273"/>
      <c r="F314" s="272"/>
    </row>
    <row r="315" spans="2:6" ht="12" customHeight="1" x14ac:dyDescent="0.15">
      <c r="B315" s="274"/>
      <c r="C315" s="273"/>
      <c r="D315" s="273"/>
      <c r="E315" s="273"/>
      <c r="F315" s="272"/>
    </row>
    <row r="316" spans="2:6" ht="12" customHeight="1" x14ac:dyDescent="0.15">
      <c r="B316" s="274"/>
      <c r="C316" s="273"/>
      <c r="D316" s="273"/>
      <c r="E316" s="273"/>
      <c r="F316" s="272"/>
    </row>
    <row r="317" spans="2:6" ht="12" customHeight="1" x14ac:dyDescent="0.15">
      <c r="B317" s="274"/>
      <c r="C317" s="273"/>
      <c r="D317" s="273"/>
      <c r="E317" s="273"/>
      <c r="F317" s="272"/>
    </row>
    <row r="318" spans="2:6" ht="12" customHeight="1" x14ac:dyDescent="0.15">
      <c r="B318" s="274"/>
      <c r="C318" s="273"/>
      <c r="D318" s="273"/>
      <c r="E318" s="273"/>
      <c r="F318" s="272"/>
    </row>
    <row r="319" spans="2:6" ht="12" customHeight="1" x14ac:dyDescent="0.15">
      <c r="B319" s="274"/>
      <c r="C319" s="273"/>
      <c r="D319" s="273"/>
      <c r="E319" s="273"/>
      <c r="F319" s="272"/>
    </row>
    <row r="320" spans="2:6" ht="12" customHeight="1" x14ac:dyDescent="0.15">
      <c r="B320" s="274"/>
      <c r="C320" s="273"/>
      <c r="D320" s="273"/>
      <c r="E320" s="273"/>
      <c r="F320" s="272"/>
    </row>
    <row r="321" spans="2:6" ht="12" customHeight="1" x14ac:dyDescent="0.15">
      <c r="B321" s="274"/>
      <c r="C321" s="273"/>
      <c r="D321" s="273"/>
      <c r="E321" s="273"/>
      <c r="F321" s="272"/>
    </row>
    <row r="322" spans="2:6" ht="12" customHeight="1" x14ac:dyDescent="0.15">
      <c r="B322" s="274"/>
      <c r="C322" s="273"/>
      <c r="D322" s="273"/>
      <c r="E322" s="273"/>
      <c r="F322" s="272"/>
    </row>
    <row r="323" spans="2:6" ht="12" customHeight="1" x14ac:dyDescent="0.15">
      <c r="B323" s="274"/>
      <c r="C323" s="273"/>
      <c r="D323" s="273"/>
      <c r="E323" s="273"/>
      <c r="F323" s="272"/>
    </row>
    <row r="324" spans="2:6" ht="12" customHeight="1" x14ac:dyDescent="0.15">
      <c r="B324" s="274"/>
      <c r="C324" s="273"/>
      <c r="D324" s="273"/>
      <c r="E324" s="273"/>
      <c r="F324" s="272"/>
    </row>
    <row r="325" spans="2:6" ht="12" customHeight="1" x14ac:dyDescent="0.15">
      <c r="B325" s="274"/>
      <c r="C325" s="273"/>
      <c r="D325" s="273"/>
      <c r="E325" s="273"/>
      <c r="F325" s="272"/>
    </row>
    <row r="326" spans="2:6" ht="12" customHeight="1" x14ac:dyDescent="0.15">
      <c r="B326" s="274"/>
      <c r="C326" s="273"/>
      <c r="D326" s="273"/>
      <c r="E326" s="273"/>
      <c r="F326" s="272"/>
    </row>
    <row r="327" spans="2:6" ht="12" customHeight="1" x14ac:dyDescent="0.15">
      <c r="B327" s="274"/>
      <c r="C327" s="273"/>
      <c r="D327" s="273"/>
      <c r="E327" s="273"/>
      <c r="F327" s="272"/>
    </row>
    <row r="328" spans="2:6" ht="12" customHeight="1" x14ac:dyDescent="0.15">
      <c r="B328" s="274"/>
      <c r="C328" s="273"/>
      <c r="D328" s="273"/>
      <c r="E328" s="273"/>
      <c r="F328" s="272"/>
    </row>
    <row r="329" spans="2:6" ht="12" customHeight="1" x14ac:dyDescent="0.15">
      <c r="B329" s="274"/>
      <c r="C329" s="273"/>
      <c r="D329" s="273"/>
      <c r="E329" s="273"/>
      <c r="F329" s="272"/>
    </row>
    <row r="330" spans="2:6" ht="12" customHeight="1" x14ac:dyDescent="0.15">
      <c r="B330" s="274"/>
      <c r="C330" s="273"/>
      <c r="D330" s="273"/>
      <c r="E330" s="273"/>
      <c r="F330" s="272"/>
    </row>
    <row r="331" spans="2:6" ht="12" customHeight="1" x14ac:dyDescent="0.15">
      <c r="B331" s="274"/>
      <c r="C331" s="273"/>
      <c r="D331" s="273"/>
      <c r="E331" s="273"/>
      <c r="F331" s="272"/>
    </row>
    <row r="332" spans="2:6" ht="12" customHeight="1" x14ac:dyDescent="0.15">
      <c r="B332" s="274"/>
      <c r="C332" s="273"/>
      <c r="D332" s="273"/>
      <c r="E332" s="273"/>
      <c r="F332" s="272"/>
    </row>
    <row r="333" spans="2:6" ht="12" customHeight="1" x14ac:dyDescent="0.15">
      <c r="B333" s="274"/>
      <c r="C333" s="273"/>
      <c r="D333" s="273"/>
      <c r="E333" s="273"/>
      <c r="F333" s="272"/>
    </row>
    <row r="334" spans="2:6" ht="12" customHeight="1" x14ac:dyDescent="0.15">
      <c r="B334" s="274"/>
      <c r="C334" s="273"/>
      <c r="D334" s="273"/>
      <c r="E334" s="273"/>
      <c r="F334" s="272"/>
    </row>
    <row r="335" spans="2:6" ht="12" customHeight="1" x14ac:dyDescent="0.15">
      <c r="B335" s="274"/>
      <c r="C335" s="273"/>
      <c r="D335" s="273"/>
      <c r="E335" s="273"/>
      <c r="F335" s="272"/>
    </row>
    <row r="336" spans="2:6" ht="12" customHeight="1" x14ac:dyDescent="0.15">
      <c r="B336" s="274"/>
      <c r="C336" s="273"/>
      <c r="D336" s="273"/>
      <c r="E336" s="273"/>
      <c r="F336" s="272"/>
    </row>
    <row r="337" spans="2:6" ht="12" customHeight="1" x14ac:dyDescent="0.15">
      <c r="B337" s="274"/>
      <c r="C337" s="273"/>
      <c r="D337" s="273"/>
      <c r="E337" s="273"/>
      <c r="F337" s="272"/>
    </row>
    <row r="338" spans="2:6" ht="12" customHeight="1" x14ac:dyDescent="0.15">
      <c r="B338" s="274"/>
      <c r="C338" s="273"/>
      <c r="D338" s="273"/>
      <c r="E338" s="273"/>
      <c r="F338" s="272"/>
    </row>
    <row r="339" spans="2:6" ht="12" customHeight="1" x14ac:dyDescent="0.15">
      <c r="B339" s="274"/>
      <c r="C339" s="273"/>
      <c r="D339" s="273"/>
      <c r="E339" s="273"/>
      <c r="F339" s="272"/>
    </row>
    <row r="340" spans="2:6" ht="12" customHeight="1" x14ac:dyDescent="0.15">
      <c r="B340" s="274"/>
      <c r="C340" s="273"/>
      <c r="D340" s="273"/>
      <c r="E340" s="273"/>
      <c r="F340" s="272"/>
    </row>
    <row r="341" spans="2:6" ht="12" customHeight="1" x14ac:dyDescent="0.15">
      <c r="B341" s="274"/>
      <c r="C341" s="273"/>
      <c r="D341" s="273"/>
      <c r="E341" s="273"/>
      <c r="F341" s="272"/>
    </row>
    <row r="342" spans="2:6" ht="12" customHeight="1" x14ac:dyDescent="0.15">
      <c r="B342" s="274"/>
      <c r="C342" s="273"/>
      <c r="D342" s="273"/>
      <c r="E342" s="273"/>
      <c r="F342" s="272"/>
    </row>
    <row r="343" spans="2:6" ht="12" customHeight="1" x14ac:dyDescent="0.15">
      <c r="B343" s="274"/>
      <c r="C343" s="273"/>
      <c r="D343" s="273"/>
      <c r="E343" s="273"/>
      <c r="F343" s="272"/>
    </row>
    <row r="344" spans="2:6" ht="12" customHeight="1" x14ac:dyDescent="0.15">
      <c r="B344" s="274"/>
      <c r="C344" s="273"/>
      <c r="D344" s="273"/>
      <c r="E344" s="273"/>
      <c r="F344" s="272"/>
    </row>
    <row r="345" spans="2:6" ht="12" customHeight="1" x14ac:dyDescent="0.15">
      <c r="B345" s="274"/>
      <c r="C345" s="273"/>
      <c r="D345" s="273"/>
      <c r="E345" s="273"/>
      <c r="F345" s="272"/>
    </row>
    <row r="346" spans="2:6" ht="12" customHeight="1" x14ac:dyDescent="0.15">
      <c r="B346" s="274"/>
      <c r="C346" s="273"/>
      <c r="D346" s="273"/>
      <c r="E346" s="273"/>
      <c r="F346" s="272"/>
    </row>
    <row r="347" spans="2:6" ht="12" customHeight="1" x14ac:dyDescent="0.15">
      <c r="B347" s="274"/>
      <c r="C347" s="273"/>
      <c r="D347" s="273"/>
      <c r="E347" s="273"/>
      <c r="F347" s="272"/>
    </row>
    <row r="348" spans="2:6" ht="12" customHeight="1" x14ac:dyDescent="0.15">
      <c r="B348" s="274"/>
      <c r="C348" s="273"/>
      <c r="D348" s="273"/>
      <c r="E348" s="273"/>
      <c r="F348" s="272"/>
    </row>
    <row r="349" spans="2:6" ht="12" customHeight="1" x14ac:dyDescent="0.15">
      <c r="B349" s="274"/>
      <c r="C349" s="273"/>
      <c r="D349" s="273"/>
      <c r="E349" s="273"/>
      <c r="F349" s="272"/>
    </row>
    <row r="350" spans="2:6" ht="12" customHeight="1" x14ac:dyDescent="0.15">
      <c r="B350" s="274"/>
      <c r="C350" s="273"/>
      <c r="D350" s="273"/>
      <c r="E350" s="273"/>
      <c r="F350" s="272"/>
    </row>
    <row r="351" spans="2:6" ht="12" customHeight="1" x14ac:dyDescent="0.15">
      <c r="B351" s="274"/>
      <c r="C351" s="273"/>
      <c r="D351" s="273"/>
      <c r="E351" s="273"/>
      <c r="F351" s="272"/>
    </row>
    <row r="352" spans="2:6" ht="12" customHeight="1" x14ac:dyDescent="0.15">
      <c r="B352" s="274"/>
      <c r="C352" s="273"/>
      <c r="D352" s="273"/>
      <c r="E352" s="273"/>
      <c r="F352" s="272"/>
    </row>
    <row r="353" spans="2:6" ht="12" customHeight="1" x14ac:dyDescent="0.15">
      <c r="B353" s="274"/>
      <c r="C353" s="273"/>
      <c r="D353" s="273"/>
      <c r="E353" s="273"/>
      <c r="F353" s="272"/>
    </row>
    <row r="354" spans="2:6" ht="12" customHeight="1" x14ac:dyDescent="0.15">
      <c r="B354" s="274"/>
      <c r="C354" s="273"/>
      <c r="D354" s="273"/>
      <c r="E354" s="273"/>
      <c r="F354" s="272"/>
    </row>
    <row r="355" spans="2:6" ht="12" customHeight="1" x14ac:dyDescent="0.15">
      <c r="B355" s="274"/>
      <c r="C355" s="273"/>
      <c r="D355" s="273"/>
      <c r="E355" s="273"/>
      <c r="F355" s="272"/>
    </row>
    <row r="356" spans="2:6" ht="12" customHeight="1" x14ac:dyDescent="0.15">
      <c r="B356" s="274"/>
      <c r="C356" s="273"/>
      <c r="D356" s="273"/>
      <c r="E356" s="273"/>
      <c r="F356" s="272"/>
    </row>
    <row r="357" spans="2:6" ht="12" customHeight="1" x14ac:dyDescent="0.15">
      <c r="B357" s="274"/>
      <c r="C357" s="273"/>
      <c r="D357" s="273"/>
      <c r="E357" s="273"/>
      <c r="F357" s="272"/>
    </row>
    <row r="358" spans="2:6" ht="12" customHeight="1" x14ac:dyDescent="0.15">
      <c r="B358" s="274"/>
      <c r="C358" s="273"/>
      <c r="D358" s="273"/>
      <c r="E358" s="273"/>
      <c r="F358" s="272"/>
    </row>
    <row r="359" spans="2:6" ht="12" customHeight="1" x14ac:dyDescent="0.15">
      <c r="B359" s="274"/>
      <c r="C359" s="273"/>
      <c r="D359" s="273"/>
      <c r="E359" s="273"/>
      <c r="F359" s="272"/>
    </row>
    <row r="360" spans="2:6" ht="12" customHeight="1" x14ac:dyDescent="0.15">
      <c r="B360" s="274"/>
      <c r="C360" s="273"/>
      <c r="D360" s="273"/>
      <c r="E360" s="273"/>
      <c r="F360" s="272"/>
    </row>
    <row r="361" spans="2:6" ht="12" customHeight="1" x14ac:dyDescent="0.15">
      <c r="B361" s="274"/>
      <c r="C361" s="273"/>
      <c r="D361" s="273"/>
      <c r="E361" s="273"/>
      <c r="F361" s="272"/>
    </row>
    <row r="362" spans="2:6" ht="12" customHeight="1" x14ac:dyDescent="0.15">
      <c r="B362" s="274"/>
      <c r="C362" s="273"/>
      <c r="D362" s="273"/>
      <c r="E362" s="273"/>
      <c r="F362" s="272"/>
    </row>
    <row r="363" spans="2:6" ht="12" customHeight="1" x14ac:dyDescent="0.15">
      <c r="B363" s="274"/>
      <c r="C363" s="273"/>
      <c r="D363" s="273"/>
      <c r="E363" s="273"/>
      <c r="F363" s="272"/>
    </row>
    <row r="364" spans="2:6" ht="12" customHeight="1" x14ac:dyDescent="0.15">
      <c r="B364" s="274"/>
      <c r="C364" s="273"/>
      <c r="D364" s="273"/>
      <c r="E364" s="273"/>
      <c r="F364" s="272"/>
    </row>
    <row r="365" spans="2:6" ht="12" customHeight="1" x14ac:dyDescent="0.15">
      <c r="B365" s="274"/>
      <c r="C365" s="273"/>
      <c r="D365" s="273"/>
      <c r="E365" s="273"/>
      <c r="F365" s="272"/>
    </row>
    <row r="366" spans="2:6" ht="12" customHeight="1" x14ac:dyDescent="0.15">
      <c r="B366" s="274"/>
      <c r="C366" s="273"/>
      <c r="D366" s="273"/>
      <c r="E366" s="273"/>
      <c r="F366" s="272"/>
    </row>
    <row r="367" spans="2:6" ht="12" customHeight="1" x14ac:dyDescent="0.15">
      <c r="B367" s="274"/>
      <c r="C367" s="273"/>
      <c r="D367" s="273"/>
      <c r="E367" s="273"/>
      <c r="F367" s="272"/>
    </row>
    <row r="368" spans="2:6" ht="12" customHeight="1" x14ac:dyDescent="0.15">
      <c r="B368" s="274"/>
      <c r="C368" s="273"/>
      <c r="D368" s="273"/>
      <c r="E368" s="273"/>
      <c r="F368" s="272"/>
    </row>
    <row r="369" spans="2:6" ht="12" customHeight="1" x14ac:dyDescent="0.15">
      <c r="B369" s="274"/>
      <c r="C369" s="273"/>
      <c r="D369" s="273"/>
      <c r="E369" s="273"/>
      <c r="F369" s="272"/>
    </row>
    <row r="370" spans="2:6" ht="12" customHeight="1" x14ac:dyDescent="0.15">
      <c r="B370" s="274"/>
      <c r="C370" s="273"/>
      <c r="D370" s="273"/>
      <c r="E370" s="273"/>
      <c r="F370" s="272"/>
    </row>
    <row r="371" spans="2:6" ht="12" customHeight="1" x14ac:dyDescent="0.15">
      <c r="B371" s="274"/>
      <c r="C371" s="273"/>
      <c r="D371" s="273"/>
      <c r="E371" s="273"/>
      <c r="F371" s="272"/>
    </row>
    <row r="372" spans="2:6" ht="12" customHeight="1" x14ac:dyDescent="0.15">
      <c r="B372" s="274"/>
      <c r="C372" s="273"/>
      <c r="D372" s="273"/>
      <c r="E372" s="273"/>
      <c r="F372" s="272"/>
    </row>
    <row r="373" spans="2:6" ht="12" customHeight="1" x14ac:dyDescent="0.15">
      <c r="B373" s="274"/>
      <c r="C373" s="273"/>
      <c r="D373" s="273"/>
      <c r="E373" s="273"/>
      <c r="F373" s="272"/>
    </row>
    <row r="374" spans="2:6" ht="12" customHeight="1" x14ac:dyDescent="0.15">
      <c r="B374" s="274"/>
      <c r="C374" s="273"/>
      <c r="D374" s="273"/>
      <c r="E374" s="273"/>
      <c r="F374" s="272"/>
    </row>
    <row r="375" spans="2:6" ht="12" customHeight="1" x14ac:dyDescent="0.15">
      <c r="B375" s="274"/>
      <c r="C375" s="273"/>
      <c r="D375" s="273"/>
      <c r="E375" s="273"/>
      <c r="F375" s="272"/>
    </row>
    <row r="376" spans="2:6" ht="12" customHeight="1" x14ac:dyDescent="0.15">
      <c r="B376" s="274"/>
      <c r="C376" s="273"/>
      <c r="D376" s="273"/>
      <c r="E376" s="273"/>
      <c r="F376" s="272"/>
    </row>
    <row r="377" spans="2:6" ht="12" customHeight="1" x14ac:dyDescent="0.15">
      <c r="B377" s="274"/>
      <c r="C377" s="273"/>
      <c r="D377" s="273"/>
      <c r="E377" s="273"/>
      <c r="F377" s="272"/>
    </row>
    <row r="378" spans="2:6" ht="12" customHeight="1" x14ac:dyDescent="0.15">
      <c r="B378" s="274"/>
      <c r="C378" s="273"/>
      <c r="D378" s="273"/>
      <c r="E378" s="273"/>
      <c r="F378" s="272"/>
    </row>
    <row r="379" spans="2:6" ht="12" customHeight="1" x14ac:dyDescent="0.15">
      <c r="B379" s="274"/>
      <c r="C379" s="273"/>
      <c r="D379" s="273"/>
      <c r="E379" s="273"/>
      <c r="F379" s="272"/>
    </row>
    <row r="380" spans="2:6" ht="12" customHeight="1" x14ac:dyDescent="0.15">
      <c r="B380" s="274"/>
      <c r="C380" s="273"/>
      <c r="D380" s="273"/>
      <c r="E380" s="273"/>
      <c r="F380" s="272"/>
    </row>
    <row r="381" spans="2:6" ht="12" customHeight="1" x14ac:dyDescent="0.15">
      <c r="B381" s="274"/>
      <c r="C381" s="273"/>
      <c r="D381" s="273"/>
      <c r="E381" s="273"/>
      <c r="F381" s="272"/>
    </row>
    <row r="382" spans="2:6" ht="12" customHeight="1" x14ac:dyDescent="0.15">
      <c r="B382" s="274"/>
      <c r="C382" s="273"/>
      <c r="D382" s="273"/>
      <c r="E382" s="273"/>
      <c r="F382" s="272"/>
    </row>
    <row r="383" spans="2:6" ht="12" customHeight="1" x14ac:dyDescent="0.15">
      <c r="B383" s="274"/>
      <c r="C383" s="273"/>
      <c r="D383" s="273"/>
      <c r="E383" s="273"/>
      <c r="F383" s="272"/>
    </row>
    <row r="384" spans="2:6" ht="12" customHeight="1" x14ac:dyDescent="0.15">
      <c r="B384" s="274"/>
      <c r="C384" s="273"/>
      <c r="D384" s="273"/>
      <c r="E384" s="273"/>
      <c r="F384" s="272"/>
    </row>
    <row r="385" spans="2:6" ht="12" customHeight="1" x14ac:dyDescent="0.15">
      <c r="B385" s="274"/>
      <c r="C385" s="273"/>
      <c r="D385" s="273"/>
      <c r="E385" s="273"/>
      <c r="F385" s="272"/>
    </row>
    <row r="386" spans="2:6" ht="12" customHeight="1" x14ac:dyDescent="0.15">
      <c r="B386" s="274"/>
      <c r="C386" s="273"/>
      <c r="D386" s="273"/>
      <c r="E386" s="273"/>
      <c r="F386" s="272"/>
    </row>
    <row r="387" spans="2:6" ht="12" customHeight="1" x14ac:dyDescent="0.15">
      <c r="B387" s="274"/>
      <c r="C387" s="273"/>
      <c r="D387" s="273"/>
      <c r="E387" s="273"/>
      <c r="F387" s="272"/>
    </row>
    <row r="388" spans="2:6" ht="12" customHeight="1" x14ac:dyDescent="0.15">
      <c r="B388" s="274"/>
      <c r="C388" s="273"/>
      <c r="D388" s="273"/>
      <c r="E388" s="273"/>
      <c r="F388" s="272"/>
    </row>
    <row r="389" spans="2:6" ht="12" customHeight="1" x14ac:dyDescent="0.15">
      <c r="B389" s="274"/>
      <c r="C389" s="273"/>
      <c r="D389" s="273"/>
      <c r="E389" s="273"/>
      <c r="F389" s="272"/>
    </row>
    <row r="390" spans="2:6" ht="12" customHeight="1" x14ac:dyDescent="0.15">
      <c r="B390" s="274"/>
      <c r="C390" s="273"/>
      <c r="D390" s="273"/>
      <c r="E390" s="273"/>
      <c r="F390" s="272"/>
    </row>
    <row r="391" spans="2:6" ht="12" customHeight="1" x14ac:dyDescent="0.15">
      <c r="B391" s="274"/>
      <c r="C391" s="273"/>
      <c r="D391" s="273"/>
      <c r="E391" s="273"/>
      <c r="F391" s="272"/>
    </row>
    <row r="392" spans="2:6" ht="12" customHeight="1" x14ac:dyDescent="0.15">
      <c r="B392" s="274"/>
      <c r="C392" s="273"/>
      <c r="D392" s="273"/>
      <c r="E392" s="273"/>
      <c r="F392" s="272"/>
    </row>
    <row r="393" spans="2:6" ht="12" customHeight="1" x14ac:dyDescent="0.15">
      <c r="B393" s="274"/>
      <c r="C393" s="273"/>
      <c r="D393" s="273"/>
      <c r="E393" s="273"/>
      <c r="F393" s="272"/>
    </row>
    <row r="394" spans="2:6" ht="12" customHeight="1" x14ac:dyDescent="0.15">
      <c r="B394" s="274"/>
      <c r="C394" s="273"/>
      <c r="D394" s="273"/>
      <c r="E394" s="273"/>
      <c r="F394" s="272"/>
    </row>
    <row r="395" spans="2:6" ht="12" customHeight="1" x14ac:dyDescent="0.15">
      <c r="B395" s="274"/>
      <c r="C395" s="273"/>
      <c r="D395" s="273"/>
      <c r="E395" s="273"/>
      <c r="F395" s="272"/>
    </row>
    <row r="396" spans="2:6" ht="12" customHeight="1" x14ac:dyDescent="0.15">
      <c r="B396" s="274"/>
      <c r="C396" s="273"/>
      <c r="D396" s="273"/>
      <c r="E396" s="273"/>
      <c r="F396" s="272"/>
    </row>
    <row r="397" spans="2:6" ht="12" customHeight="1" x14ac:dyDescent="0.15">
      <c r="B397" s="274"/>
      <c r="C397" s="273"/>
      <c r="D397" s="273"/>
      <c r="E397" s="273"/>
      <c r="F397" s="272"/>
    </row>
    <row r="398" spans="2:6" ht="12" customHeight="1" x14ac:dyDescent="0.15">
      <c r="B398" s="274"/>
      <c r="C398" s="273"/>
      <c r="D398" s="273"/>
      <c r="E398" s="273"/>
      <c r="F398" s="272"/>
    </row>
    <row r="399" spans="2:6" ht="12" customHeight="1" x14ac:dyDescent="0.15">
      <c r="B399" s="274"/>
      <c r="C399" s="273"/>
      <c r="D399" s="273"/>
      <c r="E399" s="273"/>
      <c r="F399" s="272"/>
    </row>
    <row r="400" spans="2:6" ht="12" customHeight="1" x14ac:dyDescent="0.15">
      <c r="B400" s="274"/>
      <c r="C400" s="273"/>
      <c r="D400" s="273"/>
      <c r="E400" s="273"/>
      <c r="F400" s="272"/>
    </row>
    <row r="401" spans="2:6" ht="12" customHeight="1" x14ac:dyDescent="0.15">
      <c r="B401" s="274"/>
      <c r="C401" s="273"/>
      <c r="D401" s="273"/>
      <c r="E401" s="273"/>
      <c r="F401" s="272"/>
    </row>
    <row r="402" spans="2:6" ht="12" customHeight="1" x14ac:dyDescent="0.15">
      <c r="B402" s="274"/>
      <c r="C402" s="273"/>
      <c r="D402" s="273"/>
      <c r="E402" s="273"/>
      <c r="F402" s="272"/>
    </row>
    <row r="403" spans="2:6" ht="12" customHeight="1" x14ac:dyDescent="0.15">
      <c r="B403" s="274"/>
      <c r="C403" s="273"/>
      <c r="D403" s="273"/>
      <c r="E403" s="273"/>
      <c r="F403" s="272"/>
    </row>
    <row r="404" spans="2:6" ht="12" customHeight="1" x14ac:dyDescent="0.15">
      <c r="B404" s="274"/>
      <c r="C404" s="273"/>
      <c r="D404" s="273"/>
      <c r="E404" s="273"/>
      <c r="F404" s="272"/>
    </row>
    <row r="405" spans="2:6" ht="12" customHeight="1" x14ac:dyDescent="0.15">
      <c r="B405" s="274"/>
      <c r="C405" s="273"/>
      <c r="D405" s="273"/>
      <c r="E405" s="273"/>
      <c r="F405" s="272"/>
    </row>
    <row r="406" spans="2:6" ht="12" customHeight="1" x14ac:dyDescent="0.15">
      <c r="B406" s="274"/>
      <c r="C406" s="273"/>
      <c r="D406" s="273"/>
      <c r="E406" s="273"/>
      <c r="F406" s="272"/>
    </row>
    <row r="407" spans="2:6" ht="12" customHeight="1" x14ac:dyDescent="0.15">
      <c r="B407" s="274"/>
      <c r="C407" s="273"/>
      <c r="D407" s="273"/>
      <c r="E407" s="273"/>
      <c r="F407" s="272"/>
    </row>
    <row r="408" spans="2:6" ht="12" customHeight="1" x14ac:dyDescent="0.15">
      <c r="B408" s="274"/>
      <c r="C408" s="273"/>
      <c r="D408" s="273"/>
      <c r="E408" s="273"/>
      <c r="F408" s="272"/>
    </row>
    <row r="409" spans="2:6" ht="12" customHeight="1" x14ac:dyDescent="0.15">
      <c r="B409" s="274"/>
      <c r="C409" s="273"/>
      <c r="D409" s="273"/>
      <c r="E409" s="273"/>
      <c r="F409" s="272"/>
    </row>
    <row r="410" spans="2:6" ht="12" customHeight="1" x14ac:dyDescent="0.15">
      <c r="B410" s="274"/>
      <c r="C410" s="273"/>
      <c r="D410" s="273"/>
      <c r="E410" s="273"/>
      <c r="F410" s="272"/>
    </row>
    <row r="411" spans="2:6" ht="12" customHeight="1" x14ac:dyDescent="0.15">
      <c r="B411" s="274"/>
      <c r="C411" s="273"/>
      <c r="D411" s="273"/>
      <c r="E411" s="273"/>
      <c r="F411" s="272"/>
    </row>
    <row r="412" spans="2:6" ht="12" customHeight="1" x14ac:dyDescent="0.15">
      <c r="B412" s="274"/>
      <c r="C412" s="273"/>
      <c r="D412" s="273"/>
      <c r="E412" s="273"/>
      <c r="F412" s="272"/>
    </row>
    <row r="413" spans="2:6" ht="12" customHeight="1" x14ac:dyDescent="0.15">
      <c r="B413" s="274"/>
      <c r="C413" s="273"/>
      <c r="D413" s="273"/>
      <c r="E413" s="273"/>
      <c r="F413" s="272"/>
    </row>
    <row r="414" spans="2:6" ht="12" customHeight="1" x14ac:dyDescent="0.15">
      <c r="B414" s="274"/>
      <c r="C414" s="273"/>
      <c r="D414" s="273"/>
      <c r="E414" s="273"/>
      <c r="F414" s="272"/>
    </row>
    <row r="415" spans="2:6" ht="12" customHeight="1" x14ac:dyDescent="0.15">
      <c r="B415" s="274"/>
      <c r="C415" s="273"/>
      <c r="D415" s="273"/>
      <c r="E415" s="273"/>
      <c r="F415" s="272"/>
    </row>
    <row r="416" spans="2:6" ht="12" customHeight="1" x14ac:dyDescent="0.15">
      <c r="B416" s="274"/>
      <c r="C416" s="273"/>
      <c r="D416" s="273"/>
      <c r="E416" s="273"/>
      <c r="F416" s="272"/>
    </row>
    <row r="417" spans="2:6" ht="12" customHeight="1" x14ac:dyDescent="0.15">
      <c r="B417" s="274"/>
      <c r="C417" s="273"/>
      <c r="D417" s="273"/>
      <c r="E417" s="273"/>
      <c r="F417" s="272"/>
    </row>
    <row r="418" spans="2:6" ht="12" customHeight="1" x14ac:dyDescent="0.15">
      <c r="B418" s="274"/>
      <c r="C418" s="273"/>
      <c r="D418" s="273"/>
      <c r="E418" s="273"/>
      <c r="F418" s="272"/>
    </row>
    <row r="419" spans="2:6" ht="12" customHeight="1" x14ac:dyDescent="0.15">
      <c r="B419" s="274"/>
      <c r="C419" s="273"/>
      <c r="D419" s="273"/>
      <c r="E419" s="273"/>
      <c r="F419" s="272"/>
    </row>
    <row r="420" spans="2:6" ht="12" customHeight="1" x14ac:dyDescent="0.15">
      <c r="B420" s="274"/>
      <c r="C420" s="273"/>
      <c r="D420" s="273"/>
      <c r="E420" s="273"/>
      <c r="F420" s="272"/>
    </row>
    <row r="421" spans="2:6" ht="12" customHeight="1" x14ac:dyDescent="0.15">
      <c r="B421" s="274"/>
      <c r="C421" s="273"/>
      <c r="D421" s="273"/>
      <c r="E421" s="273"/>
      <c r="F421" s="272"/>
    </row>
    <row r="422" spans="2:6" ht="12" customHeight="1" x14ac:dyDescent="0.15">
      <c r="B422" s="274"/>
      <c r="C422" s="273"/>
      <c r="D422" s="273"/>
      <c r="E422" s="273"/>
      <c r="F422" s="272"/>
    </row>
    <row r="423" spans="2:6" ht="12" customHeight="1" x14ac:dyDescent="0.15">
      <c r="B423" s="274"/>
      <c r="C423" s="273"/>
      <c r="D423" s="273"/>
      <c r="E423" s="273"/>
      <c r="F423" s="272"/>
    </row>
    <row r="424" spans="2:6" ht="12" customHeight="1" x14ac:dyDescent="0.15">
      <c r="B424" s="274"/>
      <c r="C424" s="273"/>
      <c r="D424" s="273"/>
      <c r="E424" s="273"/>
      <c r="F424" s="272"/>
    </row>
    <row r="425" spans="2:6" ht="12" customHeight="1" x14ac:dyDescent="0.15">
      <c r="B425" s="274"/>
      <c r="C425" s="273"/>
      <c r="D425" s="273"/>
      <c r="E425" s="273"/>
      <c r="F425" s="272"/>
    </row>
    <row r="426" spans="2:6" ht="12" customHeight="1" x14ac:dyDescent="0.15">
      <c r="B426" s="274"/>
      <c r="C426" s="273"/>
      <c r="D426" s="273"/>
      <c r="E426" s="273"/>
      <c r="F426" s="272"/>
    </row>
    <row r="427" spans="2:6" ht="12" customHeight="1" x14ac:dyDescent="0.15">
      <c r="B427" s="274"/>
      <c r="C427" s="273"/>
      <c r="D427" s="273"/>
      <c r="E427" s="273"/>
      <c r="F427" s="272"/>
    </row>
    <row r="428" spans="2:6" ht="12" customHeight="1" x14ac:dyDescent="0.15">
      <c r="B428" s="274"/>
      <c r="C428" s="273"/>
      <c r="D428" s="273"/>
      <c r="E428" s="273"/>
      <c r="F428" s="272"/>
    </row>
    <row r="429" spans="2:6" ht="12" customHeight="1" x14ac:dyDescent="0.15">
      <c r="B429" s="274"/>
      <c r="C429" s="273"/>
      <c r="D429" s="273"/>
      <c r="E429" s="273"/>
      <c r="F429" s="272"/>
    </row>
    <row r="430" spans="2:6" ht="12" customHeight="1" x14ac:dyDescent="0.15">
      <c r="B430" s="274"/>
      <c r="C430" s="273"/>
      <c r="D430" s="273"/>
      <c r="E430" s="273"/>
      <c r="F430" s="272"/>
    </row>
    <row r="431" spans="2:6" ht="12" customHeight="1" x14ac:dyDescent="0.15">
      <c r="B431" s="274"/>
      <c r="C431" s="273"/>
      <c r="D431" s="273"/>
      <c r="E431" s="273"/>
      <c r="F431" s="272"/>
    </row>
    <row r="432" spans="2:6" ht="12" customHeight="1" x14ac:dyDescent="0.15">
      <c r="B432" s="274"/>
      <c r="C432" s="273"/>
      <c r="D432" s="273"/>
      <c r="E432" s="273"/>
      <c r="F432" s="272"/>
    </row>
    <row r="433" spans="2:6" ht="12" customHeight="1" x14ac:dyDescent="0.15">
      <c r="B433" s="274"/>
      <c r="C433" s="273"/>
      <c r="D433" s="273"/>
      <c r="E433" s="273"/>
      <c r="F433" s="272"/>
    </row>
    <row r="434" spans="2:6" ht="12" customHeight="1" x14ac:dyDescent="0.15">
      <c r="B434" s="274"/>
      <c r="C434" s="273"/>
      <c r="D434" s="273"/>
      <c r="E434" s="273"/>
      <c r="F434" s="272"/>
    </row>
    <row r="435" spans="2:6" ht="12" customHeight="1" x14ac:dyDescent="0.15">
      <c r="B435" s="274"/>
      <c r="C435" s="273"/>
      <c r="D435" s="273"/>
      <c r="E435" s="273"/>
      <c r="F435" s="272"/>
    </row>
    <row r="436" spans="2:6" ht="12" customHeight="1" x14ac:dyDescent="0.15">
      <c r="B436" s="274"/>
      <c r="C436" s="273"/>
      <c r="D436" s="273"/>
      <c r="E436" s="273"/>
      <c r="F436" s="272"/>
    </row>
    <row r="437" spans="2:6" ht="12" customHeight="1" x14ac:dyDescent="0.15">
      <c r="B437" s="274"/>
      <c r="C437" s="273"/>
      <c r="D437" s="273"/>
      <c r="E437" s="273"/>
      <c r="F437" s="272"/>
    </row>
    <row r="438" spans="2:6" ht="12" customHeight="1" x14ac:dyDescent="0.15">
      <c r="B438" s="274"/>
      <c r="C438" s="273"/>
      <c r="D438" s="273"/>
      <c r="E438" s="273"/>
      <c r="F438" s="272"/>
    </row>
    <row r="439" spans="2:6" ht="12" customHeight="1" x14ac:dyDescent="0.15">
      <c r="B439" s="274"/>
      <c r="C439" s="273"/>
      <c r="D439" s="273"/>
      <c r="E439" s="273"/>
      <c r="F439" s="272"/>
    </row>
    <row r="440" spans="2:6" ht="12" customHeight="1" x14ac:dyDescent="0.15">
      <c r="B440" s="274"/>
      <c r="C440" s="273"/>
      <c r="D440" s="273"/>
      <c r="E440" s="273"/>
      <c r="F440" s="272"/>
    </row>
    <row r="441" spans="2:6" ht="12" customHeight="1" x14ac:dyDescent="0.15">
      <c r="B441" s="274"/>
      <c r="C441" s="273"/>
      <c r="D441" s="273"/>
      <c r="E441" s="273"/>
      <c r="F441" s="272"/>
    </row>
    <row r="442" spans="2:6" ht="12" customHeight="1" x14ac:dyDescent="0.15">
      <c r="B442" s="274"/>
      <c r="C442" s="273"/>
      <c r="D442" s="273"/>
      <c r="E442" s="273"/>
      <c r="F442" s="272"/>
    </row>
    <row r="443" spans="2:6" ht="12" customHeight="1" x14ac:dyDescent="0.15">
      <c r="B443" s="274"/>
      <c r="C443" s="273"/>
      <c r="D443" s="273"/>
      <c r="E443" s="273"/>
      <c r="F443" s="272"/>
    </row>
    <row r="444" spans="2:6" ht="12" customHeight="1" x14ac:dyDescent="0.15">
      <c r="B444" s="274"/>
      <c r="C444" s="273"/>
      <c r="D444" s="273"/>
      <c r="E444" s="273"/>
      <c r="F444" s="272"/>
    </row>
    <row r="445" spans="2:6" ht="12" customHeight="1" x14ac:dyDescent="0.15">
      <c r="B445" s="274"/>
      <c r="C445" s="273"/>
      <c r="D445" s="273"/>
      <c r="E445" s="273"/>
      <c r="F445" s="272"/>
    </row>
    <row r="446" spans="2:6" ht="12" customHeight="1" x14ac:dyDescent="0.15">
      <c r="B446" s="274"/>
      <c r="C446" s="273"/>
      <c r="D446" s="273"/>
      <c r="E446" s="273"/>
      <c r="F446" s="272"/>
    </row>
    <row r="447" spans="2:6" ht="12" customHeight="1" x14ac:dyDescent="0.15">
      <c r="B447" s="274"/>
      <c r="C447" s="273"/>
      <c r="D447" s="273"/>
      <c r="E447" s="273"/>
      <c r="F447" s="272"/>
    </row>
    <row r="448" spans="2:6" ht="12" customHeight="1" x14ac:dyDescent="0.15">
      <c r="B448" s="274"/>
      <c r="C448" s="273"/>
      <c r="D448" s="273"/>
      <c r="E448" s="273"/>
      <c r="F448" s="272"/>
    </row>
    <row r="449" spans="2:6" ht="12" customHeight="1" x14ac:dyDescent="0.15">
      <c r="B449" s="274"/>
      <c r="C449" s="273"/>
      <c r="D449" s="273"/>
      <c r="E449" s="273"/>
      <c r="F449" s="272"/>
    </row>
    <row r="450" spans="2:6" ht="12" customHeight="1" x14ac:dyDescent="0.15">
      <c r="B450" s="274"/>
      <c r="C450" s="273"/>
      <c r="D450" s="273"/>
      <c r="E450" s="273"/>
      <c r="F450" s="272"/>
    </row>
    <row r="451" spans="2:6" ht="12" customHeight="1" x14ac:dyDescent="0.15">
      <c r="B451" s="274"/>
      <c r="C451" s="273"/>
      <c r="D451" s="273"/>
      <c r="E451" s="273"/>
      <c r="F451" s="272"/>
    </row>
    <row r="452" spans="2:6" ht="12" customHeight="1" x14ac:dyDescent="0.15">
      <c r="B452" s="274"/>
      <c r="C452" s="273"/>
      <c r="D452" s="273"/>
      <c r="E452" s="273"/>
      <c r="F452" s="272"/>
    </row>
    <row r="453" spans="2:6" ht="12" customHeight="1" x14ac:dyDescent="0.15">
      <c r="B453" s="274"/>
      <c r="C453" s="273"/>
      <c r="D453" s="273"/>
      <c r="E453" s="273"/>
      <c r="F453" s="272"/>
    </row>
    <row r="454" spans="2:6" ht="12" customHeight="1" x14ac:dyDescent="0.15">
      <c r="B454" s="274"/>
      <c r="C454" s="273"/>
      <c r="D454" s="273"/>
      <c r="E454" s="273"/>
      <c r="F454" s="272"/>
    </row>
    <row r="455" spans="2:6" ht="12" customHeight="1" x14ac:dyDescent="0.15">
      <c r="B455" s="274"/>
      <c r="C455" s="273"/>
      <c r="D455" s="273"/>
      <c r="E455" s="273"/>
      <c r="F455" s="272"/>
    </row>
    <row r="456" spans="2:6" ht="12" customHeight="1" x14ac:dyDescent="0.15">
      <c r="B456" s="274"/>
      <c r="C456" s="273"/>
      <c r="D456" s="273"/>
      <c r="E456" s="273"/>
      <c r="F456" s="272"/>
    </row>
    <row r="457" spans="2:6" ht="12" customHeight="1" x14ac:dyDescent="0.15">
      <c r="B457" s="274"/>
      <c r="C457" s="273"/>
      <c r="D457" s="273"/>
      <c r="E457" s="273"/>
      <c r="F457" s="272"/>
    </row>
    <row r="458" spans="2:6" ht="12" customHeight="1" x14ac:dyDescent="0.15">
      <c r="B458" s="274"/>
      <c r="C458" s="273"/>
      <c r="D458" s="273"/>
      <c r="E458" s="273"/>
      <c r="F458" s="272"/>
    </row>
    <row r="459" spans="2:6" ht="12" customHeight="1" x14ac:dyDescent="0.15">
      <c r="B459" s="274"/>
      <c r="C459" s="273"/>
      <c r="D459" s="273"/>
      <c r="E459" s="273"/>
      <c r="F459" s="272"/>
    </row>
    <row r="460" spans="2:6" ht="12" customHeight="1" x14ac:dyDescent="0.15">
      <c r="B460" s="274"/>
      <c r="C460" s="273"/>
      <c r="D460" s="273"/>
      <c r="E460" s="273"/>
      <c r="F460" s="272"/>
    </row>
    <row r="461" spans="2:6" ht="12" customHeight="1" x14ac:dyDescent="0.15">
      <c r="B461" s="274"/>
      <c r="C461" s="273"/>
      <c r="D461" s="273"/>
      <c r="E461" s="273"/>
      <c r="F461" s="272"/>
    </row>
    <row r="462" spans="2:6" ht="12" customHeight="1" x14ac:dyDescent="0.15">
      <c r="B462" s="274"/>
      <c r="C462" s="273"/>
      <c r="D462" s="273"/>
      <c r="E462" s="273"/>
      <c r="F462" s="272"/>
    </row>
    <row r="463" spans="2:6" ht="12" customHeight="1" x14ac:dyDescent="0.15">
      <c r="B463" s="274"/>
      <c r="C463" s="273"/>
      <c r="D463" s="273"/>
      <c r="E463" s="273"/>
      <c r="F463" s="272"/>
    </row>
    <row r="464" spans="2:6" ht="12" customHeight="1" x14ac:dyDescent="0.15">
      <c r="B464" s="274"/>
      <c r="C464" s="273"/>
      <c r="D464" s="273"/>
      <c r="E464" s="273"/>
      <c r="F464" s="272"/>
    </row>
    <row r="465" spans="2:6" ht="12" customHeight="1" x14ac:dyDescent="0.15">
      <c r="B465" s="274"/>
      <c r="C465" s="273"/>
      <c r="D465" s="273"/>
      <c r="E465" s="273"/>
      <c r="F465" s="272"/>
    </row>
    <row r="466" spans="2:6" ht="12" customHeight="1" x14ac:dyDescent="0.15">
      <c r="B466" s="274"/>
      <c r="C466" s="273"/>
      <c r="D466" s="273"/>
      <c r="E466" s="273"/>
      <c r="F466" s="272"/>
    </row>
    <row r="467" spans="2:6" ht="12" customHeight="1" x14ac:dyDescent="0.15">
      <c r="B467" s="274"/>
      <c r="C467" s="273"/>
      <c r="D467" s="273"/>
      <c r="E467" s="273"/>
      <c r="F467" s="272"/>
    </row>
    <row r="468" spans="2:6" ht="12" customHeight="1" x14ac:dyDescent="0.15">
      <c r="B468" s="274"/>
      <c r="C468" s="273"/>
      <c r="D468" s="273"/>
      <c r="E468" s="273"/>
      <c r="F468" s="272"/>
    </row>
    <row r="469" spans="2:6" ht="12" customHeight="1" x14ac:dyDescent="0.15">
      <c r="B469" s="274"/>
      <c r="C469" s="273"/>
      <c r="D469" s="273"/>
      <c r="E469" s="273"/>
      <c r="F469" s="272"/>
    </row>
    <row r="470" spans="2:6" ht="12" customHeight="1" x14ac:dyDescent="0.15">
      <c r="B470" s="274"/>
      <c r="C470" s="273"/>
      <c r="D470" s="273"/>
      <c r="E470" s="273"/>
      <c r="F470" s="272"/>
    </row>
    <row r="471" spans="2:6" ht="12" customHeight="1" x14ac:dyDescent="0.15">
      <c r="B471" s="274"/>
      <c r="C471" s="273"/>
      <c r="D471" s="273"/>
      <c r="E471" s="273"/>
      <c r="F471" s="272"/>
    </row>
    <row r="472" spans="2:6" ht="12" customHeight="1" x14ac:dyDescent="0.15">
      <c r="B472" s="274"/>
      <c r="C472" s="273"/>
      <c r="D472" s="273"/>
      <c r="E472" s="273"/>
      <c r="F472" s="272"/>
    </row>
    <row r="473" spans="2:6" ht="12" customHeight="1" x14ac:dyDescent="0.15">
      <c r="B473" s="274"/>
      <c r="C473" s="273"/>
      <c r="D473" s="273"/>
      <c r="E473" s="273"/>
      <c r="F473" s="272"/>
    </row>
    <row r="474" spans="2:6" ht="12" customHeight="1" x14ac:dyDescent="0.15">
      <c r="B474" s="274"/>
      <c r="C474" s="273"/>
      <c r="D474" s="273"/>
      <c r="E474" s="273"/>
      <c r="F474" s="272"/>
    </row>
    <row r="475" spans="2:6" ht="12" customHeight="1" x14ac:dyDescent="0.15">
      <c r="B475" s="274"/>
      <c r="C475" s="273"/>
      <c r="D475" s="273"/>
      <c r="E475" s="273"/>
      <c r="F475" s="272"/>
    </row>
    <row r="476" spans="2:6" ht="12" customHeight="1" x14ac:dyDescent="0.15">
      <c r="B476" s="274"/>
      <c r="C476" s="273"/>
      <c r="D476" s="273"/>
      <c r="E476" s="273"/>
      <c r="F476" s="272"/>
    </row>
    <row r="477" spans="2:6" ht="12" customHeight="1" x14ac:dyDescent="0.15">
      <c r="B477" s="274"/>
      <c r="C477" s="273"/>
      <c r="D477" s="273"/>
      <c r="E477" s="273"/>
      <c r="F477" s="272"/>
    </row>
    <row r="478" spans="2:6" ht="12" customHeight="1" x14ac:dyDescent="0.15">
      <c r="B478" s="274"/>
      <c r="C478" s="273"/>
      <c r="D478" s="273"/>
      <c r="E478" s="273"/>
      <c r="F478" s="272"/>
    </row>
    <row r="479" spans="2:6" ht="12" customHeight="1" x14ac:dyDescent="0.15">
      <c r="B479" s="274"/>
      <c r="C479" s="273"/>
      <c r="D479" s="273"/>
      <c r="E479" s="273"/>
      <c r="F479" s="272"/>
    </row>
    <row r="480" spans="2:6" ht="12" customHeight="1" x14ac:dyDescent="0.15">
      <c r="B480" s="274"/>
      <c r="C480" s="273"/>
      <c r="D480" s="273"/>
      <c r="E480" s="273"/>
      <c r="F480" s="272"/>
    </row>
    <row r="481" spans="2:6" ht="12" customHeight="1" x14ac:dyDescent="0.15">
      <c r="B481" s="274"/>
      <c r="C481" s="273"/>
      <c r="D481" s="273"/>
      <c r="E481" s="273"/>
      <c r="F481" s="272"/>
    </row>
    <row r="482" spans="2:6" ht="12" customHeight="1" x14ac:dyDescent="0.15">
      <c r="B482" s="274"/>
      <c r="C482" s="273"/>
      <c r="D482" s="273"/>
      <c r="E482" s="273"/>
      <c r="F482" s="272"/>
    </row>
    <row r="483" spans="2:6" ht="12" customHeight="1" x14ac:dyDescent="0.15">
      <c r="B483" s="274"/>
      <c r="C483" s="273"/>
      <c r="D483" s="273"/>
      <c r="E483" s="273"/>
      <c r="F483" s="272"/>
    </row>
    <row r="484" spans="2:6" ht="12" customHeight="1" x14ac:dyDescent="0.15">
      <c r="B484" s="274"/>
      <c r="C484" s="273"/>
      <c r="D484" s="273"/>
      <c r="E484" s="273"/>
      <c r="F484" s="272"/>
    </row>
    <row r="485" spans="2:6" ht="12" customHeight="1" x14ac:dyDescent="0.15">
      <c r="B485" s="274"/>
      <c r="C485" s="273"/>
      <c r="D485" s="273"/>
      <c r="E485" s="273"/>
      <c r="F485" s="272"/>
    </row>
    <row r="486" spans="2:6" ht="12" customHeight="1" x14ac:dyDescent="0.15">
      <c r="B486" s="274"/>
      <c r="C486" s="273"/>
      <c r="D486" s="273"/>
      <c r="E486" s="273"/>
      <c r="F486" s="272"/>
    </row>
    <row r="487" spans="2:6" ht="12" customHeight="1" x14ac:dyDescent="0.15">
      <c r="B487" s="274"/>
      <c r="C487" s="273"/>
      <c r="D487" s="273"/>
      <c r="E487" s="273"/>
      <c r="F487" s="272"/>
    </row>
    <row r="488" spans="2:6" ht="12" customHeight="1" x14ac:dyDescent="0.15">
      <c r="B488" s="274"/>
      <c r="C488" s="273"/>
      <c r="D488" s="273"/>
      <c r="E488" s="273"/>
      <c r="F488" s="272"/>
    </row>
    <row r="489" spans="2:6" ht="12" customHeight="1" x14ac:dyDescent="0.15">
      <c r="B489" s="274"/>
      <c r="C489" s="273"/>
      <c r="D489" s="273"/>
      <c r="E489" s="273"/>
      <c r="F489" s="272"/>
    </row>
    <row r="490" spans="2:6" ht="12" customHeight="1" x14ac:dyDescent="0.15">
      <c r="B490" s="274"/>
      <c r="C490" s="273"/>
      <c r="D490" s="273"/>
      <c r="E490" s="273"/>
      <c r="F490" s="272"/>
    </row>
    <row r="491" spans="2:6" ht="12" customHeight="1" x14ac:dyDescent="0.15">
      <c r="B491" s="274"/>
      <c r="C491" s="273"/>
      <c r="D491" s="273"/>
      <c r="E491" s="273"/>
      <c r="F491" s="272"/>
    </row>
    <row r="492" spans="2:6" ht="12" customHeight="1" x14ac:dyDescent="0.15">
      <c r="B492" s="274"/>
      <c r="C492" s="273"/>
      <c r="D492" s="273"/>
      <c r="E492" s="273"/>
      <c r="F492" s="272"/>
    </row>
    <row r="493" spans="2:6" ht="12" customHeight="1" x14ac:dyDescent="0.15">
      <c r="B493" s="274"/>
      <c r="C493" s="273"/>
      <c r="D493" s="273"/>
      <c r="E493" s="273"/>
      <c r="F493" s="272"/>
    </row>
    <row r="494" spans="2:6" ht="12" customHeight="1" x14ac:dyDescent="0.15">
      <c r="B494" s="274"/>
      <c r="C494" s="273"/>
      <c r="D494" s="273"/>
      <c r="E494" s="273"/>
      <c r="F494" s="272"/>
    </row>
    <row r="495" spans="2:6" ht="12" customHeight="1" x14ac:dyDescent="0.15">
      <c r="B495" s="274"/>
      <c r="C495" s="273"/>
      <c r="D495" s="273"/>
      <c r="E495" s="273"/>
      <c r="F495" s="272"/>
    </row>
    <row r="496" spans="2:6" ht="12" customHeight="1" x14ac:dyDescent="0.15">
      <c r="B496" s="274"/>
      <c r="C496" s="273"/>
      <c r="D496" s="273"/>
      <c r="E496" s="273"/>
      <c r="F496" s="272"/>
    </row>
    <row r="497" spans="2:6" ht="12" customHeight="1" x14ac:dyDescent="0.15">
      <c r="B497" s="274"/>
      <c r="C497" s="273"/>
      <c r="D497" s="273"/>
      <c r="E497" s="273"/>
      <c r="F497" s="272"/>
    </row>
    <row r="498" spans="2:6" ht="12" customHeight="1" x14ac:dyDescent="0.15">
      <c r="B498" s="274"/>
      <c r="C498" s="273"/>
      <c r="D498" s="273"/>
      <c r="E498" s="273"/>
      <c r="F498" s="272"/>
    </row>
    <row r="499" spans="2:6" ht="12" customHeight="1" x14ac:dyDescent="0.15">
      <c r="B499" s="274"/>
      <c r="C499" s="273"/>
      <c r="D499" s="273"/>
      <c r="E499" s="273"/>
      <c r="F499" s="272"/>
    </row>
    <row r="500" spans="2:6" ht="12" customHeight="1" x14ac:dyDescent="0.15">
      <c r="B500" s="274"/>
      <c r="C500" s="273"/>
      <c r="D500" s="273"/>
      <c r="E500" s="273"/>
      <c r="F500" s="272"/>
    </row>
    <row r="501" spans="2:6" ht="12" customHeight="1" x14ac:dyDescent="0.15">
      <c r="B501" s="274"/>
      <c r="C501" s="273"/>
      <c r="D501" s="273"/>
      <c r="E501" s="273"/>
      <c r="F501" s="272"/>
    </row>
    <row r="502" spans="2:6" ht="12" customHeight="1" x14ac:dyDescent="0.15">
      <c r="B502" s="274"/>
      <c r="C502" s="273"/>
      <c r="D502" s="273"/>
      <c r="E502" s="273"/>
      <c r="F502" s="272"/>
    </row>
    <row r="503" spans="2:6" ht="12" customHeight="1" x14ac:dyDescent="0.15">
      <c r="B503" s="274"/>
      <c r="C503" s="273"/>
      <c r="D503" s="273"/>
      <c r="E503" s="273"/>
      <c r="F503" s="272"/>
    </row>
    <row r="504" spans="2:6" ht="12" customHeight="1" x14ac:dyDescent="0.15">
      <c r="B504" s="274"/>
      <c r="C504" s="273"/>
      <c r="D504" s="273"/>
      <c r="E504" s="273"/>
      <c r="F504" s="272"/>
    </row>
    <row r="505" spans="2:6" ht="12" customHeight="1" x14ac:dyDescent="0.15">
      <c r="B505" s="274"/>
      <c r="C505" s="273"/>
      <c r="D505" s="273"/>
      <c r="E505" s="273"/>
      <c r="F505" s="272"/>
    </row>
    <row r="506" spans="2:6" ht="12" customHeight="1" x14ac:dyDescent="0.15">
      <c r="B506" s="274"/>
      <c r="C506" s="273"/>
      <c r="D506" s="273"/>
      <c r="E506" s="273"/>
      <c r="F506" s="272"/>
    </row>
    <row r="507" spans="2:6" ht="12" customHeight="1" x14ac:dyDescent="0.15">
      <c r="B507" s="274"/>
      <c r="C507" s="273"/>
      <c r="D507" s="273"/>
      <c r="E507" s="273"/>
      <c r="F507" s="272"/>
    </row>
    <row r="508" spans="2:6" ht="12" customHeight="1" x14ac:dyDescent="0.15">
      <c r="B508" s="274"/>
      <c r="C508" s="273"/>
      <c r="D508" s="273"/>
      <c r="E508" s="273"/>
      <c r="F508" s="272"/>
    </row>
    <row r="509" spans="2:6" ht="12" customHeight="1" x14ac:dyDescent="0.15">
      <c r="B509" s="274"/>
      <c r="C509" s="273"/>
      <c r="D509" s="273"/>
      <c r="E509" s="273"/>
      <c r="F509" s="272"/>
    </row>
    <row r="510" spans="2:6" ht="12" customHeight="1" x14ac:dyDescent="0.15">
      <c r="B510" s="274"/>
      <c r="C510" s="273"/>
      <c r="D510" s="273"/>
      <c r="E510" s="273"/>
      <c r="F510" s="272"/>
    </row>
    <row r="511" spans="2:6" ht="12" customHeight="1" x14ac:dyDescent="0.15">
      <c r="B511" s="274"/>
      <c r="C511" s="273"/>
      <c r="D511" s="273"/>
      <c r="E511" s="273"/>
      <c r="F511" s="272"/>
    </row>
    <row r="512" spans="2:6" ht="12" customHeight="1" x14ac:dyDescent="0.15">
      <c r="B512" s="274"/>
      <c r="C512" s="273"/>
      <c r="D512" s="273"/>
      <c r="E512" s="273"/>
      <c r="F512" s="272"/>
    </row>
    <row r="513" spans="2:6" ht="12" customHeight="1" x14ac:dyDescent="0.15">
      <c r="B513" s="274"/>
      <c r="C513" s="273"/>
      <c r="D513" s="273"/>
      <c r="E513" s="273"/>
      <c r="F513" s="272"/>
    </row>
    <row r="514" spans="2:6" ht="12" customHeight="1" x14ac:dyDescent="0.15">
      <c r="B514" s="274"/>
      <c r="C514" s="273"/>
      <c r="D514" s="273"/>
      <c r="E514" s="273"/>
      <c r="F514" s="272"/>
    </row>
    <row r="515" spans="2:6" ht="12" customHeight="1" x14ac:dyDescent="0.15">
      <c r="B515" s="274"/>
      <c r="C515" s="273"/>
      <c r="D515" s="273"/>
      <c r="E515" s="273"/>
      <c r="F515" s="272"/>
    </row>
    <row r="516" spans="2:6" ht="12" customHeight="1" x14ac:dyDescent="0.15">
      <c r="B516" s="274"/>
      <c r="C516" s="273"/>
      <c r="D516" s="273"/>
      <c r="E516" s="273"/>
      <c r="F516" s="272"/>
    </row>
    <row r="517" spans="2:6" ht="12" customHeight="1" x14ac:dyDescent="0.15">
      <c r="B517" s="274"/>
      <c r="C517" s="273"/>
      <c r="D517" s="273"/>
      <c r="E517" s="273"/>
      <c r="F517" s="272"/>
    </row>
    <row r="518" spans="2:6" ht="12" customHeight="1" x14ac:dyDescent="0.15">
      <c r="B518" s="274"/>
      <c r="C518" s="273"/>
      <c r="D518" s="273"/>
      <c r="E518" s="273"/>
      <c r="F518" s="272"/>
    </row>
    <row r="519" spans="2:6" ht="12" customHeight="1" x14ac:dyDescent="0.15">
      <c r="B519" s="274"/>
      <c r="C519" s="273"/>
      <c r="D519" s="273"/>
      <c r="E519" s="273"/>
      <c r="F519" s="272"/>
    </row>
    <row r="520" spans="2:6" ht="12" customHeight="1" x14ac:dyDescent="0.15">
      <c r="B520" s="274"/>
      <c r="C520" s="273"/>
      <c r="D520" s="273"/>
      <c r="E520" s="273"/>
      <c r="F520" s="272"/>
    </row>
    <row r="521" spans="2:6" ht="12" customHeight="1" x14ac:dyDescent="0.15">
      <c r="B521" s="274"/>
      <c r="C521" s="273"/>
      <c r="D521" s="273"/>
      <c r="E521" s="273"/>
      <c r="F521" s="272"/>
    </row>
    <row r="522" spans="2:6" ht="12" customHeight="1" x14ac:dyDescent="0.15">
      <c r="B522" s="274"/>
      <c r="C522" s="273"/>
      <c r="D522" s="273"/>
      <c r="E522" s="273"/>
      <c r="F522" s="272"/>
    </row>
    <row r="523" spans="2:6" ht="12" customHeight="1" x14ac:dyDescent="0.15">
      <c r="B523" s="274"/>
      <c r="C523" s="273"/>
      <c r="D523" s="273"/>
      <c r="E523" s="273"/>
      <c r="F523" s="272"/>
    </row>
    <row r="524" spans="2:6" ht="12" customHeight="1" x14ac:dyDescent="0.15">
      <c r="B524" s="274"/>
      <c r="C524" s="273"/>
      <c r="D524" s="273"/>
      <c r="E524" s="273"/>
      <c r="F524" s="272"/>
    </row>
    <row r="525" spans="2:6" ht="12" customHeight="1" x14ac:dyDescent="0.15">
      <c r="B525" s="274"/>
      <c r="C525" s="273"/>
      <c r="D525" s="273"/>
      <c r="E525" s="273"/>
      <c r="F525" s="272"/>
    </row>
    <row r="526" spans="2:6" ht="12" customHeight="1" x14ac:dyDescent="0.15">
      <c r="B526" s="274"/>
      <c r="C526" s="273"/>
      <c r="D526" s="273"/>
      <c r="E526" s="273"/>
      <c r="F526" s="272"/>
    </row>
    <row r="527" spans="2:6" ht="12" customHeight="1" x14ac:dyDescent="0.15">
      <c r="B527" s="274"/>
      <c r="C527" s="273"/>
      <c r="D527" s="273"/>
      <c r="E527" s="273"/>
      <c r="F527" s="272"/>
    </row>
    <row r="528" spans="2:6" ht="12" customHeight="1" x14ac:dyDescent="0.15">
      <c r="B528" s="274"/>
      <c r="C528" s="273"/>
      <c r="D528" s="273"/>
      <c r="E528" s="273"/>
      <c r="F528" s="272"/>
    </row>
    <row r="529" spans="2:6" ht="12" customHeight="1" x14ac:dyDescent="0.15">
      <c r="B529" s="274"/>
      <c r="C529" s="273"/>
      <c r="D529" s="273"/>
      <c r="E529" s="273"/>
      <c r="F529" s="272"/>
    </row>
    <row r="530" spans="2:6" ht="12" customHeight="1" x14ac:dyDescent="0.15">
      <c r="B530" s="274"/>
      <c r="C530" s="273"/>
      <c r="D530" s="273"/>
      <c r="E530" s="273"/>
      <c r="F530" s="272"/>
    </row>
    <row r="531" spans="2:6" ht="12" customHeight="1" x14ac:dyDescent="0.15">
      <c r="B531" s="274"/>
      <c r="C531" s="273"/>
      <c r="D531" s="273"/>
      <c r="E531" s="273"/>
      <c r="F531" s="272"/>
    </row>
    <row r="532" spans="2:6" ht="12" customHeight="1" x14ac:dyDescent="0.15">
      <c r="B532" s="274"/>
      <c r="C532" s="273"/>
      <c r="D532" s="273"/>
      <c r="E532" s="273"/>
      <c r="F532" s="272"/>
    </row>
    <row r="533" spans="2:6" ht="12" customHeight="1" x14ac:dyDescent="0.15">
      <c r="B533" s="274"/>
      <c r="C533" s="273"/>
      <c r="D533" s="273"/>
      <c r="E533" s="273"/>
      <c r="F533" s="272"/>
    </row>
    <row r="534" spans="2:6" ht="12" customHeight="1" x14ac:dyDescent="0.15">
      <c r="B534" s="274"/>
      <c r="C534" s="273"/>
      <c r="D534" s="273"/>
      <c r="E534" s="273"/>
      <c r="F534" s="272"/>
    </row>
    <row r="535" spans="2:6" ht="12" customHeight="1" x14ac:dyDescent="0.15">
      <c r="B535" s="274"/>
      <c r="C535" s="273"/>
      <c r="D535" s="273"/>
      <c r="E535" s="273"/>
      <c r="F535" s="272"/>
    </row>
    <row r="536" spans="2:6" ht="12" customHeight="1" x14ac:dyDescent="0.15">
      <c r="B536" s="274"/>
      <c r="C536" s="273"/>
      <c r="D536" s="273"/>
      <c r="E536" s="273"/>
      <c r="F536" s="272"/>
    </row>
    <row r="537" spans="2:6" ht="12" customHeight="1" x14ac:dyDescent="0.15">
      <c r="B537" s="274"/>
      <c r="C537" s="273"/>
      <c r="D537" s="273"/>
      <c r="E537" s="273"/>
      <c r="F537" s="272"/>
    </row>
    <row r="538" spans="2:6" ht="12" customHeight="1" x14ac:dyDescent="0.15">
      <c r="B538" s="274"/>
      <c r="C538" s="273"/>
      <c r="D538" s="273"/>
      <c r="E538" s="273"/>
      <c r="F538" s="272"/>
    </row>
    <row r="539" spans="2:6" ht="12" customHeight="1" x14ac:dyDescent="0.15">
      <c r="B539" s="274"/>
      <c r="C539" s="273"/>
      <c r="D539" s="273"/>
      <c r="E539" s="273"/>
      <c r="F539" s="272"/>
    </row>
    <row r="540" spans="2:6" ht="12" customHeight="1" x14ac:dyDescent="0.15">
      <c r="B540" s="274"/>
      <c r="C540" s="273"/>
      <c r="D540" s="273"/>
      <c r="E540" s="273"/>
      <c r="F540" s="272"/>
    </row>
    <row r="541" spans="2:6" ht="12" customHeight="1" x14ac:dyDescent="0.15">
      <c r="B541" s="274"/>
      <c r="C541" s="273"/>
      <c r="D541" s="273"/>
      <c r="E541" s="273"/>
      <c r="F541" s="272"/>
    </row>
    <row r="542" spans="2:6" ht="12" customHeight="1" x14ac:dyDescent="0.15">
      <c r="B542" s="274"/>
      <c r="C542" s="273"/>
      <c r="D542" s="273"/>
      <c r="E542" s="273"/>
      <c r="F542" s="272"/>
    </row>
    <row r="543" spans="2:6" ht="12" customHeight="1" x14ac:dyDescent="0.15">
      <c r="B543" s="274"/>
      <c r="C543" s="273"/>
      <c r="D543" s="273"/>
      <c r="E543" s="273"/>
      <c r="F543" s="272"/>
    </row>
    <row r="544" spans="2:6" ht="12" customHeight="1" x14ac:dyDescent="0.15">
      <c r="B544" s="274"/>
      <c r="C544" s="273"/>
      <c r="D544" s="273"/>
      <c r="E544" s="273"/>
      <c r="F544" s="272"/>
    </row>
    <row r="545" spans="2:6" ht="12" customHeight="1" x14ac:dyDescent="0.15">
      <c r="B545" s="274"/>
      <c r="C545" s="273"/>
      <c r="D545" s="273"/>
      <c r="E545" s="273"/>
      <c r="F545" s="272"/>
    </row>
    <row r="546" spans="2:6" ht="12" customHeight="1" x14ac:dyDescent="0.15">
      <c r="B546" s="274"/>
      <c r="C546" s="273"/>
      <c r="D546" s="273"/>
      <c r="E546" s="273"/>
      <c r="F546" s="272"/>
    </row>
    <row r="547" spans="2:6" ht="12" customHeight="1" x14ac:dyDescent="0.15">
      <c r="B547" s="274"/>
      <c r="C547" s="273"/>
      <c r="D547" s="273"/>
      <c r="E547" s="273"/>
      <c r="F547" s="272"/>
    </row>
    <row r="548" spans="2:6" ht="12" customHeight="1" x14ac:dyDescent="0.15">
      <c r="B548" s="274"/>
      <c r="C548" s="273"/>
      <c r="D548" s="273"/>
      <c r="E548" s="273"/>
      <c r="F548" s="272"/>
    </row>
    <row r="549" spans="2:6" ht="12" customHeight="1" x14ac:dyDescent="0.15">
      <c r="B549" s="274"/>
      <c r="C549" s="273"/>
      <c r="D549" s="273"/>
      <c r="E549" s="273"/>
      <c r="F549" s="272"/>
    </row>
    <row r="550" spans="2:6" ht="12" customHeight="1" x14ac:dyDescent="0.15">
      <c r="B550" s="274"/>
      <c r="C550" s="273"/>
      <c r="D550" s="273"/>
      <c r="E550" s="273"/>
      <c r="F550" s="272"/>
    </row>
    <row r="551" spans="2:6" ht="12" customHeight="1" x14ac:dyDescent="0.15">
      <c r="B551" s="274"/>
      <c r="C551" s="273"/>
      <c r="D551" s="273"/>
      <c r="E551" s="273"/>
      <c r="F551" s="272"/>
    </row>
    <row r="552" spans="2:6" ht="12" customHeight="1" x14ac:dyDescent="0.15">
      <c r="B552" s="274"/>
      <c r="C552" s="273"/>
      <c r="D552" s="273"/>
      <c r="E552" s="273"/>
      <c r="F552" s="272"/>
    </row>
    <row r="553" spans="2:6" ht="12" customHeight="1" x14ac:dyDescent="0.15">
      <c r="B553" s="274"/>
      <c r="C553" s="273"/>
      <c r="D553" s="273"/>
      <c r="E553" s="273"/>
      <c r="F553" s="272"/>
    </row>
    <row r="554" spans="2:6" ht="12" customHeight="1" x14ac:dyDescent="0.15">
      <c r="B554" s="274"/>
      <c r="C554" s="273"/>
      <c r="D554" s="273"/>
      <c r="E554" s="273"/>
      <c r="F554" s="272"/>
    </row>
    <row r="555" spans="2:6" ht="12" customHeight="1" x14ac:dyDescent="0.15">
      <c r="B555" s="274"/>
      <c r="C555" s="273"/>
      <c r="D555" s="273"/>
      <c r="E555" s="273"/>
      <c r="F555" s="272"/>
    </row>
    <row r="556" spans="2:6" ht="12" customHeight="1" x14ac:dyDescent="0.15">
      <c r="B556" s="274"/>
      <c r="C556" s="273"/>
      <c r="D556" s="273"/>
      <c r="E556" s="273"/>
      <c r="F556" s="272"/>
    </row>
    <row r="557" spans="2:6" ht="12" customHeight="1" x14ac:dyDescent="0.15">
      <c r="B557" s="274"/>
      <c r="C557" s="273"/>
      <c r="D557" s="273"/>
      <c r="E557" s="273"/>
      <c r="F557" s="272"/>
    </row>
    <row r="558" spans="2:6" ht="12" customHeight="1" x14ac:dyDescent="0.15">
      <c r="B558" s="274"/>
      <c r="C558" s="273"/>
      <c r="D558" s="273"/>
      <c r="E558" s="273"/>
      <c r="F558" s="272"/>
    </row>
    <row r="559" spans="2:6" ht="12" customHeight="1" x14ac:dyDescent="0.15">
      <c r="B559" s="274"/>
      <c r="C559" s="273"/>
      <c r="D559" s="273"/>
      <c r="E559" s="273"/>
      <c r="F559" s="272"/>
    </row>
    <row r="560" spans="2:6" ht="12" customHeight="1" x14ac:dyDescent="0.15">
      <c r="B560" s="274"/>
      <c r="C560" s="273"/>
      <c r="D560" s="273"/>
      <c r="E560" s="273"/>
      <c r="F560" s="272"/>
    </row>
    <row r="561" spans="2:6" ht="12" customHeight="1" x14ac:dyDescent="0.15">
      <c r="B561" s="274"/>
      <c r="C561" s="273"/>
      <c r="D561" s="273"/>
      <c r="E561" s="273"/>
      <c r="F561" s="272"/>
    </row>
    <row r="562" spans="2:6" ht="12" customHeight="1" x14ac:dyDescent="0.15">
      <c r="B562" s="274"/>
      <c r="C562" s="273"/>
      <c r="D562" s="273"/>
      <c r="E562" s="273"/>
      <c r="F562" s="272"/>
    </row>
    <row r="563" spans="2:6" ht="12" customHeight="1" x14ac:dyDescent="0.15">
      <c r="B563" s="274"/>
      <c r="C563" s="273"/>
      <c r="D563" s="273"/>
      <c r="E563" s="273"/>
      <c r="F563" s="272"/>
    </row>
    <row r="564" spans="2:6" ht="12" customHeight="1" x14ac:dyDescent="0.15">
      <c r="B564" s="274"/>
      <c r="C564" s="273"/>
      <c r="D564" s="273"/>
      <c r="E564" s="273"/>
      <c r="F564" s="272"/>
    </row>
    <row r="565" spans="2:6" ht="12" customHeight="1" x14ac:dyDescent="0.15">
      <c r="B565" s="274"/>
      <c r="C565" s="273"/>
      <c r="D565" s="273"/>
      <c r="E565" s="273"/>
      <c r="F565" s="272"/>
    </row>
    <row r="566" spans="2:6" ht="12" customHeight="1" x14ac:dyDescent="0.15">
      <c r="B566" s="274"/>
      <c r="C566" s="273"/>
      <c r="D566" s="273"/>
      <c r="E566" s="273"/>
      <c r="F566" s="272"/>
    </row>
    <row r="567" spans="2:6" ht="12" customHeight="1" x14ac:dyDescent="0.15">
      <c r="B567" s="274"/>
      <c r="C567" s="273"/>
      <c r="D567" s="273"/>
      <c r="E567" s="273"/>
      <c r="F567" s="272"/>
    </row>
    <row r="568" spans="2:6" ht="12" customHeight="1" x14ac:dyDescent="0.15">
      <c r="B568" s="274"/>
      <c r="C568" s="273"/>
      <c r="D568" s="273"/>
      <c r="E568" s="273"/>
      <c r="F568" s="272"/>
    </row>
    <row r="569" spans="2:6" ht="12" customHeight="1" x14ac:dyDescent="0.15">
      <c r="B569" s="274"/>
      <c r="C569" s="273"/>
      <c r="D569" s="273"/>
      <c r="E569" s="273"/>
      <c r="F569" s="272"/>
    </row>
    <row r="570" spans="2:6" ht="12" customHeight="1" x14ac:dyDescent="0.15">
      <c r="B570" s="274"/>
      <c r="C570" s="273"/>
      <c r="D570" s="273"/>
      <c r="E570" s="273"/>
      <c r="F570" s="272"/>
    </row>
    <row r="571" spans="2:6" ht="12" customHeight="1" x14ac:dyDescent="0.15">
      <c r="B571" s="274"/>
      <c r="C571" s="273"/>
      <c r="D571" s="273"/>
      <c r="E571" s="273"/>
      <c r="F571" s="272"/>
    </row>
    <row r="572" spans="2:6" ht="12" customHeight="1" x14ac:dyDescent="0.15">
      <c r="B572" s="274"/>
      <c r="C572" s="273"/>
      <c r="D572" s="273"/>
      <c r="E572" s="273"/>
      <c r="F572" s="272"/>
    </row>
    <row r="573" spans="2:6" ht="12" customHeight="1" x14ac:dyDescent="0.15">
      <c r="B573" s="274"/>
      <c r="C573" s="273"/>
      <c r="D573" s="273"/>
      <c r="E573" s="273"/>
      <c r="F573" s="272"/>
    </row>
    <row r="574" spans="2:6" ht="12" customHeight="1" x14ac:dyDescent="0.15">
      <c r="B574" s="274"/>
      <c r="C574" s="273"/>
      <c r="D574" s="273"/>
      <c r="E574" s="273"/>
      <c r="F574" s="272"/>
    </row>
    <row r="575" spans="2:6" ht="12" customHeight="1" x14ac:dyDescent="0.15">
      <c r="B575" s="274"/>
      <c r="C575" s="273"/>
      <c r="D575" s="273"/>
      <c r="E575" s="273"/>
      <c r="F575" s="272"/>
    </row>
    <row r="576" spans="2:6" ht="12" customHeight="1" x14ac:dyDescent="0.15">
      <c r="B576" s="274"/>
      <c r="C576" s="273"/>
      <c r="D576" s="273"/>
      <c r="E576" s="273"/>
      <c r="F576" s="272"/>
    </row>
    <row r="577" spans="2:6" ht="12" customHeight="1" x14ac:dyDescent="0.15">
      <c r="B577" s="274"/>
      <c r="C577" s="273"/>
      <c r="D577" s="273"/>
      <c r="E577" s="273"/>
      <c r="F577" s="272"/>
    </row>
    <row r="578" spans="2:6" ht="12" customHeight="1" x14ac:dyDescent="0.15">
      <c r="B578" s="274"/>
      <c r="C578" s="273"/>
      <c r="D578" s="273"/>
      <c r="E578" s="273"/>
      <c r="F578" s="272"/>
    </row>
    <row r="579" spans="2:6" ht="12" customHeight="1" x14ac:dyDescent="0.15">
      <c r="B579" s="274"/>
      <c r="C579" s="273"/>
      <c r="D579" s="273"/>
      <c r="E579" s="273"/>
      <c r="F579" s="272"/>
    </row>
    <row r="580" spans="2:6" ht="12" customHeight="1" x14ac:dyDescent="0.15">
      <c r="B580" s="274"/>
      <c r="C580" s="273"/>
      <c r="D580" s="273"/>
      <c r="E580" s="273"/>
      <c r="F580" s="272"/>
    </row>
    <row r="581" spans="2:6" ht="12" customHeight="1" x14ac:dyDescent="0.15">
      <c r="B581" s="274"/>
      <c r="C581" s="273"/>
      <c r="D581" s="273"/>
      <c r="E581" s="273"/>
      <c r="F581" s="272"/>
    </row>
    <row r="582" spans="2:6" ht="12" customHeight="1" x14ac:dyDescent="0.15">
      <c r="B582" s="274"/>
      <c r="C582" s="273"/>
      <c r="D582" s="273"/>
      <c r="E582" s="273"/>
      <c r="F582" s="272"/>
    </row>
    <row r="583" spans="2:6" ht="12" customHeight="1" x14ac:dyDescent="0.15">
      <c r="B583" s="274"/>
      <c r="C583" s="273"/>
      <c r="D583" s="273"/>
      <c r="E583" s="273"/>
      <c r="F583" s="272"/>
    </row>
    <row r="584" spans="2:6" ht="12" customHeight="1" x14ac:dyDescent="0.15">
      <c r="B584" s="274"/>
      <c r="C584" s="273"/>
      <c r="D584" s="273"/>
      <c r="E584" s="273"/>
      <c r="F584" s="272"/>
    </row>
    <row r="585" spans="2:6" ht="12" customHeight="1" x14ac:dyDescent="0.15">
      <c r="B585" s="274"/>
      <c r="C585" s="273"/>
      <c r="D585" s="273"/>
      <c r="E585" s="273"/>
      <c r="F585" s="272"/>
    </row>
    <row r="586" spans="2:6" ht="12" customHeight="1" x14ac:dyDescent="0.15">
      <c r="B586" s="274"/>
      <c r="C586" s="273"/>
      <c r="D586" s="273"/>
      <c r="E586" s="273"/>
      <c r="F586" s="272"/>
    </row>
    <row r="587" spans="2:6" ht="12" customHeight="1" x14ac:dyDescent="0.15">
      <c r="B587" s="274"/>
      <c r="C587" s="273"/>
      <c r="D587" s="273"/>
      <c r="E587" s="273"/>
      <c r="F587" s="272"/>
    </row>
    <row r="588" spans="2:6" ht="12" customHeight="1" x14ac:dyDescent="0.15">
      <c r="B588" s="274"/>
      <c r="C588" s="273"/>
      <c r="D588" s="273"/>
      <c r="E588" s="273"/>
      <c r="F588" s="272"/>
    </row>
    <row r="589" spans="2:6" ht="12" customHeight="1" x14ac:dyDescent="0.15">
      <c r="B589" s="274"/>
      <c r="C589" s="273"/>
      <c r="D589" s="273"/>
      <c r="E589" s="273"/>
      <c r="F589" s="272"/>
    </row>
    <row r="590" spans="2:6" ht="12" customHeight="1" x14ac:dyDescent="0.15">
      <c r="B590" s="274"/>
      <c r="C590" s="273"/>
      <c r="D590" s="273"/>
      <c r="E590" s="273"/>
      <c r="F590" s="272"/>
    </row>
    <row r="591" spans="2:6" ht="12" customHeight="1" x14ac:dyDescent="0.15">
      <c r="B591" s="274"/>
      <c r="C591" s="273"/>
      <c r="D591" s="273"/>
      <c r="E591" s="273"/>
      <c r="F591" s="272"/>
    </row>
    <row r="592" spans="2:6" ht="12" customHeight="1" x14ac:dyDescent="0.15">
      <c r="B592" s="274"/>
      <c r="C592" s="273"/>
      <c r="D592" s="273"/>
      <c r="E592" s="273"/>
      <c r="F592" s="272"/>
    </row>
    <row r="593" spans="2:6" ht="12" customHeight="1" x14ac:dyDescent="0.15">
      <c r="B593" s="274"/>
      <c r="C593" s="273"/>
      <c r="D593" s="273"/>
      <c r="E593" s="273"/>
      <c r="F593" s="272"/>
    </row>
    <row r="594" spans="2:6" ht="12" customHeight="1" x14ac:dyDescent="0.15">
      <c r="B594" s="274"/>
      <c r="C594" s="273"/>
      <c r="D594" s="273"/>
      <c r="E594" s="273"/>
      <c r="F594" s="272"/>
    </row>
    <row r="595" spans="2:6" ht="12" customHeight="1" x14ac:dyDescent="0.15">
      <c r="B595" s="274"/>
      <c r="C595" s="273"/>
      <c r="D595" s="273"/>
      <c r="E595" s="273"/>
      <c r="F595" s="272"/>
    </row>
    <row r="596" spans="2:6" ht="12" customHeight="1" x14ac:dyDescent="0.15">
      <c r="B596" s="274"/>
      <c r="C596" s="273"/>
      <c r="D596" s="273"/>
      <c r="E596" s="273"/>
      <c r="F596" s="272"/>
    </row>
    <row r="597" spans="2:6" ht="12" customHeight="1" x14ac:dyDescent="0.15">
      <c r="B597" s="274"/>
      <c r="C597" s="273"/>
      <c r="D597" s="273"/>
      <c r="E597" s="273"/>
      <c r="F597" s="272"/>
    </row>
    <row r="598" spans="2:6" ht="12" customHeight="1" x14ac:dyDescent="0.15">
      <c r="B598" s="274"/>
      <c r="C598" s="273"/>
      <c r="D598" s="273"/>
      <c r="E598" s="273"/>
      <c r="F598" s="272"/>
    </row>
    <row r="599" spans="2:6" ht="12" customHeight="1" x14ac:dyDescent="0.15">
      <c r="B599" s="274"/>
      <c r="C599" s="273"/>
      <c r="D599" s="273"/>
      <c r="E599" s="273"/>
      <c r="F599" s="272"/>
    </row>
    <row r="600" spans="2:6" ht="12" customHeight="1" x14ac:dyDescent="0.15">
      <c r="B600" s="274"/>
      <c r="C600" s="273"/>
      <c r="D600" s="273"/>
      <c r="E600" s="273"/>
      <c r="F600" s="272"/>
    </row>
    <row r="601" spans="2:6" ht="12" customHeight="1" x14ac:dyDescent="0.15">
      <c r="B601" s="274"/>
      <c r="C601" s="273"/>
      <c r="D601" s="273"/>
      <c r="E601" s="273"/>
      <c r="F601" s="272"/>
    </row>
    <row r="602" spans="2:6" ht="12" customHeight="1" x14ac:dyDescent="0.15">
      <c r="B602" s="274"/>
      <c r="C602" s="273"/>
      <c r="D602" s="273"/>
      <c r="E602" s="273"/>
      <c r="F602" s="272"/>
    </row>
    <row r="603" spans="2:6" ht="12" customHeight="1" x14ac:dyDescent="0.15">
      <c r="B603" s="274"/>
      <c r="C603" s="273"/>
      <c r="D603" s="273"/>
      <c r="E603" s="273"/>
      <c r="F603" s="272"/>
    </row>
    <row r="604" spans="2:6" ht="12" customHeight="1" x14ac:dyDescent="0.15">
      <c r="B604" s="274"/>
      <c r="C604" s="273"/>
      <c r="D604" s="273"/>
      <c r="E604" s="273"/>
      <c r="F604" s="272"/>
    </row>
    <row r="605" spans="2:6" ht="12" customHeight="1" x14ac:dyDescent="0.15">
      <c r="B605" s="274"/>
      <c r="C605" s="273"/>
      <c r="D605" s="273"/>
      <c r="E605" s="273"/>
      <c r="F605" s="272"/>
    </row>
    <row r="606" spans="2:6" ht="12" customHeight="1" x14ac:dyDescent="0.15">
      <c r="B606" s="274"/>
      <c r="C606" s="273"/>
      <c r="D606" s="273"/>
      <c r="E606" s="273"/>
      <c r="F606" s="272"/>
    </row>
    <row r="607" spans="2:6" ht="12" customHeight="1" x14ac:dyDescent="0.15">
      <c r="B607" s="274"/>
      <c r="C607" s="273"/>
      <c r="D607" s="273"/>
      <c r="E607" s="273"/>
      <c r="F607" s="272"/>
    </row>
    <row r="608" spans="2:6" ht="12" customHeight="1" x14ac:dyDescent="0.15">
      <c r="B608" s="274"/>
      <c r="C608" s="273"/>
      <c r="D608" s="273"/>
      <c r="E608" s="273"/>
      <c r="F608" s="272"/>
    </row>
    <row r="609" spans="2:6" ht="12" customHeight="1" x14ac:dyDescent="0.15">
      <c r="B609" s="274"/>
      <c r="C609" s="273"/>
      <c r="D609" s="273"/>
      <c r="E609" s="273"/>
      <c r="F609" s="272"/>
    </row>
    <row r="610" spans="2:6" ht="12" customHeight="1" x14ac:dyDescent="0.15">
      <c r="B610" s="274"/>
      <c r="C610" s="273"/>
      <c r="D610" s="273"/>
      <c r="E610" s="273"/>
      <c r="F610" s="272"/>
    </row>
    <row r="611" spans="2:6" ht="12" customHeight="1" x14ac:dyDescent="0.15">
      <c r="B611" s="274"/>
      <c r="C611" s="273"/>
      <c r="D611" s="273"/>
      <c r="E611" s="273"/>
      <c r="F611" s="272"/>
    </row>
    <row r="612" spans="2:6" ht="12" customHeight="1" x14ac:dyDescent="0.15">
      <c r="B612" s="274"/>
      <c r="C612" s="273"/>
      <c r="D612" s="273"/>
      <c r="E612" s="273"/>
      <c r="F612" s="272"/>
    </row>
    <row r="613" spans="2:6" ht="12" customHeight="1" x14ac:dyDescent="0.15">
      <c r="B613" s="274"/>
      <c r="C613" s="273"/>
      <c r="D613" s="273"/>
      <c r="E613" s="273"/>
      <c r="F613" s="272"/>
    </row>
    <row r="614" spans="2:6" ht="12" customHeight="1" x14ac:dyDescent="0.15">
      <c r="B614" s="274"/>
      <c r="C614" s="273"/>
      <c r="D614" s="273"/>
      <c r="E614" s="273"/>
      <c r="F614" s="272"/>
    </row>
    <row r="615" spans="2:6" ht="12" customHeight="1" x14ac:dyDescent="0.15">
      <c r="B615" s="274"/>
      <c r="C615" s="273"/>
      <c r="D615" s="273"/>
      <c r="E615" s="273"/>
      <c r="F615" s="272"/>
    </row>
    <row r="616" spans="2:6" ht="12" customHeight="1" x14ac:dyDescent="0.15">
      <c r="B616" s="274"/>
      <c r="C616" s="273"/>
      <c r="D616" s="273"/>
      <c r="E616" s="273"/>
      <c r="F616" s="272"/>
    </row>
    <row r="617" spans="2:6" ht="12" customHeight="1" x14ac:dyDescent="0.15">
      <c r="B617" s="274"/>
      <c r="C617" s="273"/>
      <c r="D617" s="273"/>
      <c r="E617" s="273"/>
      <c r="F617" s="272"/>
    </row>
    <row r="618" spans="2:6" ht="12" customHeight="1" x14ac:dyDescent="0.15">
      <c r="B618" s="274"/>
      <c r="C618" s="273"/>
      <c r="D618" s="273"/>
      <c r="E618" s="273"/>
      <c r="F618" s="272"/>
    </row>
    <row r="619" spans="2:6" ht="12" customHeight="1" x14ac:dyDescent="0.15">
      <c r="B619" s="274"/>
      <c r="C619" s="273"/>
      <c r="D619" s="273"/>
      <c r="E619" s="273"/>
      <c r="F619" s="272"/>
    </row>
    <row r="620" spans="2:6" ht="12" customHeight="1" x14ac:dyDescent="0.15">
      <c r="B620" s="274"/>
      <c r="C620" s="273"/>
      <c r="D620" s="273"/>
      <c r="E620" s="273"/>
      <c r="F620" s="272"/>
    </row>
    <row r="621" spans="2:6" ht="12" customHeight="1" x14ac:dyDescent="0.15">
      <c r="B621" s="274"/>
      <c r="C621" s="273"/>
      <c r="D621" s="273"/>
      <c r="E621" s="273"/>
      <c r="F621" s="272"/>
    </row>
    <row r="622" spans="2:6" ht="12" customHeight="1" x14ac:dyDescent="0.15">
      <c r="B622" s="274"/>
      <c r="C622" s="273"/>
      <c r="D622" s="273"/>
      <c r="E622" s="273"/>
      <c r="F622" s="272"/>
    </row>
    <row r="623" spans="2:6" ht="12" customHeight="1" x14ac:dyDescent="0.15">
      <c r="B623" s="274"/>
      <c r="C623" s="273"/>
      <c r="D623" s="273"/>
      <c r="E623" s="273"/>
      <c r="F623" s="272"/>
    </row>
    <row r="624" spans="2:6" ht="12" customHeight="1" x14ac:dyDescent="0.15">
      <c r="B624" s="274"/>
      <c r="C624" s="273"/>
      <c r="D624" s="273"/>
      <c r="E624" s="273"/>
      <c r="F624" s="272"/>
    </row>
    <row r="625" spans="2:6" ht="12" customHeight="1" x14ac:dyDescent="0.15">
      <c r="B625" s="274"/>
      <c r="C625" s="273"/>
      <c r="D625" s="273"/>
      <c r="E625" s="273"/>
      <c r="F625" s="272"/>
    </row>
    <row r="626" spans="2:6" ht="12" customHeight="1" x14ac:dyDescent="0.15">
      <c r="B626" s="274"/>
      <c r="C626" s="273"/>
      <c r="D626" s="273"/>
      <c r="E626" s="273"/>
      <c r="F626" s="272"/>
    </row>
    <row r="627" spans="2:6" ht="12" customHeight="1" x14ac:dyDescent="0.15">
      <c r="B627" s="274"/>
      <c r="C627" s="273"/>
      <c r="D627" s="273"/>
      <c r="E627" s="273"/>
      <c r="F627" s="272"/>
    </row>
    <row r="628" spans="2:6" ht="12" customHeight="1" x14ac:dyDescent="0.15">
      <c r="B628" s="274"/>
      <c r="C628" s="273"/>
      <c r="D628" s="273"/>
      <c r="E628" s="273"/>
      <c r="F628" s="272"/>
    </row>
    <row r="629" spans="2:6" ht="12" customHeight="1" x14ac:dyDescent="0.15">
      <c r="B629" s="274"/>
      <c r="C629" s="273"/>
      <c r="D629" s="273"/>
      <c r="E629" s="273"/>
      <c r="F629" s="272"/>
    </row>
    <row r="630" spans="2:6" ht="12" customHeight="1" x14ac:dyDescent="0.15">
      <c r="B630" s="274"/>
      <c r="C630" s="273"/>
      <c r="D630" s="273"/>
      <c r="E630" s="273"/>
      <c r="F630" s="272"/>
    </row>
    <row r="631" spans="2:6" ht="12" customHeight="1" x14ac:dyDescent="0.15">
      <c r="B631" s="274"/>
      <c r="C631" s="273"/>
      <c r="D631" s="273"/>
      <c r="E631" s="273"/>
      <c r="F631" s="272"/>
    </row>
    <row r="632" spans="2:6" ht="12" customHeight="1" x14ac:dyDescent="0.15">
      <c r="B632" s="274"/>
      <c r="C632" s="273"/>
      <c r="D632" s="273"/>
      <c r="E632" s="273"/>
      <c r="F632" s="272"/>
    </row>
    <row r="633" spans="2:6" ht="12" customHeight="1" x14ac:dyDescent="0.15">
      <c r="B633" s="274"/>
      <c r="C633" s="273"/>
      <c r="D633" s="273"/>
      <c r="E633" s="273"/>
      <c r="F633" s="272"/>
    </row>
    <row r="634" spans="2:6" ht="12" customHeight="1" x14ac:dyDescent="0.15">
      <c r="B634" s="274"/>
      <c r="C634" s="273"/>
      <c r="D634" s="273"/>
      <c r="E634" s="273"/>
      <c r="F634" s="272"/>
    </row>
    <row r="635" spans="2:6" ht="12" customHeight="1" x14ac:dyDescent="0.15">
      <c r="B635" s="274"/>
      <c r="C635" s="273"/>
      <c r="D635" s="273"/>
      <c r="E635" s="273"/>
      <c r="F635" s="272"/>
    </row>
    <row r="636" spans="2:6" ht="12" customHeight="1" x14ac:dyDescent="0.15">
      <c r="B636" s="274"/>
      <c r="C636" s="273"/>
      <c r="D636" s="273"/>
      <c r="E636" s="273"/>
      <c r="F636" s="272"/>
    </row>
    <row r="637" spans="2:6" ht="12" customHeight="1" x14ac:dyDescent="0.15">
      <c r="B637" s="274"/>
      <c r="C637" s="273"/>
      <c r="D637" s="273"/>
      <c r="E637" s="273"/>
      <c r="F637" s="272"/>
    </row>
    <row r="638" spans="2:6" ht="12" customHeight="1" x14ac:dyDescent="0.15">
      <c r="B638" s="274"/>
      <c r="C638" s="273"/>
      <c r="D638" s="273"/>
      <c r="E638" s="273"/>
      <c r="F638" s="272"/>
    </row>
    <row r="639" spans="2:6" ht="12" customHeight="1" x14ac:dyDescent="0.15">
      <c r="B639" s="274"/>
      <c r="C639" s="273"/>
      <c r="D639" s="273"/>
      <c r="E639" s="273"/>
      <c r="F639" s="272"/>
    </row>
    <row r="640" spans="2:6" ht="12" customHeight="1" x14ac:dyDescent="0.15">
      <c r="B640" s="274"/>
      <c r="C640" s="273"/>
      <c r="D640" s="273"/>
      <c r="E640" s="273"/>
      <c r="F640" s="272"/>
    </row>
    <row r="641" spans="2:6" ht="12" customHeight="1" x14ac:dyDescent="0.15">
      <c r="B641" s="274"/>
      <c r="C641" s="273"/>
      <c r="D641" s="273"/>
      <c r="E641" s="273"/>
      <c r="F641" s="272"/>
    </row>
    <row r="642" spans="2:6" ht="12" customHeight="1" x14ac:dyDescent="0.15">
      <c r="B642" s="274"/>
      <c r="C642" s="273"/>
      <c r="D642" s="273"/>
      <c r="E642" s="273"/>
      <c r="F642" s="272"/>
    </row>
    <row r="643" spans="2:6" ht="12" customHeight="1" x14ac:dyDescent="0.15">
      <c r="B643" s="274"/>
      <c r="C643" s="273"/>
      <c r="D643" s="273"/>
      <c r="E643" s="273"/>
      <c r="F643" s="272"/>
    </row>
    <row r="644" spans="2:6" ht="12" customHeight="1" x14ac:dyDescent="0.15">
      <c r="B644" s="274"/>
      <c r="C644" s="273"/>
      <c r="D644" s="273"/>
      <c r="E644" s="273"/>
      <c r="F644" s="272"/>
    </row>
    <row r="645" spans="2:6" ht="12" customHeight="1" x14ac:dyDescent="0.15">
      <c r="B645" s="274"/>
      <c r="C645" s="273"/>
      <c r="D645" s="273"/>
      <c r="E645" s="273"/>
      <c r="F645" s="272"/>
    </row>
    <row r="646" spans="2:6" ht="12" customHeight="1" x14ac:dyDescent="0.15">
      <c r="B646" s="274"/>
      <c r="C646" s="273"/>
      <c r="D646" s="273"/>
      <c r="E646" s="273"/>
      <c r="F646" s="272"/>
    </row>
    <row r="647" spans="2:6" ht="12" customHeight="1" x14ac:dyDescent="0.15">
      <c r="B647" s="274"/>
      <c r="C647" s="273"/>
      <c r="D647" s="273"/>
      <c r="E647" s="273"/>
      <c r="F647" s="272"/>
    </row>
    <row r="648" spans="2:6" ht="12" customHeight="1" x14ac:dyDescent="0.15">
      <c r="B648" s="274"/>
      <c r="C648" s="273"/>
      <c r="D648" s="273"/>
      <c r="E648" s="273"/>
      <c r="F648" s="272"/>
    </row>
    <row r="649" spans="2:6" ht="12" customHeight="1" x14ac:dyDescent="0.15">
      <c r="B649" s="274"/>
      <c r="C649" s="273"/>
      <c r="D649" s="273"/>
      <c r="E649" s="273"/>
      <c r="F649" s="272"/>
    </row>
    <row r="650" spans="2:6" ht="12" customHeight="1" x14ac:dyDescent="0.15">
      <c r="B650" s="274"/>
      <c r="C650" s="273"/>
      <c r="D650" s="273"/>
      <c r="E650" s="273"/>
      <c r="F650" s="272"/>
    </row>
    <row r="651" spans="2:6" ht="12" customHeight="1" x14ac:dyDescent="0.15">
      <c r="B651" s="274"/>
      <c r="C651" s="273"/>
      <c r="D651" s="273"/>
      <c r="E651" s="273"/>
      <c r="F651" s="272"/>
    </row>
    <row r="652" spans="2:6" ht="12" customHeight="1" x14ac:dyDescent="0.15">
      <c r="B652" s="274"/>
      <c r="C652" s="273"/>
      <c r="D652" s="273"/>
      <c r="E652" s="273"/>
      <c r="F652" s="272"/>
    </row>
    <row r="653" spans="2:6" ht="12" customHeight="1" x14ac:dyDescent="0.15">
      <c r="B653" s="274"/>
      <c r="C653" s="273"/>
      <c r="D653" s="273"/>
      <c r="E653" s="273"/>
      <c r="F653" s="272"/>
    </row>
    <row r="654" spans="2:6" ht="12" customHeight="1" x14ac:dyDescent="0.15">
      <c r="B654" s="274"/>
      <c r="C654" s="273"/>
      <c r="D654" s="273"/>
      <c r="E654" s="273"/>
      <c r="F654" s="272"/>
    </row>
    <row r="655" spans="2:6" ht="12" customHeight="1" x14ac:dyDescent="0.15">
      <c r="B655" s="274"/>
      <c r="C655" s="273"/>
      <c r="D655" s="273"/>
      <c r="E655" s="273"/>
      <c r="F655" s="272"/>
    </row>
    <row r="656" spans="2:6" ht="12" customHeight="1" x14ac:dyDescent="0.15">
      <c r="B656" s="274"/>
      <c r="C656" s="273"/>
      <c r="D656" s="273"/>
      <c r="E656" s="273"/>
      <c r="F656" s="272"/>
    </row>
    <row r="657" spans="2:6" ht="12" customHeight="1" x14ac:dyDescent="0.15">
      <c r="B657" s="274"/>
      <c r="C657" s="273"/>
      <c r="D657" s="273"/>
      <c r="E657" s="273"/>
      <c r="F657" s="272"/>
    </row>
    <row r="658" spans="2:6" ht="12" customHeight="1" x14ac:dyDescent="0.15">
      <c r="B658" s="274"/>
      <c r="C658" s="273"/>
      <c r="D658" s="273"/>
      <c r="E658" s="273"/>
      <c r="F658" s="272"/>
    </row>
    <row r="659" spans="2:6" ht="12" customHeight="1" x14ac:dyDescent="0.15">
      <c r="B659" s="274"/>
      <c r="C659" s="273"/>
      <c r="D659" s="273"/>
      <c r="E659" s="273"/>
      <c r="F659" s="272"/>
    </row>
    <row r="660" spans="2:6" ht="12" customHeight="1" x14ac:dyDescent="0.15">
      <c r="B660" s="274"/>
      <c r="C660" s="273"/>
      <c r="D660" s="273"/>
      <c r="E660" s="273"/>
      <c r="F660" s="272"/>
    </row>
    <row r="661" spans="2:6" ht="12" customHeight="1" x14ac:dyDescent="0.15">
      <c r="B661" s="274"/>
      <c r="C661" s="273"/>
      <c r="D661" s="273"/>
      <c r="E661" s="273"/>
      <c r="F661" s="272"/>
    </row>
    <row r="662" spans="2:6" ht="12" customHeight="1" x14ac:dyDescent="0.15">
      <c r="B662" s="274"/>
      <c r="C662" s="273"/>
      <c r="D662" s="273"/>
      <c r="E662" s="273"/>
      <c r="F662" s="272"/>
    </row>
    <row r="663" spans="2:6" ht="12" customHeight="1" x14ac:dyDescent="0.15">
      <c r="B663" s="274"/>
      <c r="C663" s="273"/>
      <c r="D663" s="273"/>
      <c r="E663" s="273"/>
      <c r="F663" s="272"/>
    </row>
    <row r="664" spans="2:6" ht="12" customHeight="1" x14ac:dyDescent="0.15">
      <c r="B664" s="274"/>
      <c r="C664" s="273"/>
      <c r="D664" s="273"/>
      <c r="E664" s="273"/>
      <c r="F664" s="272"/>
    </row>
    <row r="665" spans="2:6" ht="12" customHeight="1" x14ac:dyDescent="0.15">
      <c r="B665" s="274"/>
      <c r="C665" s="273"/>
      <c r="D665" s="273"/>
      <c r="E665" s="273"/>
      <c r="F665" s="272"/>
    </row>
    <row r="666" spans="2:6" ht="12" customHeight="1" x14ac:dyDescent="0.15">
      <c r="B666" s="274"/>
      <c r="C666" s="273"/>
      <c r="D666" s="273"/>
      <c r="E666" s="273"/>
      <c r="F666" s="272"/>
    </row>
    <row r="667" spans="2:6" ht="12" customHeight="1" x14ac:dyDescent="0.15">
      <c r="B667" s="274"/>
      <c r="C667" s="273"/>
      <c r="D667" s="273"/>
      <c r="E667" s="273"/>
      <c r="F667" s="272"/>
    </row>
    <row r="668" spans="2:6" ht="12" customHeight="1" x14ac:dyDescent="0.15">
      <c r="B668" s="274"/>
      <c r="C668" s="273"/>
      <c r="D668" s="273"/>
      <c r="E668" s="273"/>
      <c r="F668" s="272"/>
    </row>
    <row r="669" spans="2:6" ht="12" customHeight="1" x14ac:dyDescent="0.15">
      <c r="B669" s="274"/>
      <c r="C669" s="273"/>
      <c r="D669" s="273"/>
      <c r="E669" s="273"/>
      <c r="F669" s="272"/>
    </row>
    <row r="670" spans="2:6" ht="12" customHeight="1" x14ac:dyDescent="0.15">
      <c r="B670" s="274"/>
      <c r="C670" s="273"/>
      <c r="D670" s="273"/>
      <c r="E670" s="273"/>
      <c r="F670" s="272"/>
    </row>
    <row r="671" spans="2:6" ht="12" customHeight="1" x14ac:dyDescent="0.15">
      <c r="B671" s="274"/>
      <c r="C671" s="273"/>
      <c r="D671" s="273"/>
      <c r="E671" s="273"/>
      <c r="F671" s="272"/>
    </row>
    <row r="672" spans="2:6" ht="12" customHeight="1" x14ac:dyDescent="0.15">
      <c r="B672" s="274"/>
      <c r="C672" s="273"/>
      <c r="D672" s="273"/>
      <c r="E672" s="273"/>
      <c r="F672" s="272"/>
    </row>
    <row r="673" spans="2:6" ht="12" customHeight="1" x14ac:dyDescent="0.15">
      <c r="B673" s="274"/>
      <c r="C673" s="273"/>
      <c r="D673" s="273"/>
      <c r="E673" s="273"/>
      <c r="F673" s="272"/>
    </row>
    <row r="674" spans="2:6" ht="12" customHeight="1" x14ac:dyDescent="0.15">
      <c r="B674" s="274"/>
      <c r="C674" s="273"/>
      <c r="D674" s="273"/>
      <c r="E674" s="273"/>
      <c r="F674" s="272"/>
    </row>
    <row r="675" spans="2:6" ht="12" customHeight="1" x14ac:dyDescent="0.15">
      <c r="B675" s="274"/>
      <c r="C675" s="273"/>
      <c r="D675" s="273"/>
      <c r="E675" s="273"/>
      <c r="F675" s="272"/>
    </row>
    <row r="676" spans="2:6" ht="12" customHeight="1" x14ac:dyDescent="0.15">
      <c r="B676" s="274"/>
      <c r="C676" s="273"/>
      <c r="D676" s="273"/>
      <c r="E676" s="273"/>
      <c r="F676" s="272"/>
    </row>
    <row r="677" spans="2:6" ht="12" customHeight="1" x14ac:dyDescent="0.15">
      <c r="B677" s="274"/>
      <c r="C677" s="273"/>
      <c r="D677" s="273"/>
      <c r="E677" s="273"/>
      <c r="F677" s="272"/>
    </row>
    <row r="678" spans="2:6" ht="12" customHeight="1" x14ac:dyDescent="0.15">
      <c r="B678" s="274"/>
      <c r="C678" s="273"/>
      <c r="D678" s="273"/>
      <c r="E678" s="273"/>
      <c r="F678" s="272"/>
    </row>
    <row r="679" spans="2:6" ht="12" customHeight="1" x14ac:dyDescent="0.15">
      <c r="B679" s="274"/>
      <c r="C679" s="273"/>
      <c r="D679" s="273"/>
      <c r="E679" s="273"/>
      <c r="F679" s="272"/>
    </row>
    <row r="680" spans="2:6" ht="12" customHeight="1" x14ac:dyDescent="0.15">
      <c r="B680" s="274"/>
      <c r="C680" s="273"/>
      <c r="D680" s="273"/>
      <c r="E680" s="273"/>
      <c r="F680" s="272"/>
    </row>
    <row r="681" spans="2:6" ht="12" customHeight="1" x14ac:dyDescent="0.15">
      <c r="B681" s="274"/>
      <c r="C681" s="273"/>
      <c r="D681" s="273"/>
      <c r="E681" s="273"/>
      <c r="F681" s="272"/>
    </row>
    <row r="682" spans="2:6" ht="12" customHeight="1" x14ac:dyDescent="0.15">
      <c r="B682" s="274"/>
      <c r="C682" s="273"/>
      <c r="D682" s="273"/>
      <c r="E682" s="273"/>
      <c r="F682" s="272"/>
    </row>
    <row r="683" spans="2:6" ht="12" customHeight="1" x14ac:dyDescent="0.15">
      <c r="B683" s="274"/>
      <c r="C683" s="273"/>
      <c r="D683" s="273"/>
      <c r="E683" s="273"/>
      <c r="F683" s="272"/>
    </row>
    <row r="684" spans="2:6" ht="12" customHeight="1" x14ac:dyDescent="0.15">
      <c r="B684" s="274"/>
      <c r="C684" s="273"/>
      <c r="D684" s="273"/>
      <c r="E684" s="273"/>
      <c r="F684" s="272"/>
    </row>
    <row r="685" spans="2:6" ht="12" customHeight="1" x14ac:dyDescent="0.15">
      <c r="B685" s="274"/>
      <c r="C685" s="273"/>
      <c r="D685" s="273"/>
      <c r="E685" s="273"/>
      <c r="F685" s="272"/>
    </row>
    <row r="686" spans="2:6" ht="12" customHeight="1" x14ac:dyDescent="0.15">
      <c r="B686" s="274"/>
      <c r="C686" s="273"/>
      <c r="D686" s="273"/>
      <c r="E686" s="273"/>
      <c r="F686" s="272"/>
    </row>
    <row r="687" spans="2:6" ht="12" customHeight="1" x14ac:dyDescent="0.15">
      <c r="B687" s="274"/>
      <c r="C687" s="273"/>
      <c r="D687" s="273"/>
      <c r="E687" s="273"/>
      <c r="F687" s="272"/>
    </row>
    <row r="688" spans="2:6" ht="12" customHeight="1" x14ac:dyDescent="0.15">
      <c r="B688" s="274"/>
      <c r="C688" s="273"/>
      <c r="D688" s="273"/>
      <c r="E688" s="273"/>
      <c r="F688" s="272"/>
    </row>
    <row r="689" spans="2:6" ht="12" customHeight="1" x14ac:dyDescent="0.15">
      <c r="B689" s="274"/>
      <c r="C689" s="273"/>
      <c r="D689" s="273"/>
      <c r="E689" s="273"/>
      <c r="F689" s="272"/>
    </row>
    <row r="690" spans="2:6" ht="12" customHeight="1" x14ac:dyDescent="0.15">
      <c r="B690" s="274"/>
      <c r="C690" s="273"/>
      <c r="D690" s="273"/>
      <c r="E690" s="273"/>
      <c r="F690" s="272"/>
    </row>
    <row r="691" spans="2:6" ht="12" customHeight="1" x14ac:dyDescent="0.15">
      <c r="B691" s="274"/>
      <c r="C691" s="273"/>
      <c r="D691" s="273"/>
      <c r="E691" s="273"/>
      <c r="F691" s="272"/>
    </row>
    <row r="692" spans="2:6" ht="12" customHeight="1" x14ac:dyDescent="0.15">
      <c r="B692" s="274"/>
      <c r="C692" s="273"/>
      <c r="D692" s="273"/>
      <c r="E692" s="273"/>
      <c r="F692" s="272"/>
    </row>
    <row r="693" spans="2:6" ht="12" customHeight="1" x14ac:dyDescent="0.15">
      <c r="B693" s="274"/>
      <c r="C693" s="273"/>
      <c r="D693" s="273"/>
      <c r="E693" s="273"/>
      <c r="F693" s="272"/>
    </row>
    <row r="694" spans="2:6" ht="12" customHeight="1" x14ac:dyDescent="0.15">
      <c r="B694" s="274"/>
      <c r="C694" s="273"/>
      <c r="D694" s="273"/>
      <c r="E694" s="273"/>
      <c r="F694" s="272"/>
    </row>
    <row r="695" spans="2:6" ht="12" customHeight="1" x14ac:dyDescent="0.15">
      <c r="B695" s="274"/>
      <c r="C695" s="273"/>
      <c r="D695" s="273"/>
      <c r="E695" s="273"/>
      <c r="F695" s="272"/>
    </row>
    <row r="696" spans="2:6" ht="12" customHeight="1" x14ac:dyDescent="0.15">
      <c r="B696" s="274"/>
      <c r="C696" s="273"/>
      <c r="D696" s="273"/>
      <c r="E696" s="273"/>
      <c r="F696" s="272"/>
    </row>
    <row r="697" spans="2:6" ht="12" customHeight="1" x14ac:dyDescent="0.15">
      <c r="B697" s="274"/>
      <c r="C697" s="273"/>
      <c r="D697" s="273"/>
      <c r="E697" s="273"/>
      <c r="F697" s="272"/>
    </row>
    <row r="698" spans="2:6" ht="12" customHeight="1" x14ac:dyDescent="0.15">
      <c r="B698" s="274"/>
      <c r="C698" s="273"/>
      <c r="D698" s="273"/>
      <c r="E698" s="273"/>
      <c r="F698" s="272"/>
    </row>
    <row r="699" spans="2:6" ht="12" customHeight="1" x14ac:dyDescent="0.15">
      <c r="B699" s="274"/>
      <c r="C699" s="273"/>
      <c r="D699" s="273"/>
      <c r="E699" s="273"/>
      <c r="F699" s="272"/>
    </row>
    <row r="700" spans="2:6" ht="12" customHeight="1" x14ac:dyDescent="0.15">
      <c r="B700" s="274"/>
      <c r="C700" s="273"/>
      <c r="D700" s="273"/>
      <c r="E700" s="273"/>
      <c r="F700" s="272"/>
    </row>
    <row r="701" spans="2:6" ht="12" customHeight="1" x14ac:dyDescent="0.15">
      <c r="B701" s="274"/>
      <c r="C701" s="273"/>
      <c r="D701" s="273"/>
      <c r="E701" s="273"/>
      <c r="F701" s="272"/>
    </row>
    <row r="702" spans="2:6" ht="12" customHeight="1" x14ac:dyDescent="0.15">
      <c r="B702" s="274"/>
      <c r="C702" s="273"/>
      <c r="D702" s="273"/>
      <c r="E702" s="273"/>
      <c r="F702" s="272"/>
    </row>
    <row r="703" spans="2:6" ht="12" customHeight="1" x14ac:dyDescent="0.15">
      <c r="B703" s="274"/>
      <c r="C703" s="273"/>
      <c r="D703" s="273"/>
      <c r="E703" s="273"/>
      <c r="F703" s="272"/>
    </row>
    <row r="704" spans="2:6" ht="12" customHeight="1" x14ac:dyDescent="0.15">
      <c r="B704" s="274"/>
      <c r="C704" s="273"/>
      <c r="D704" s="273"/>
      <c r="E704" s="273"/>
      <c r="F704" s="272"/>
    </row>
    <row r="705" spans="2:6" ht="12" customHeight="1" x14ac:dyDescent="0.15">
      <c r="B705" s="274"/>
      <c r="C705" s="273"/>
      <c r="D705" s="273"/>
      <c r="E705" s="273"/>
      <c r="F705" s="272"/>
    </row>
    <row r="706" spans="2:6" ht="12" customHeight="1" x14ac:dyDescent="0.15">
      <c r="B706" s="274"/>
      <c r="C706" s="273"/>
      <c r="D706" s="273"/>
      <c r="E706" s="273"/>
      <c r="F706" s="272"/>
    </row>
    <row r="707" spans="2:6" ht="12" customHeight="1" x14ac:dyDescent="0.15">
      <c r="B707" s="274"/>
      <c r="C707" s="273"/>
      <c r="D707" s="273"/>
      <c r="E707" s="273"/>
      <c r="F707" s="272"/>
    </row>
    <row r="708" spans="2:6" ht="12" customHeight="1" x14ac:dyDescent="0.15">
      <c r="B708" s="274"/>
      <c r="C708" s="273"/>
      <c r="D708" s="273"/>
      <c r="E708" s="273"/>
      <c r="F708" s="272"/>
    </row>
    <row r="709" spans="2:6" ht="12" customHeight="1" x14ac:dyDescent="0.15">
      <c r="B709" s="274"/>
      <c r="C709" s="273"/>
      <c r="D709" s="273"/>
      <c r="E709" s="273"/>
      <c r="F709" s="272"/>
    </row>
    <row r="710" spans="2:6" ht="12" customHeight="1" x14ac:dyDescent="0.15">
      <c r="B710" s="274"/>
      <c r="C710" s="273"/>
      <c r="D710" s="273"/>
      <c r="E710" s="273"/>
      <c r="F710" s="272"/>
    </row>
    <row r="711" spans="2:6" ht="12" customHeight="1" x14ac:dyDescent="0.15">
      <c r="B711" s="274"/>
      <c r="C711" s="273"/>
      <c r="D711" s="273"/>
      <c r="E711" s="273"/>
      <c r="F711" s="272"/>
    </row>
    <row r="712" spans="2:6" ht="12" customHeight="1" x14ac:dyDescent="0.15">
      <c r="B712" s="274"/>
      <c r="C712" s="273"/>
      <c r="D712" s="273"/>
      <c r="E712" s="273"/>
      <c r="F712" s="272"/>
    </row>
    <row r="713" spans="2:6" ht="12" customHeight="1" x14ac:dyDescent="0.15">
      <c r="B713" s="274"/>
      <c r="C713" s="273"/>
      <c r="D713" s="273"/>
      <c r="E713" s="273"/>
      <c r="F713" s="272"/>
    </row>
    <row r="714" spans="2:6" ht="12" customHeight="1" x14ac:dyDescent="0.15">
      <c r="B714" s="274"/>
      <c r="C714" s="273"/>
      <c r="D714" s="273"/>
      <c r="E714" s="273"/>
      <c r="F714" s="272"/>
    </row>
    <row r="715" spans="2:6" ht="12" customHeight="1" x14ac:dyDescent="0.15">
      <c r="B715" s="274"/>
      <c r="C715" s="273"/>
      <c r="D715" s="273"/>
      <c r="E715" s="273"/>
      <c r="F715" s="272"/>
    </row>
    <row r="716" spans="2:6" ht="12" customHeight="1" x14ac:dyDescent="0.15">
      <c r="B716" s="274"/>
      <c r="C716" s="273"/>
      <c r="D716" s="273"/>
      <c r="E716" s="273"/>
      <c r="F716" s="272"/>
    </row>
    <row r="717" spans="2:6" ht="12" customHeight="1" x14ac:dyDescent="0.15">
      <c r="B717" s="274"/>
      <c r="C717" s="273"/>
      <c r="D717" s="273"/>
      <c r="E717" s="273"/>
      <c r="F717" s="272"/>
    </row>
    <row r="718" spans="2:6" ht="12" customHeight="1" x14ac:dyDescent="0.15">
      <c r="B718" s="274"/>
      <c r="C718" s="273"/>
      <c r="D718" s="273"/>
      <c r="E718" s="273"/>
      <c r="F718" s="272"/>
    </row>
    <row r="719" spans="2:6" ht="12" customHeight="1" x14ac:dyDescent="0.15">
      <c r="B719" s="274"/>
      <c r="C719" s="273"/>
      <c r="D719" s="273"/>
      <c r="E719" s="273"/>
      <c r="F719" s="272"/>
    </row>
    <row r="720" spans="2:6" ht="12" customHeight="1" x14ac:dyDescent="0.15">
      <c r="B720" s="274"/>
      <c r="C720" s="273"/>
      <c r="D720" s="273"/>
      <c r="E720" s="273"/>
      <c r="F720" s="272"/>
    </row>
    <row r="721" spans="2:6" ht="12" customHeight="1" x14ac:dyDescent="0.15">
      <c r="B721" s="274"/>
      <c r="C721" s="273"/>
      <c r="D721" s="273"/>
      <c r="E721" s="273"/>
      <c r="F721" s="272"/>
    </row>
    <row r="722" spans="2:6" ht="12" customHeight="1" x14ac:dyDescent="0.15">
      <c r="B722" s="274"/>
      <c r="C722" s="273"/>
      <c r="D722" s="273"/>
      <c r="E722" s="273"/>
      <c r="F722" s="272"/>
    </row>
    <row r="723" spans="2:6" ht="12" customHeight="1" x14ac:dyDescent="0.15">
      <c r="B723" s="274"/>
      <c r="C723" s="273"/>
      <c r="D723" s="273"/>
      <c r="E723" s="273"/>
      <c r="F723" s="272"/>
    </row>
    <row r="724" spans="2:6" ht="12" customHeight="1" x14ac:dyDescent="0.15">
      <c r="B724" s="274"/>
      <c r="C724" s="273"/>
      <c r="D724" s="273"/>
      <c r="E724" s="273"/>
      <c r="F724" s="272"/>
    </row>
    <row r="725" spans="2:6" ht="12" customHeight="1" x14ac:dyDescent="0.15">
      <c r="B725" s="274"/>
      <c r="C725" s="273"/>
      <c r="D725" s="273"/>
      <c r="E725" s="273"/>
      <c r="F725" s="272"/>
    </row>
    <row r="726" spans="2:6" ht="12" customHeight="1" x14ac:dyDescent="0.15">
      <c r="B726" s="274"/>
      <c r="C726" s="273"/>
      <c r="D726" s="273"/>
      <c r="E726" s="273"/>
      <c r="F726" s="272"/>
    </row>
    <row r="727" spans="2:6" ht="12" customHeight="1" x14ac:dyDescent="0.15">
      <c r="B727" s="274"/>
      <c r="C727" s="273"/>
      <c r="D727" s="273"/>
      <c r="E727" s="273"/>
      <c r="F727" s="272"/>
    </row>
    <row r="728" spans="2:6" ht="12" customHeight="1" x14ac:dyDescent="0.15">
      <c r="B728" s="274"/>
      <c r="C728" s="273"/>
      <c r="D728" s="273"/>
      <c r="E728" s="273"/>
      <c r="F728" s="272"/>
    </row>
    <row r="729" spans="2:6" ht="12" customHeight="1" x14ac:dyDescent="0.15">
      <c r="B729" s="274"/>
      <c r="C729" s="273"/>
      <c r="D729" s="273"/>
      <c r="E729" s="273"/>
      <c r="F729" s="272"/>
    </row>
    <row r="730" spans="2:6" ht="12" customHeight="1" x14ac:dyDescent="0.15">
      <c r="B730" s="274"/>
      <c r="C730" s="273"/>
      <c r="D730" s="273"/>
      <c r="E730" s="273"/>
      <c r="F730" s="272"/>
    </row>
    <row r="731" spans="2:6" ht="12" customHeight="1" x14ac:dyDescent="0.15">
      <c r="B731" s="274"/>
      <c r="C731" s="273"/>
      <c r="D731" s="273"/>
      <c r="E731" s="273"/>
      <c r="F731" s="272"/>
    </row>
    <row r="732" spans="2:6" ht="12" customHeight="1" x14ac:dyDescent="0.15">
      <c r="B732" s="274"/>
      <c r="C732" s="273"/>
      <c r="D732" s="273"/>
      <c r="E732" s="273"/>
      <c r="F732" s="272"/>
    </row>
    <row r="733" spans="2:6" ht="12" customHeight="1" x14ac:dyDescent="0.15">
      <c r="B733" s="274"/>
      <c r="C733" s="273"/>
      <c r="D733" s="273"/>
      <c r="E733" s="273"/>
      <c r="F733" s="272"/>
    </row>
    <row r="734" spans="2:6" ht="12" customHeight="1" x14ac:dyDescent="0.15">
      <c r="B734" s="274"/>
      <c r="C734" s="273"/>
      <c r="D734" s="273"/>
      <c r="E734" s="273"/>
      <c r="F734" s="272"/>
    </row>
    <row r="735" spans="2:6" ht="12" customHeight="1" x14ac:dyDescent="0.15">
      <c r="B735" s="274"/>
      <c r="C735" s="273"/>
      <c r="D735" s="273"/>
      <c r="E735" s="273"/>
      <c r="F735" s="272"/>
    </row>
    <row r="736" spans="2:6" ht="12" customHeight="1" x14ac:dyDescent="0.15">
      <c r="B736" s="274"/>
      <c r="C736" s="273"/>
      <c r="D736" s="273"/>
      <c r="E736" s="273"/>
      <c r="F736" s="272"/>
    </row>
    <row r="737" spans="2:6" ht="12" customHeight="1" x14ac:dyDescent="0.15">
      <c r="B737" s="274"/>
      <c r="C737" s="273"/>
      <c r="D737" s="273"/>
      <c r="E737" s="273"/>
      <c r="F737" s="272"/>
    </row>
    <row r="738" spans="2:6" ht="12" customHeight="1" x14ac:dyDescent="0.15">
      <c r="B738" s="274"/>
      <c r="C738" s="273"/>
      <c r="D738" s="273"/>
      <c r="E738" s="273"/>
      <c r="F738" s="272"/>
    </row>
    <row r="739" spans="2:6" ht="12" customHeight="1" x14ac:dyDescent="0.15">
      <c r="B739" s="274"/>
      <c r="C739" s="273"/>
      <c r="D739" s="273"/>
      <c r="E739" s="273"/>
      <c r="F739" s="272"/>
    </row>
    <row r="740" spans="2:6" ht="12" customHeight="1" x14ac:dyDescent="0.15">
      <c r="B740" s="274"/>
      <c r="C740" s="273"/>
      <c r="D740" s="273"/>
      <c r="E740" s="273"/>
      <c r="F740" s="272"/>
    </row>
    <row r="741" spans="2:6" ht="12" customHeight="1" x14ac:dyDescent="0.15">
      <c r="B741" s="274"/>
      <c r="C741" s="273"/>
      <c r="D741" s="273"/>
      <c r="E741" s="273"/>
      <c r="F741" s="272"/>
    </row>
    <row r="742" spans="2:6" ht="12" customHeight="1" x14ac:dyDescent="0.15">
      <c r="B742" s="274"/>
      <c r="C742" s="273"/>
      <c r="D742" s="273"/>
      <c r="E742" s="273"/>
      <c r="F742" s="272"/>
    </row>
    <row r="743" spans="2:6" ht="12" customHeight="1" x14ac:dyDescent="0.15">
      <c r="B743" s="274"/>
      <c r="C743" s="273"/>
      <c r="D743" s="273"/>
      <c r="E743" s="273"/>
      <c r="F743" s="272"/>
    </row>
    <row r="744" spans="2:6" ht="12" customHeight="1" x14ac:dyDescent="0.15">
      <c r="B744" s="274"/>
      <c r="C744" s="273"/>
      <c r="D744" s="273"/>
      <c r="E744" s="273"/>
      <c r="F744" s="272"/>
    </row>
    <row r="745" spans="2:6" ht="12" customHeight="1" x14ac:dyDescent="0.15">
      <c r="B745" s="274"/>
      <c r="C745" s="273"/>
      <c r="D745" s="273"/>
      <c r="E745" s="273"/>
      <c r="F745" s="272"/>
    </row>
    <row r="746" spans="2:6" ht="12" customHeight="1" x14ac:dyDescent="0.15">
      <c r="B746" s="274"/>
      <c r="C746" s="273"/>
      <c r="D746" s="273"/>
      <c r="E746" s="273"/>
      <c r="F746" s="272"/>
    </row>
    <row r="747" spans="2:6" ht="12" customHeight="1" x14ac:dyDescent="0.15">
      <c r="B747" s="274"/>
      <c r="C747" s="273"/>
      <c r="D747" s="273"/>
      <c r="E747" s="273"/>
      <c r="F747" s="272"/>
    </row>
    <row r="748" spans="2:6" ht="12" customHeight="1" x14ac:dyDescent="0.15">
      <c r="B748" s="274"/>
      <c r="C748" s="273"/>
      <c r="D748" s="273"/>
      <c r="E748" s="273"/>
      <c r="F748" s="272"/>
    </row>
    <row r="749" spans="2:6" ht="12" customHeight="1" x14ac:dyDescent="0.15">
      <c r="B749" s="274"/>
      <c r="C749" s="273"/>
      <c r="D749" s="273"/>
      <c r="E749" s="273"/>
      <c r="F749" s="272"/>
    </row>
    <row r="750" spans="2:6" ht="12" customHeight="1" x14ac:dyDescent="0.15">
      <c r="B750" s="274"/>
      <c r="C750" s="273"/>
      <c r="D750" s="273"/>
      <c r="E750" s="273"/>
      <c r="F750" s="272"/>
    </row>
    <row r="751" spans="2:6" ht="12" customHeight="1" x14ac:dyDescent="0.15">
      <c r="B751" s="274"/>
      <c r="C751" s="273"/>
      <c r="D751" s="273"/>
      <c r="E751" s="273"/>
      <c r="F751" s="272"/>
    </row>
    <row r="752" spans="2:6" ht="12" customHeight="1" x14ac:dyDescent="0.15">
      <c r="B752" s="274"/>
      <c r="C752" s="273"/>
      <c r="D752" s="273"/>
      <c r="E752" s="273"/>
      <c r="F752" s="272"/>
    </row>
    <row r="753" spans="2:6" ht="12" customHeight="1" x14ac:dyDescent="0.15">
      <c r="B753" s="274"/>
      <c r="C753" s="273"/>
      <c r="D753" s="273"/>
      <c r="E753" s="273"/>
      <c r="F753" s="272"/>
    </row>
    <row r="754" spans="2:6" ht="12" customHeight="1" x14ac:dyDescent="0.15">
      <c r="B754" s="274"/>
      <c r="C754" s="273"/>
      <c r="D754" s="273"/>
      <c r="E754" s="273"/>
      <c r="F754" s="272"/>
    </row>
    <row r="755" spans="2:6" ht="12" customHeight="1" x14ac:dyDescent="0.15">
      <c r="B755" s="274"/>
      <c r="C755" s="273"/>
      <c r="D755" s="273"/>
      <c r="E755" s="273"/>
      <c r="F755" s="272"/>
    </row>
    <row r="756" spans="2:6" ht="12" customHeight="1" x14ac:dyDescent="0.15">
      <c r="B756" s="274"/>
      <c r="C756" s="273"/>
      <c r="D756" s="273"/>
      <c r="E756" s="273"/>
      <c r="F756" s="272"/>
    </row>
    <row r="757" spans="2:6" ht="12" customHeight="1" x14ac:dyDescent="0.15">
      <c r="B757" s="274"/>
      <c r="C757" s="273"/>
      <c r="D757" s="273"/>
      <c r="E757" s="273"/>
      <c r="F757" s="272"/>
    </row>
    <row r="758" spans="2:6" ht="12" customHeight="1" x14ac:dyDescent="0.15">
      <c r="B758" s="274"/>
      <c r="C758" s="273"/>
      <c r="D758" s="273"/>
      <c r="E758" s="273"/>
      <c r="F758" s="272"/>
    </row>
    <row r="759" spans="2:6" ht="12" customHeight="1" x14ac:dyDescent="0.15">
      <c r="B759" s="274"/>
      <c r="C759" s="273"/>
      <c r="D759" s="273"/>
      <c r="E759" s="273"/>
      <c r="F759" s="272"/>
    </row>
    <row r="760" spans="2:6" ht="12" customHeight="1" x14ac:dyDescent="0.15">
      <c r="B760" s="274"/>
      <c r="C760" s="273"/>
      <c r="D760" s="273"/>
      <c r="E760" s="273"/>
      <c r="F760" s="272"/>
    </row>
    <row r="761" spans="2:6" ht="12" customHeight="1" x14ac:dyDescent="0.15">
      <c r="B761" s="274"/>
      <c r="C761" s="273"/>
      <c r="D761" s="273"/>
      <c r="E761" s="273"/>
      <c r="F761" s="272"/>
    </row>
    <row r="762" spans="2:6" ht="12" customHeight="1" x14ac:dyDescent="0.15">
      <c r="B762" s="274"/>
      <c r="C762" s="273"/>
      <c r="D762" s="273"/>
      <c r="E762" s="273"/>
      <c r="F762" s="272"/>
    </row>
    <row r="763" spans="2:6" ht="12" customHeight="1" x14ac:dyDescent="0.15">
      <c r="B763" s="274"/>
      <c r="C763" s="273"/>
      <c r="D763" s="273"/>
      <c r="E763" s="273"/>
      <c r="F763" s="272"/>
    </row>
    <row r="764" spans="2:6" ht="12" customHeight="1" x14ac:dyDescent="0.15">
      <c r="B764" s="274"/>
      <c r="C764" s="273"/>
      <c r="D764" s="273"/>
      <c r="E764" s="273"/>
      <c r="F764" s="272"/>
    </row>
    <row r="765" spans="2:6" ht="12" customHeight="1" x14ac:dyDescent="0.15">
      <c r="B765" s="274"/>
      <c r="C765" s="273"/>
      <c r="D765" s="273"/>
      <c r="E765" s="273"/>
      <c r="F765" s="272"/>
    </row>
    <row r="766" spans="2:6" ht="12" customHeight="1" x14ac:dyDescent="0.15">
      <c r="B766" s="274"/>
      <c r="C766" s="273"/>
      <c r="D766" s="273"/>
      <c r="E766" s="273"/>
      <c r="F766" s="272"/>
    </row>
    <row r="767" spans="2:6" ht="12" customHeight="1" x14ac:dyDescent="0.15">
      <c r="B767" s="274"/>
      <c r="C767" s="273"/>
      <c r="D767" s="273"/>
      <c r="E767" s="273"/>
      <c r="F767" s="272"/>
    </row>
    <row r="768" spans="2:6" ht="12" customHeight="1" x14ac:dyDescent="0.15">
      <c r="B768" s="274"/>
      <c r="C768" s="273"/>
      <c r="D768" s="273"/>
      <c r="E768" s="273"/>
      <c r="F768" s="272"/>
    </row>
    <row r="769" spans="2:6" ht="12" customHeight="1" x14ac:dyDescent="0.15">
      <c r="B769" s="274"/>
      <c r="C769" s="273"/>
      <c r="D769" s="273"/>
      <c r="E769" s="273"/>
      <c r="F769" s="272"/>
    </row>
    <row r="770" spans="2:6" ht="12" customHeight="1" x14ac:dyDescent="0.15">
      <c r="B770" s="274"/>
      <c r="C770" s="273"/>
      <c r="D770" s="273"/>
      <c r="E770" s="273"/>
      <c r="F770" s="272"/>
    </row>
    <row r="771" spans="2:6" ht="12" customHeight="1" x14ac:dyDescent="0.15">
      <c r="B771" s="274"/>
      <c r="C771" s="273"/>
      <c r="D771" s="273"/>
      <c r="E771" s="273"/>
      <c r="F771" s="272"/>
    </row>
    <row r="772" spans="2:6" ht="12" customHeight="1" x14ac:dyDescent="0.15">
      <c r="B772" s="274"/>
      <c r="C772" s="273"/>
      <c r="D772" s="273"/>
      <c r="E772" s="273"/>
      <c r="F772" s="272"/>
    </row>
    <row r="773" spans="2:6" ht="12" customHeight="1" x14ac:dyDescent="0.15">
      <c r="B773" s="274"/>
      <c r="C773" s="273"/>
      <c r="D773" s="273"/>
      <c r="E773" s="273"/>
      <c r="F773" s="272"/>
    </row>
    <row r="774" spans="2:6" ht="12" customHeight="1" x14ac:dyDescent="0.15">
      <c r="B774" s="274"/>
      <c r="C774" s="273"/>
      <c r="D774" s="273"/>
      <c r="E774" s="273"/>
      <c r="F774" s="272"/>
    </row>
    <row r="775" spans="2:6" ht="12" customHeight="1" x14ac:dyDescent="0.15">
      <c r="B775" s="274"/>
      <c r="C775" s="273"/>
      <c r="D775" s="273"/>
      <c r="E775" s="273"/>
      <c r="F775" s="272"/>
    </row>
    <row r="776" spans="2:6" ht="12" customHeight="1" x14ac:dyDescent="0.15">
      <c r="B776" s="274"/>
      <c r="C776" s="273"/>
      <c r="D776" s="273"/>
      <c r="E776" s="273"/>
      <c r="F776" s="272"/>
    </row>
    <row r="777" spans="2:6" ht="12" customHeight="1" x14ac:dyDescent="0.15">
      <c r="B777" s="274"/>
      <c r="C777" s="273"/>
      <c r="D777" s="273"/>
      <c r="E777" s="273"/>
      <c r="F777" s="272"/>
    </row>
    <row r="778" spans="2:6" ht="12" customHeight="1" x14ac:dyDescent="0.15">
      <c r="B778" s="274"/>
      <c r="C778" s="273"/>
      <c r="D778" s="273"/>
      <c r="E778" s="273"/>
      <c r="F778" s="272"/>
    </row>
    <row r="779" spans="2:6" ht="12" customHeight="1" x14ac:dyDescent="0.15">
      <c r="B779" s="274"/>
      <c r="C779" s="273"/>
      <c r="D779" s="273"/>
      <c r="E779" s="273"/>
      <c r="F779" s="272"/>
    </row>
    <row r="780" spans="2:6" ht="12" customHeight="1" x14ac:dyDescent="0.15">
      <c r="B780" s="274"/>
      <c r="C780" s="273"/>
      <c r="D780" s="273"/>
      <c r="E780" s="273"/>
      <c r="F780" s="272"/>
    </row>
    <row r="781" spans="2:6" ht="12" customHeight="1" x14ac:dyDescent="0.15">
      <c r="B781" s="274"/>
      <c r="C781" s="273"/>
      <c r="D781" s="273"/>
      <c r="E781" s="273"/>
      <c r="F781" s="272"/>
    </row>
    <row r="782" spans="2:6" ht="12" customHeight="1" x14ac:dyDescent="0.15">
      <c r="B782" s="274"/>
      <c r="C782" s="273"/>
      <c r="D782" s="273"/>
      <c r="E782" s="273"/>
      <c r="F782" s="272"/>
    </row>
    <row r="783" spans="2:6" ht="12" customHeight="1" x14ac:dyDescent="0.15">
      <c r="B783" s="274"/>
      <c r="C783" s="273"/>
      <c r="D783" s="273"/>
      <c r="E783" s="273"/>
      <c r="F783" s="272"/>
    </row>
    <row r="784" spans="2:6" ht="12" customHeight="1" x14ac:dyDescent="0.15">
      <c r="B784" s="274"/>
      <c r="C784" s="273"/>
      <c r="D784" s="273"/>
      <c r="E784" s="273"/>
      <c r="F784" s="272"/>
    </row>
    <row r="785" spans="2:6" ht="12" customHeight="1" x14ac:dyDescent="0.15">
      <c r="B785" s="274"/>
      <c r="C785" s="273"/>
      <c r="D785" s="273"/>
      <c r="E785" s="273"/>
      <c r="F785" s="272"/>
    </row>
    <row r="786" spans="2:6" ht="12" customHeight="1" x14ac:dyDescent="0.15">
      <c r="B786" s="274"/>
      <c r="C786" s="273"/>
      <c r="D786" s="273"/>
      <c r="E786" s="273"/>
      <c r="F786" s="272"/>
    </row>
    <row r="787" spans="2:6" ht="12" customHeight="1" x14ac:dyDescent="0.15">
      <c r="B787" s="274"/>
      <c r="C787" s="273"/>
      <c r="D787" s="273"/>
      <c r="E787" s="273"/>
      <c r="F787" s="272"/>
    </row>
    <row r="788" spans="2:6" ht="12" customHeight="1" x14ac:dyDescent="0.15">
      <c r="B788" s="274"/>
      <c r="C788" s="273"/>
      <c r="D788" s="273"/>
      <c r="E788" s="273"/>
      <c r="F788" s="272"/>
    </row>
    <row r="789" spans="2:6" ht="12" customHeight="1" x14ac:dyDescent="0.15">
      <c r="B789" s="274"/>
      <c r="C789" s="273"/>
      <c r="D789" s="273"/>
      <c r="E789" s="273"/>
      <c r="F789" s="272"/>
    </row>
    <row r="790" spans="2:6" ht="12" customHeight="1" x14ac:dyDescent="0.15">
      <c r="B790" s="274"/>
      <c r="C790" s="273"/>
      <c r="D790" s="273"/>
      <c r="E790" s="273"/>
      <c r="F790" s="272"/>
    </row>
    <row r="791" spans="2:6" ht="12" customHeight="1" x14ac:dyDescent="0.15">
      <c r="B791" s="274"/>
      <c r="C791" s="273"/>
      <c r="D791" s="273"/>
      <c r="E791" s="273"/>
      <c r="F791" s="272"/>
    </row>
    <row r="792" spans="2:6" ht="12" customHeight="1" x14ac:dyDescent="0.15">
      <c r="B792" s="274"/>
      <c r="C792" s="273"/>
      <c r="D792" s="273"/>
      <c r="E792" s="273"/>
      <c r="F792" s="272"/>
    </row>
    <row r="793" spans="2:6" ht="12" customHeight="1" x14ac:dyDescent="0.15">
      <c r="B793" s="274"/>
      <c r="C793" s="273"/>
      <c r="D793" s="273"/>
      <c r="E793" s="273"/>
      <c r="F793" s="272"/>
    </row>
    <row r="794" spans="2:6" ht="12" customHeight="1" x14ac:dyDescent="0.15">
      <c r="B794" s="274"/>
      <c r="C794" s="273"/>
      <c r="D794" s="273"/>
      <c r="E794" s="273"/>
      <c r="F794" s="272"/>
    </row>
    <row r="795" spans="2:6" ht="12" customHeight="1" x14ac:dyDescent="0.15">
      <c r="B795" s="274"/>
      <c r="C795" s="273"/>
      <c r="D795" s="273"/>
      <c r="E795" s="273"/>
      <c r="F795" s="272"/>
    </row>
    <row r="796" spans="2:6" ht="12" customHeight="1" x14ac:dyDescent="0.15">
      <c r="B796" s="274"/>
      <c r="C796" s="273"/>
      <c r="D796" s="273"/>
      <c r="E796" s="273"/>
      <c r="F796" s="272"/>
    </row>
    <row r="797" spans="2:6" ht="12" customHeight="1" x14ac:dyDescent="0.15">
      <c r="B797" s="274"/>
      <c r="C797" s="273"/>
      <c r="D797" s="273"/>
      <c r="E797" s="273"/>
      <c r="F797" s="272"/>
    </row>
    <row r="798" spans="2:6" ht="12" customHeight="1" x14ac:dyDescent="0.15">
      <c r="B798" s="274"/>
      <c r="C798" s="273"/>
      <c r="D798" s="273"/>
      <c r="E798" s="273"/>
      <c r="F798" s="272"/>
    </row>
    <row r="799" spans="2:6" ht="12" customHeight="1" x14ac:dyDescent="0.15">
      <c r="B799" s="274"/>
      <c r="C799" s="273"/>
      <c r="D799" s="273"/>
      <c r="E799" s="273"/>
      <c r="F799" s="272"/>
    </row>
    <row r="800" spans="2:6" ht="12" customHeight="1" x14ac:dyDescent="0.15">
      <c r="B800" s="274"/>
      <c r="C800" s="273"/>
      <c r="D800" s="273"/>
      <c r="E800" s="273"/>
      <c r="F800" s="272"/>
    </row>
    <row r="801" spans="2:6" ht="12" customHeight="1" x14ac:dyDescent="0.15">
      <c r="B801" s="274"/>
      <c r="C801" s="273"/>
      <c r="D801" s="273"/>
      <c r="E801" s="273"/>
      <c r="F801" s="272"/>
    </row>
    <row r="802" spans="2:6" ht="12" customHeight="1" x14ac:dyDescent="0.15">
      <c r="B802" s="274"/>
      <c r="C802" s="273"/>
      <c r="D802" s="273"/>
      <c r="E802" s="273"/>
      <c r="F802" s="272"/>
    </row>
    <row r="803" spans="2:6" ht="12" customHeight="1" x14ac:dyDescent="0.15">
      <c r="B803" s="274"/>
      <c r="C803" s="273"/>
      <c r="D803" s="273"/>
      <c r="E803" s="273"/>
      <c r="F803" s="272"/>
    </row>
    <row r="804" spans="2:6" ht="12" customHeight="1" x14ac:dyDescent="0.15">
      <c r="B804" s="274"/>
      <c r="C804" s="273"/>
      <c r="D804" s="273"/>
      <c r="E804" s="273"/>
      <c r="F804" s="272"/>
    </row>
    <row r="805" spans="2:6" ht="12" customHeight="1" x14ac:dyDescent="0.15">
      <c r="B805" s="274"/>
      <c r="C805" s="273"/>
      <c r="D805" s="273"/>
      <c r="E805" s="273"/>
      <c r="F805" s="272"/>
    </row>
    <row r="806" spans="2:6" ht="12" customHeight="1" x14ac:dyDescent="0.15">
      <c r="B806" s="274"/>
      <c r="C806" s="273"/>
      <c r="D806" s="273"/>
      <c r="E806" s="273"/>
      <c r="F806" s="272"/>
    </row>
    <row r="807" spans="2:6" ht="12" customHeight="1" x14ac:dyDescent="0.15">
      <c r="B807" s="274"/>
      <c r="C807" s="273"/>
      <c r="D807" s="273"/>
      <c r="E807" s="273"/>
      <c r="F807" s="272"/>
    </row>
    <row r="808" spans="2:6" ht="12" customHeight="1" x14ac:dyDescent="0.15">
      <c r="B808" s="274"/>
      <c r="C808" s="273"/>
      <c r="D808" s="273"/>
      <c r="E808" s="273"/>
      <c r="F808" s="272"/>
    </row>
    <row r="809" spans="2:6" ht="12" customHeight="1" x14ac:dyDescent="0.15">
      <c r="B809" s="274"/>
      <c r="C809" s="273"/>
      <c r="D809" s="273"/>
      <c r="E809" s="273"/>
      <c r="F809" s="272"/>
    </row>
    <row r="810" spans="2:6" ht="12" customHeight="1" x14ac:dyDescent="0.15">
      <c r="B810" s="274"/>
      <c r="C810" s="273"/>
      <c r="D810" s="273"/>
      <c r="E810" s="273"/>
      <c r="F810" s="272"/>
    </row>
    <row r="811" spans="2:6" ht="12" customHeight="1" x14ac:dyDescent="0.15">
      <c r="B811" s="274"/>
      <c r="C811" s="273"/>
      <c r="D811" s="273"/>
      <c r="E811" s="273"/>
      <c r="F811" s="272"/>
    </row>
    <row r="812" spans="2:6" ht="12" customHeight="1" x14ac:dyDescent="0.15">
      <c r="B812" s="274"/>
      <c r="C812" s="273"/>
      <c r="D812" s="273"/>
      <c r="E812" s="273"/>
      <c r="F812" s="272"/>
    </row>
    <row r="813" spans="2:6" ht="12" customHeight="1" x14ac:dyDescent="0.15">
      <c r="B813" s="274"/>
      <c r="C813" s="273"/>
      <c r="D813" s="273"/>
      <c r="E813" s="273"/>
      <c r="F813" s="272"/>
    </row>
    <row r="814" spans="2:6" ht="12" customHeight="1" x14ac:dyDescent="0.15">
      <c r="B814" s="274"/>
      <c r="C814" s="273"/>
      <c r="D814" s="273"/>
      <c r="E814" s="273"/>
      <c r="F814" s="272"/>
    </row>
    <row r="815" spans="2:6" ht="12" customHeight="1" x14ac:dyDescent="0.15">
      <c r="B815" s="274"/>
      <c r="C815" s="273"/>
      <c r="D815" s="273"/>
      <c r="E815" s="273"/>
      <c r="F815" s="272"/>
    </row>
    <row r="816" spans="2:6" ht="12" customHeight="1" x14ac:dyDescent="0.15">
      <c r="B816" s="274"/>
      <c r="C816" s="273"/>
      <c r="D816" s="273"/>
      <c r="E816" s="273"/>
      <c r="F816" s="272"/>
    </row>
    <row r="817" spans="2:6" ht="12" customHeight="1" x14ac:dyDescent="0.15">
      <c r="B817" s="274"/>
      <c r="C817" s="273"/>
      <c r="D817" s="273"/>
      <c r="E817" s="273"/>
      <c r="F817" s="272"/>
    </row>
    <row r="818" spans="2:6" ht="12" customHeight="1" x14ac:dyDescent="0.15">
      <c r="B818" s="274"/>
      <c r="C818" s="273"/>
      <c r="D818" s="273"/>
      <c r="E818" s="273"/>
      <c r="F818" s="272"/>
    </row>
    <row r="819" spans="2:6" ht="12" customHeight="1" x14ac:dyDescent="0.15">
      <c r="B819" s="274"/>
      <c r="C819" s="273"/>
      <c r="D819" s="273"/>
      <c r="E819" s="273"/>
      <c r="F819" s="272"/>
    </row>
    <row r="820" spans="2:6" ht="12" customHeight="1" x14ac:dyDescent="0.15">
      <c r="B820" s="274"/>
      <c r="C820" s="273"/>
      <c r="D820" s="273"/>
      <c r="E820" s="273"/>
      <c r="F820" s="272"/>
    </row>
    <row r="821" spans="2:6" ht="12" customHeight="1" x14ac:dyDescent="0.15">
      <c r="B821" s="274"/>
      <c r="C821" s="273"/>
      <c r="D821" s="273"/>
      <c r="E821" s="273"/>
      <c r="F821" s="272"/>
    </row>
    <row r="822" spans="2:6" ht="12" customHeight="1" x14ac:dyDescent="0.15">
      <c r="B822" s="274"/>
      <c r="C822" s="273"/>
      <c r="D822" s="273"/>
      <c r="E822" s="273"/>
      <c r="F822" s="272"/>
    </row>
    <row r="823" spans="2:6" ht="12" customHeight="1" x14ac:dyDescent="0.15">
      <c r="B823" s="274"/>
      <c r="C823" s="273"/>
      <c r="D823" s="273"/>
      <c r="E823" s="273"/>
      <c r="F823" s="272"/>
    </row>
    <row r="824" spans="2:6" ht="12" customHeight="1" x14ac:dyDescent="0.15">
      <c r="B824" s="274"/>
      <c r="C824" s="273"/>
      <c r="D824" s="273"/>
      <c r="E824" s="273"/>
      <c r="F824" s="272"/>
    </row>
    <row r="825" spans="2:6" ht="12" customHeight="1" x14ac:dyDescent="0.15">
      <c r="B825" s="274"/>
      <c r="C825" s="273"/>
      <c r="D825" s="273"/>
      <c r="E825" s="273"/>
      <c r="F825" s="272"/>
    </row>
    <row r="826" spans="2:6" ht="12" customHeight="1" x14ac:dyDescent="0.15">
      <c r="B826" s="274"/>
      <c r="C826" s="273"/>
      <c r="D826" s="273"/>
      <c r="E826" s="273"/>
      <c r="F826" s="272"/>
    </row>
    <row r="827" spans="2:6" ht="12" customHeight="1" x14ac:dyDescent="0.15">
      <c r="B827" s="274"/>
      <c r="C827" s="273"/>
      <c r="D827" s="273"/>
      <c r="E827" s="273"/>
      <c r="F827" s="272"/>
    </row>
    <row r="828" spans="2:6" ht="12" customHeight="1" x14ac:dyDescent="0.15">
      <c r="B828" s="274"/>
      <c r="C828" s="273"/>
      <c r="D828" s="273"/>
      <c r="E828" s="273"/>
      <c r="F828" s="272"/>
    </row>
    <row r="829" spans="2:6" ht="12" customHeight="1" x14ac:dyDescent="0.15">
      <c r="B829" s="274"/>
      <c r="C829" s="273"/>
      <c r="D829" s="273"/>
      <c r="E829" s="273"/>
      <c r="F829" s="272"/>
    </row>
    <row r="830" spans="2:6" ht="12" customHeight="1" x14ac:dyDescent="0.15">
      <c r="B830" s="274"/>
      <c r="C830" s="273"/>
      <c r="D830" s="273"/>
      <c r="E830" s="273"/>
      <c r="F830" s="272"/>
    </row>
    <row r="831" spans="2:6" ht="12" customHeight="1" x14ac:dyDescent="0.15">
      <c r="B831" s="274"/>
      <c r="C831" s="273"/>
      <c r="D831" s="273"/>
      <c r="E831" s="273"/>
      <c r="F831" s="272"/>
    </row>
    <row r="832" spans="2:6" ht="12" customHeight="1" x14ac:dyDescent="0.15">
      <c r="B832" s="274"/>
      <c r="C832" s="273"/>
      <c r="D832" s="273"/>
      <c r="E832" s="273"/>
      <c r="F832" s="272"/>
    </row>
    <row r="833" spans="2:6" ht="12" customHeight="1" x14ac:dyDescent="0.15">
      <c r="B833" s="274"/>
      <c r="C833" s="273"/>
      <c r="D833" s="273"/>
      <c r="E833" s="273"/>
      <c r="F833" s="272"/>
    </row>
    <row r="834" spans="2:6" ht="12" customHeight="1" x14ac:dyDescent="0.15">
      <c r="B834" s="274"/>
      <c r="C834" s="273"/>
      <c r="D834" s="273"/>
      <c r="E834" s="273"/>
      <c r="F834" s="272"/>
    </row>
    <row r="835" spans="2:6" ht="12" customHeight="1" x14ac:dyDescent="0.15">
      <c r="B835" s="274"/>
      <c r="C835" s="273"/>
      <c r="D835" s="273"/>
      <c r="E835" s="273"/>
      <c r="F835" s="272"/>
    </row>
    <row r="836" spans="2:6" ht="12" customHeight="1" x14ac:dyDescent="0.15">
      <c r="B836" s="274"/>
      <c r="C836" s="273"/>
      <c r="D836" s="273"/>
      <c r="E836" s="273"/>
      <c r="F836" s="272"/>
    </row>
    <row r="837" spans="2:6" ht="12" customHeight="1" x14ac:dyDescent="0.15">
      <c r="B837" s="274"/>
      <c r="C837" s="273"/>
      <c r="D837" s="273"/>
      <c r="E837" s="273"/>
      <c r="F837" s="272"/>
    </row>
    <row r="838" spans="2:6" ht="12" customHeight="1" x14ac:dyDescent="0.15">
      <c r="B838" s="274"/>
      <c r="C838" s="273"/>
      <c r="D838" s="273"/>
      <c r="E838" s="273"/>
      <c r="F838" s="272"/>
    </row>
    <row r="839" spans="2:6" ht="12" customHeight="1" x14ac:dyDescent="0.15">
      <c r="B839" s="274"/>
      <c r="C839" s="273"/>
      <c r="D839" s="273"/>
      <c r="E839" s="273"/>
      <c r="F839" s="272"/>
    </row>
    <row r="840" spans="2:6" ht="12" customHeight="1" x14ac:dyDescent="0.15">
      <c r="B840" s="274"/>
      <c r="C840" s="273"/>
      <c r="D840" s="273"/>
      <c r="E840" s="273"/>
      <c r="F840" s="272"/>
    </row>
    <row r="841" spans="2:6" ht="12" customHeight="1" x14ac:dyDescent="0.15">
      <c r="B841" s="274"/>
      <c r="C841" s="273"/>
      <c r="D841" s="273"/>
      <c r="E841" s="273"/>
      <c r="F841" s="272"/>
    </row>
    <row r="842" spans="2:6" ht="12" customHeight="1" x14ac:dyDescent="0.15">
      <c r="B842" s="274"/>
      <c r="C842" s="273"/>
      <c r="D842" s="273"/>
      <c r="E842" s="273"/>
      <c r="F842" s="272"/>
    </row>
    <row r="843" spans="2:6" ht="12" customHeight="1" x14ac:dyDescent="0.15">
      <c r="B843" s="274"/>
      <c r="C843" s="273"/>
      <c r="D843" s="273"/>
      <c r="E843" s="273"/>
      <c r="F843" s="272"/>
    </row>
    <row r="844" spans="2:6" ht="12" customHeight="1" x14ac:dyDescent="0.15">
      <c r="B844" s="274"/>
      <c r="C844" s="273"/>
      <c r="D844" s="273"/>
      <c r="E844" s="273"/>
      <c r="F844" s="272"/>
    </row>
    <row r="845" spans="2:6" ht="12" customHeight="1" x14ac:dyDescent="0.15">
      <c r="B845" s="274"/>
      <c r="C845" s="273"/>
      <c r="D845" s="273"/>
      <c r="E845" s="273"/>
      <c r="F845" s="272"/>
    </row>
    <row r="846" spans="2:6" ht="12" customHeight="1" x14ac:dyDescent="0.15">
      <c r="B846" s="274"/>
      <c r="C846" s="273"/>
      <c r="D846" s="273"/>
      <c r="E846" s="273"/>
      <c r="F846" s="272"/>
    </row>
    <row r="847" spans="2:6" ht="12" customHeight="1" x14ac:dyDescent="0.15">
      <c r="B847" s="274"/>
      <c r="C847" s="273"/>
      <c r="D847" s="273"/>
      <c r="E847" s="273"/>
      <c r="F847" s="272"/>
    </row>
    <row r="848" spans="2:6" ht="12" customHeight="1" x14ac:dyDescent="0.15">
      <c r="B848" s="274"/>
      <c r="C848" s="273"/>
      <c r="D848" s="273"/>
      <c r="E848" s="273"/>
      <c r="F848" s="272"/>
    </row>
    <row r="849" spans="2:6" ht="12" customHeight="1" x14ac:dyDescent="0.15">
      <c r="B849" s="274"/>
      <c r="C849" s="273"/>
      <c r="D849" s="273"/>
      <c r="E849" s="273"/>
      <c r="F849" s="272"/>
    </row>
    <row r="850" spans="2:6" ht="12" customHeight="1" x14ac:dyDescent="0.15">
      <c r="B850" s="274"/>
      <c r="C850" s="273"/>
      <c r="D850" s="273"/>
      <c r="E850" s="273"/>
      <c r="F850" s="272"/>
    </row>
    <row r="851" spans="2:6" ht="12" customHeight="1" x14ac:dyDescent="0.15">
      <c r="B851" s="274"/>
      <c r="C851" s="273"/>
      <c r="D851" s="273"/>
      <c r="E851" s="273"/>
      <c r="F851" s="272"/>
    </row>
    <row r="852" spans="2:6" ht="12" customHeight="1" x14ac:dyDescent="0.15">
      <c r="B852" s="274"/>
      <c r="C852" s="273"/>
      <c r="D852" s="273"/>
      <c r="E852" s="273"/>
      <c r="F852" s="272"/>
    </row>
    <row r="853" spans="2:6" ht="12" customHeight="1" x14ac:dyDescent="0.15">
      <c r="B853" s="274"/>
      <c r="C853" s="273"/>
      <c r="D853" s="273"/>
      <c r="E853" s="273"/>
      <c r="F853" s="272"/>
    </row>
    <row r="854" spans="2:6" ht="12" customHeight="1" x14ac:dyDescent="0.15">
      <c r="B854" s="274"/>
      <c r="C854" s="273"/>
      <c r="D854" s="273"/>
      <c r="E854" s="273"/>
      <c r="F854" s="272"/>
    </row>
    <row r="855" spans="2:6" ht="12" customHeight="1" x14ac:dyDescent="0.15">
      <c r="B855" s="274"/>
      <c r="C855" s="273"/>
      <c r="D855" s="273"/>
      <c r="E855" s="273"/>
      <c r="F855" s="272"/>
    </row>
    <row r="856" spans="2:6" ht="12" customHeight="1" x14ac:dyDescent="0.15">
      <c r="B856" s="274"/>
      <c r="C856" s="273"/>
      <c r="D856" s="273"/>
      <c r="E856" s="273"/>
      <c r="F856" s="272"/>
    </row>
    <row r="857" spans="2:6" ht="12" customHeight="1" x14ac:dyDescent="0.15">
      <c r="B857" s="274"/>
      <c r="C857" s="273"/>
      <c r="D857" s="273"/>
      <c r="E857" s="273"/>
      <c r="F857" s="272"/>
    </row>
    <row r="858" spans="2:6" ht="12" customHeight="1" x14ac:dyDescent="0.15">
      <c r="B858" s="274"/>
      <c r="C858" s="273"/>
      <c r="D858" s="273"/>
      <c r="E858" s="273"/>
      <c r="F858" s="272"/>
    </row>
    <row r="859" spans="2:6" ht="12" customHeight="1" x14ac:dyDescent="0.15">
      <c r="B859" s="274"/>
      <c r="C859" s="273"/>
      <c r="D859" s="273"/>
      <c r="E859" s="273"/>
      <c r="F859" s="272"/>
    </row>
    <row r="860" spans="2:6" ht="12" customHeight="1" x14ac:dyDescent="0.15">
      <c r="B860" s="274"/>
      <c r="C860" s="273"/>
      <c r="D860" s="273"/>
      <c r="E860" s="273"/>
      <c r="F860" s="272"/>
    </row>
    <row r="861" spans="2:6" ht="12" customHeight="1" x14ac:dyDescent="0.15">
      <c r="B861" s="274"/>
      <c r="C861" s="273"/>
      <c r="D861" s="273"/>
      <c r="E861" s="273"/>
      <c r="F861" s="272"/>
    </row>
    <row r="862" spans="2:6" ht="12" customHeight="1" x14ac:dyDescent="0.15">
      <c r="B862" s="274"/>
      <c r="C862" s="273"/>
      <c r="D862" s="273"/>
      <c r="E862" s="273"/>
      <c r="F862" s="272"/>
    </row>
    <row r="863" spans="2:6" ht="12" customHeight="1" x14ac:dyDescent="0.15">
      <c r="B863" s="274"/>
      <c r="C863" s="273"/>
      <c r="D863" s="273"/>
      <c r="E863" s="273"/>
      <c r="F863" s="272"/>
    </row>
    <row r="864" spans="2:6" ht="12" customHeight="1" x14ac:dyDescent="0.15">
      <c r="B864" s="274"/>
      <c r="C864" s="273"/>
      <c r="D864" s="273"/>
      <c r="E864" s="273"/>
      <c r="F864" s="272"/>
    </row>
    <row r="865" spans="2:6" ht="12" customHeight="1" x14ac:dyDescent="0.15">
      <c r="B865" s="274"/>
      <c r="C865" s="273"/>
      <c r="D865" s="273"/>
      <c r="E865" s="273"/>
      <c r="F865" s="272"/>
    </row>
    <row r="866" spans="2:6" ht="12" customHeight="1" x14ac:dyDescent="0.15">
      <c r="B866" s="274"/>
      <c r="C866" s="273"/>
      <c r="D866" s="273"/>
      <c r="E866" s="273"/>
      <c r="F866" s="272"/>
    </row>
    <row r="867" spans="2:6" ht="12" customHeight="1" x14ac:dyDescent="0.15">
      <c r="B867" s="274"/>
      <c r="C867" s="273"/>
      <c r="D867" s="273"/>
      <c r="E867" s="273"/>
      <c r="F867" s="272"/>
    </row>
    <row r="868" spans="2:6" ht="12" customHeight="1" x14ac:dyDescent="0.15">
      <c r="B868" s="274"/>
      <c r="C868" s="273"/>
      <c r="D868" s="273"/>
      <c r="E868" s="273"/>
      <c r="F868" s="272"/>
    </row>
    <row r="869" spans="2:6" ht="12" customHeight="1" x14ac:dyDescent="0.15">
      <c r="B869" s="274"/>
      <c r="C869" s="273"/>
      <c r="D869" s="273"/>
      <c r="E869" s="273"/>
      <c r="F869" s="272"/>
    </row>
    <row r="870" spans="2:6" ht="12" customHeight="1" x14ac:dyDescent="0.15">
      <c r="B870" s="274"/>
      <c r="C870" s="273"/>
      <c r="D870" s="273"/>
      <c r="E870" s="273"/>
      <c r="F870" s="272"/>
    </row>
    <row r="871" spans="2:6" ht="12" customHeight="1" x14ac:dyDescent="0.15">
      <c r="B871" s="274"/>
      <c r="C871" s="273"/>
      <c r="D871" s="273"/>
      <c r="E871" s="273"/>
      <c r="F871" s="272"/>
    </row>
    <row r="872" spans="2:6" ht="12" customHeight="1" x14ac:dyDescent="0.15">
      <c r="B872" s="274"/>
      <c r="C872" s="273"/>
      <c r="D872" s="273"/>
      <c r="E872" s="273"/>
      <c r="F872" s="272"/>
    </row>
    <row r="873" spans="2:6" ht="12" customHeight="1" x14ac:dyDescent="0.15">
      <c r="B873" s="274"/>
      <c r="C873" s="273"/>
      <c r="D873" s="273"/>
      <c r="E873" s="273"/>
      <c r="F873" s="272"/>
    </row>
    <row r="874" spans="2:6" ht="12" customHeight="1" x14ac:dyDescent="0.15">
      <c r="B874" s="274"/>
      <c r="C874" s="273"/>
      <c r="D874" s="273"/>
      <c r="E874" s="273"/>
      <c r="F874" s="272"/>
    </row>
    <row r="875" spans="2:6" ht="12" customHeight="1" x14ac:dyDescent="0.15">
      <c r="B875" s="274"/>
      <c r="C875" s="273"/>
      <c r="D875" s="273"/>
      <c r="E875" s="273"/>
      <c r="F875" s="272"/>
    </row>
    <row r="876" spans="2:6" ht="12" customHeight="1" x14ac:dyDescent="0.15">
      <c r="B876" s="274"/>
      <c r="C876" s="273"/>
      <c r="D876" s="273"/>
      <c r="E876" s="273"/>
      <c r="F876" s="272"/>
    </row>
    <row r="877" spans="2:6" ht="12" customHeight="1" x14ac:dyDescent="0.15">
      <c r="B877" s="274"/>
      <c r="C877" s="273"/>
      <c r="D877" s="273"/>
      <c r="E877" s="273"/>
      <c r="F877" s="272"/>
    </row>
    <row r="878" spans="2:6" ht="12" customHeight="1" x14ac:dyDescent="0.15">
      <c r="B878" s="274"/>
      <c r="C878" s="273"/>
      <c r="D878" s="273"/>
      <c r="E878" s="273"/>
      <c r="F878" s="272"/>
    </row>
    <row r="879" spans="2:6" ht="12" customHeight="1" x14ac:dyDescent="0.15">
      <c r="B879" s="274"/>
      <c r="C879" s="273"/>
      <c r="D879" s="273"/>
      <c r="E879" s="273"/>
      <c r="F879" s="272"/>
    </row>
    <row r="880" spans="2:6" ht="12" customHeight="1" x14ac:dyDescent="0.15">
      <c r="B880" s="274"/>
      <c r="C880" s="273"/>
      <c r="D880" s="273"/>
      <c r="E880" s="273"/>
      <c r="F880" s="272"/>
    </row>
    <row r="881" spans="2:6" ht="12" customHeight="1" x14ac:dyDescent="0.15">
      <c r="B881" s="274"/>
      <c r="C881" s="273"/>
      <c r="D881" s="273"/>
      <c r="E881" s="273"/>
      <c r="F881" s="272"/>
    </row>
    <row r="882" spans="2:6" ht="12" customHeight="1" x14ac:dyDescent="0.15">
      <c r="B882" s="274"/>
      <c r="C882" s="273"/>
      <c r="D882" s="273"/>
      <c r="E882" s="273"/>
      <c r="F882" s="272"/>
    </row>
    <row r="883" spans="2:6" ht="12" customHeight="1" x14ac:dyDescent="0.15">
      <c r="B883" s="274"/>
      <c r="C883" s="273"/>
      <c r="D883" s="273"/>
      <c r="E883" s="273"/>
      <c r="F883" s="272"/>
    </row>
    <row r="884" spans="2:6" ht="12" customHeight="1" x14ac:dyDescent="0.15">
      <c r="B884" s="274"/>
      <c r="C884" s="273"/>
      <c r="D884" s="273"/>
      <c r="E884" s="273"/>
      <c r="F884" s="272"/>
    </row>
    <row r="885" spans="2:6" ht="12" customHeight="1" x14ac:dyDescent="0.15">
      <c r="B885" s="274"/>
      <c r="C885" s="273"/>
      <c r="D885" s="273"/>
      <c r="E885" s="273"/>
      <c r="F885" s="272"/>
    </row>
    <row r="886" spans="2:6" ht="12" customHeight="1" x14ac:dyDescent="0.15">
      <c r="B886" s="274"/>
      <c r="C886" s="273"/>
      <c r="D886" s="273"/>
      <c r="E886" s="273"/>
      <c r="F886" s="272"/>
    </row>
    <row r="887" spans="2:6" ht="12" customHeight="1" x14ac:dyDescent="0.15">
      <c r="B887" s="274"/>
      <c r="C887" s="273"/>
      <c r="D887" s="273"/>
      <c r="E887" s="273"/>
      <c r="F887" s="272"/>
    </row>
    <row r="888" spans="2:6" ht="12" customHeight="1" x14ac:dyDescent="0.15">
      <c r="B888" s="274"/>
      <c r="C888" s="273"/>
      <c r="D888" s="273"/>
      <c r="E888" s="273"/>
      <c r="F888" s="272"/>
    </row>
    <row r="889" spans="2:6" ht="12" customHeight="1" x14ac:dyDescent="0.15">
      <c r="B889" s="274"/>
      <c r="C889" s="273"/>
      <c r="D889" s="273"/>
      <c r="E889" s="273"/>
      <c r="F889" s="272"/>
    </row>
    <row r="890" spans="2:6" ht="12" customHeight="1" x14ac:dyDescent="0.15">
      <c r="B890" s="274"/>
      <c r="C890" s="273"/>
      <c r="D890" s="273"/>
      <c r="E890" s="273"/>
      <c r="F890" s="272"/>
    </row>
    <row r="891" spans="2:6" ht="12" customHeight="1" x14ac:dyDescent="0.15">
      <c r="B891" s="274"/>
      <c r="C891" s="273"/>
      <c r="D891" s="273"/>
      <c r="E891" s="273"/>
      <c r="F891" s="272"/>
    </row>
    <row r="892" spans="2:6" ht="12" customHeight="1" x14ac:dyDescent="0.15">
      <c r="B892" s="274"/>
      <c r="C892" s="273"/>
      <c r="D892" s="273"/>
      <c r="E892" s="273"/>
      <c r="F892" s="272"/>
    </row>
    <row r="893" spans="2:6" ht="12" customHeight="1" x14ac:dyDescent="0.15">
      <c r="B893" s="274"/>
      <c r="C893" s="273"/>
      <c r="D893" s="273"/>
      <c r="E893" s="273"/>
      <c r="F893" s="272"/>
    </row>
    <row r="894" spans="2:6" ht="12" customHeight="1" x14ac:dyDescent="0.15">
      <c r="B894" s="274"/>
      <c r="C894" s="273"/>
      <c r="D894" s="273"/>
      <c r="E894" s="273"/>
      <c r="F894" s="272"/>
    </row>
    <row r="895" spans="2:6" ht="12" customHeight="1" x14ac:dyDescent="0.15">
      <c r="B895" s="274"/>
      <c r="C895" s="273"/>
      <c r="D895" s="273"/>
      <c r="E895" s="273"/>
      <c r="F895" s="272"/>
    </row>
    <row r="896" spans="2:6" ht="12" customHeight="1" x14ac:dyDescent="0.15">
      <c r="B896" s="274"/>
      <c r="C896" s="273"/>
      <c r="D896" s="273"/>
      <c r="E896" s="273"/>
      <c r="F896" s="272"/>
    </row>
    <row r="897" spans="2:6" ht="12" customHeight="1" x14ac:dyDescent="0.15">
      <c r="B897" s="274"/>
      <c r="C897" s="273"/>
      <c r="D897" s="273"/>
      <c r="E897" s="273"/>
      <c r="F897" s="272"/>
    </row>
    <row r="898" spans="2:6" ht="12" customHeight="1" x14ac:dyDescent="0.15">
      <c r="B898" s="274"/>
      <c r="C898" s="273"/>
      <c r="D898" s="273"/>
      <c r="E898" s="273"/>
      <c r="F898" s="272"/>
    </row>
    <row r="899" spans="2:6" ht="12" customHeight="1" x14ac:dyDescent="0.15">
      <c r="B899" s="274"/>
      <c r="C899" s="273"/>
      <c r="D899" s="273"/>
      <c r="E899" s="273"/>
      <c r="F899" s="272"/>
    </row>
    <row r="900" spans="2:6" ht="12" customHeight="1" x14ac:dyDescent="0.15">
      <c r="B900" s="274"/>
      <c r="C900" s="273"/>
      <c r="D900" s="273"/>
      <c r="E900" s="273"/>
      <c r="F900" s="272"/>
    </row>
    <row r="901" spans="2:6" ht="12" customHeight="1" x14ac:dyDescent="0.15">
      <c r="B901" s="274"/>
      <c r="C901" s="273"/>
      <c r="D901" s="273"/>
      <c r="E901" s="273"/>
      <c r="F901" s="272"/>
    </row>
    <row r="902" spans="2:6" ht="12" customHeight="1" x14ac:dyDescent="0.15">
      <c r="B902" s="274"/>
      <c r="C902" s="273"/>
      <c r="D902" s="273"/>
      <c r="E902" s="273"/>
      <c r="F902" s="272"/>
    </row>
    <row r="903" spans="2:6" ht="12" customHeight="1" x14ac:dyDescent="0.15">
      <c r="B903" s="274"/>
      <c r="C903" s="273"/>
      <c r="D903" s="273"/>
      <c r="E903" s="273"/>
      <c r="F903" s="272"/>
    </row>
    <row r="904" spans="2:6" ht="12" customHeight="1" x14ac:dyDescent="0.15">
      <c r="B904" s="274"/>
      <c r="C904" s="273"/>
      <c r="D904" s="273"/>
      <c r="E904" s="273"/>
      <c r="F904" s="272"/>
    </row>
    <row r="905" spans="2:6" ht="12" customHeight="1" x14ac:dyDescent="0.15">
      <c r="B905" s="274"/>
      <c r="C905" s="273"/>
      <c r="D905" s="273"/>
      <c r="E905" s="273"/>
      <c r="F905" s="272"/>
    </row>
    <row r="906" spans="2:6" ht="12" customHeight="1" x14ac:dyDescent="0.15">
      <c r="B906" s="274"/>
      <c r="C906" s="273"/>
      <c r="D906" s="273"/>
      <c r="E906" s="273"/>
      <c r="F906" s="272"/>
    </row>
    <row r="907" spans="2:6" ht="12" customHeight="1" x14ac:dyDescent="0.15">
      <c r="B907" s="274"/>
      <c r="C907" s="273"/>
      <c r="D907" s="273"/>
      <c r="E907" s="273"/>
      <c r="F907" s="272"/>
    </row>
    <row r="908" spans="2:6" ht="12" customHeight="1" x14ac:dyDescent="0.15">
      <c r="B908" s="274"/>
      <c r="C908" s="273"/>
      <c r="D908" s="273"/>
      <c r="E908" s="273"/>
      <c r="F908" s="272"/>
    </row>
    <row r="909" spans="2:6" ht="12" customHeight="1" x14ac:dyDescent="0.15">
      <c r="B909" s="274"/>
      <c r="C909" s="273"/>
      <c r="D909" s="273"/>
      <c r="E909" s="273"/>
      <c r="F909" s="272"/>
    </row>
    <row r="910" spans="2:6" ht="12" customHeight="1" x14ac:dyDescent="0.15">
      <c r="B910" s="274"/>
      <c r="C910" s="273"/>
      <c r="D910" s="273"/>
      <c r="E910" s="273"/>
      <c r="F910" s="272"/>
    </row>
    <row r="911" spans="2:6" ht="12" customHeight="1" x14ac:dyDescent="0.15">
      <c r="B911" s="274"/>
      <c r="C911" s="273"/>
      <c r="D911" s="273"/>
      <c r="E911" s="273"/>
      <c r="F911" s="272"/>
    </row>
    <row r="912" spans="2:6" ht="12" customHeight="1" x14ac:dyDescent="0.15">
      <c r="B912" s="274"/>
      <c r="C912" s="273"/>
      <c r="D912" s="273"/>
      <c r="E912" s="273"/>
      <c r="F912" s="272"/>
    </row>
    <row r="913" spans="2:6" ht="12" customHeight="1" x14ac:dyDescent="0.15">
      <c r="B913" s="274"/>
      <c r="C913" s="273"/>
      <c r="D913" s="273"/>
      <c r="E913" s="273"/>
      <c r="F913" s="272"/>
    </row>
    <row r="914" spans="2:6" ht="12" customHeight="1" x14ac:dyDescent="0.15">
      <c r="B914" s="274"/>
      <c r="C914" s="273"/>
      <c r="D914" s="273"/>
      <c r="E914" s="273"/>
      <c r="F914" s="272"/>
    </row>
    <row r="915" spans="2:6" ht="12" customHeight="1" x14ac:dyDescent="0.15">
      <c r="B915" s="274"/>
      <c r="C915" s="273"/>
      <c r="D915" s="273"/>
      <c r="E915" s="273"/>
      <c r="F915" s="272"/>
    </row>
    <row r="916" spans="2:6" ht="12" customHeight="1" x14ac:dyDescent="0.15">
      <c r="B916" s="274"/>
      <c r="C916" s="273"/>
      <c r="D916" s="273"/>
      <c r="E916" s="273"/>
      <c r="F916" s="272"/>
    </row>
    <row r="917" spans="2:6" ht="12" customHeight="1" x14ac:dyDescent="0.15">
      <c r="B917" s="274"/>
      <c r="C917" s="273"/>
      <c r="D917" s="273"/>
      <c r="E917" s="273"/>
      <c r="F917" s="272"/>
    </row>
    <row r="918" spans="2:6" ht="12" customHeight="1" x14ac:dyDescent="0.15">
      <c r="B918" s="274"/>
      <c r="C918" s="273"/>
      <c r="D918" s="273"/>
      <c r="E918" s="273"/>
      <c r="F918" s="272"/>
    </row>
    <row r="919" spans="2:6" ht="12" customHeight="1" x14ac:dyDescent="0.15">
      <c r="B919" s="274"/>
      <c r="C919" s="273"/>
      <c r="D919" s="273"/>
      <c r="E919" s="273"/>
      <c r="F919" s="272"/>
    </row>
    <row r="920" spans="2:6" ht="12" customHeight="1" x14ac:dyDescent="0.15">
      <c r="B920" s="274"/>
      <c r="C920" s="273"/>
      <c r="D920" s="273"/>
      <c r="E920" s="273"/>
      <c r="F920" s="272"/>
    </row>
    <row r="921" spans="2:6" ht="12" customHeight="1" x14ac:dyDescent="0.15">
      <c r="B921" s="274"/>
      <c r="C921" s="273"/>
      <c r="D921" s="273"/>
      <c r="E921" s="273"/>
      <c r="F921" s="272"/>
    </row>
    <row r="922" spans="2:6" ht="12" customHeight="1" x14ac:dyDescent="0.15">
      <c r="B922" s="274"/>
      <c r="C922" s="273"/>
      <c r="D922" s="273"/>
      <c r="E922" s="273"/>
      <c r="F922" s="272"/>
    </row>
    <row r="923" spans="2:6" ht="12" customHeight="1" x14ac:dyDescent="0.15">
      <c r="B923" s="274"/>
      <c r="C923" s="273"/>
      <c r="D923" s="273"/>
      <c r="E923" s="273"/>
      <c r="F923" s="272"/>
    </row>
    <row r="924" spans="2:6" ht="12" customHeight="1" x14ac:dyDescent="0.15">
      <c r="B924" s="274"/>
      <c r="C924" s="273"/>
      <c r="D924" s="273"/>
      <c r="E924" s="273"/>
      <c r="F924" s="272"/>
    </row>
    <row r="925" spans="2:6" ht="12" customHeight="1" x14ac:dyDescent="0.15">
      <c r="B925" s="274"/>
      <c r="C925" s="273"/>
      <c r="D925" s="273"/>
      <c r="E925" s="273"/>
      <c r="F925" s="272"/>
    </row>
    <row r="926" spans="2:6" ht="12" customHeight="1" x14ac:dyDescent="0.15">
      <c r="B926" s="274"/>
      <c r="C926" s="273"/>
      <c r="D926" s="273"/>
      <c r="E926" s="273"/>
      <c r="F926" s="272"/>
    </row>
    <row r="927" spans="2:6" ht="12" customHeight="1" x14ac:dyDescent="0.15">
      <c r="B927" s="274"/>
      <c r="C927" s="273"/>
      <c r="D927" s="273"/>
      <c r="E927" s="273"/>
      <c r="F927" s="272"/>
    </row>
    <row r="928" spans="2:6" ht="12" customHeight="1" x14ac:dyDescent="0.15">
      <c r="B928" s="274"/>
      <c r="C928" s="273"/>
      <c r="D928" s="273"/>
      <c r="E928" s="273"/>
      <c r="F928" s="272"/>
    </row>
    <row r="929" spans="2:6" ht="12" customHeight="1" x14ac:dyDescent="0.15">
      <c r="B929" s="274"/>
      <c r="C929" s="273"/>
      <c r="D929" s="273"/>
      <c r="E929" s="273"/>
      <c r="F929" s="272"/>
    </row>
    <row r="930" spans="2:6" ht="12" customHeight="1" x14ac:dyDescent="0.15">
      <c r="B930" s="274"/>
      <c r="C930" s="273"/>
      <c r="D930" s="273"/>
      <c r="E930" s="273"/>
      <c r="F930" s="272"/>
    </row>
    <row r="931" spans="2:6" ht="12" customHeight="1" x14ac:dyDescent="0.15">
      <c r="B931" s="274"/>
      <c r="C931" s="273"/>
      <c r="D931" s="273"/>
      <c r="E931" s="273"/>
      <c r="F931" s="272"/>
    </row>
    <row r="932" spans="2:6" ht="12" customHeight="1" x14ac:dyDescent="0.15">
      <c r="B932" s="274"/>
      <c r="C932" s="273"/>
      <c r="D932" s="273"/>
      <c r="E932" s="273"/>
      <c r="F932" s="272"/>
    </row>
    <row r="933" spans="2:6" ht="12" customHeight="1" x14ac:dyDescent="0.15">
      <c r="B933" s="274"/>
      <c r="C933" s="273"/>
      <c r="D933" s="273"/>
      <c r="E933" s="273"/>
      <c r="F933" s="272"/>
    </row>
    <row r="934" spans="2:6" ht="12" customHeight="1" x14ac:dyDescent="0.15">
      <c r="B934" s="274"/>
      <c r="C934" s="273"/>
      <c r="D934" s="273"/>
      <c r="E934" s="273"/>
      <c r="F934" s="272"/>
    </row>
    <row r="935" spans="2:6" ht="12" customHeight="1" x14ac:dyDescent="0.15">
      <c r="B935" s="274"/>
      <c r="C935" s="273"/>
      <c r="D935" s="273"/>
      <c r="E935" s="273"/>
      <c r="F935" s="272"/>
    </row>
    <row r="936" spans="2:6" ht="12" customHeight="1" x14ac:dyDescent="0.15">
      <c r="B936" s="274"/>
      <c r="C936" s="273"/>
      <c r="D936" s="273"/>
      <c r="E936" s="273"/>
      <c r="F936" s="272"/>
    </row>
    <row r="937" spans="2:6" ht="12" customHeight="1" x14ac:dyDescent="0.15">
      <c r="B937" s="274"/>
      <c r="C937" s="273"/>
      <c r="D937" s="273"/>
      <c r="E937" s="273"/>
      <c r="F937" s="272"/>
    </row>
    <row r="938" spans="2:6" ht="12" customHeight="1" x14ac:dyDescent="0.15">
      <c r="B938" s="274"/>
      <c r="C938" s="273"/>
      <c r="D938" s="273"/>
      <c r="E938" s="273"/>
      <c r="F938" s="272"/>
    </row>
    <row r="939" spans="2:6" ht="12" customHeight="1" x14ac:dyDescent="0.15">
      <c r="B939" s="274"/>
      <c r="C939" s="273"/>
      <c r="D939" s="273"/>
      <c r="E939" s="273"/>
      <c r="F939" s="272"/>
    </row>
    <row r="940" spans="2:6" ht="12" customHeight="1" x14ac:dyDescent="0.15">
      <c r="B940" s="274"/>
      <c r="C940" s="273"/>
      <c r="D940" s="273"/>
      <c r="E940" s="273"/>
      <c r="F940" s="272"/>
    </row>
    <row r="941" spans="2:6" ht="12" customHeight="1" x14ac:dyDescent="0.15">
      <c r="B941" s="274"/>
      <c r="C941" s="273"/>
      <c r="D941" s="273"/>
      <c r="E941" s="273"/>
      <c r="F941" s="272"/>
    </row>
    <row r="942" spans="2:6" ht="12" customHeight="1" x14ac:dyDescent="0.15">
      <c r="B942" s="274"/>
      <c r="C942" s="273"/>
      <c r="D942" s="273"/>
      <c r="E942" s="273"/>
      <c r="F942" s="272"/>
    </row>
    <row r="943" spans="2:6" ht="12" customHeight="1" x14ac:dyDescent="0.15">
      <c r="B943" s="274"/>
      <c r="C943" s="273"/>
      <c r="D943" s="273"/>
      <c r="E943" s="273"/>
      <c r="F943" s="272"/>
    </row>
    <row r="944" spans="2:6" ht="12" customHeight="1" x14ac:dyDescent="0.15">
      <c r="B944" s="274"/>
      <c r="C944" s="273"/>
      <c r="D944" s="273"/>
      <c r="E944" s="273"/>
      <c r="F944" s="272"/>
    </row>
    <row r="945" spans="2:6" ht="12" customHeight="1" x14ac:dyDescent="0.15">
      <c r="B945" s="274"/>
      <c r="C945" s="273"/>
      <c r="D945" s="273"/>
      <c r="E945" s="273"/>
      <c r="F945" s="272"/>
    </row>
    <row r="946" spans="2:6" ht="12" customHeight="1" x14ac:dyDescent="0.15">
      <c r="B946" s="274"/>
      <c r="C946" s="273"/>
      <c r="D946" s="273"/>
      <c r="E946" s="273"/>
      <c r="F946" s="272"/>
    </row>
    <row r="947" spans="2:6" ht="12" customHeight="1" x14ac:dyDescent="0.15">
      <c r="B947" s="274"/>
      <c r="C947" s="273"/>
      <c r="D947" s="273"/>
      <c r="E947" s="273"/>
      <c r="F947" s="272"/>
    </row>
    <row r="948" spans="2:6" ht="12" customHeight="1" x14ac:dyDescent="0.15">
      <c r="B948" s="274"/>
      <c r="C948" s="273"/>
      <c r="D948" s="273"/>
      <c r="E948" s="273"/>
      <c r="F948" s="272"/>
    </row>
    <row r="949" spans="2:6" ht="12" customHeight="1" x14ac:dyDescent="0.15">
      <c r="B949" s="274"/>
      <c r="C949" s="273"/>
      <c r="D949" s="273"/>
      <c r="E949" s="273"/>
      <c r="F949" s="272"/>
    </row>
    <row r="950" spans="2:6" ht="12" customHeight="1" x14ac:dyDescent="0.15">
      <c r="B950" s="274"/>
      <c r="C950" s="273"/>
      <c r="D950" s="273"/>
      <c r="E950" s="273"/>
      <c r="F950" s="272"/>
    </row>
    <row r="951" spans="2:6" ht="12" customHeight="1" x14ac:dyDescent="0.15">
      <c r="B951" s="274"/>
      <c r="C951" s="273"/>
      <c r="D951" s="273"/>
      <c r="E951" s="273"/>
      <c r="F951" s="272"/>
    </row>
    <row r="952" spans="2:6" ht="12" customHeight="1" x14ac:dyDescent="0.15">
      <c r="B952" s="274"/>
      <c r="C952" s="273"/>
      <c r="D952" s="273"/>
      <c r="E952" s="273"/>
      <c r="F952" s="272"/>
    </row>
    <row r="953" spans="2:6" ht="12" customHeight="1" x14ac:dyDescent="0.15">
      <c r="B953" s="274"/>
      <c r="C953" s="273"/>
      <c r="D953" s="273"/>
      <c r="E953" s="273"/>
      <c r="F953" s="272"/>
    </row>
    <row r="954" spans="2:6" ht="12" customHeight="1" x14ac:dyDescent="0.15">
      <c r="B954" s="274"/>
      <c r="C954" s="273"/>
      <c r="D954" s="273"/>
      <c r="E954" s="273"/>
      <c r="F954" s="272"/>
    </row>
    <row r="955" spans="2:6" ht="12" customHeight="1" x14ac:dyDescent="0.15">
      <c r="B955" s="274"/>
      <c r="C955" s="273"/>
      <c r="D955" s="273"/>
      <c r="E955" s="273"/>
      <c r="F955" s="272"/>
    </row>
    <row r="956" spans="2:6" ht="12" customHeight="1" x14ac:dyDescent="0.15">
      <c r="B956" s="274"/>
      <c r="C956" s="273"/>
      <c r="D956" s="273"/>
      <c r="E956" s="273"/>
      <c r="F956" s="272"/>
    </row>
    <row r="957" spans="2:6" ht="12" customHeight="1" x14ac:dyDescent="0.15">
      <c r="B957" s="274"/>
      <c r="C957" s="273"/>
      <c r="D957" s="273"/>
      <c r="E957" s="273"/>
      <c r="F957" s="272"/>
    </row>
    <row r="958" spans="2:6" ht="12" customHeight="1" x14ac:dyDescent="0.15">
      <c r="B958" s="274"/>
      <c r="C958" s="273"/>
      <c r="D958" s="273"/>
      <c r="E958" s="273"/>
      <c r="F958" s="272"/>
    </row>
    <row r="959" spans="2:6" ht="12" customHeight="1" x14ac:dyDescent="0.15">
      <c r="B959" s="274"/>
      <c r="C959" s="273"/>
      <c r="D959" s="273"/>
      <c r="E959" s="273"/>
      <c r="F959" s="272"/>
    </row>
    <row r="960" spans="2:6" ht="12" customHeight="1" x14ac:dyDescent="0.15">
      <c r="B960" s="274"/>
      <c r="C960" s="273"/>
      <c r="D960" s="273"/>
      <c r="E960" s="273"/>
      <c r="F960" s="272"/>
    </row>
    <row r="961" spans="2:6" ht="12" customHeight="1" x14ac:dyDescent="0.15">
      <c r="B961" s="274"/>
      <c r="C961" s="273"/>
      <c r="D961" s="273"/>
      <c r="E961" s="273"/>
      <c r="F961" s="272"/>
    </row>
    <row r="962" spans="2:6" ht="12" customHeight="1" x14ac:dyDescent="0.15">
      <c r="B962" s="274"/>
      <c r="C962" s="273"/>
      <c r="D962" s="273"/>
      <c r="E962" s="273"/>
      <c r="F962" s="272"/>
    </row>
    <row r="963" spans="2:6" ht="12" customHeight="1" x14ac:dyDescent="0.15">
      <c r="B963" s="274"/>
      <c r="C963" s="273"/>
      <c r="D963" s="273"/>
      <c r="E963" s="273"/>
      <c r="F963" s="272"/>
    </row>
    <row r="964" spans="2:6" ht="12" customHeight="1" x14ac:dyDescent="0.15">
      <c r="B964" s="274"/>
      <c r="C964" s="273"/>
      <c r="D964" s="273"/>
      <c r="E964" s="273"/>
      <c r="F964" s="272"/>
    </row>
    <row r="965" spans="2:6" ht="12" customHeight="1" x14ac:dyDescent="0.15">
      <c r="B965" s="274"/>
      <c r="C965" s="273"/>
      <c r="D965" s="273"/>
      <c r="E965" s="273"/>
      <c r="F965" s="272"/>
    </row>
    <row r="966" spans="2:6" ht="12" customHeight="1" x14ac:dyDescent="0.15">
      <c r="B966" s="274"/>
      <c r="C966" s="273"/>
      <c r="D966" s="273"/>
      <c r="E966" s="273"/>
      <c r="F966" s="272"/>
    </row>
    <row r="967" spans="2:6" ht="12" customHeight="1" x14ac:dyDescent="0.15">
      <c r="B967" s="274"/>
      <c r="C967" s="273"/>
      <c r="D967" s="273"/>
      <c r="E967" s="273"/>
      <c r="F967" s="272"/>
    </row>
    <row r="968" spans="2:6" ht="12" customHeight="1" x14ac:dyDescent="0.15">
      <c r="B968" s="274"/>
      <c r="C968" s="273"/>
      <c r="D968" s="273"/>
      <c r="E968" s="273"/>
      <c r="F968" s="272"/>
    </row>
    <row r="969" spans="2:6" ht="12" customHeight="1" x14ac:dyDescent="0.15">
      <c r="B969" s="274"/>
      <c r="C969" s="273"/>
      <c r="D969" s="273"/>
      <c r="E969" s="273"/>
      <c r="F969" s="272"/>
    </row>
    <row r="970" spans="2:6" ht="12" customHeight="1" x14ac:dyDescent="0.15">
      <c r="B970" s="274"/>
      <c r="C970" s="273"/>
      <c r="D970" s="273"/>
      <c r="E970" s="273"/>
      <c r="F970" s="272"/>
    </row>
    <row r="971" spans="2:6" ht="12" customHeight="1" x14ac:dyDescent="0.15">
      <c r="B971" s="274"/>
      <c r="C971" s="273"/>
      <c r="D971" s="273"/>
      <c r="E971" s="273"/>
      <c r="F971" s="272"/>
    </row>
    <row r="972" spans="2:6" ht="12" customHeight="1" x14ac:dyDescent="0.15">
      <c r="B972" s="274"/>
      <c r="C972" s="273"/>
      <c r="D972" s="273"/>
      <c r="E972" s="273"/>
      <c r="F972" s="272"/>
    </row>
    <row r="973" spans="2:6" ht="12" customHeight="1" x14ac:dyDescent="0.15">
      <c r="B973" s="274"/>
      <c r="C973" s="273"/>
      <c r="D973" s="273"/>
      <c r="E973" s="273"/>
      <c r="F973" s="272"/>
    </row>
    <row r="974" spans="2:6" ht="12" customHeight="1" x14ac:dyDescent="0.15">
      <c r="B974" s="274"/>
      <c r="C974" s="273"/>
      <c r="D974" s="273"/>
      <c r="E974" s="273"/>
      <c r="F974" s="272"/>
    </row>
    <row r="975" spans="2:6" ht="12" customHeight="1" x14ac:dyDescent="0.15">
      <c r="B975" s="274"/>
      <c r="C975" s="273"/>
      <c r="D975" s="273"/>
      <c r="E975" s="273"/>
      <c r="F975" s="272"/>
    </row>
    <row r="976" spans="2:6" ht="12" customHeight="1" x14ac:dyDescent="0.15">
      <c r="B976" s="274"/>
      <c r="C976" s="273"/>
      <c r="D976" s="273"/>
      <c r="E976" s="273"/>
      <c r="F976" s="272"/>
    </row>
    <row r="977" spans="2:6" ht="12" customHeight="1" x14ac:dyDescent="0.15">
      <c r="B977" s="274"/>
      <c r="C977" s="273"/>
      <c r="D977" s="273"/>
      <c r="E977" s="273"/>
      <c r="F977" s="272"/>
    </row>
    <row r="978" spans="2:6" ht="12" customHeight="1" x14ac:dyDescent="0.15">
      <c r="B978" s="274"/>
      <c r="C978" s="273"/>
      <c r="D978" s="273"/>
      <c r="E978" s="273"/>
      <c r="F978" s="272"/>
    </row>
    <row r="979" spans="2:6" ht="12" customHeight="1" x14ac:dyDescent="0.15">
      <c r="B979" s="274"/>
      <c r="C979" s="273"/>
      <c r="D979" s="273"/>
      <c r="E979" s="273"/>
      <c r="F979" s="272"/>
    </row>
    <row r="980" spans="2:6" ht="12" customHeight="1" x14ac:dyDescent="0.15">
      <c r="B980" s="274"/>
      <c r="C980" s="273"/>
      <c r="D980" s="273"/>
      <c r="E980" s="273"/>
      <c r="F980" s="272"/>
    </row>
    <row r="981" spans="2:6" ht="12" customHeight="1" x14ac:dyDescent="0.15">
      <c r="B981" s="274"/>
      <c r="C981" s="273"/>
      <c r="D981" s="273"/>
      <c r="E981" s="273"/>
      <c r="F981" s="272"/>
    </row>
    <row r="982" spans="2:6" ht="12" customHeight="1" x14ac:dyDescent="0.15">
      <c r="B982" s="274"/>
      <c r="C982" s="273"/>
      <c r="D982" s="273"/>
      <c r="E982" s="273"/>
      <c r="F982" s="272"/>
    </row>
    <row r="983" spans="2:6" ht="12" customHeight="1" x14ac:dyDescent="0.15">
      <c r="B983" s="274"/>
      <c r="C983" s="273"/>
      <c r="D983" s="273"/>
      <c r="E983" s="273"/>
      <c r="F983" s="272"/>
    </row>
    <row r="984" spans="2:6" ht="12" customHeight="1" x14ac:dyDescent="0.15">
      <c r="B984" s="274"/>
      <c r="C984" s="273"/>
      <c r="D984" s="273"/>
      <c r="E984" s="273"/>
      <c r="F984" s="272"/>
    </row>
    <row r="985" spans="2:6" ht="12" customHeight="1" x14ac:dyDescent="0.15">
      <c r="B985" s="274"/>
      <c r="C985" s="273"/>
      <c r="D985" s="273"/>
      <c r="E985" s="273"/>
      <c r="F985" s="272"/>
    </row>
    <row r="986" spans="2:6" ht="12" customHeight="1" x14ac:dyDescent="0.15">
      <c r="B986" s="274"/>
      <c r="C986" s="273"/>
      <c r="D986" s="273"/>
      <c r="E986" s="273"/>
      <c r="F986" s="272"/>
    </row>
    <row r="987" spans="2:6" ht="12" customHeight="1" x14ac:dyDescent="0.15">
      <c r="B987" s="274"/>
      <c r="C987" s="273"/>
      <c r="D987" s="273"/>
      <c r="E987" s="273"/>
      <c r="F987" s="272"/>
    </row>
    <row r="988" spans="2:6" ht="12" customHeight="1" x14ac:dyDescent="0.15">
      <c r="B988" s="274"/>
      <c r="C988" s="273"/>
      <c r="D988" s="273"/>
      <c r="E988" s="273"/>
      <c r="F988" s="272"/>
    </row>
    <row r="989" spans="2:6" ht="12" customHeight="1" x14ac:dyDescent="0.15">
      <c r="B989" s="274"/>
      <c r="C989" s="273"/>
      <c r="D989" s="273"/>
      <c r="E989" s="273"/>
      <c r="F989" s="272"/>
    </row>
    <row r="990" spans="2:6" ht="12" customHeight="1" x14ac:dyDescent="0.15">
      <c r="B990" s="274"/>
      <c r="C990" s="273"/>
      <c r="D990" s="273"/>
      <c r="E990" s="273"/>
      <c r="F990" s="272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10C8-7417-4F11-8D6F-06F08210DC8C}">
  <sheetPr>
    <tabColor theme="7"/>
    <pageSetUpPr fitToPage="1"/>
  </sheetPr>
  <dimension ref="A1:Z989"/>
  <sheetViews>
    <sheetView topLeftCell="A5" zoomScale="90" zoomScaleNormal="90" workbookViewId="0">
      <selection activeCell="H23" sqref="H23"/>
    </sheetView>
  </sheetViews>
  <sheetFormatPr baseColWidth="10" defaultColWidth="12.5" defaultRowHeight="15" customHeight="1" x14ac:dyDescent="0.15"/>
  <cols>
    <col min="1" max="1" width="4.5" style="271" customWidth="1"/>
    <col min="2" max="2" width="36.5" style="271" customWidth="1"/>
    <col min="3" max="3" width="14.5" style="271" customWidth="1"/>
    <col min="4" max="4" width="13" style="271" customWidth="1"/>
    <col min="5" max="5" width="14.83203125" style="271" customWidth="1"/>
    <col min="6" max="6" width="13" style="271" customWidth="1"/>
    <col min="7" max="7" width="4.5" style="271" customWidth="1"/>
    <col min="8" max="16384" width="12.5" style="271"/>
  </cols>
  <sheetData>
    <row r="1" spans="1:26" ht="54" customHeight="1" x14ac:dyDescent="0.15">
      <c r="A1" s="414"/>
      <c r="B1" s="415"/>
      <c r="C1" s="415"/>
      <c r="D1" s="415"/>
      <c r="E1" s="415"/>
      <c r="F1" s="415"/>
    </row>
    <row r="2" spans="1:26" ht="12" customHeight="1" x14ac:dyDescent="0.15">
      <c r="B2" s="274"/>
      <c r="C2" s="273"/>
      <c r="D2" s="273"/>
      <c r="E2" s="273"/>
      <c r="F2" s="272"/>
    </row>
    <row r="3" spans="1:26" ht="18.75" customHeight="1" x14ac:dyDescent="0.2">
      <c r="A3" s="344" t="s">
        <v>0</v>
      </c>
      <c r="C3" s="273"/>
      <c r="D3" s="273"/>
      <c r="E3" s="273"/>
      <c r="F3" s="272"/>
    </row>
    <row r="4" spans="1:26" ht="12" customHeight="1" x14ac:dyDescent="0.15">
      <c r="A4" s="274" t="s">
        <v>1</v>
      </c>
      <c r="C4" s="273"/>
      <c r="D4" s="273"/>
      <c r="E4" s="273"/>
      <c r="F4" s="272"/>
    </row>
    <row r="5" spans="1:26" ht="12" customHeight="1" x14ac:dyDescent="0.15">
      <c r="A5" s="274"/>
      <c r="B5" s="343" t="s">
        <v>153</v>
      </c>
      <c r="C5" s="273"/>
      <c r="D5" s="273"/>
      <c r="E5" s="273"/>
      <c r="F5" s="272"/>
    </row>
    <row r="6" spans="1:26" ht="12" customHeight="1" x14ac:dyDescent="0.15">
      <c r="A6" s="274"/>
      <c r="B6" s="342" t="s">
        <v>154</v>
      </c>
      <c r="C6" s="273"/>
      <c r="D6" s="410" t="s">
        <v>270</v>
      </c>
      <c r="E6" s="411"/>
      <c r="F6" s="341"/>
      <c r="G6" s="272"/>
    </row>
    <row r="7" spans="1:26" ht="12" customHeight="1" x14ac:dyDescent="0.15">
      <c r="A7" s="274"/>
      <c r="B7" s="340" t="s">
        <v>155</v>
      </c>
      <c r="C7" s="273"/>
      <c r="D7" s="273"/>
      <c r="E7" s="273"/>
      <c r="F7" s="272"/>
    </row>
    <row r="8" spans="1:26" ht="12" customHeight="1" x14ac:dyDescent="0.15">
      <c r="B8" s="274"/>
      <c r="C8" s="273"/>
      <c r="D8" s="273"/>
      <c r="E8" s="273"/>
      <c r="F8" s="272"/>
    </row>
    <row r="9" spans="1:26" ht="12" customHeight="1" x14ac:dyDescent="0.15">
      <c r="B9" s="339"/>
      <c r="C9" s="273"/>
      <c r="D9" s="273"/>
      <c r="E9" s="273"/>
      <c r="F9" s="272"/>
      <c r="G9" s="338" t="s">
        <v>245</v>
      </c>
    </row>
    <row r="10" spans="1:26" ht="17.25" customHeight="1" x14ac:dyDescent="0.15">
      <c r="A10" s="302"/>
      <c r="B10" s="337" t="s">
        <v>98</v>
      </c>
      <c r="C10" s="336"/>
      <c r="D10" s="336"/>
      <c r="E10" s="336"/>
      <c r="F10" s="335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2"/>
      <c r="V10" s="302"/>
      <c r="W10" s="302"/>
      <c r="X10" s="302"/>
      <c r="Y10" s="302"/>
      <c r="Z10" s="302"/>
    </row>
    <row r="11" spans="1:26" ht="12" customHeight="1" x14ac:dyDescent="0.15">
      <c r="B11" s="274"/>
      <c r="C11" s="273"/>
      <c r="D11" s="273"/>
      <c r="E11" s="273"/>
      <c r="F11" s="272"/>
    </row>
    <row r="12" spans="1:26" ht="20" customHeight="1" x14ac:dyDescent="0.15">
      <c r="A12" s="302"/>
      <c r="B12" s="334" t="s">
        <v>3</v>
      </c>
      <c r="C12" s="333" t="s">
        <v>4</v>
      </c>
      <c r="D12" s="333" t="s">
        <v>99</v>
      </c>
      <c r="E12" s="332" t="s">
        <v>100</v>
      </c>
      <c r="F12" s="332" t="s">
        <v>101</v>
      </c>
      <c r="G12" s="302"/>
      <c r="H12" s="302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302"/>
    </row>
    <row r="13" spans="1:26" ht="12" customHeight="1" x14ac:dyDescent="0.15">
      <c r="A13" s="302"/>
      <c r="B13" s="329" t="s">
        <v>156</v>
      </c>
      <c r="C13" s="322">
        <v>45338</v>
      </c>
      <c r="D13" s="311"/>
      <c r="E13" s="311">
        <v>44170.7</v>
      </c>
      <c r="F13" s="310">
        <f>E13</f>
        <v>44170.7</v>
      </c>
      <c r="G13" s="302"/>
      <c r="H13" s="302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302"/>
    </row>
    <row r="14" spans="1:26" ht="12" customHeight="1" x14ac:dyDescent="0.15">
      <c r="A14" s="302"/>
      <c r="B14" s="329" t="s">
        <v>156</v>
      </c>
      <c r="C14" s="322">
        <v>45343</v>
      </c>
      <c r="D14" s="311"/>
      <c r="E14" s="311">
        <v>26803.85</v>
      </c>
      <c r="F14" s="310">
        <f t="shared" ref="F14:F28" si="0">F13-D14+E14</f>
        <v>70974.549999999988</v>
      </c>
      <c r="G14" s="302"/>
      <c r="H14" s="302"/>
      <c r="I14" s="302"/>
      <c r="J14" s="302"/>
      <c r="K14" s="302"/>
      <c r="L14" s="302"/>
      <c r="M14" s="302"/>
      <c r="N14" s="302"/>
      <c r="O14" s="302"/>
      <c r="P14" s="302"/>
      <c r="Q14" s="302"/>
      <c r="R14" s="302"/>
      <c r="S14" s="302"/>
      <c r="T14" s="302"/>
      <c r="U14" s="302"/>
      <c r="V14" s="302"/>
      <c r="W14" s="302"/>
      <c r="X14" s="302"/>
      <c r="Y14" s="302"/>
      <c r="Z14" s="302"/>
    </row>
    <row r="15" spans="1:26" ht="12" customHeight="1" x14ac:dyDescent="0.15">
      <c r="A15" s="302"/>
      <c r="B15" s="329" t="s">
        <v>156</v>
      </c>
      <c r="C15" s="346">
        <v>45411</v>
      </c>
      <c r="D15" s="372"/>
      <c r="E15" s="311">
        <v>53225.89</v>
      </c>
      <c r="F15" s="310">
        <f t="shared" si="0"/>
        <v>124200.43999999999</v>
      </c>
      <c r="G15" s="302"/>
      <c r="H15" s="302"/>
      <c r="I15" s="302"/>
      <c r="J15" s="302"/>
      <c r="K15" s="302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</row>
    <row r="16" spans="1:26" ht="12" customHeight="1" x14ac:dyDescent="0.15">
      <c r="A16" s="302"/>
      <c r="B16" s="329" t="s">
        <v>156</v>
      </c>
      <c r="C16" s="346">
        <v>45488</v>
      </c>
      <c r="D16" s="372"/>
      <c r="E16" s="311">
        <v>33699.03</v>
      </c>
      <c r="F16" s="310">
        <f t="shared" si="0"/>
        <v>157899.46999999997</v>
      </c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U16" s="302"/>
      <c r="V16" s="302"/>
      <c r="W16" s="302"/>
      <c r="X16" s="302"/>
      <c r="Y16" s="302"/>
      <c r="Z16" s="302"/>
    </row>
    <row r="17" spans="1:26" ht="12" customHeight="1" x14ac:dyDescent="0.15">
      <c r="A17" s="302"/>
      <c r="B17" s="329" t="s">
        <v>156</v>
      </c>
      <c r="C17" s="346">
        <v>45528</v>
      </c>
      <c r="D17" s="372"/>
      <c r="E17" s="372">
        <v>17921</v>
      </c>
      <c r="F17" s="310">
        <f t="shared" si="0"/>
        <v>175820.46999999997</v>
      </c>
      <c r="G17" s="302"/>
      <c r="H17" s="302"/>
      <c r="I17" s="302"/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U17" s="302"/>
      <c r="V17" s="302"/>
      <c r="W17" s="302"/>
      <c r="X17" s="302"/>
      <c r="Y17" s="302"/>
      <c r="Z17" s="302"/>
    </row>
    <row r="18" spans="1:26" ht="15" customHeight="1" x14ac:dyDescent="0.15">
      <c r="A18" s="302"/>
      <c r="B18" s="329" t="s">
        <v>156</v>
      </c>
      <c r="C18" s="346">
        <v>45570</v>
      </c>
      <c r="D18" s="372"/>
      <c r="E18" s="311">
        <v>33699.019999999997</v>
      </c>
      <c r="F18" s="310">
        <f t="shared" si="0"/>
        <v>209519.48999999996</v>
      </c>
      <c r="G18" s="302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T18" s="302"/>
      <c r="U18" s="302"/>
      <c r="V18" s="302"/>
      <c r="W18" s="302"/>
      <c r="X18" s="302"/>
      <c r="Y18" s="302"/>
      <c r="Z18" s="302"/>
    </row>
    <row r="19" spans="1:26" ht="34" customHeight="1" x14ac:dyDescent="0.15">
      <c r="A19" s="302"/>
      <c r="B19" s="297" t="s">
        <v>158</v>
      </c>
      <c r="C19" s="317">
        <v>45614</v>
      </c>
      <c r="D19" s="311">
        <v>1000</v>
      </c>
      <c r="E19" s="311"/>
      <c r="F19" s="310">
        <f t="shared" si="0"/>
        <v>208519.48999999996</v>
      </c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</row>
    <row r="20" spans="1:26" ht="30" customHeight="1" x14ac:dyDescent="0.15">
      <c r="A20" s="302"/>
      <c r="B20" s="297" t="s">
        <v>198</v>
      </c>
      <c r="C20" s="317">
        <v>45645</v>
      </c>
      <c r="D20" s="311">
        <v>1000</v>
      </c>
      <c r="E20" s="311"/>
      <c r="F20" s="310">
        <f t="shared" si="0"/>
        <v>207519.48999999996</v>
      </c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</row>
    <row r="21" spans="1:26" ht="31" customHeight="1" x14ac:dyDescent="0.15">
      <c r="A21" s="302"/>
      <c r="B21" s="297" t="s">
        <v>198</v>
      </c>
      <c r="C21" s="317">
        <v>45647</v>
      </c>
      <c r="D21" s="311">
        <v>1000</v>
      </c>
      <c r="E21" s="311"/>
      <c r="F21" s="310">
        <f t="shared" si="0"/>
        <v>206519.48999999996</v>
      </c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</row>
    <row r="22" spans="1:26" ht="30" customHeight="1" x14ac:dyDescent="0.15">
      <c r="A22" s="302"/>
      <c r="B22" s="328" t="s">
        <v>249</v>
      </c>
      <c r="C22" s="357"/>
      <c r="D22" s="373">
        <v>215769.28</v>
      </c>
      <c r="E22" s="311"/>
      <c r="F22" s="310">
        <f t="shared" si="0"/>
        <v>-9249.7900000000373</v>
      </c>
      <c r="G22" s="30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U22" s="302"/>
      <c r="V22" s="302"/>
      <c r="W22" s="302"/>
      <c r="X22" s="302"/>
      <c r="Y22" s="302"/>
      <c r="Z22" s="302"/>
    </row>
    <row r="23" spans="1:26" ht="44" customHeight="1" x14ac:dyDescent="0.15">
      <c r="A23" s="302"/>
      <c r="B23" s="383" t="s">
        <v>257</v>
      </c>
      <c r="C23" s="379">
        <v>45658</v>
      </c>
      <c r="D23" s="394"/>
      <c r="E23" s="381"/>
      <c r="F23" s="382">
        <f>F22</f>
        <v>-9249.7900000000373</v>
      </c>
      <c r="G23" s="302"/>
      <c r="H23" s="302"/>
      <c r="I23" s="302"/>
      <c r="J23" s="302"/>
      <c r="K23" s="302"/>
      <c r="L23" s="302"/>
      <c r="M23" s="302"/>
      <c r="N23" s="302"/>
      <c r="O23" s="302"/>
      <c r="P23" s="302"/>
      <c r="Q23" s="302"/>
      <c r="R23" s="302"/>
      <c r="S23" s="302"/>
      <c r="T23" s="302"/>
      <c r="U23" s="302"/>
      <c r="V23" s="302"/>
      <c r="W23" s="302"/>
      <c r="X23" s="302"/>
      <c r="Y23" s="302"/>
      <c r="Z23" s="302"/>
    </row>
    <row r="24" spans="1:26" ht="38" customHeight="1" x14ac:dyDescent="0.15">
      <c r="A24" s="302"/>
      <c r="B24" s="315" t="s">
        <v>204</v>
      </c>
      <c r="C24" s="313">
        <v>45664</v>
      </c>
      <c r="D24" s="372">
        <v>11761.024498193952</v>
      </c>
      <c r="E24" s="311"/>
      <c r="F24" s="310">
        <f>F22-D24+E24</f>
        <v>-21010.814498193991</v>
      </c>
      <c r="G24" s="302"/>
      <c r="H24" s="302"/>
      <c r="I24" s="302"/>
      <c r="J24" s="302"/>
      <c r="K24" s="302"/>
      <c r="L24" s="302"/>
      <c r="M24" s="302"/>
      <c r="N24" s="302"/>
      <c r="O24" s="302"/>
      <c r="P24" s="302"/>
      <c r="Q24" s="302"/>
      <c r="R24" s="302"/>
      <c r="S24" s="302"/>
      <c r="T24" s="302"/>
      <c r="U24" s="302"/>
      <c r="V24" s="302"/>
      <c r="W24" s="302"/>
      <c r="X24" s="302"/>
      <c r="Y24" s="302"/>
      <c r="Z24" s="302"/>
    </row>
    <row r="25" spans="1:26" ht="41" customHeight="1" x14ac:dyDescent="0.15">
      <c r="A25" s="302"/>
      <c r="B25" s="315" t="s">
        <v>205</v>
      </c>
      <c r="C25" s="313">
        <v>45664</v>
      </c>
      <c r="D25" s="372">
        <v>27992.247359517161</v>
      </c>
      <c r="E25" s="311"/>
      <c r="F25" s="310">
        <f t="shared" si="0"/>
        <v>-49003.061857711153</v>
      </c>
      <c r="G25" s="302"/>
      <c r="H25" s="302"/>
      <c r="I25" s="302"/>
      <c r="J25" s="302"/>
      <c r="K25" s="302"/>
      <c r="L25" s="302"/>
      <c r="M25" s="302"/>
      <c r="N25" s="302"/>
      <c r="O25" s="302"/>
      <c r="P25" s="302"/>
      <c r="Q25" s="302"/>
      <c r="R25" s="302"/>
      <c r="S25" s="302"/>
      <c r="T25" s="302"/>
      <c r="U25" s="302"/>
      <c r="V25" s="302"/>
      <c r="W25" s="302"/>
      <c r="X25" s="302"/>
      <c r="Y25" s="302"/>
      <c r="Z25" s="302"/>
    </row>
    <row r="26" spans="1:26" ht="30" customHeight="1" x14ac:dyDescent="0.15">
      <c r="A26" s="302"/>
      <c r="B26" s="405" t="s">
        <v>206</v>
      </c>
      <c r="C26" s="313">
        <v>45664</v>
      </c>
      <c r="D26" s="372">
        <v>10546.613987471992</v>
      </c>
      <c r="E26" s="311"/>
      <c r="F26" s="310">
        <f t="shared" si="0"/>
        <v>-59549.675845183141</v>
      </c>
      <c r="G26" s="302"/>
      <c r="H26" s="302"/>
      <c r="I26" s="302"/>
      <c r="J26" s="302"/>
      <c r="K26" s="302"/>
      <c r="L26" s="302"/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</row>
    <row r="27" spans="1:26" ht="26" customHeight="1" x14ac:dyDescent="0.15">
      <c r="A27" s="302"/>
      <c r="B27" s="323" t="s">
        <v>156</v>
      </c>
      <c r="C27" s="408">
        <v>45678</v>
      </c>
      <c r="D27" s="372"/>
      <c r="E27" s="311">
        <v>53300</v>
      </c>
      <c r="F27" s="310">
        <f t="shared" si="0"/>
        <v>-6249.6758451831411</v>
      </c>
      <c r="G27" s="302"/>
      <c r="H27" s="302"/>
      <c r="I27" s="302"/>
      <c r="J27" s="302"/>
      <c r="K27" s="302"/>
      <c r="L27" s="302"/>
      <c r="M27" s="302"/>
      <c r="N27" s="302"/>
      <c r="O27" s="302"/>
      <c r="P27" s="302"/>
      <c r="Q27" s="302"/>
      <c r="R27" s="302"/>
      <c r="S27" s="302"/>
      <c r="T27" s="302"/>
      <c r="U27" s="302"/>
      <c r="V27" s="302"/>
      <c r="W27" s="302"/>
      <c r="X27" s="302"/>
      <c r="Y27" s="302"/>
      <c r="Z27" s="302"/>
    </row>
    <row r="28" spans="1:26" ht="38" customHeight="1" x14ac:dyDescent="0.15">
      <c r="A28" s="302"/>
      <c r="B28" s="314" t="s">
        <v>243</v>
      </c>
      <c r="C28" s="404">
        <v>45722</v>
      </c>
      <c r="D28" s="407">
        <v>34226.300000000003</v>
      </c>
      <c r="E28" s="311"/>
      <c r="F28" s="310">
        <f t="shared" si="0"/>
        <v>-40475.975845183144</v>
      </c>
      <c r="G28" s="302"/>
      <c r="H28" s="302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</row>
    <row r="29" spans="1:26" s="378" customFormat="1" ht="38" customHeight="1" x14ac:dyDescent="0.15">
      <c r="A29" s="302"/>
      <c r="B29" s="314" t="s">
        <v>261</v>
      </c>
      <c r="C29" s="404">
        <v>45730</v>
      </c>
      <c r="D29" s="372">
        <v>26970</v>
      </c>
      <c r="E29" s="311"/>
      <c r="F29" s="310">
        <f>F28-D29</f>
        <v>-67445.975845183144</v>
      </c>
      <c r="G29" s="302"/>
      <c r="H29" s="302"/>
      <c r="I29" s="302"/>
      <c r="J29" s="302"/>
      <c r="K29" s="302"/>
      <c r="L29" s="302"/>
      <c r="M29" s="302"/>
      <c r="N29" s="302"/>
      <c r="O29" s="302"/>
      <c r="P29" s="302"/>
      <c r="Q29" s="302"/>
      <c r="R29" s="302"/>
      <c r="S29" s="302"/>
      <c r="T29" s="302"/>
      <c r="U29" s="302"/>
      <c r="V29" s="302"/>
      <c r="W29" s="302"/>
      <c r="X29" s="302"/>
      <c r="Y29" s="302"/>
      <c r="Z29" s="302"/>
    </row>
    <row r="30" spans="1:26" ht="15" customHeight="1" x14ac:dyDescent="0.15">
      <c r="A30" s="302"/>
      <c r="B30" s="386"/>
      <c r="C30" s="387" t="s">
        <v>157</v>
      </c>
      <c r="D30" s="326">
        <f>SUM(D13:D29)</f>
        <v>330265.46584518306</v>
      </c>
      <c r="E30" s="326">
        <f>SUM(E13:E29)</f>
        <v>262819.49</v>
      </c>
      <c r="F30" s="324">
        <f>E30-D30</f>
        <v>-67445.975845183071</v>
      </c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</row>
    <row r="31" spans="1:26" ht="12" customHeight="1" x14ac:dyDescent="0.15"/>
    <row r="32" spans="1:26" ht="12" customHeight="1" x14ac:dyDescent="0.15">
      <c r="B32" s="286" t="s">
        <v>121</v>
      </c>
      <c r="C32" s="273"/>
      <c r="D32" s="273"/>
      <c r="E32" s="273"/>
      <c r="G32" s="294"/>
    </row>
    <row r="33" spans="2:6" ht="12" customHeight="1" x14ac:dyDescent="0.15">
      <c r="B33" s="274" t="s">
        <v>242</v>
      </c>
      <c r="C33" s="273"/>
      <c r="D33" s="273"/>
      <c r="E33" s="273"/>
      <c r="F33" s="272"/>
    </row>
    <row r="34" spans="2:6" ht="12" customHeight="1" x14ac:dyDescent="0.15">
      <c r="B34" s="284"/>
      <c r="C34" s="273"/>
      <c r="D34" s="273"/>
      <c r="E34" s="273"/>
      <c r="F34" s="272"/>
    </row>
    <row r="35" spans="2:6" ht="12" customHeight="1" x14ac:dyDescent="0.15">
      <c r="B35" s="283" t="s">
        <v>123</v>
      </c>
      <c r="C35" s="282"/>
      <c r="D35" s="281"/>
      <c r="E35" s="273"/>
      <c r="F35" s="272"/>
    </row>
    <row r="36" spans="2:6" ht="12" customHeight="1" x14ac:dyDescent="0.15">
      <c r="B36" s="280" t="s">
        <v>124</v>
      </c>
      <c r="C36" s="273"/>
      <c r="D36" s="279"/>
      <c r="E36" s="273"/>
      <c r="F36" s="272"/>
    </row>
    <row r="37" spans="2:6" ht="12" customHeight="1" x14ac:dyDescent="0.15">
      <c r="B37" s="280" t="s">
        <v>125</v>
      </c>
      <c r="C37" s="273"/>
      <c r="D37" s="279"/>
      <c r="E37" s="273"/>
      <c r="F37" s="272"/>
    </row>
    <row r="38" spans="2:6" ht="12" customHeight="1" x14ac:dyDescent="0.15">
      <c r="B38" s="278" t="s">
        <v>126</v>
      </c>
      <c r="C38" s="277"/>
      <c r="D38" s="276"/>
      <c r="E38" s="273"/>
      <c r="F38" s="272"/>
    </row>
    <row r="39" spans="2:6" ht="12" customHeight="1" x14ac:dyDescent="0.15">
      <c r="B39" s="288"/>
      <c r="C39" s="273"/>
      <c r="D39" s="279"/>
      <c r="E39" s="273"/>
      <c r="F39" s="272"/>
    </row>
    <row r="40" spans="2:6" ht="12" customHeight="1" x14ac:dyDescent="0.15">
      <c r="B40" s="371"/>
      <c r="C40" s="277"/>
      <c r="D40" s="276"/>
      <c r="E40" s="273"/>
      <c r="F40" s="272"/>
    </row>
    <row r="41" spans="2:6" ht="12" customHeight="1" x14ac:dyDescent="0.15">
      <c r="B41" s="274"/>
      <c r="C41" s="273"/>
      <c r="D41" s="273"/>
      <c r="E41" s="273"/>
      <c r="F41" s="272"/>
    </row>
    <row r="42" spans="2:6" ht="12" customHeight="1" x14ac:dyDescent="0.15">
      <c r="B42" s="274"/>
      <c r="C42" s="273"/>
      <c r="D42" s="273"/>
      <c r="E42" s="273"/>
      <c r="F42" s="272"/>
    </row>
    <row r="43" spans="2:6" ht="12" customHeight="1" x14ac:dyDescent="0.15">
      <c r="B43" s="274"/>
      <c r="C43" s="273"/>
      <c r="D43" s="273"/>
      <c r="E43" s="273"/>
      <c r="F43" s="272"/>
    </row>
    <row r="44" spans="2:6" ht="12" customHeight="1" x14ac:dyDescent="0.15">
      <c r="B44" s="274"/>
      <c r="C44" s="273"/>
      <c r="D44" s="273"/>
      <c r="E44" s="273"/>
      <c r="F44" s="272"/>
    </row>
    <row r="45" spans="2:6" ht="12" customHeight="1" x14ac:dyDescent="0.15">
      <c r="B45" s="274"/>
      <c r="C45" s="273"/>
      <c r="D45" s="273"/>
      <c r="E45" s="273"/>
      <c r="F45" s="272"/>
    </row>
    <row r="46" spans="2:6" ht="12" customHeight="1" x14ac:dyDescent="0.15">
      <c r="B46" s="274"/>
      <c r="C46" s="273"/>
      <c r="D46" s="273"/>
      <c r="E46" s="273"/>
      <c r="F46" s="272"/>
    </row>
    <row r="47" spans="2:6" ht="12" customHeight="1" x14ac:dyDescent="0.15">
      <c r="B47" s="274"/>
      <c r="C47" s="273"/>
      <c r="D47" s="273"/>
      <c r="E47" s="273"/>
      <c r="F47" s="272"/>
    </row>
    <row r="48" spans="2:6" ht="12" customHeight="1" x14ac:dyDescent="0.15">
      <c r="B48" s="274"/>
      <c r="C48" s="273"/>
      <c r="D48" s="273"/>
      <c r="E48" s="273"/>
      <c r="F48" s="272"/>
    </row>
    <row r="49" spans="2:6" ht="12" customHeight="1" x14ac:dyDescent="0.15">
      <c r="B49" s="274"/>
      <c r="C49" s="273"/>
      <c r="D49" s="273"/>
      <c r="E49" s="273"/>
      <c r="F49" s="272"/>
    </row>
    <row r="50" spans="2:6" ht="12" customHeight="1" x14ac:dyDescent="0.15">
      <c r="B50" s="274"/>
      <c r="C50" s="273"/>
      <c r="D50" s="273"/>
      <c r="E50" s="273"/>
      <c r="F50" s="272"/>
    </row>
    <row r="51" spans="2:6" ht="12" customHeight="1" x14ac:dyDescent="0.15">
      <c r="B51" s="274"/>
      <c r="C51" s="273"/>
      <c r="D51" s="273"/>
      <c r="E51" s="273"/>
      <c r="F51" s="272"/>
    </row>
    <row r="52" spans="2:6" ht="12" customHeight="1" x14ac:dyDescent="0.15">
      <c r="B52" s="274"/>
      <c r="C52" s="273"/>
      <c r="D52" s="273"/>
      <c r="E52" s="273"/>
      <c r="F52" s="272"/>
    </row>
    <row r="53" spans="2:6" ht="12" customHeight="1" x14ac:dyDescent="0.15">
      <c r="B53" s="274"/>
      <c r="C53" s="273"/>
      <c r="D53" s="273"/>
      <c r="E53" s="273"/>
      <c r="F53" s="272"/>
    </row>
    <row r="54" spans="2:6" ht="12" customHeight="1" x14ac:dyDescent="0.15">
      <c r="B54" s="274"/>
      <c r="C54" s="273"/>
      <c r="D54" s="273"/>
      <c r="E54" s="273"/>
      <c r="F54" s="272"/>
    </row>
    <row r="55" spans="2:6" ht="12" customHeight="1" x14ac:dyDescent="0.15">
      <c r="B55" s="274"/>
      <c r="C55" s="273"/>
      <c r="D55" s="273"/>
      <c r="E55" s="273"/>
      <c r="F55" s="272"/>
    </row>
    <row r="56" spans="2:6" ht="12" customHeight="1" x14ac:dyDescent="0.15">
      <c r="B56" s="274"/>
      <c r="C56" s="273"/>
      <c r="D56" s="273"/>
      <c r="E56" s="273"/>
      <c r="F56" s="272"/>
    </row>
    <row r="57" spans="2:6" ht="12" customHeight="1" x14ac:dyDescent="0.15">
      <c r="B57" s="274"/>
      <c r="C57" s="273"/>
      <c r="D57" s="273"/>
      <c r="E57" s="273"/>
      <c r="F57" s="272"/>
    </row>
    <row r="58" spans="2:6" ht="12" customHeight="1" x14ac:dyDescent="0.15">
      <c r="B58" s="274"/>
      <c r="C58" s="273"/>
      <c r="D58" s="273"/>
      <c r="E58" s="273"/>
      <c r="F58" s="272"/>
    </row>
    <row r="59" spans="2:6" ht="12" customHeight="1" x14ac:dyDescent="0.15">
      <c r="B59" s="274"/>
      <c r="C59" s="273"/>
      <c r="D59" s="273"/>
      <c r="E59" s="273"/>
      <c r="F59" s="272"/>
    </row>
    <row r="60" spans="2:6" ht="12" customHeight="1" x14ac:dyDescent="0.15">
      <c r="B60" s="274"/>
      <c r="C60" s="273"/>
      <c r="D60" s="273"/>
      <c r="E60" s="273"/>
      <c r="F60" s="272"/>
    </row>
    <row r="61" spans="2:6" ht="12" customHeight="1" x14ac:dyDescent="0.15">
      <c r="B61" s="274"/>
      <c r="C61" s="273"/>
      <c r="D61" s="273"/>
      <c r="E61" s="273"/>
      <c r="F61" s="272"/>
    </row>
    <row r="62" spans="2:6" ht="12" customHeight="1" x14ac:dyDescent="0.15">
      <c r="B62" s="274"/>
      <c r="C62" s="273"/>
      <c r="D62" s="273"/>
      <c r="E62" s="273"/>
      <c r="F62" s="272"/>
    </row>
    <row r="63" spans="2:6" ht="12" customHeight="1" x14ac:dyDescent="0.15">
      <c r="B63" s="274"/>
      <c r="C63" s="273"/>
      <c r="D63" s="273"/>
      <c r="E63" s="273"/>
      <c r="F63" s="272"/>
    </row>
    <row r="64" spans="2:6" ht="12" customHeight="1" x14ac:dyDescent="0.15">
      <c r="B64" s="274"/>
      <c r="C64" s="273"/>
      <c r="D64" s="273"/>
      <c r="E64" s="273"/>
      <c r="F64" s="272"/>
    </row>
    <row r="65" spans="2:6" ht="12" customHeight="1" x14ac:dyDescent="0.15">
      <c r="B65" s="274"/>
      <c r="C65" s="273"/>
      <c r="D65" s="273"/>
      <c r="E65" s="273"/>
      <c r="F65" s="272"/>
    </row>
    <row r="66" spans="2:6" ht="12" customHeight="1" x14ac:dyDescent="0.15">
      <c r="B66" s="274"/>
      <c r="C66" s="273"/>
      <c r="D66" s="273"/>
      <c r="E66" s="273"/>
      <c r="F66" s="272"/>
    </row>
    <row r="67" spans="2:6" ht="12" customHeight="1" x14ac:dyDescent="0.15">
      <c r="B67" s="274"/>
      <c r="C67" s="273"/>
      <c r="D67" s="273"/>
      <c r="E67" s="273"/>
      <c r="F67" s="272"/>
    </row>
    <row r="68" spans="2:6" ht="12" customHeight="1" x14ac:dyDescent="0.15">
      <c r="B68" s="274"/>
      <c r="C68" s="273"/>
      <c r="D68" s="273"/>
      <c r="E68" s="273"/>
      <c r="F68" s="272"/>
    </row>
    <row r="69" spans="2:6" ht="12" customHeight="1" x14ac:dyDescent="0.15">
      <c r="B69" s="274"/>
      <c r="C69" s="273"/>
      <c r="D69" s="273"/>
      <c r="E69" s="273"/>
      <c r="F69" s="272"/>
    </row>
    <row r="70" spans="2:6" ht="12" customHeight="1" x14ac:dyDescent="0.15">
      <c r="B70" s="274"/>
      <c r="C70" s="273"/>
      <c r="D70" s="273"/>
      <c r="E70" s="273"/>
      <c r="F70" s="272"/>
    </row>
    <row r="71" spans="2:6" ht="12" customHeight="1" x14ac:dyDescent="0.15">
      <c r="B71" s="274"/>
      <c r="C71" s="273"/>
      <c r="D71" s="273"/>
      <c r="E71" s="273"/>
      <c r="F71" s="272"/>
    </row>
    <row r="72" spans="2:6" ht="12" customHeight="1" x14ac:dyDescent="0.15">
      <c r="B72" s="274"/>
      <c r="C72" s="273"/>
      <c r="D72" s="273"/>
      <c r="E72" s="273"/>
      <c r="F72" s="272"/>
    </row>
    <row r="73" spans="2:6" ht="12" customHeight="1" x14ac:dyDescent="0.15">
      <c r="B73" s="274"/>
      <c r="C73" s="273"/>
      <c r="D73" s="273"/>
      <c r="E73" s="273"/>
      <c r="F73" s="272"/>
    </row>
    <row r="74" spans="2:6" ht="12" customHeight="1" x14ac:dyDescent="0.15">
      <c r="B74" s="274"/>
      <c r="C74" s="273"/>
      <c r="D74" s="273"/>
      <c r="E74" s="273"/>
      <c r="F74" s="272"/>
    </row>
    <row r="75" spans="2:6" ht="12" customHeight="1" x14ac:dyDescent="0.15">
      <c r="B75" s="274"/>
      <c r="C75" s="273"/>
      <c r="D75" s="273"/>
      <c r="E75" s="273"/>
      <c r="F75" s="272"/>
    </row>
    <row r="76" spans="2:6" ht="12" customHeight="1" x14ac:dyDescent="0.15">
      <c r="B76" s="274"/>
      <c r="C76" s="273"/>
      <c r="D76" s="273"/>
      <c r="E76" s="273"/>
      <c r="F76" s="272"/>
    </row>
    <row r="77" spans="2:6" ht="12" customHeight="1" x14ac:dyDescent="0.15">
      <c r="B77" s="274"/>
      <c r="C77" s="273"/>
      <c r="D77" s="273"/>
      <c r="E77" s="273"/>
      <c r="F77" s="272"/>
    </row>
    <row r="78" spans="2:6" ht="12" customHeight="1" x14ac:dyDescent="0.15">
      <c r="B78" s="274"/>
      <c r="C78" s="273"/>
      <c r="D78" s="273"/>
      <c r="E78" s="273"/>
      <c r="F78" s="272"/>
    </row>
    <row r="79" spans="2:6" ht="12" customHeight="1" x14ac:dyDescent="0.15">
      <c r="B79" s="274"/>
      <c r="C79" s="273"/>
      <c r="D79" s="273"/>
      <c r="E79" s="273"/>
      <c r="F79" s="272"/>
    </row>
    <row r="80" spans="2:6" ht="12" customHeight="1" x14ac:dyDescent="0.15">
      <c r="B80" s="274"/>
      <c r="C80" s="273"/>
      <c r="D80" s="273"/>
      <c r="E80" s="273"/>
      <c r="F80" s="272"/>
    </row>
    <row r="81" spans="2:6" ht="12" customHeight="1" x14ac:dyDescent="0.15">
      <c r="B81" s="274"/>
      <c r="C81" s="273"/>
      <c r="D81" s="273"/>
      <c r="E81" s="273"/>
      <c r="F81" s="272"/>
    </row>
    <row r="82" spans="2:6" ht="12" customHeight="1" x14ac:dyDescent="0.15">
      <c r="B82" s="274"/>
      <c r="C82" s="273"/>
      <c r="D82" s="273"/>
      <c r="E82" s="273"/>
      <c r="F82" s="272"/>
    </row>
    <row r="83" spans="2:6" ht="12" customHeight="1" x14ac:dyDescent="0.15">
      <c r="B83" s="274"/>
      <c r="C83" s="273"/>
      <c r="D83" s="273"/>
      <c r="E83" s="273"/>
      <c r="F83" s="272"/>
    </row>
    <row r="84" spans="2:6" ht="12" customHeight="1" x14ac:dyDescent="0.15">
      <c r="B84" s="274"/>
      <c r="C84" s="273"/>
      <c r="D84" s="273"/>
      <c r="E84" s="273"/>
      <c r="F84" s="272"/>
    </row>
    <row r="85" spans="2:6" ht="12" customHeight="1" x14ac:dyDescent="0.15">
      <c r="B85" s="274"/>
      <c r="C85" s="273"/>
      <c r="D85" s="273"/>
      <c r="E85" s="273"/>
      <c r="F85" s="272"/>
    </row>
    <row r="86" spans="2:6" ht="12" customHeight="1" x14ac:dyDescent="0.15">
      <c r="B86" s="274"/>
      <c r="C86" s="273"/>
      <c r="D86" s="273"/>
      <c r="E86" s="273"/>
      <c r="F86" s="272"/>
    </row>
    <row r="87" spans="2:6" ht="12" customHeight="1" x14ac:dyDescent="0.15">
      <c r="B87" s="274"/>
      <c r="C87" s="273"/>
      <c r="D87" s="273"/>
      <c r="E87" s="273"/>
      <c r="F87" s="272"/>
    </row>
    <row r="88" spans="2:6" ht="12" customHeight="1" x14ac:dyDescent="0.15">
      <c r="B88" s="274"/>
      <c r="C88" s="273"/>
      <c r="D88" s="273"/>
      <c r="E88" s="273"/>
      <c r="F88" s="272"/>
    </row>
    <row r="89" spans="2:6" ht="12" customHeight="1" x14ac:dyDescent="0.15">
      <c r="B89" s="274"/>
      <c r="C89" s="273"/>
      <c r="D89" s="273"/>
      <c r="E89" s="273"/>
      <c r="F89" s="272"/>
    </row>
    <row r="90" spans="2:6" ht="12" customHeight="1" x14ac:dyDescent="0.15">
      <c r="B90" s="274"/>
      <c r="C90" s="273"/>
      <c r="D90" s="273"/>
      <c r="E90" s="273"/>
      <c r="F90" s="272"/>
    </row>
    <row r="91" spans="2:6" ht="12" customHeight="1" x14ac:dyDescent="0.15">
      <c r="B91" s="274"/>
      <c r="C91" s="273"/>
      <c r="D91" s="273"/>
      <c r="E91" s="273"/>
      <c r="F91" s="272"/>
    </row>
    <row r="92" spans="2:6" ht="12" customHeight="1" x14ac:dyDescent="0.15">
      <c r="B92" s="274"/>
      <c r="C92" s="273"/>
      <c r="D92" s="273"/>
      <c r="E92" s="273"/>
      <c r="F92" s="272"/>
    </row>
    <row r="93" spans="2:6" ht="12" customHeight="1" x14ac:dyDescent="0.15">
      <c r="B93" s="274"/>
      <c r="C93" s="273"/>
      <c r="D93" s="273"/>
      <c r="E93" s="273"/>
      <c r="F93" s="272"/>
    </row>
    <row r="94" spans="2:6" ht="12" customHeight="1" x14ac:dyDescent="0.15">
      <c r="B94" s="274"/>
      <c r="C94" s="273"/>
      <c r="D94" s="273"/>
      <c r="E94" s="273"/>
      <c r="F94" s="272"/>
    </row>
    <row r="95" spans="2:6" ht="12" customHeight="1" x14ac:dyDescent="0.15">
      <c r="B95" s="274"/>
      <c r="C95" s="273"/>
      <c r="D95" s="273"/>
      <c r="E95" s="273"/>
      <c r="F95" s="272"/>
    </row>
    <row r="96" spans="2:6" ht="12" customHeight="1" x14ac:dyDescent="0.15">
      <c r="B96" s="274"/>
      <c r="C96" s="273"/>
      <c r="D96" s="273"/>
      <c r="E96" s="273"/>
      <c r="F96" s="272"/>
    </row>
    <row r="97" spans="2:6" ht="12" customHeight="1" x14ac:dyDescent="0.15">
      <c r="B97" s="274"/>
      <c r="C97" s="273"/>
      <c r="D97" s="273"/>
      <c r="E97" s="273"/>
      <c r="F97" s="272"/>
    </row>
    <row r="98" spans="2:6" ht="12" customHeight="1" x14ac:dyDescent="0.15">
      <c r="B98" s="274"/>
      <c r="C98" s="273"/>
      <c r="D98" s="273"/>
      <c r="E98" s="273"/>
      <c r="F98" s="272"/>
    </row>
    <row r="99" spans="2:6" ht="12" customHeight="1" x14ac:dyDescent="0.15">
      <c r="B99" s="274"/>
      <c r="C99" s="273"/>
      <c r="D99" s="273"/>
      <c r="E99" s="273"/>
      <c r="F99" s="272"/>
    </row>
    <row r="100" spans="2:6" ht="12" customHeight="1" x14ac:dyDescent="0.15">
      <c r="B100" s="274"/>
      <c r="C100" s="273"/>
      <c r="D100" s="273"/>
      <c r="E100" s="273"/>
      <c r="F100" s="272"/>
    </row>
    <row r="101" spans="2:6" ht="12" customHeight="1" x14ac:dyDescent="0.15">
      <c r="B101" s="274"/>
      <c r="C101" s="273"/>
      <c r="D101" s="273"/>
      <c r="E101" s="273"/>
      <c r="F101" s="272"/>
    </row>
    <row r="102" spans="2:6" ht="12" customHeight="1" x14ac:dyDescent="0.15">
      <c r="B102" s="274"/>
      <c r="C102" s="273"/>
      <c r="D102" s="273"/>
      <c r="E102" s="273"/>
      <c r="F102" s="272"/>
    </row>
    <row r="103" spans="2:6" ht="12" customHeight="1" x14ac:dyDescent="0.15">
      <c r="B103" s="274"/>
      <c r="C103" s="273"/>
      <c r="D103" s="273"/>
      <c r="E103" s="273"/>
      <c r="F103" s="272"/>
    </row>
    <row r="104" spans="2:6" ht="12" customHeight="1" x14ac:dyDescent="0.15">
      <c r="B104" s="274"/>
      <c r="C104" s="273"/>
      <c r="D104" s="273"/>
      <c r="E104" s="273"/>
      <c r="F104" s="272"/>
    </row>
    <row r="105" spans="2:6" ht="12" customHeight="1" x14ac:dyDescent="0.15">
      <c r="B105" s="274"/>
      <c r="C105" s="273"/>
      <c r="D105" s="273"/>
      <c r="E105" s="273"/>
      <c r="F105" s="272"/>
    </row>
    <row r="106" spans="2:6" ht="12" customHeight="1" x14ac:dyDescent="0.15">
      <c r="B106" s="274"/>
      <c r="C106" s="273"/>
      <c r="D106" s="273"/>
      <c r="E106" s="273"/>
      <c r="F106" s="272"/>
    </row>
    <row r="107" spans="2:6" ht="12" customHeight="1" x14ac:dyDescent="0.15">
      <c r="B107" s="274"/>
      <c r="C107" s="273"/>
      <c r="D107" s="273"/>
      <c r="E107" s="273"/>
      <c r="F107" s="272"/>
    </row>
    <row r="108" spans="2:6" ht="12" customHeight="1" x14ac:dyDescent="0.15">
      <c r="B108" s="274"/>
      <c r="C108" s="273"/>
      <c r="D108" s="273"/>
      <c r="E108" s="273"/>
      <c r="F108" s="272"/>
    </row>
    <row r="109" spans="2:6" ht="12" customHeight="1" x14ac:dyDescent="0.15">
      <c r="B109" s="274"/>
      <c r="C109" s="273"/>
      <c r="D109" s="273"/>
      <c r="E109" s="273"/>
      <c r="F109" s="272"/>
    </row>
    <row r="110" spans="2:6" ht="12" customHeight="1" x14ac:dyDescent="0.15">
      <c r="B110" s="274"/>
      <c r="C110" s="273"/>
      <c r="D110" s="273"/>
      <c r="E110" s="273"/>
      <c r="F110" s="272"/>
    </row>
    <row r="111" spans="2:6" ht="12" customHeight="1" x14ac:dyDescent="0.15">
      <c r="B111" s="274"/>
      <c r="C111" s="273"/>
      <c r="D111" s="273"/>
      <c r="E111" s="273"/>
      <c r="F111" s="272"/>
    </row>
    <row r="112" spans="2:6" ht="12" customHeight="1" x14ac:dyDescent="0.15">
      <c r="B112" s="274"/>
      <c r="C112" s="273"/>
      <c r="D112" s="273"/>
      <c r="E112" s="273"/>
      <c r="F112" s="272"/>
    </row>
    <row r="113" spans="2:6" ht="12" customHeight="1" x14ac:dyDescent="0.15">
      <c r="B113" s="274"/>
      <c r="C113" s="273"/>
      <c r="D113" s="273"/>
      <c r="E113" s="273"/>
      <c r="F113" s="272"/>
    </row>
    <row r="114" spans="2:6" ht="12" customHeight="1" x14ac:dyDescent="0.15">
      <c r="B114" s="274"/>
      <c r="C114" s="273"/>
      <c r="D114" s="273"/>
      <c r="E114" s="273"/>
      <c r="F114" s="272"/>
    </row>
    <row r="115" spans="2:6" ht="12" customHeight="1" x14ac:dyDescent="0.15">
      <c r="B115" s="274"/>
      <c r="C115" s="273"/>
      <c r="D115" s="273"/>
      <c r="E115" s="273"/>
      <c r="F115" s="272"/>
    </row>
    <row r="116" spans="2:6" ht="12" customHeight="1" x14ac:dyDescent="0.15">
      <c r="B116" s="274"/>
      <c r="C116" s="273"/>
      <c r="D116" s="273"/>
      <c r="E116" s="273"/>
      <c r="F116" s="272"/>
    </row>
    <row r="117" spans="2:6" ht="12" customHeight="1" x14ac:dyDescent="0.15">
      <c r="B117" s="274"/>
      <c r="C117" s="273"/>
      <c r="D117" s="273"/>
      <c r="E117" s="273"/>
      <c r="F117" s="272"/>
    </row>
    <row r="118" spans="2:6" ht="12" customHeight="1" x14ac:dyDescent="0.15">
      <c r="B118" s="274"/>
      <c r="C118" s="273"/>
      <c r="D118" s="273"/>
      <c r="E118" s="273"/>
      <c r="F118" s="272"/>
    </row>
    <row r="119" spans="2:6" ht="12" customHeight="1" x14ac:dyDescent="0.15">
      <c r="B119" s="274"/>
      <c r="C119" s="273"/>
      <c r="D119" s="273"/>
      <c r="E119" s="273"/>
      <c r="F119" s="272"/>
    </row>
    <row r="120" spans="2:6" ht="12" customHeight="1" x14ac:dyDescent="0.15">
      <c r="B120" s="274"/>
      <c r="C120" s="273"/>
      <c r="D120" s="273"/>
      <c r="E120" s="273"/>
      <c r="F120" s="272"/>
    </row>
    <row r="121" spans="2:6" ht="12" customHeight="1" x14ac:dyDescent="0.15">
      <c r="B121" s="274"/>
      <c r="C121" s="273"/>
      <c r="D121" s="273"/>
      <c r="E121" s="273"/>
      <c r="F121" s="272"/>
    </row>
    <row r="122" spans="2:6" ht="12" customHeight="1" x14ac:dyDescent="0.15">
      <c r="B122" s="274"/>
      <c r="C122" s="273"/>
      <c r="D122" s="273"/>
      <c r="E122" s="273"/>
      <c r="F122" s="272"/>
    </row>
    <row r="123" spans="2:6" ht="12" customHeight="1" x14ac:dyDescent="0.15">
      <c r="B123" s="274"/>
      <c r="C123" s="273"/>
      <c r="D123" s="273"/>
      <c r="E123" s="273"/>
      <c r="F123" s="272"/>
    </row>
    <row r="124" spans="2:6" ht="12" customHeight="1" x14ac:dyDescent="0.15">
      <c r="B124" s="274"/>
      <c r="C124" s="273"/>
      <c r="D124" s="273"/>
      <c r="E124" s="273"/>
      <c r="F124" s="272"/>
    </row>
    <row r="125" spans="2:6" ht="12" customHeight="1" x14ac:dyDescent="0.15">
      <c r="B125" s="274"/>
      <c r="C125" s="273"/>
      <c r="D125" s="273"/>
      <c r="E125" s="273"/>
      <c r="F125" s="272"/>
    </row>
    <row r="126" spans="2:6" ht="12" customHeight="1" x14ac:dyDescent="0.15">
      <c r="B126" s="274"/>
      <c r="C126" s="273"/>
      <c r="D126" s="273"/>
      <c r="E126" s="273"/>
      <c r="F126" s="272"/>
    </row>
    <row r="127" spans="2:6" ht="12" customHeight="1" x14ac:dyDescent="0.15">
      <c r="B127" s="274"/>
      <c r="C127" s="273"/>
      <c r="D127" s="273"/>
      <c r="E127" s="273"/>
      <c r="F127" s="272"/>
    </row>
    <row r="128" spans="2:6" ht="12" customHeight="1" x14ac:dyDescent="0.15">
      <c r="B128" s="274"/>
      <c r="C128" s="273"/>
      <c r="D128" s="273"/>
      <c r="E128" s="273"/>
      <c r="F128" s="272"/>
    </row>
    <row r="129" spans="2:6" ht="12" customHeight="1" x14ac:dyDescent="0.15">
      <c r="B129" s="274"/>
      <c r="C129" s="273"/>
      <c r="D129" s="273"/>
      <c r="E129" s="273"/>
      <c r="F129" s="272"/>
    </row>
    <row r="130" spans="2:6" ht="12" customHeight="1" x14ac:dyDescent="0.15">
      <c r="B130" s="274"/>
      <c r="C130" s="273"/>
      <c r="D130" s="273"/>
      <c r="E130" s="273"/>
      <c r="F130" s="272"/>
    </row>
    <row r="131" spans="2:6" ht="12" customHeight="1" x14ac:dyDescent="0.15">
      <c r="B131" s="274"/>
      <c r="C131" s="273"/>
      <c r="D131" s="273"/>
      <c r="E131" s="273"/>
      <c r="F131" s="272"/>
    </row>
    <row r="132" spans="2:6" ht="12" customHeight="1" x14ac:dyDescent="0.15">
      <c r="B132" s="274"/>
      <c r="C132" s="273"/>
      <c r="D132" s="273"/>
      <c r="E132" s="273"/>
      <c r="F132" s="272"/>
    </row>
    <row r="133" spans="2:6" ht="12" customHeight="1" x14ac:dyDescent="0.15">
      <c r="B133" s="274"/>
      <c r="C133" s="273"/>
      <c r="D133" s="273"/>
      <c r="E133" s="273"/>
      <c r="F133" s="272"/>
    </row>
    <row r="134" spans="2:6" ht="12" customHeight="1" x14ac:dyDescent="0.15">
      <c r="B134" s="274"/>
      <c r="C134" s="273"/>
      <c r="D134" s="273"/>
      <c r="E134" s="273"/>
      <c r="F134" s="272"/>
    </row>
    <row r="135" spans="2:6" ht="12" customHeight="1" x14ac:dyDescent="0.15">
      <c r="B135" s="274"/>
      <c r="C135" s="273"/>
      <c r="D135" s="273"/>
      <c r="E135" s="273"/>
      <c r="F135" s="272"/>
    </row>
    <row r="136" spans="2:6" ht="12" customHeight="1" x14ac:dyDescent="0.15">
      <c r="B136" s="274"/>
      <c r="C136" s="273"/>
      <c r="D136" s="273"/>
      <c r="E136" s="273"/>
      <c r="F136" s="272"/>
    </row>
    <row r="137" spans="2:6" ht="12" customHeight="1" x14ac:dyDescent="0.15">
      <c r="B137" s="274"/>
      <c r="C137" s="273"/>
      <c r="D137" s="273"/>
      <c r="E137" s="273"/>
      <c r="F137" s="272"/>
    </row>
    <row r="138" spans="2:6" ht="12" customHeight="1" x14ac:dyDescent="0.15">
      <c r="B138" s="274"/>
      <c r="C138" s="273"/>
      <c r="D138" s="273"/>
      <c r="E138" s="273"/>
      <c r="F138" s="272"/>
    </row>
    <row r="139" spans="2:6" ht="12" customHeight="1" x14ac:dyDescent="0.15">
      <c r="B139" s="274"/>
      <c r="C139" s="273"/>
      <c r="D139" s="273"/>
      <c r="E139" s="273"/>
      <c r="F139" s="272"/>
    </row>
    <row r="140" spans="2:6" ht="12" customHeight="1" x14ac:dyDescent="0.15">
      <c r="B140" s="274"/>
      <c r="C140" s="273"/>
      <c r="D140" s="273"/>
      <c r="E140" s="273"/>
      <c r="F140" s="272"/>
    </row>
    <row r="141" spans="2:6" ht="12" customHeight="1" x14ac:dyDescent="0.15">
      <c r="B141" s="274"/>
      <c r="C141" s="273"/>
      <c r="D141" s="273"/>
      <c r="E141" s="273"/>
      <c r="F141" s="272"/>
    </row>
    <row r="142" spans="2:6" ht="12" customHeight="1" x14ac:dyDescent="0.15">
      <c r="B142" s="274"/>
      <c r="C142" s="273"/>
      <c r="D142" s="273"/>
      <c r="E142" s="273"/>
      <c r="F142" s="272"/>
    </row>
    <row r="143" spans="2:6" ht="12" customHeight="1" x14ac:dyDescent="0.15">
      <c r="B143" s="274"/>
      <c r="C143" s="273"/>
      <c r="D143" s="273"/>
      <c r="E143" s="273"/>
      <c r="F143" s="272"/>
    </row>
    <row r="144" spans="2:6" ht="12" customHeight="1" x14ac:dyDescent="0.15">
      <c r="B144" s="274"/>
      <c r="C144" s="273"/>
      <c r="D144" s="273"/>
      <c r="E144" s="273"/>
      <c r="F144" s="272"/>
    </row>
    <row r="145" spans="2:6" ht="12" customHeight="1" x14ac:dyDescent="0.15">
      <c r="B145" s="274"/>
      <c r="C145" s="273"/>
      <c r="D145" s="273"/>
      <c r="E145" s="273"/>
      <c r="F145" s="272"/>
    </row>
    <row r="146" spans="2:6" ht="12" customHeight="1" x14ac:dyDescent="0.15">
      <c r="B146" s="274"/>
      <c r="C146" s="273"/>
      <c r="D146" s="273"/>
      <c r="E146" s="273"/>
      <c r="F146" s="272"/>
    </row>
    <row r="147" spans="2:6" ht="12" customHeight="1" x14ac:dyDescent="0.15">
      <c r="B147" s="274"/>
      <c r="C147" s="273"/>
      <c r="D147" s="273"/>
      <c r="E147" s="273"/>
      <c r="F147" s="272"/>
    </row>
    <row r="148" spans="2:6" ht="12" customHeight="1" x14ac:dyDescent="0.15">
      <c r="B148" s="274"/>
      <c r="C148" s="273"/>
      <c r="D148" s="273"/>
      <c r="E148" s="273"/>
      <c r="F148" s="272"/>
    </row>
    <row r="149" spans="2:6" ht="12" customHeight="1" x14ac:dyDescent="0.15">
      <c r="B149" s="274"/>
      <c r="C149" s="273"/>
      <c r="D149" s="273"/>
      <c r="E149" s="273"/>
      <c r="F149" s="272"/>
    </row>
    <row r="150" spans="2:6" ht="12" customHeight="1" x14ac:dyDescent="0.15">
      <c r="B150" s="274"/>
      <c r="C150" s="273"/>
      <c r="D150" s="273"/>
      <c r="E150" s="273"/>
      <c r="F150" s="272"/>
    </row>
    <row r="151" spans="2:6" ht="12" customHeight="1" x14ac:dyDescent="0.15">
      <c r="B151" s="274"/>
      <c r="C151" s="273"/>
      <c r="D151" s="273"/>
      <c r="E151" s="273"/>
      <c r="F151" s="272"/>
    </row>
    <row r="152" spans="2:6" ht="12" customHeight="1" x14ac:dyDescent="0.15">
      <c r="B152" s="274"/>
      <c r="C152" s="273"/>
      <c r="D152" s="273"/>
      <c r="E152" s="273"/>
      <c r="F152" s="272"/>
    </row>
    <row r="153" spans="2:6" ht="12" customHeight="1" x14ac:dyDescent="0.15">
      <c r="B153" s="274"/>
      <c r="C153" s="273"/>
      <c r="D153" s="273"/>
      <c r="E153" s="273"/>
      <c r="F153" s="272"/>
    </row>
    <row r="154" spans="2:6" ht="12" customHeight="1" x14ac:dyDescent="0.15">
      <c r="B154" s="274"/>
      <c r="C154" s="273"/>
      <c r="D154" s="273"/>
      <c r="E154" s="273"/>
      <c r="F154" s="272"/>
    </row>
    <row r="155" spans="2:6" ht="12" customHeight="1" x14ac:dyDescent="0.15">
      <c r="B155" s="274"/>
      <c r="C155" s="273"/>
      <c r="D155" s="273"/>
      <c r="E155" s="273"/>
      <c r="F155" s="272"/>
    </row>
    <row r="156" spans="2:6" ht="12" customHeight="1" x14ac:dyDescent="0.15">
      <c r="B156" s="274"/>
      <c r="C156" s="273"/>
      <c r="D156" s="273"/>
      <c r="E156" s="273"/>
      <c r="F156" s="272"/>
    </row>
    <row r="157" spans="2:6" ht="12" customHeight="1" x14ac:dyDescent="0.15">
      <c r="B157" s="274"/>
      <c r="C157" s="273"/>
      <c r="D157" s="273"/>
      <c r="E157" s="273"/>
      <c r="F157" s="272"/>
    </row>
    <row r="158" spans="2:6" ht="12" customHeight="1" x14ac:dyDescent="0.15">
      <c r="B158" s="274"/>
      <c r="C158" s="273"/>
      <c r="D158" s="273"/>
      <c r="E158" s="273"/>
      <c r="F158" s="272"/>
    </row>
    <row r="159" spans="2:6" ht="12" customHeight="1" x14ac:dyDescent="0.15">
      <c r="B159" s="274"/>
      <c r="C159" s="273"/>
      <c r="D159" s="273"/>
      <c r="E159" s="273"/>
      <c r="F159" s="272"/>
    </row>
    <row r="160" spans="2:6" ht="12" customHeight="1" x14ac:dyDescent="0.15">
      <c r="B160" s="274"/>
      <c r="C160" s="273"/>
      <c r="D160" s="273"/>
      <c r="E160" s="273"/>
      <c r="F160" s="272"/>
    </row>
    <row r="161" spans="2:6" ht="12" customHeight="1" x14ac:dyDescent="0.15">
      <c r="B161" s="274"/>
      <c r="C161" s="273"/>
      <c r="D161" s="273"/>
      <c r="E161" s="273"/>
      <c r="F161" s="272"/>
    </row>
    <row r="162" spans="2:6" ht="12" customHeight="1" x14ac:dyDescent="0.15">
      <c r="B162" s="274"/>
      <c r="C162" s="273"/>
      <c r="D162" s="273"/>
      <c r="E162" s="273"/>
      <c r="F162" s="272"/>
    </row>
    <row r="163" spans="2:6" ht="12" customHeight="1" x14ac:dyDescent="0.15">
      <c r="B163" s="274"/>
      <c r="C163" s="273"/>
      <c r="D163" s="273"/>
      <c r="E163" s="273"/>
      <c r="F163" s="272"/>
    </row>
    <row r="164" spans="2:6" ht="12" customHeight="1" x14ac:dyDescent="0.15">
      <c r="B164" s="274"/>
      <c r="C164" s="273"/>
      <c r="D164" s="273"/>
      <c r="E164" s="273"/>
      <c r="F164" s="272"/>
    </row>
    <row r="165" spans="2:6" ht="12" customHeight="1" x14ac:dyDescent="0.15">
      <c r="B165" s="274"/>
      <c r="C165" s="273"/>
      <c r="D165" s="273"/>
      <c r="E165" s="273"/>
      <c r="F165" s="272"/>
    </row>
    <row r="166" spans="2:6" ht="12" customHeight="1" x14ac:dyDescent="0.15">
      <c r="B166" s="274"/>
      <c r="C166" s="273"/>
      <c r="D166" s="273"/>
      <c r="E166" s="273"/>
      <c r="F166" s="272"/>
    </row>
    <row r="167" spans="2:6" ht="12" customHeight="1" x14ac:dyDescent="0.15">
      <c r="B167" s="274"/>
      <c r="C167" s="273"/>
      <c r="D167" s="273"/>
      <c r="E167" s="273"/>
      <c r="F167" s="272"/>
    </row>
    <row r="168" spans="2:6" ht="12" customHeight="1" x14ac:dyDescent="0.15">
      <c r="B168" s="274"/>
      <c r="C168" s="273"/>
      <c r="D168" s="273"/>
      <c r="E168" s="273"/>
      <c r="F168" s="272"/>
    </row>
    <row r="169" spans="2:6" ht="12" customHeight="1" x14ac:dyDescent="0.15">
      <c r="B169" s="274"/>
      <c r="C169" s="273"/>
      <c r="D169" s="273"/>
      <c r="E169" s="273"/>
      <c r="F169" s="272"/>
    </row>
    <row r="170" spans="2:6" ht="12" customHeight="1" x14ac:dyDescent="0.15">
      <c r="B170" s="274"/>
      <c r="C170" s="273"/>
      <c r="D170" s="273"/>
      <c r="E170" s="273"/>
      <c r="F170" s="272"/>
    </row>
    <row r="171" spans="2:6" ht="12" customHeight="1" x14ac:dyDescent="0.15">
      <c r="B171" s="274"/>
      <c r="C171" s="273"/>
      <c r="D171" s="273"/>
      <c r="E171" s="273"/>
      <c r="F171" s="272"/>
    </row>
    <row r="172" spans="2:6" ht="12" customHeight="1" x14ac:dyDescent="0.15">
      <c r="B172" s="274"/>
      <c r="C172" s="273"/>
      <c r="D172" s="273"/>
      <c r="E172" s="273"/>
      <c r="F172" s="272"/>
    </row>
    <row r="173" spans="2:6" ht="12" customHeight="1" x14ac:dyDescent="0.15">
      <c r="B173" s="274"/>
      <c r="C173" s="273"/>
      <c r="D173" s="273"/>
      <c r="E173" s="273"/>
      <c r="F173" s="272"/>
    </row>
    <row r="174" spans="2:6" ht="12" customHeight="1" x14ac:dyDescent="0.15">
      <c r="B174" s="274"/>
      <c r="C174" s="273"/>
      <c r="D174" s="273"/>
      <c r="E174" s="273"/>
      <c r="F174" s="272"/>
    </row>
    <row r="175" spans="2:6" ht="12" customHeight="1" x14ac:dyDescent="0.15">
      <c r="B175" s="274"/>
      <c r="C175" s="273"/>
      <c r="D175" s="273"/>
      <c r="E175" s="273"/>
      <c r="F175" s="272"/>
    </row>
    <row r="176" spans="2:6" ht="12" customHeight="1" x14ac:dyDescent="0.15">
      <c r="B176" s="274"/>
      <c r="C176" s="273"/>
      <c r="D176" s="273"/>
      <c r="E176" s="273"/>
      <c r="F176" s="272"/>
    </row>
    <row r="177" spans="2:6" ht="12" customHeight="1" x14ac:dyDescent="0.15">
      <c r="B177" s="274"/>
      <c r="C177" s="273"/>
      <c r="D177" s="273"/>
      <c r="E177" s="273"/>
      <c r="F177" s="272"/>
    </row>
    <row r="178" spans="2:6" ht="12" customHeight="1" x14ac:dyDescent="0.15">
      <c r="B178" s="274"/>
      <c r="C178" s="273"/>
      <c r="D178" s="273"/>
      <c r="E178" s="273"/>
      <c r="F178" s="272"/>
    </row>
    <row r="179" spans="2:6" ht="12" customHeight="1" x14ac:dyDescent="0.15">
      <c r="B179" s="274"/>
      <c r="C179" s="273"/>
      <c r="D179" s="273"/>
      <c r="E179" s="273"/>
      <c r="F179" s="272"/>
    </row>
    <row r="180" spans="2:6" ht="12" customHeight="1" x14ac:dyDescent="0.15">
      <c r="B180" s="274"/>
      <c r="C180" s="273"/>
      <c r="D180" s="273"/>
      <c r="E180" s="273"/>
      <c r="F180" s="272"/>
    </row>
    <row r="181" spans="2:6" ht="12" customHeight="1" x14ac:dyDescent="0.15">
      <c r="B181" s="274"/>
      <c r="C181" s="273"/>
      <c r="D181" s="273"/>
      <c r="E181" s="273"/>
      <c r="F181" s="272"/>
    </row>
    <row r="182" spans="2:6" ht="12" customHeight="1" x14ac:dyDescent="0.15">
      <c r="B182" s="274"/>
      <c r="C182" s="273"/>
      <c r="D182" s="273"/>
      <c r="E182" s="273"/>
      <c r="F182" s="272"/>
    </row>
    <row r="183" spans="2:6" ht="12" customHeight="1" x14ac:dyDescent="0.15">
      <c r="B183" s="274"/>
      <c r="C183" s="273"/>
      <c r="D183" s="273"/>
      <c r="E183" s="273"/>
      <c r="F183" s="272"/>
    </row>
    <row r="184" spans="2:6" ht="12" customHeight="1" x14ac:dyDescent="0.15">
      <c r="B184" s="274"/>
      <c r="C184" s="273"/>
      <c r="D184" s="273"/>
      <c r="E184" s="273"/>
      <c r="F184" s="272"/>
    </row>
    <row r="185" spans="2:6" ht="12" customHeight="1" x14ac:dyDescent="0.15">
      <c r="B185" s="274"/>
      <c r="C185" s="273"/>
      <c r="D185" s="273"/>
      <c r="E185" s="273"/>
      <c r="F185" s="272"/>
    </row>
    <row r="186" spans="2:6" ht="12" customHeight="1" x14ac:dyDescent="0.15">
      <c r="B186" s="274"/>
      <c r="C186" s="273"/>
      <c r="D186" s="273"/>
      <c r="E186" s="273"/>
      <c r="F186" s="272"/>
    </row>
    <row r="187" spans="2:6" ht="12" customHeight="1" x14ac:dyDescent="0.15">
      <c r="B187" s="274"/>
      <c r="C187" s="273"/>
      <c r="D187" s="273"/>
      <c r="E187" s="273"/>
      <c r="F187" s="272"/>
    </row>
    <row r="188" spans="2:6" ht="12" customHeight="1" x14ac:dyDescent="0.15">
      <c r="B188" s="274"/>
      <c r="C188" s="273"/>
      <c r="D188" s="273"/>
      <c r="E188" s="273"/>
      <c r="F188" s="272"/>
    </row>
    <row r="189" spans="2:6" ht="12" customHeight="1" x14ac:dyDescent="0.15">
      <c r="B189" s="274"/>
      <c r="C189" s="273"/>
      <c r="D189" s="273"/>
      <c r="E189" s="273"/>
      <c r="F189" s="272"/>
    </row>
    <row r="190" spans="2:6" ht="12" customHeight="1" x14ac:dyDescent="0.15">
      <c r="B190" s="274"/>
      <c r="C190" s="273"/>
      <c r="D190" s="273"/>
      <c r="E190" s="273"/>
      <c r="F190" s="272"/>
    </row>
    <row r="191" spans="2:6" ht="12" customHeight="1" x14ac:dyDescent="0.15">
      <c r="B191" s="274"/>
      <c r="C191" s="273"/>
      <c r="D191" s="273"/>
      <c r="E191" s="273"/>
      <c r="F191" s="272"/>
    </row>
    <row r="192" spans="2:6" ht="12" customHeight="1" x14ac:dyDescent="0.15">
      <c r="B192" s="274"/>
      <c r="C192" s="273"/>
      <c r="D192" s="273"/>
      <c r="E192" s="273"/>
      <c r="F192" s="272"/>
    </row>
    <row r="193" spans="2:6" ht="12" customHeight="1" x14ac:dyDescent="0.15">
      <c r="B193" s="274"/>
      <c r="C193" s="273"/>
      <c r="D193" s="273"/>
      <c r="E193" s="273"/>
      <c r="F193" s="272"/>
    </row>
    <row r="194" spans="2:6" ht="12" customHeight="1" x14ac:dyDescent="0.15">
      <c r="B194" s="274"/>
      <c r="C194" s="273"/>
      <c r="D194" s="273"/>
      <c r="E194" s="273"/>
      <c r="F194" s="272"/>
    </row>
    <row r="195" spans="2:6" ht="12" customHeight="1" x14ac:dyDescent="0.15">
      <c r="B195" s="274"/>
      <c r="C195" s="273"/>
      <c r="D195" s="273"/>
      <c r="E195" s="273"/>
      <c r="F195" s="272"/>
    </row>
    <row r="196" spans="2:6" ht="12" customHeight="1" x14ac:dyDescent="0.15">
      <c r="B196" s="274"/>
      <c r="C196" s="273"/>
      <c r="D196" s="273"/>
      <c r="E196" s="273"/>
      <c r="F196" s="272"/>
    </row>
    <row r="197" spans="2:6" ht="12" customHeight="1" x14ac:dyDescent="0.15">
      <c r="B197" s="274"/>
      <c r="C197" s="273"/>
      <c r="D197" s="273"/>
      <c r="E197" s="273"/>
      <c r="F197" s="272"/>
    </row>
    <row r="198" spans="2:6" ht="12" customHeight="1" x14ac:dyDescent="0.15">
      <c r="B198" s="274"/>
      <c r="C198" s="273"/>
      <c r="D198" s="273"/>
      <c r="E198" s="273"/>
      <c r="F198" s="272"/>
    </row>
    <row r="199" spans="2:6" ht="12" customHeight="1" x14ac:dyDescent="0.15">
      <c r="B199" s="274"/>
      <c r="C199" s="273"/>
      <c r="D199" s="273"/>
      <c r="E199" s="273"/>
      <c r="F199" s="272"/>
    </row>
    <row r="200" spans="2:6" ht="12" customHeight="1" x14ac:dyDescent="0.15">
      <c r="B200" s="274"/>
      <c r="C200" s="273"/>
      <c r="D200" s="273"/>
      <c r="E200" s="273"/>
      <c r="F200" s="272"/>
    </row>
    <row r="201" spans="2:6" ht="12" customHeight="1" x14ac:dyDescent="0.15">
      <c r="B201" s="274"/>
      <c r="C201" s="273"/>
      <c r="D201" s="273"/>
      <c r="E201" s="273"/>
      <c r="F201" s="272"/>
    </row>
    <row r="202" spans="2:6" ht="12" customHeight="1" x14ac:dyDescent="0.15">
      <c r="B202" s="274"/>
      <c r="C202" s="273"/>
      <c r="D202" s="273"/>
      <c r="E202" s="273"/>
      <c r="F202" s="272"/>
    </row>
    <row r="203" spans="2:6" ht="12" customHeight="1" x14ac:dyDescent="0.15">
      <c r="B203" s="274"/>
      <c r="C203" s="273"/>
      <c r="D203" s="273"/>
      <c r="E203" s="273"/>
      <c r="F203" s="272"/>
    </row>
    <row r="204" spans="2:6" ht="12" customHeight="1" x14ac:dyDescent="0.15">
      <c r="B204" s="274"/>
      <c r="C204" s="273"/>
      <c r="D204" s="273"/>
      <c r="E204" s="273"/>
      <c r="F204" s="272"/>
    </row>
    <row r="205" spans="2:6" ht="12" customHeight="1" x14ac:dyDescent="0.15">
      <c r="B205" s="274"/>
      <c r="C205" s="273"/>
      <c r="D205" s="273"/>
      <c r="E205" s="273"/>
      <c r="F205" s="272"/>
    </row>
    <row r="206" spans="2:6" ht="12" customHeight="1" x14ac:dyDescent="0.15">
      <c r="B206" s="274"/>
      <c r="C206" s="273"/>
      <c r="D206" s="273"/>
      <c r="E206" s="273"/>
      <c r="F206" s="272"/>
    </row>
    <row r="207" spans="2:6" ht="12" customHeight="1" x14ac:dyDescent="0.15">
      <c r="B207" s="274"/>
      <c r="C207" s="273"/>
      <c r="D207" s="273"/>
      <c r="E207" s="273"/>
      <c r="F207" s="272"/>
    </row>
    <row r="208" spans="2:6" ht="12" customHeight="1" x14ac:dyDescent="0.15">
      <c r="B208" s="274"/>
      <c r="C208" s="273"/>
      <c r="D208" s="273"/>
      <c r="E208" s="273"/>
      <c r="F208" s="272"/>
    </row>
    <row r="209" spans="2:6" ht="12" customHeight="1" x14ac:dyDescent="0.15">
      <c r="B209" s="274"/>
      <c r="C209" s="273"/>
      <c r="D209" s="273"/>
      <c r="E209" s="273"/>
      <c r="F209" s="272"/>
    </row>
    <row r="210" spans="2:6" ht="12" customHeight="1" x14ac:dyDescent="0.15">
      <c r="B210" s="274"/>
      <c r="C210" s="273"/>
      <c r="D210" s="273"/>
      <c r="E210" s="273"/>
      <c r="F210" s="272"/>
    </row>
    <row r="211" spans="2:6" ht="12" customHeight="1" x14ac:dyDescent="0.15">
      <c r="B211" s="274"/>
      <c r="C211" s="273"/>
      <c r="D211" s="273"/>
      <c r="E211" s="273"/>
      <c r="F211" s="272"/>
    </row>
    <row r="212" spans="2:6" ht="12" customHeight="1" x14ac:dyDescent="0.15">
      <c r="B212" s="274"/>
      <c r="C212" s="273"/>
      <c r="D212" s="273"/>
      <c r="E212" s="273"/>
      <c r="F212" s="272"/>
    </row>
    <row r="213" spans="2:6" ht="12" customHeight="1" x14ac:dyDescent="0.15">
      <c r="B213" s="274"/>
      <c r="C213" s="273"/>
      <c r="D213" s="273"/>
      <c r="E213" s="273"/>
      <c r="F213" s="272"/>
    </row>
    <row r="214" spans="2:6" ht="12" customHeight="1" x14ac:dyDescent="0.15">
      <c r="B214" s="274"/>
      <c r="C214" s="273"/>
      <c r="D214" s="273"/>
      <c r="E214" s="273"/>
      <c r="F214" s="272"/>
    </row>
    <row r="215" spans="2:6" ht="12" customHeight="1" x14ac:dyDescent="0.15">
      <c r="B215" s="274"/>
      <c r="C215" s="273"/>
      <c r="D215" s="273"/>
      <c r="E215" s="273"/>
      <c r="F215" s="272"/>
    </row>
    <row r="216" spans="2:6" ht="12" customHeight="1" x14ac:dyDescent="0.15">
      <c r="B216" s="274"/>
      <c r="C216" s="273"/>
      <c r="D216" s="273"/>
      <c r="E216" s="273"/>
      <c r="F216" s="272"/>
    </row>
    <row r="217" spans="2:6" ht="12" customHeight="1" x14ac:dyDescent="0.15">
      <c r="B217" s="274"/>
      <c r="C217" s="273"/>
      <c r="D217" s="273"/>
      <c r="E217" s="273"/>
      <c r="F217" s="272"/>
    </row>
    <row r="218" spans="2:6" ht="12" customHeight="1" x14ac:dyDescent="0.15">
      <c r="B218" s="274"/>
      <c r="C218" s="273"/>
      <c r="D218" s="273"/>
      <c r="E218" s="273"/>
      <c r="F218" s="272"/>
    </row>
    <row r="219" spans="2:6" ht="12" customHeight="1" x14ac:dyDescent="0.15">
      <c r="B219" s="274"/>
      <c r="C219" s="273"/>
      <c r="D219" s="273"/>
      <c r="E219" s="273"/>
      <c r="F219" s="272"/>
    </row>
    <row r="220" spans="2:6" ht="12" customHeight="1" x14ac:dyDescent="0.15">
      <c r="B220" s="274"/>
      <c r="C220" s="273"/>
      <c r="D220" s="273"/>
      <c r="E220" s="273"/>
      <c r="F220" s="272"/>
    </row>
    <row r="221" spans="2:6" ht="12" customHeight="1" x14ac:dyDescent="0.15">
      <c r="B221" s="274"/>
      <c r="C221" s="273"/>
      <c r="D221" s="273"/>
      <c r="E221" s="273"/>
      <c r="F221" s="272"/>
    </row>
    <row r="222" spans="2:6" ht="12" customHeight="1" x14ac:dyDescent="0.15">
      <c r="B222" s="274"/>
      <c r="C222" s="273"/>
      <c r="D222" s="273"/>
      <c r="E222" s="273"/>
      <c r="F222" s="272"/>
    </row>
    <row r="223" spans="2:6" ht="12" customHeight="1" x14ac:dyDescent="0.15">
      <c r="B223" s="274"/>
      <c r="C223" s="273"/>
      <c r="D223" s="273"/>
      <c r="E223" s="273"/>
      <c r="F223" s="272"/>
    </row>
    <row r="224" spans="2:6" ht="12" customHeight="1" x14ac:dyDescent="0.15">
      <c r="B224" s="274"/>
      <c r="C224" s="273"/>
      <c r="D224" s="273"/>
      <c r="E224" s="273"/>
      <c r="F224" s="272"/>
    </row>
    <row r="225" spans="2:6" ht="12" customHeight="1" x14ac:dyDescent="0.15">
      <c r="B225" s="274"/>
      <c r="C225" s="273"/>
      <c r="D225" s="273"/>
      <c r="E225" s="273"/>
      <c r="F225" s="272"/>
    </row>
    <row r="226" spans="2:6" ht="12" customHeight="1" x14ac:dyDescent="0.15">
      <c r="B226" s="274"/>
      <c r="C226" s="273"/>
      <c r="D226" s="273"/>
      <c r="E226" s="273"/>
      <c r="F226" s="272"/>
    </row>
    <row r="227" spans="2:6" ht="12" customHeight="1" x14ac:dyDescent="0.15">
      <c r="B227" s="274"/>
      <c r="C227" s="273"/>
      <c r="D227" s="273"/>
      <c r="E227" s="273"/>
      <c r="F227" s="272"/>
    </row>
    <row r="228" spans="2:6" ht="12" customHeight="1" x14ac:dyDescent="0.15">
      <c r="B228" s="274"/>
      <c r="C228" s="273"/>
      <c r="D228" s="273"/>
      <c r="E228" s="273"/>
      <c r="F228" s="272"/>
    </row>
    <row r="229" spans="2:6" ht="12" customHeight="1" x14ac:dyDescent="0.15">
      <c r="B229" s="274"/>
      <c r="C229" s="273"/>
      <c r="D229" s="273"/>
      <c r="E229" s="273"/>
      <c r="F229" s="272"/>
    </row>
    <row r="230" spans="2:6" ht="12" customHeight="1" x14ac:dyDescent="0.15">
      <c r="B230" s="274"/>
      <c r="C230" s="273"/>
      <c r="D230" s="273"/>
      <c r="E230" s="273"/>
      <c r="F230" s="272"/>
    </row>
    <row r="231" spans="2:6" ht="12" customHeight="1" x14ac:dyDescent="0.15">
      <c r="B231" s="274"/>
      <c r="C231" s="273"/>
      <c r="D231" s="273"/>
      <c r="E231" s="273"/>
      <c r="F231" s="272"/>
    </row>
    <row r="232" spans="2:6" ht="12" customHeight="1" x14ac:dyDescent="0.15">
      <c r="B232" s="274"/>
      <c r="C232" s="273"/>
      <c r="D232" s="273"/>
      <c r="E232" s="273"/>
      <c r="F232" s="272"/>
    </row>
    <row r="233" spans="2:6" ht="12" customHeight="1" x14ac:dyDescent="0.15">
      <c r="B233" s="274"/>
      <c r="C233" s="273"/>
      <c r="D233" s="273"/>
      <c r="E233" s="273"/>
      <c r="F233" s="272"/>
    </row>
    <row r="234" spans="2:6" ht="12" customHeight="1" x14ac:dyDescent="0.15">
      <c r="B234" s="274"/>
      <c r="C234" s="273"/>
      <c r="D234" s="273"/>
      <c r="E234" s="273"/>
      <c r="F234" s="272"/>
    </row>
    <row r="235" spans="2:6" ht="12" customHeight="1" x14ac:dyDescent="0.15">
      <c r="B235" s="274"/>
      <c r="C235" s="273"/>
      <c r="D235" s="273"/>
      <c r="E235" s="273"/>
      <c r="F235" s="272"/>
    </row>
    <row r="236" spans="2:6" ht="12" customHeight="1" x14ac:dyDescent="0.15">
      <c r="B236" s="274"/>
      <c r="C236" s="273"/>
      <c r="D236" s="273"/>
      <c r="E236" s="273"/>
      <c r="F236" s="272"/>
    </row>
    <row r="237" spans="2:6" ht="12" customHeight="1" x14ac:dyDescent="0.15">
      <c r="B237" s="274"/>
      <c r="C237" s="273"/>
      <c r="D237" s="273"/>
      <c r="E237" s="273"/>
      <c r="F237" s="272"/>
    </row>
    <row r="238" spans="2:6" ht="12" customHeight="1" x14ac:dyDescent="0.15">
      <c r="B238" s="274"/>
      <c r="C238" s="273"/>
      <c r="D238" s="273"/>
      <c r="E238" s="273"/>
      <c r="F238" s="272"/>
    </row>
    <row r="239" spans="2:6" ht="12" customHeight="1" x14ac:dyDescent="0.15">
      <c r="B239" s="274"/>
      <c r="C239" s="273"/>
      <c r="D239" s="273"/>
      <c r="E239" s="273"/>
      <c r="F239" s="272"/>
    </row>
    <row r="240" spans="2:6" ht="12" customHeight="1" x14ac:dyDescent="0.15">
      <c r="B240" s="274"/>
      <c r="C240" s="273"/>
      <c r="D240" s="273"/>
      <c r="E240" s="273"/>
      <c r="F240" s="272"/>
    </row>
    <row r="241" spans="2:6" ht="12" customHeight="1" x14ac:dyDescent="0.15">
      <c r="B241" s="274"/>
      <c r="C241" s="273"/>
      <c r="D241" s="273"/>
      <c r="E241" s="273"/>
      <c r="F241" s="272"/>
    </row>
    <row r="242" spans="2:6" ht="12" customHeight="1" x14ac:dyDescent="0.15">
      <c r="B242" s="274"/>
      <c r="C242" s="273"/>
      <c r="D242" s="273"/>
      <c r="E242" s="273"/>
      <c r="F242" s="272"/>
    </row>
    <row r="243" spans="2:6" ht="12" customHeight="1" x14ac:dyDescent="0.15">
      <c r="B243" s="274"/>
      <c r="C243" s="273"/>
      <c r="D243" s="273"/>
      <c r="E243" s="273"/>
      <c r="F243" s="272"/>
    </row>
    <row r="244" spans="2:6" ht="12" customHeight="1" x14ac:dyDescent="0.15">
      <c r="B244" s="274"/>
      <c r="C244" s="273"/>
      <c r="D244" s="273"/>
      <c r="E244" s="273"/>
      <c r="F244" s="272"/>
    </row>
    <row r="245" spans="2:6" ht="12" customHeight="1" x14ac:dyDescent="0.15">
      <c r="B245" s="274"/>
      <c r="C245" s="273"/>
      <c r="D245" s="273"/>
      <c r="E245" s="273"/>
      <c r="F245" s="272"/>
    </row>
    <row r="246" spans="2:6" ht="12" customHeight="1" x14ac:dyDescent="0.15">
      <c r="B246" s="274"/>
      <c r="C246" s="273"/>
      <c r="D246" s="273"/>
      <c r="E246" s="273"/>
      <c r="F246" s="272"/>
    </row>
    <row r="247" spans="2:6" ht="12" customHeight="1" x14ac:dyDescent="0.15">
      <c r="B247" s="274"/>
      <c r="C247" s="273"/>
      <c r="D247" s="273"/>
      <c r="E247" s="273"/>
      <c r="F247" s="272"/>
    </row>
    <row r="248" spans="2:6" ht="12" customHeight="1" x14ac:dyDescent="0.15">
      <c r="B248" s="274"/>
      <c r="C248" s="273"/>
      <c r="D248" s="273"/>
      <c r="E248" s="273"/>
      <c r="F248" s="272"/>
    </row>
    <row r="249" spans="2:6" ht="12" customHeight="1" x14ac:dyDescent="0.15">
      <c r="B249" s="274"/>
      <c r="C249" s="273"/>
      <c r="D249" s="273"/>
      <c r="E249" s="273"/>
      <c r="F249" s="272"/>
    </row>
    <row r="250" spans="2:6" ht="12" customHeight="1" x14ac:dyDescent="0.15">
      <c r="B250" s="274"/>
      <c r="C250" s="273"/>
      <c r="D250" s="273"/>
      <c r="E250" s="273"/>
      <c r="F250" s="272"/>
    </row>
    <row r="251" spans="2:6" ht="12" customHeight="1" x14ac:dyDescent="0.15">
      <c r="B251" s="274"/>
      <c r="C251" s="273"/>
      <c r="D251" s="273"/>
      <c r="E251" s="273"/>
      <c r="F251" s="272"/>
    </row>
    <row r="252" spans="2:6" ht="12" customHeight="1" x14ac:dyDescent="0.15">
      <c r="B252" s="274"/>
      <c r="C252" s="273"/>
      <c r="D252" s="273"/>
      <c r="E252" s="273"/>
      <c r="F252" s="272"/>
    </row>
    <row r="253" spans="2:6" ht="12" customHeight="1" x14ac:dyDescent="0.15">
      <c r="B253" s="274"/>
      <c r="C253" s="273"/>
      <c r="D253" s="273"/>
      <c r="E253" s="273"/>
      <c r="F253" s="272"/>
    </row>
    <row r="254" spans="2:6" ht="12" customHeight="1" x14ac:dyDescent="0.15">
      <c r="B254" s="274"/>
      <c r="C254" s="273"/>
      <c r="D254" s="273"/>
      <c r="E254" s="273"/>
      <c r="F254" s="272"/>
    </row>
    <row r="255" spans="2:6" ht="12" customHeight="1" x14ac:dyDescent="0.15">
      <c r="B255" s="274"/>
      <c r="C255" s="273"/>
      <c r="D255" s="273"/>
      <c r="E255" s="273"/>
      <c r="F255" s="272"/>
    </row>
    <row r="256" spans="2:6" ht="12" customHeight="1" x14ac:dyDescent="0.15">
      <c r="B256" s="274"/>
      <c r="C256" s="273"/>
      <c r="D256" s="273"/>
      <c r="E256" s="273"/>
      <c r="F256" s="272"/>
    </row>
    <row r="257" spans="2:6" ht="12" customHeight="1" x14ac:dyDescent="0.15">
      <c r="B257" s="274"/>
      <c r="C257" s="273"/>
      <c r="D257" s="273"/>
      <c r="E257" s="273"/>
      <c r="F257" s="272"/>
    </row>
    <row r="258" spans="2:6" ht="12" customHeight="1" x14ac:dyDescent="0.15">
      <c r="B258" s="274"/>
      <c r="C258" s="273"/>
      <c r="D258" s="273"/>
      <c r="E258" s="273"/>
      <c r="F258" s="272"/>
    </row>
    <row r="259" spans="2:6" ht="12" customHeight="1" x14ac:dyDescent="0.15">
      <c r="B259" s="274"/>
      <c r="C259" s="273"/>
      <c r="D259" s="273"/>
      <c r="E259" s="273"/>
      <c r="F259" s="272"/>
    </row>
    <row r="260" spans="2:6" ht="12" customHeight="1" x14ac:dyDescent="0.15">
      <c r="B260" s="274"/>
      <c r="C260" s="273"/>
      <c r="D260" s="273"/>
      <c r="E260" s="273"/>
      <c r="F260" s="272"/>
    </row>
    <row r="261" spans="2:6" ht="12" customHeight="1" x14ac:dyDescent="0.15">
      <c r="B261" s="274"/>
      <c r="C261" s="273"/>
      <c r="D261" s="273"/>
      <c r="E261" s="273"/>
      <c r="F261" s="272"/>
    </row>
    <row r="262" spans="2:6" ht="12" customHeight="1" x14ac:dyDescent="0.15">
      <c r="B262" s="274"/>
      <c r="C262" s="273"/>
      <c r="D262" s="273"/>
      <c r="E262" s="273"/>
      <c r="F262" s="272"/>
    </row>
    <row r="263" spans="2:6" ht="12" customHeight="1" x14ac:dyDescent="0.15">
      <c r="B263" s="274"/>
      <c r="C263" s="273"/>
      <c r="D263" s="273"/>
      <c r="E263" s="273"/>
      <c r="F263" s="272"/>
    </row>
    <row r="264" spans="2:6" ht="12" customHeight="1" x14ac:dyDescent="0.15">
      <c r="B264" s="274"/>
      <c r="C264" s="273"/>
      <c r="D264" s="273"/>
      <c r="E264" s="273"/>
      <c r="F264" s="272"/>
    </row>
    <row r="265" spans="2:6" ht="12" customHeight="1" x14ac:dyDescent="0.15">
      <c r="B265" s="274"/>
      <c r="C265" s="273"/>
      <c r="D265" s="273"/>
      <c r="E265" s="273"/>
      <c r="F265" s="272"/>
    </row>
    <row r="266" spans="2:6" ht="12" customHeight="1" x14ac:dyDescent="0.15">
      <c r="B266" s="274"/>
      <c r="C266" s="273"/>
      <c r="D266" s="273"/>
      <c r="E266" s="273"/>
      <c r="F266" s="272"/>
    </row>
    <row r="267" spans="2:6" ht="12" customHeight="1" x14ac:dyDescent="0.15">
      <c r="B267" s="274"/>
      <c r="C267" s="273"/>
      <c r="D267" s="273"/>
      <c r="E267" s="273"/>
      <c r="F267" s="272"/>
    </row>
    <row r="268" spans="2:6" ht="12" customHeight="1" x14ac:dyDescent="0.15">
      <c r="B268" s="274"/>
      <c r="C268" s="273"/>
      <c r="D268" s="273"/>
      <c r="E268" s="273"/>
      <c r="F268" s="272"/>
    </row>
    <row r="269" spans="2:6" ht="12" customHeight="1" x14ac:dyDescent="0.15">
      <c r="B269" s="274"/>
      <c r="C269" s="273"/>
      <c r="D269" s="273"/>
      <c r="E269" s="273"/>
      <c r="F269" s="272"/>
    </row>
    <row r="270" spans="2:6" ht="12" customHeight="1" x14ac:dyDescent="0.15">
      <c r="B270" s="274"/>
      <c r="C270" s="273"/>
      <c r="D270" s="273"/>
      <c r="E270" s="273"/>
      <c r="F270" s="272"/>
    </row>
    <row r="271" spans="2:6" ht="12" customHeight="1" x14ac:dyDescent="0.15">
      <c r="B271" s="274"/>
      <c r="C271" s="273"/>
      <c r="D271" s="273"/>
      <c r="E271" s="273"/>
      <c r="F271" s="272"/>
    </row>
    <row r="272" spans="2:6" ht="12" customHeight="1" x14ac:dyDescent="0.15">
      <c r="B272" s="274"/>
      <c r="C272" s="273"/>
      <c r="D272" s="273"/>
      <c r="E272" s="273"/>
      <c r="F272" s="272"/>
    </row>
    <row r="273" spans="2:6" ht="12" customHeight="1" x14ac:dyDescent="0.15">
      <c r="B273" s="274"/>
      <c r="C273" s="273"/>
      <c r="D273" s="273"/>
      <c r="E273" s="273"/>
      <c r="F273" s="272"/>
    </row>
    <row r="274" spans="2:6" ht="12" customHeight="1" x14ac:dyDescent="0.15">
      <c r="B274" s="274"/>
      <c r="C274" s="273"/>
      <c r="D274" s="273"/>
      <c r="E274" s="273"/>
      <c r="F274" s="272"/>
    </row>
    <row r="275" spans="2:6" ht="12" customHeight="1" x14ac:dyDescent="0.15">
      <c r="B275" s="274"/>
      <c r="C275" s="273"/>
      <c r="D275" s="273"/>
      <c r="E275" s="273"/>
      <c r="F275" s="272"/>
    </row>
    <row r="276" spans="2:6" ht="12" customHeight="1" x14ac:dyDescent="0.15">
      <c r="B276" s="274"/>
      <c r="C276" s="273"/>
      <c r="D276" s="273"/>
      <c r="E276" s="273"/>
      <c r="F276" s="272"/>
    </row>
    <row r="277" spans="2:6" ht="12" customHeight="1" x14ac:dyDescent="0.15">
      <c r="B277" s="274"/>
      <c r="C277" s="273"/>
      <c r="D277" s="273"/>
      <c r="E277" s="273"/>
      <c r="F277" s="272"/>
    </row>
    <row r="278" spans="2:6" ht="12" customHeight="1" x14ac:dyDescent="0.15">
      <c r="B278" s="274"/>
      <c r="C278" s="273"/>
      <c r="D278" s="273"/>
      <c r="E278" s="273"/>
      <c r="F278" s="272"/>
    </row>
    <row r="279" spans="2:6" ht="12" customHeight="1" x14ac:dyDescent="0.15">
      <c r="B279" s="274"/>
      <c r="C279" s="273"/>
      <c r="D279" s="273"/>
      <c r="E279" s="273"/>
      <c r="F279" s="272"/>
    </row>
    <row r="280" spans="2:6" ht="12" customHeight="1" x14ac:dyDescent="0.15">
      <c r="B280" s="274"/>
      <c r="C280" s="273"/>
      <c r="D280" s="273"/>
      <c r="E280" s="273"/>
      <c r="F280" s="272"/>
    </row>
    <row r="281" spans="2:6" ht="12" customHeight="1" x14ac:dyDescent="0.15">
      <c r="B281" s="274"/>
      <c r="C281" s="273"/>
      <c r="D281" s="273"/>
      <c r="E281" s="273"/>
      <c r="F281" s="272"/>
    </row>
    <row r="282" spans="2:6" ht="12" customHeight="1" x14ac:dyDescent="0.15">
      <c r="B282" s="274"/>
      <c r="C282" s="273"/>
      <c r="D282" s="273"/>
      <c r="E282" s="273"/>
      <c r="F282" s="272"/>
    </row>
    <row r="283" spans="2:6" ht="12" customHeight="1" x14ac:dyDescent="0.15">
      <c r="B283" s="274"/>
      <c r="C283" s="273"/>
      <c r="D283" s="273"/>
      <c r="E283" s="273"/>
      <c r="F283" s="272"/>
    </row>
    <row r="284" spans="2:6" ht="12" customHeight="1" x14ac:dyDescent="0.15">
      <c r="B284" s="274"/>
      <c r="C284" s="273"/>
      <c r="D284" s="273"/>
      <c r="E284" s="273"/>
      <c r="F284" s="272"/>
    </row>
    <row r="285" spans="2:6" ht="12" customHeight="1" x14ac:dyDescent="0.15">
      <c r="B285" s="274"/>
      <c r="C285" s="273"/>
      <c r="D285" s="273"/>
      <c r="E285" s="273"/>
      <c r="F285" s="272"/>
    </row>
    <row r="286" spans="2:6" ht="12" customHeight="1" x14ac:dyDescent="0.15">
      <c r="B286" s="274"/>
      <c r="C286" s="273"/>
      <c r="D286" s="273"/>
      <c r="E286" s="273"/>
      <c r="F286" s="272"/>
    </row>
    <row r="287" spans="2:6" ht="12" customHeight="1" x14ac:dyDescent="0.15">
      <c r="B287" s="274"/>
      <c r="C287" s="273"/>
      <c r="D287" s="273"/>
      <c r="E287" s="273"/>
      <c r="F287" s="272"/>
    </row>
    <row r="288" spans="2:6" ht="12" customHeight="1" x14ac:dyDescent="0.15">
      <c r="B288" s="274"/>
      <c r="C288" s="273"/>
      <c r="D288" s="273"/>
      <c r="E288" s="273"/>
      <c r="F288" s="272"/>
    </row>
    <row r="289" spans="2:6" ht="12" customHeight="1" x14ac:dyDescent="0.15">
      <c r="B289" s="274"/>
      <c r="C289" s="273"/>
      <c r="D289" s="273"/>
      <c r="E289" s="273"/>
      <c r="F289" s="272"/>
    </row>
    <row r="290" spans="2:6" ht="12" customHeight="1" x14ac:dyDescent="0.15">
      <c r="B290" s="274"/>
      <c r="C290" s="273"/>
      <c r="D290" s="273"/>
      <c r="E290" s="273"/>
      <c r="F290" s="272"/>
    </row>
    <row r="291" spans="2:6" ht="12" customHeight="1" x14ac:dyDescent="0.15">
      <c r="B291" s="274"/>
      <c r="C291" s="273"/>
      <c r="D291" s="273"/>
      <c r="E291" s="273"/>
      <c r="F291" s="272"/>
    </row>
    <row r="292" spans="2:6" ht="12" customHeight="1" x14ac:dyDescent="0.15">
      <c r="B292" s="274"/>
      <c r="C292" s="273"/>
      <c r="D292" s="273"/>
      <c r="E292" s="273"/>
      <c r="F292" s="272"/>
    </row>
    <row r="293" spans="2:6" ht="12" customHeight="1" x14ac:dyDescent="0.15">
      <c r="B293" s="274"/>
      <c r="C293" s="273"/>
      <c r="D293" s="273"/>
      <c r="E293" s="273"/>
      <c r="F293" s="272"/>
    </row>
    <row r="294" spans="2:6" ht="12" customHeight="1" x14ac:dyDescent="0.15">
      <c r="B294" s="274"/>
      <c r="C294" s="273"/>
      <c r="D294" s="273"/>
      <c r="E294" s="273"/>
      <c r="F294" s="272"/>
    </row>
    <row r="295" spans="2:6" ht="12" customHeight="1" x14ac:dyDescent="0.15">
      <c r="B295" s="274"/>
      <c r="C295" s="273"/>
      <c r="D295" s="273"/>
      <c r="E295" s="273"/>
      <c r="F295" s="272"/>
    </row>
    <row r="296" spans="2:6" ht="12" customHeight="1" x14ac:dyDescent="0.15">
      <c r="B296" s="274"/>
      <c r="C296" s="273"/>
      <c r="D296" s="273"/>
      <c r="E296" s="273"/>
      <c r="F296" s="272"/>
    </row>
    <row r="297" spans="2:6" ht="12" customHeight="1" x14ac:dyDescent="0.15">
      <c r="B297" s="274"/>
      <c r="C297" s="273"/>
      <c r="D297" s="273"/>
      <c r="E297" s="273"/>
      <c r="F297" s="272"/>
    </row>
    <row r="298" spans="2:6" ht="12" customHeight="1" x14ac:dyDescent="0.15">
      <c r="B298" s="274"/>
      <c r="C298" s="273"/>
      <c r="D298" s="273"/>
      <c r="E298" s="273"/>
      <c r="F298" s="272"/>
    </row>
    <row r="299" spans="2:6" ht="12" customHeight="1" x14ac:dyDescent="0.15">
      <c r="B299" s="274"/>
      <c r="C299" s="273"/>
      <c r="D299" s="273"/>
      <c r="E299" s="273"/>
      <c r="F299" s="272"/>
    </row>
    <row r="300" spans="2:6" ht="12" customHeight="1" x14ac:dyDescent="0.15">
      <c r="B300" s="274"/>
      <c r="C300" s="273"/>
      <c r="D300" s="273"/>
      <c r="E300" s="273"/>
      <c r="F300" s="272"/>
    </row>
    <row r="301" spans="2:6" ht="12" customHeight="1" x14ac:dyDescent="0.15">
      <c r="B301" s="274"/>
      <c r="C301" s="273"/>
      <c r="D301" s="273"/>
      <c r="E301" s="273"/>
      <c r="F301" s="272"/>
    </row>
    <row r="302" spans="2:6" ht="12" customHeight="1" x14ac:dyDescent="0.15">
      <c r="B302" s="274"/>
      <c r="C302" s="273"/>
      <c r="D302" s="273"/>
      <c r="E302" s="273"/>
      <c r="F302" s="272"/>
    </row>
    <row r="303" spans="2:6" ht="12" customHeight="1" x14ac:dyDescent="0.15">
      <c r="B303" s="274"/>
      <c r="C303" s="273"/>
      <c r="D303" s="273"/>
      <c r="E303" s="273"/>
      <c r="F303" s="272"/>
    </row>
    <row r="304" spans="2:6" ht="12" customHeight="1" x14ac:dyDescent="0.15">
      <c r="B304" s="274"/>
      <c r="C304" s="273"/>
      <c r="D304" s="273"/>
      <c r="E304" s="273"/>
      <c r="F304" s="272"/>
    </row>
    <row r="305" spans="2:6" ht="12" customHeight="1" x14ac:dyDescent="0.15">
      <c r="B305" s="274"/>
      <c r="C305" s="273"/>
      <c r="D305" s="273"/>
      <c r="E305" s="273"/>
      <c r="F305" s="272"/>
    </row>
    <row r="306" spans="2:6" ht="12" customHeight="1" x14ac:dyDescent="0.15">
      <c r="B306" s="274"/>
      <c r="C306" s="273"/>
      <c r="D306" s="273"/>
      <c r="E306" s="273"/>
      <c r="F306" s="272"/>
    </row>
    <row r="307" spans="2:6" ht="12" customHeight="1" x14ac:dyDescent="0.15">
      <c r="B307" s="274"/>
      <c r="C307" s="273"/>
      <c r="D307" s="273"/>
      <c r="E307" s="273"/>
      <c r="F307" s="272"/>
    </row>
    <row r="308" spans="2:6" ht="12" customHeight="1" x14ac:dyDescent="0.15">
      <c r="B308" s="274"/>
      <c r="C308" s="273"/>
      <c r="D308" s="273"/>
      <c r="E308" s="273"/>
      <c r="F308" s="272"/>
    </row>
    <row r="309" spans="2:6" ht="12" customHeight="1" x14ac:dyDescent="0.15">
      <c r="B309" s="274"/>
      <c r="C309" s="273"/>
      <c r="D309" s="273"/>
      <c r="E309" s="273"/>
      <c r="F309" s="272"/>
    </row>
    <row r="310" spans="2:6" ht="12" customHeight="1" x14ac:dyDescent="0.15">
      <c r="B310" s="274"/>
      <c r="C310" s="273"/>
      <c r="D310" s="273"/>
      <c r="E310" s="273"/>
      <c r="F310" s="272"/>
    </row>
    <row r="311" spans="2:6" ht="12" customHeight="1" x14ac:dyDescent="0.15">
      <c r="B311" s="274"/>
      <c r="C311" s="273"/>
      <c r="D311" s="273"/>
      <c r="E311" s="273"/>
      <c r="F311" s="272"/>
    </row>
    <row r="312" spans="2:6" ht="12" customHeight="1" x14ac:dyDescent="0.15">
      <c r="B312" s="274"/>
      <c r="C312" s="273"/>
      <c r="D312" s="273"/>
      <c r="E312" s="273"/>
      <c r="F312" s="272"/>
    </row>
    <row r="313" spans="2:6" ht="12" customHeight="1" x14ac:dyDescent="0.15">
      <c r="B313" s="274"/>
      <c r="C313" s="273"/>
      <c r="D313" s="273"/>
      <c r="E313" s="273"/>
      <c r="F313" s="272"/>
    </row>
    <row r="314" spans="2:6" ht="12" customHeight="1" x14ac:dyDescent="0.15">
      <c r="B314" s="274"/>
      <c r="C314" s="273"/>
      <c r="D314" s="273"/>
      <c r="E314" s="273"/>
      <c r="F314" s="272"/>
    </row>
    <row r="315" spans="2:6" ht="12" customHeight="1" x14ac:dyDescent="0.15">
      <c r="B315" s="274"/>
      <c r="C315" s="273"/>
      <c r="D315" s="273"/>
      <c r="E315" s="273"/>
      <c r="F315" s="272"/>
    </row>
    <row r="316" spans="2:6" ht="12" customHeight="1" x14ac:dyDescent="0.15">
      <c r="B316" s="274"/>
      <c r="C316" s="273"/>
      <c r="D316" s="273"/>
      <c r="E316" s="273"/>
      <c r="F316" s="272"/>
    </row>
    <row r="317" spans="2:6" ht="12" customHeight="1" x14ac:dyDescent="0.15">
      <c r="B317" s="274"/>
      <c r="C317" s="273"/>
      <c r="D317" s="273"/>
      <c r="E317" s="273"/>
      <c r="F317" s="272"/>
    </row>
    <row r="318" spans="2:6" ht="12" customHeight="1" x14ac:dyDescent="0.15">
      <c r="B318" s="274"/>
      <c r="C318" s="273"/>
      <c r="D318" s="273"/>
      <c r="E318" s="273"/>
      <c r="F318" s="272"/>
    </row>
    <row r="319" spans="2:6" ht="12" customHeight="1" x14ac:dyDescent="0.15">
      <c r="B319" s="274"/>
      <c r="C319" s="273"/>
      <c r="D319" s="273"/>
      <c r="E319" s="273"/>
      <c r="F319" s="272"/>
    </row>
    <row r="320" spans="2:6" ht="12" customHeight="1" x14ac:dyDescent="0.15">
      <c r="B320" s="274"/>
      <c r="C320" s="273"/>
      <c r="D320" s="273"/>
      <c r="E320" s="273"/>
      <c r="F320" s="272"/>
    </row>
    <row r="321" spans="2:6" ht="12" customHeight="1" x14ac:dyDescent="0.15">
      <c r="B321" s="274"/>
      <c r="C321" s="273"/>
      <c r="D321" s="273"/>
      <c r="E321" s="273"/>
      <c r="F321" s="272"/>
    </row>
    <row r="322" spans="2:6" ht="12" customHeight="1" x14ac:dyDescent="0.15">
      <c r="B322" s="274"/>
      <c r="C322" s="273"/>
      <c r="D322" s="273"/>
      <c r="E322" s="273"/>
      <c r="F322" s="272"/>
    </row>
    <row r="323" spans="2:6" ht="12" customHeight="1" x14ac:dyDescent="0.15">
      <c r="B323" s="274"/>
      <c r="C323" s="273"/>
      <c r="D323" s="273"/>
      <c r="E323" s="273"/>
      <c r="F323" s="272"/>
    </row>
    <row r="324" spans="2:6" ht="12" customHeight="1" x14ac:dyDescent="0.15">
      <c r="B324" s="274"/>
      <c r="C324" s="273"/>
      <c r="D324" s="273"/>
      <c r="E324" s="273"/>
      <c r="F324" s="272"/>
    </row>
    <row r="325" spans="2:6" ht="12" customHeight="1" x14ac:dyDescent="0.15">
      <c r="B325" s="274"/>
      <c r="C325" s="273"/>
      <c r="D325" s="273"/>
      <c r="E325" s="273"/>
      <c r="F325" s="272"/>
    </row>
    <row r="326" spans="2:6" ht="12" customHeight="1" x14ac:dyDescent="0.15">
      <c r="B326" s="274"/>
      <c r="C326" s="273"/>
      <c r="D326" s="273"/>
      <c r="E326" s="273"/>
      <c r="F326" s="272"/>
    </row>
    <row r="327" spans="2:6" ht="12" customHeight="1" x14ac:dyDescent="0.15">
      <c r="B327" s="274"/>
      <c r="C327" s="273"/>
      <c r="D327" s="273"/>
      <c r="E327" s="273"/>
      <c r="F327" s="272"/>
    </row>
    <row r="328" spans="2:6" ht="12" customHeight="1" x14ac:dyDescent="0.15">
      <c r="B328" s="274"/>
      <c r="C328" s="273"/>
      <c r="D328" s="273"/>
      <c r="E328" s="273"/>
      <c r="F328" s="272"/>
    </row>
    <row r="329" spans="2:6" ht="12" customHeight="1" x14ac:dyDescent="0.15">
      <c r="B329" s="274"/>
      <c r="C329" s="273"/>
      <c r="D329" s="273"/>
      <c r="E329" s="273"/>
      <c r="F329" s="272"/>
    </row>
    <row r="330" spans="2:6" ht="12" customHeight="1" x14ac:dyDescent="0.15">
      <c r="B330" s="274"/>
      <c r="C330" s="273"/>
      <c r="D330" s="273"/>
      <c r="E330" s="273"/>
      <c r="F330" s="272"/>
    </row>
    <row r="331" spans="2:6" ht="12" customHeight="1" x14ac:dyDescent="0.15">
      <c r="B331" s="274"/>
      <c r="C331" s="273"/>
      <c r="D331" s="273"/>
      <c r="E331" s="273"/>
      <c r="F331" s="272"/>
    </row>
    <row r="332" spans="2:6" ht="12" customHeight="1" x14ac:dyDescent="0.15">
      <c r="B332" s="274"/>
      <c r="C332" s="273"/>
      <c r="D332" s="273"/>
      <c r="E332" s="273"/>
      <c r="F332" s="272"/>
    </row>
    <row r="333" spans="2:6" ht="12" customHeight="1" x14ac:dyDescent="0.15">
      <c r="B333" s="274"/>
      <c r="C333" s="273"/>
      <c r="D333" s="273"/>
      <c r="E333" s="273"/>
      <c r="F333" s="272"/>
    </row>
    <row r="334" spans="2:6" ht="12" customHeight="1" x14ac:dyDescent="0.15">
      <c r="B334" s="274"/>
      <c r="C334" s="273"/>
      <c r="D334" s="273"/>
      <c r="E334" s="273"/>
      <c r="F334" s="272"/>
    </row>
    <row r="335" spans="2:6" ht="12" customHeight="1" x14ac:dyDescent="0.15">
      <c r="B335" s="274"/>
      <c r="C335" s="273"/>
      <c r="D335" s="273"/>
      <c r="E335" s="273"/>
      <c r="F335" s="272"/>
    </row>
    <row r="336" spans="2:6" ht="12" customHeight="1" x14ac:dyDescent="0.15">
      <c r="B336" s="274"/>
      <c r="C336" s="273"/>
      <c r="D336" s="273"/>
      <c r="E336" s="273"/>
      <c r="F336" s="272"/>
    </row>
    <row r="337" spans="2:6" ht="12" customHeight="1" x14ac:dyDescent="0.15">
      <c r="B337" s="274"/>
      <c r="C337" s="273"/>
      <c r="D337" s="273"/>
      <c r="E337" s="273"/>
      <c r="F337" s="272"/>
    </row>
    <row r="338" spans="2:6" ht="12" customHeight="1" x14ac:dyDescent="0.15">
      <c r="B338" s="274"/>
      <c r="C338" s="273"/>
      <c r="D338" s="273"/>
      <c r="E338" s="273"/>
      <c r="F338" s="272"/>
    </row>
    <row r="339" spans="2:6" ht="12" customHeight="1" x14ac:dyDescent="0.15">
      <c r="B339" s="274"/>
      <c r="C339" s="273"/>
      <c r="D339" s="273"/>
      <c r="E339" s="273"/>
      <c r="F339" s="272"/>
    </row>
    <row r="340" spans="2:6" ht="12" customHeight="1" x14ac:dyDescent="0.15">
      <c r="B340" s="274"/>
      <c r="C340" s="273"/>
      <c r="D340" s="273"/>
      <c r="E340" s="273"/>
      <c r="F340" s="272"/>
    </row>
    <row r="341" spans="2:6" ht="12" customHeight="1" x14ac:dyDescent="0.15">
      <c r="B341" s="274"/>
      <c r="C341" s="273"/>
      <c r="D341" s="273"/>
      <c r="E341" s="273"/>
      <c r="F341" s="272"/>
    </row>
    <row r="342" spans="2:6" ht="12" customHeight="1" x14ac:dyDescent="0.15">
      <c r="B342" s="274"/>
      <c r="C342" s="273"/>
      <c r="D342" s="273"/>
      <c r="E342" s="273"/>
      <c r="F342" s="272"/>
    </row>
    <row r="343" spans="2:6" ht="12" customHeight="1" x14ac:dyDescent="0.15">
      <c r="B343" s="274"/>
      <c r="C343" s="273"/>
      <c r="D343" s="273"/>
      <c r="E343" s="273"/>
      <c r="F343" s="272"/>
    </row>
    <row r="344" spans="2:6" ht="12" customHeight="1" x14ac:dyDescent="0.15">
      <c r="B344" s="274"/>
      <c r="C344" s="273"/>
      <c r="D344" s="273"/>
      <c r="E344" s="273"/>
      <c r="F344" s="272"/>
    </row>
    <row r="345" spans="2:6" ht="12" customHeight="1" x14ac:dyDescent="0.15">
      <c r="B345" s="274"/>
      <c r="C345" s="273"/>
      <c r="D345" s="273"/>
      <c r="E345" s="273"/>
      <c r="F345" s="272"/>
    </row>
    <row r="346" spans="2:6" ht="12" customHeight="1" x14ac:dyDescent="0.15">
      <c r="B346" s="274"/>
      <c r="C346" s="273"/>
      <c r="D346" s="273"/>
      <c r="E346" s="273"/>
      <c r="F346" s="272"/>
    </row>
    <row r="347" spans="2:6" ht="12" customHeight="1" x14ac:dyDescent="0.15">
      <c r="B347" s="274"/>
      <c r="C347" s="273"/>
      <c r="D347" s="273"/>
      <c r="E347" s="273"/>
      <c r="F347" s="272"/>
    </row>
    <row r="348" spans="2:6" ht="12" customHeight="1" x14ac:dyDescent="0.15">
      <c r="B348" s="274"/>
      <c r="C348" s="273"/>
      <c r="D348" s="273"/>
      <c r="E348" s="273"/>
      <c r="F348" s="272"/>
    </row>
    <row r="349" spans="2:6" ht="12" customHeight="1" x14ac:dyDescent="0.15">
      <c r="B349" s="274"/>
      <c r="C349" s="273"/>
      <c r="D349" s="273"/>
      <c r="E349" s="273"/>
      <c r="F349" s="272"/>
    </row>
    <row r="350" spans="2:6" ht="12" customHeight="1" x14ac:dyDescent="0.15">
      <c r="B350" s="274"/>
      <c r="C350" s="273"/>
      <c r="D350" s="273"/>
      <c r="E350" s="273"/>
      <c r="F350" s="272"/>
    </row>
    <row r="351" spans="2:6" ht="12" customHeight="1" x14ac:dyDescent="0.15">
      <c r="B351" s="274"/>
      <c r="C351" s="273"/>
      <c r="D351" s="273"/>
      <c r="E351" s="273"/>
      <c r="F351" s="272"/>
    </row>
    <row r="352" spans="2:6" ht="12" customHeight="1" x14ac:dyDescent="0.15">
      <c r="B352" s="274"/>
      <c r="C352" s="273"/>
      <c r="D352" s="273"/>
      <c r="E352" s="273"/>
      <c r="F352" s="272"/>
    </row>
    <row r="353" spans="2:6" ht="12" customHeight="1" x14ac:dyDescent="0.15">
      <c r="B353" s="274"/>
      <c r="C353" s="273"/>
      <c r="D353" s="273"/>
      <c r="E353" s="273"/>
      <c r="F353" s="272"/>
    </row>
    <row r="354" spans="2:6" ht="12" customHeight="1" x14ac:dyDescent="0.15">
      <c r="B354" s="274"/>
      <c r="C354" s="273"/>
      <c r="D354" s="273"/>
      <c r="E354" s="273"/>
      <c r="F354" s="272"/>
    </row>
    <row r="355" spans="2:6" ht="12" customHeight="1" x14ac:dyDescent="0.15">
      <c r="B355" s="274"/>
      <c r="C355" s="273"/>
      <c r="D355" s="273"/>
      <c r="E355" s="273"/>
      <c r="F355" s="272"/>
    </row>
    <row r="356" spans="2:6" ht="12" customHeight="1" x14ac:dyDescent="0.15">
      <c r="B356" s="274"/>
      <c r="C356" s="273"/>
      <c r="D356" s="273"/>
      <c r="E356" s="273"/>
      <c r="F356" s="272"/>
    </row>
    <row r="357" spans="2:6" ht="12" customHeight="1" x14ac:dyDescent="0.15">
      <c r="B357" s="274"/>
      <c r="C357" s="273"/>
      <c r="D357" s="273"/>
      <c r="E357" s="273"/>
      <c r="F357" s="272"/>
    </row>
    <row r="358" spans="2:6" ht="12" customHeight="1" x14ac:dyDescent="0.15">
      <c r="B358" s="274"/>
      <c r="C358" s="273"/>
      <c r="D358" s="273"/>
      <c r="E358" s="273"/>
      <c r="F358" s="272"/>
    </row>
    <row r="359" spans="2:6" ht="12" customHeight="1" x14ac:dyDescent="0.15">
      <c r="B359" s="274"/>
      <c r="C359" s="273"/>
      <c r="D359" s="273"/>
      <c r="E359" s="273"/>
      <c r="F359" s="272"/>
    </row>
    <row r="360" spans="2:6" ht="12" customHeight="1" x14ac:dyDescent="0.15">
      <c r="B360" s="274"/>
      <c r="C360" s="273"/>
      <c r="D360" s="273"/>
      <c r="E360" s="273"/>
      <c r="F360" s="272"/>
    </row>
    <row r="361" spans="2:6" ht="12" customHeight="1" x14ac:dyDescent="0.15">
      <c r="B361" s="274"/>
      <c r="C361" s="273"/>
      <c r="D361" s="273"/>
      <c r="E361" s="273"/>
      <c r="F361" s="272"/>
    </row>
    <row r="362" spans="2:6" ht="12" customHeight="1" x14ac:dyDescent="0.15">
      <c r="B362" s="274"/>
      <c r="C362" s="273"/>
      <c r="D362" s="273"/>
      <c r="E362" s="273"/>
      <c r="F362" s="272"/>
    </row>
    <row r="363" spans="2:6" ht="12" customHeight="1" x14ac:dyDescent="0.15">
      <c r="B363" s="274"/>
      <c r="C363" s="273"/>
      <c r="D363" s="273"/>
      <c r="E363" s="273"/>
      <c r="F363" s="272"/>
    </row>
    <row r="364" spans="2:6" ht="12" customHeight="1" x14ac:dyDescent="0.15">
      <c r="B364" s="274"/>
      <c r="C364" s="273"/>
      <c r="D364" s="273"/>
      <c r="E364" s="273"/>
      <c r="F364" s="272"/>
    </row>
    <row r="365" spans="2:6" ht="12" customHeight="1" x14ac:dyDescent="0.15">
      <c r="B365" s="274"/>
      <c r="C365" s="273"/>
      <c r="D365" s="273"/>
      <c r="E365" s="273"/>
      <c r="F365" s="272"/>
    </row>
    <row r="366" spans="2:6" ht="12" customHeight="1" x14ac:dyDescent="0.15">
      <c r="B366" s="274"/>
      <c r="C366" s="273"/>
      <c r="D366" s="273"/>
      <c r="E366" s="273"/>
      <c r="F366" s="272"/>
    </row>
    <row r="367" spans="2:6" ht="12" customHeight="1" x14ac:dyDescent="0.15">
      <c r="B367" s="274"/>
      <c r="C367" s="273"/>
      <c r="D367" s="273"/>
      <c r="E367" s="273"/>
      <c r="F367" s="272"/>
    </row>
    <row r="368" spans="2:6" ht="12" customHeight="1" x14ac:dyDescent="0.15">
      <c r="B368" s="274"/>
      <c r="C368" s="273"/>
      <c r="D368" s="273"/>
      <c r="E368" s="273"/>
      <c r="F368" s="272"/>
    </row>
    <row r="369" spans="2:6" ht="12" customHeight="1" x14ac:dyDescent="0.15">
      <c r="B369" s="274"/>
      <c r="C369" s="273"/>
      <c r="D369" s="273"/>
      <c r="E369" s="273"/>
      <c r="F369" s="272"/>
    </row>
    <row r="370" spans="2:6" ht="12" customHeight="1" x14ac:dyDescent="0.15">
      <c r="B370" s="274"/>
      <c r="C370" s="273"/>
      <c r="D370" s="273"/>
      <c r="E370" s="273"/>
      <c r="F370" s="272"/>
    </row>
    <row r="371" spans="2:6" ht="12" customHeight="1" x14ac:dyDescent="0.15">
      <c r="B371" s="274"/>
      <c r="C371" s="273"/>
      <c r="D371" s="273"/>
      <c r="E371" s="273"/>
      <c r="F371" s="272"/>
    </row>
    <row r="372" spans="2:6" ht="12" customHeight="1" x14ac:dyDescent="0.15">
      <c r="B372" s="274"/>
      <c r="C372" s="273"/>
      <c r="D372" s="273"/>
      <c r="E372" s="273"/>
      <c r="F372" s="272"/>
    </row>
    <row r="373" spans="2:6" ht="12" customHeight="1" x14ac:dyDescent="0.15">
      <c r="B373" s="274"/>
      <c r="C373" s="273"/>
      <c r="D373" s="273"/>
      <c r="E373" s="273"/>
      <c r="F373" s="272"/>
    </row>
    <row r="374" spans="2:6" ht="12" customHeight="1" x14ac:dyDescent="0.15">
      <c r="B374" s="274"/>
      <c r="C374" s="273"/>
      <c r="D374" s="273"/>
      <c r="E374" s="273"/>
      <c r="F374" s="272"/>
    </row>
    <row r="375" spans="2:6" ht="12" customHeight="1" x14ac:dyDescent="0.15">
      <c r="B375" s="274"/>
      <c r="C375" s="273"/>
      <c r="D375" s="273"/>
      <c r="E375" s="273"/>
      <c r="F375" s="272"/>
    </row>
    <row r="376" spans="2:6" ht="12" customHeight="1" x14ac:dyDescent="0.15">
      <c r="B376" s="274"/>
      <c r="C376" s="273"/>
      <c r="D376" s="273"/>
      <c r="E376" s="273"/>
      <c r="F376" s="272"/>
    </row>
    <row r="377" spans="2:6" ht="12" customHeight="1" x14ac:dyDescent="0.15">
      <c r="B377" s="274"/>
      <c r="C377" s="273"/>
      <c r="D377" s="273"/>
      <c r="E377" s="273"/>
      <c r="F377" s="272"/>
    </row>
    <row r="378" spans="2:6" ht="12" customHeight="1" x14ac:dyDescent="0.15">
      <c r="B378" s="274"/>
      <c r="C378" s="273"/>
      <c r="D378" s="273"/>
      <c r="E378" s="273"/>
      <c r="F378" s="272"/>
    </row>
    <row r="379" spans="2:6" ht="12" customHeight="1" x14ac:dyDescent="0.15">
      <c r="B379" s="274"/>
      <c r="C379" s="273"/>
      <c r="D379" s="273"/>
      <c r="E379" s="273"/>
      <c r="F379" s="272"/>
    </row>
    <row r="380" spans="2:6" ht="12" customHeight="1" x14ac:dyDescent="0.15">
      <c r="B380" s="274"/>
      <c r="C380" s="273"/>
      <c r="D380" s="273"/>
      <c r="E380" s="273"/>
      <c r="F380" s="272"/>
    </row>
    <row r="381" spans="2:6" ht="12" customHeight="1" x14ac:dyDescent="0.15">
      <c r="B381" s="274"/>
      <c r="C381" s="273"/>
      <c r="D381" s="273"/>
      <c r="E381" s="273"/>
      <c r="F381" s="272"/>
    </row>
    <row r="382" spans="2:6" ht="12" customHeight="1" x14ac:dyDescent="0.15">
      <c r="B382" s="274"/>
      <c r="C382" s="273"/>
      <c r="D382" s="273"/>
      <c r="E382" s="273"/>
      <c r="F382" s="272"/>
    </row>
    <row r="383" spans="2:6" ht="12" customHeight="1" x14ac:dyDescent="0.15">
      <c r="B383" s="274"/>
      <c r="C383" s="273"/>
      <c r="D383" s="273"/>
      <c r="E383" s="273"/>
      <c r="F383" s="272"/>
    </row>
    <row r="384" spans="2:6" ht="12" customHeight="1" x14ac:dyDescent="0.15">
      <c r="B384" s="274"/>
      <c r="C384" s="273"/>
      <c r="D384" s="273"/>
      <c r="E384" s="273"/>
      <c r="F384" s="272"/>
    </row>
    <row r="385" spans="2:6" ht="12" customHeight="1" x14ac:dyDescent="0.15">
      <c r="B385" s="274"/>
      <c r="C385" s="273"/>
      <c r="D385" s="273"/>
      <c r="E385" s="273"/>
      <c r="F385" s="272"/>
    </row>
    <row r="386" spans="2:6" ht="12" customHeight="1" x14ac:dyDescent="0.15">
      <c r="B386" s="274"/>
      <c r="C386" s="273"/>
      <c r="D386" s="273"/>
      <c r="E386" s="273"/>
      <c r="F386" s="272"/>
    </row>
    <row r="387" spans="2:6" ht="12" customHeight="1" x14ac:dyDescent="0.15">
      <c r="B387" s="274"/>
      <c r="C387" s="273"/>
      <c r="D387" s="273"/>
      <c r="E387" s="273"/>
      <c r="F387" s="272"/>
    </row>
    <row r="388" spans="2:6" ht="12" customHeight="1" x14ac:dyDescent="0.15">
      <c r="B388" s="274"/>
      <c r="C388" s="273"/>
      <c r="D388" s="273"/>
      <c r="E388" s="273"/>
      <c r="F388" s="272"/>
    </row>
    <row r="389" spans="2:6" ht="12" customHeight="1" x14ac:dyDescent="0.15">
      <c r="B389" s="274"/>
      <c r="C389" s="273"/>
      <c r="D389" s="273"/>
      <c r="E389" s="273"/>
      <c r="F389" s="272"/>
    </row>
    <row r="390" spans="2:6" ht="12" customHeight="1" x14ac:dyDescent="0.15">
      <c r="B390" s="274"/>
      <c r="C390" s="273"/>
      <c r="D390" s="273"/>
      <c r="E390" s="273"/>
      <c r="F390" s="272"/>
    </row>
    <row r="391" spans="2:6" ht="12" customHeight="1" x14ac:dyDescent="0.15">
      <c r="B391" s="274"/>
      <c r="C391" s="273"/>
      <c r="D391" s="273"/>
      <c r="E391" s="273"/>
      <c r="F391" s="272"/>
    </row>
    <row r="392" spans="2:6" ht="12" customHeight="1" x14ac:dyDescent="0.15">
      <c r="B392" s="274"/>
      <c r="C392" s="273"/>
      <c r="D392" s="273"/>
      <c r="E392" s="273"/>
      <c r="F392" s="272"/>
    </row>
    <row r="393" spans="2:6" ht="12" customHeight="1" x14ac:dyDescent="0.15">
      <c r="B393" s="274"/>
      <c r="C393" s="273"/>
      <c r="D393" s="273"/>
      <c r="E393" s="273"/>
      <c r="F393" s="272"/>
    </row>
    <row r="394" spans="2:6" ht="12" customHeight="1" x14ac:dyDescent="0.15">
      <c r="B394" s="274"/>
      <c r="C394" s="273"/>
      <c r="D394" s="273"/>
      <c r="E394" s="273"/>
      <c r="F394" s="272"/>
    </row>
    <row r="395" spans="2:6" ht="12" customHeight="1" x14ac:dyDescent="0.15">
      <c r="B395" s="274"/>
      <c r="C395" s="273"/>
      <c r="D395" s="273"/>
      <c r="E395" s="273"/>
      <c r="F395" s="272"/>
    </row>
    <row r="396" spans="2:6" ht="12" customHeight="1" x14ac:dyDescent="0.15">
      <c r="B396" s="274"/>
      <c r="C396" s="273"/>
      <c r="D396" s="273"/>
      <c r="E396" s="273"/>
      <c r="F396" s="272"/>
    </row>
    <row r="397" spans="2:6" ht="12" customHeight="1" x14ac:dyDescent="0.15">
      <c r="B397" s="274"/>
      <c r="C397" s="273"/>
      <c r="D397" s="273"/>
      <c r="E397" s="273"/>
      <c r="F397" s="272"/>
    </row>
    <row r="398" spans="2:6" ht="12" customHeight="1" x14ac:dyDescent="0.15">
      <c r="B398" s="274"/>
      <c r="C398" s="273"/>
      <c r="D398" s="273"/>
      <c r="E398" s="273"/>
      <c r="F398" s="272"/>
    </row>
    <row r="399" spans="2:6" ht="12" customHeight="1" x14ac:dyDescent="0.15">
      <c r="B399" s="274"/>
      <c r="C399" s="273"/>
      <c r="D399" s="273"/>
      <c r="E399" s="273"/>
      <c r="F399" s="272"/>
    </row>
    <row r="400" spans="2:6" ht="12" customHeight="1" x14ac:dyDescent="0.15">
      <c r="B400" s="274"/>
      <c r="C400" s="273"/>
      <c r="D400" s="273"/>
      <c r="E400" s="273"/>
      <c r="F400" s="272"/>
    </row>
    <row r="401" spans="2:6" ht="12" customHeight="1" x14ac:dyDescent="0.15">
      <c r="B401" s="274"/>
      <c r="C401" s="273"/>
      <c r="D401" s="273"/>
      <c r="E401" s="273"/>
      <c r="F401" s="272"/>
    </row>
    <row r="402" spans="2:6" ht="12" customHeight="1" x14ac:dyDescent="0.15">
      <c r="B402" s="274"/>
      <c r="C402" s="273"/>
      <c r="D402" s="273"/>
      <c r="E402" s="273"/>
      <c r="F402" s="272"/>
    </row>
    <row r="403" spans="2:6" ht="12" customHeight="1" x14ac:dyDescent="0.15">
      <c r="B403" s="274"/>
      <c r="C403" s="273"/>
      <c r="D403" s="273"/>
      <c r="E403" s="273"/>
      <c r="F403" s="272"/>
    </row>
    <row r="404" spans="2:6" ht="12" customHeight="1" x14ac:dyDescent="0.15">
      <c r="B404" s="274"/>
      <c r="C404" s="273"/>
      <c r="D404" s="273"/>
      <c r="E404" s="273"/>
      <c r="F404" s="272"/>
    </row>
    <row r="405" spans="2:6" ht="12" customHeight="1" x14ac:dyDescent="0.15">
      <c r="B405" s="274"/>
      <c r="C405" s="273"/>
      <c r="D405" s="273"/>
      <c r="E405" s="273"/>
      <c r="F405" s="272"/>
    </row>
    <row r="406" spans="2:6" ht="12" customHeight="1" x14ac:dyDescent="0.15">
      <c r="B406" s="274"/>
      <c r="C406" s="273"/>
      <c r="D406" s="273"/>
      <c r="E406" s="273"/>
      <c r="F406" s="272"/>
    </row>
    <row r="407" spans="2:6" ht="12" customHeight="1" x14ac:dyDescent="0.15">
      <c r="B407" s="274"/>
      <c r="C407" s="273"/>
      <c r="D407" s="273"/>
      <c r="E407" s="273"/>
      <c r="F407" s="272"/>
    </row>
    <row r="408" spans="2:6" ht="12" customHeight="1" x14ac:dyDescent="0.15">
      <c r="B408" s="274"/>
      <c r="C408" s="273"/>
      <c r="D408" s="273"/>
      <c r="E408" s="273"/>
      <c r="F408" s="272"/>
    </row>
    <row r="409" spans="2:6" ht="12" customHeight="1" x14ac:dyDescent="0.15">
      <c r="B409" s="274"/>
      <c r="C409" s="273"/>
      <c r="D409" s="273"/>
      <c r="E409" s="273"/>
      <c r="F409" s="272"/>
    </row>
    <row r="410" spans="2:6" ht="12" customHeight="1" x14ac:dyDescent="0.15">
      <c r="B410" s="274"/>
      <c r="C410" s="273"/>
      <c r="D410" s="273"/>
      <c r="E410" s="273"/>
      <c r="F410" s="272"/>
    </row>
    <row r="411" spans="2:6" ht="12" customHeight="1" x14ac:dyDescent="0.15">
      <c r="B411" s="274"/>
      <c r="C411" s="273"/>
      <c r="D411" s="273"/>
      <c r="E411" s="273"/>
      <c r="F411" s="272"/>
    </row>
    <row r="412" spans="2:6" ht="12" customHeight="1" x14ac:dyDescent="0.15">
      <c r="B412" s="274"/>
      <c r="C412" s="273"/>
      <c r="D412" s="273"/>
      <c r="E412" s="273"/>
      <c r="F412" s="272"/>
    </row>
    <row r="413" spans="2:6" ht="12" customHeight="1" x14ac:dyDescent="0.15">
      <c r="B413" s="274"/>
      <c r="C413" s="273"/>
      <c r="D413" s="273"/>
      <c r="E413" s="273"/>
      <c r="F413" s="272"/>
    </row>
    <row r="414" spans="2:6" ht="12" customHeight="1" x14ac:dyDescent="0.15">
      <c r="B414" s="274"/>
      <c r="C414" s="273"/>
      <c r="D414" s="273"/>
      <c r="E414" s="273"/>
      <c r="F414" s="272"/>
    </row>
    <row r="415" spans="2:6" ht="12" customHeight="1" x14ac:dyDescent="0.15">
      <c r="B415" s="274"/>
      <c r="C415" s="273"/>
      <c r="D415" s="273"/>
      <c r="E415" s="273"/>
      <c r="F415" s="272"/>
    </row>
    <row r="416" spans="2:6" ht="12" customHeight="1" x14ac:dyDescent="0.15">
      <c r="B416" s="274"/>
      <c r="C416" s="273"/>
      <c r="D416" s="273"/>
      <c r="E416" s="273"/>
      <c r="F416" s="272"/>
    </row>
    <row r="417" spans="2:6" ht="12" customHeight="1" x14ac:dyDescent="0.15">
      <c r="B417" s="274"/>
      <c r="C417" s="273"/>
      <c r="D417" s="273"/>
      <c r="E417" s="273"/>
      <c r="F417" s="272"/>
    </row>
    <row r="418" spans="2:6" ht="12" customHeight="1" x14ac:dyDescent="0.15">
      <c r="B418" s="274"/>
      <c r="C418" s="273"/>
      <c r="D418" s="273"/>
      <c r="E418" s="273"/>
      <c r="F418" s="272"/>
    </row>
    <row r="419" spans="2:6" ht="12" customHeight="1" x14ac:dyDescent="0.15">
      <c r="B419" s="274"/>
      <c r="C419" s="273"/>
      <c r="D419" s="273"/>
      <c r="E419" s="273"/>
      <c r="F419" s="272"/>
    </row>
    <row r="420" spans="2:6" ht="12" customHeight="1" x14ac:dyDescent="0.15">
      <c r="B420" s="274"/>
      <c r="C420" s="273"/>
      <c r="D420" s="273"/>
      <c r="E420" s="273"/>
      <c r="F420" s="272"/>
    </row>
    <row r="421" spans="2:6" ht="12" customHeight="1" x14ac:dyDescent="0.15">
      <c r="B421" s="274"/>
      <c r="C421" s="273"/>
      <c r="D421" s="273"/>
      <c r="E421" s="273"/>
      <c r="F421" s="272"/>
    </row>
    <row r="422" spans="2:6" ht="12" customHeight="1" x14ac:dyDescent="0.15">
      <c r="B422" s="274"/>
      <c r="C422" s="273"/>
      <c r="D422" s="273"/>
      <c r="E422" s="273"/>
      <c r="F422" s="272"/>
    </row>
    <row r="423" spans="2:6" ht="12" customHeight="1" x14ac:dyDescent="0.15">
      <c r="B423" s="274"/>
      <c r="C423" s="273"/>
      <c r="D423" s="273"/>
      <c r="E423" s="273"/>
      <c r="F423" s="272"/>
    </row>
    <row r="424" spans="2:6" ht="12" customHeight="1" x14ac:dyDescent="0.15">
      <c r="B424" s="274"/>
      <c r="C424" s="273"/>
      <c r="D424" s="273"/>
      <c r="E424" s="273"/>
      <c r="F424" s="272"/>
    </row>
    <row r="425" spans="2:6" ht="12" customHeight="1" x14ac:dyDescent="0.15">
      <c r="B425" s="274"/>
      <c r="C425" s="273"/>
      <c r="D425" s="273"/>
      <c r="E425" s="273"/>
      <c r="F425" s="272"/>
    </row>
    <row r="426" spans="2:6" ht="12" customHeight="1" x14ac:dyDescent="0.15">
      <c r="B426" s="274"/>
      <c r="C426" s="273"/>
      <c r="D426" s="273"/>
      <c r="E426" s="273"/>
      <c r="F426" s="272"/>
    </row>
    <row r="427" spans="2:6" ht="12" customHeight="1" x14ac:dyDescent="0.15">
      <c r="B427" s="274"/>
      <c r="C427" s="273"/>
      <c r="D427" s="273"/>
      <c r="E427" s="273"/>
      <c r="F427" s="272"/>
    </row>
    <row r="428" spans="2:6" ht="12" customHeight="1" x14ac:dyDescent="0.15">
      <c r="B428" s="274"/>
      <c r="C428" s="273"/>
      <c r="D428" s="273"/>
      <c r="E428" s="273"/>
      <c r="F428" s="272"/>
    </row>
    <row r="429" spans="2:6" ht="12" customHeight="1" x14ac:dyDescent="0.15">
      <c r="B429" s="274"/>
      <c r="C429" s="273"/>
      <c r="D429" s="273"/>
      <c r="E429" s="273"/>
      <c r="F429" s="272"/>
    </row>
    <row r="430" spans="2:6" ht="12" customHeight="1" x14ac:dyDescent="0.15">
      <c r="B430" s="274"/>
      <c r="C430" s="273"/>
      <c r="D430" s="273"/>
      <c r="E430" s="273"/>
      <c r="F430" s="272"/>
    </row>
    <row r="431" spans="2:6" ht="12" customHeight="1" x14ac:dyDescent="0.15">
      <c r="B431" s="274"/>
      <c r="C431" s="273"/>
      <c r="D431" s="273"/>
      <c r="E431" s="273"/>
      <c r="F431" s="272"/>
    </row>
    <row r="432" spans="2:6" ht="12" customHeight="1" x14ac:dyDescent="0.15">
      <c r="B432" s="274"/>
      <c r="C432" s="273"/>
      <c r="D432" s="273"/>
      <c r="E432" s="273"/>
      <c r="F432" s="272"/>
    </row>
    <row r="433" spans="2:6" ht="12" customHeight="1" x14ac:dyDescent="0.15">
      <c r="B433" s="274"/>
      <c r="C433" s="273"/>
      <c r="D433" s="273"/>
      <c r="E433" s="273"/>
      <c r="F433" s="272"/>
    </row>
    <row r="434" spans="2:6" ht="12" customHeight="1" x14ac:dyDescent="0.15">
      <c r="B434" s="274"/>
      <c r="C434" s="273"/>
      <c r="D434" s="273"/>
      <c r="E434" s="273"/>
      <c r="F434" s="272"/>
    </row>
    <row r="435" spans="2:6" ht="12" customHeight="1" x14ac:dyDescent="0.15">
      <c r="B435" s="274"/>
      <c r="C435" s="273"/>
      <c r="D435" s="273"/>
      <c r="E435" s="273"/>
      <c r="F435" s="272"/>
    </row>
    <row r="436" spans="2:6" ht="12" customHeight="1" x14ac:dyDescent="0.15">
      <c r="B436" s="274"/>
      <c r="C436" s="273"/>
      <c r="D436" s="273"/>
      <c r="E436" s="273"/>
      <c r="F436" s="272"/>
    </row>
    <row r="437" spans="2:6" ht="12" customHeight="1" x14ac:dyDescent="0.15">
      <c r="B437" s="274"/>
      <c r="C437" s="273"/>
      <c r="D437" s="273"/>
      <c r="E437" s="273"/>
      <c r="F437" s="272"/>
    </row>
    <row r="438" spans="2:6" ht="12" customHeight="1" x14ac:dyDescent="0.15">
      <c r="B438" s="274"/>
      <c r="C438" s="273"/>
      <c r="D438" s="273"/>
      <c r="E438" s="273"/>
      <c r="F438" s="272"/>
    </row>
    <row r="439" spans="2:6" ht="12" customHeight="1" x14ac:dyDescent="0.15">
      <c r="B439" s="274"/>
      <c r="C439" s="273"/>
      <c r="D439" s="273"/>
      <c r="E439" s="273"/>
      <c r="F439" s="272"/>
    </row>
    <row r="440" spans="2:6" ht="12" customHeight="1" x14ac:dyDescent="0.15">
      <c r="B440" s="274"/>
      <c r="C440" s="273"/>
      <c r="D440" s="273"/>
      <c r="E440" s="273"/>
      <c r="F440" s="272"/>
    </row>
    <row r="441" spans="2:6" ht="12" customHeight="1" x14ac:dyDescent="0.15">
      <c r="B441" s="274"/>
      <c r="C441" s="273"/>
      <c r="D441" s="273"/>
      <c r="E441" s="273"/>
      <c r="F441" s="272"/>
    </row>
    <row r="442" spans="2:6" ht="12" customHeight="1" x14ac:dyDescent="0.15">
      <c r="B442" s="274"/>
      <c r="C442" s="273"/>
      <c r="D442" s="273"/>
      <c r="E442" s="273"/>
      <c r="F442" s="272"/>
    </row>
    <row r="443" spans="2:6" ht="12" customHeight="1" x14ac:dyDescent="0.15">
      <c r="B443" s="274"/>
      <c r="C443" s="273"/>
      <c r="D443" s="273"/>
      <c r="E443" s="273"/>
      <c r="F443" s="272"/>
    </row>
    <row r="444" spans="2:6" ht="12" customHeight="1" x14ac:dyDescent="0.15">
      <c r="B444" s="274"/>
      <c r="C444" s="273"/>
      <c r="D444" s="273"/>
      <c r="E444" s="273"/>
      <c r="F444" s="272"/>
    </row>
    <row r="445" spans="2:6" ht="12" customHeight="1" x14ac:dyDescent="0.15">
      <c r="B445" s="274"/>
      <c r="C445" s="273"/>
      <c r="D445" s="273"/>
      <c r="E445" s="273"/>
      <c r="F445" s="272"/>
    </row>
    <row r="446" spans="2:6" ht="12" customHeight="1" x14ac:dyDescent="0.15">
      <c r="B446" s="274"/>
      <c r="C446" s="273"/>
      <c r="D446" s="273"/>
      <c r="E446" s="273"/>
      <c r="F446" s="272"/>
    </row>
    <row r="447" spans="2:6" ht="12" customHeight="1" x14ac:dyDescent="0.15">
      <c r="B447" s="274"/>
      <c r="C447" s="273"/>
      <c r="D447" s="273"/>
      <c r="E447" s="273"/>
      <c r="F447" s="272"/>
    </row>
    <row r="448" spans="2:6" ht="12" customHeight="1" x14ac:dyDescent="0.15">
      <c r="B448" s="274"/>
      <c r="C448" s="273"/>
      <c r="D448" s="273"/>
      <c r="E448" s="273"/>
      <c r="F448" s="272"/>
    </row>
    <row r="449" spans="2:6" ht="12" customHeight="1" x14ac:dyDescent="0.15">
      <c r="B449" s="274"/>
      <c r="C449" s="273"/>
      <c r="D449" s="273"/>
      <c r="E449" s="273"/>
      <c r="F449" s="272"/>
    </row>
    <row r="450" spans="2:6" ht="12" customHeight="1" x14ac:dyDescent="0.15">
      <c r="B450" s="274"/>
      <c r="C450" s="273"/>
      <c r="D450" s="273"/>
      <c r="E450" s="273"/>
      <c r="F450" s="272"/>
    </row>
    <row r="451" spans="2:6" ht="12" customHeight="1" x14ac:dyDescent="0.15">
      <c r="B451" s="274"/>
      <c r="C451" s="273"/>
      <c r="D451" s="273"/>
      <c r="E451" s="273"/>
      <c r="F451" s="272"/>
    </row>
    <row r="452" spans="2:6" ht="12" customHeight="1" x14ac:dyDescent="0.15">
      <c r="B452" s="274"/>
      <c r="C452" s="273"/>
      <c r="D452" s="273"/>
      <c r="E452" s="273"/>
      <c r="F452" s="272"/>
    </row>
    <row r="453" spans="2:6" ht="12" customHeight="1" x14ac:dyDescent="0.15">
      <c r="B453" s="274"/>
      <c r="C453" s="273"/>
      <c r="D453" s="273"/>
      <c r="E453" s="273"/>
      <c r="F453" s="272"/>
    </row>
    <row r="454" spans="2:6" ht="12" customHeight="1" x14ac:dyDescent="0.15">
      <c r="B454" s="274"/>
      <c r="C454" s="273"/>
      <c r="D454" s="273"/>
      <c r="E454" s="273"/>
      <c r="F454" s="272"/>
    </row>
    <row r="455" spans="2:6" ht="12" customHeight="1" x14ac:dyDescent="0.15">
      <c r="B455" s="274"/>
      <c r="C455" s="273"/>
      <c r="D455" s="273"/>
      <c r="E455" s="273"/>
      <c r="F455" s="272"/>
    </row>
    <row r="456" spans="2:6" ht="12" customHeight="1" x14ac:dyDescent="0.15">
      <c r="B456" s="274"/>
      <c r="C456" s="273"/>
      <c r="D456" s="273"/>
      <c r="E456" s="273"/>
      <c r="F456" s="272"/>
    </row>
    <row r="457" spans="2:6" ht="12" customHeight="1" x14ac:dyDescent="0.15">
      <c r="B457" s="274"/>
      <c r="C457" s="273"/>
      <c r="D457" s="273"/>
      <c r="E457" s="273"/>
      <c r="F457" s="272"/>
    </row>
    <row r="458" spans="2:6" ht="12" customHeight="1" x14ac:dyDescent="0.15">
      <c r="B458" s="274"/>
      <c r="C458" s="273"/>
      <c r="D458" s="273"/>
      <c r="E458" s="273"/>
      <c r="F458" s="272"/>
    </row>
    <row r="459" spans="2:6" ht="12" customHeight="1" x14ac:dyDescent="0.15">
      <c r="B459" s="274"/>
      <c r="C459" s="273"/>
      <c r="D459" s="273"/>
      <c r="E459" s="273"/>
      <c r="F459" s="272"/>
    </row>
    <row r="460" spans="2:6" ht="12" customHeight="1" x14ac:dyDescent="0.15">
      <c r="B460" s="274"/>
      <c r="C460" s="273"/>
      <c r="D460" s="273"/>
      <c r="E460" s="273"/>
      <c r="F460" s="272"/>
    </row>
    <row r="461" spans="2:6" ht="12" customHeight="1" x14ac:dyDescent="0.15">
      <c r="B461" s="274"/>
      <c r="C461" s="273"/>
      <c r="D461" s="273"/>
      <c r="E461" s="273"/>
      <c r="F461" s="272"/>
    </row>
    <row r="462" spans="2:6" ht="12" customHeight="1" x14ac:dyDescent="0.15">
      <c r="B462" s="274"/>
      <c r="C462" s="273"/>
      <c r="D462" s="273"/>
      <c r="E462" s="273"/>
      <c r="F462" s="272"/>
    </row>
    <row r="463" spans="2:6" ht="12" customHeight="1" x14ac:dyDescent="0.15">
      <c r="B463" s="274"/>
      <c r="C463" s="273"/>
      <c r="D463" s="273"/>
      <c r="E463" s="273"/>
      <c r="F463" s="272"/>
    </row>
    <row r="464" spans="2:6" ht="12" customHeight="1" x14ac:dyDescent="0.15">
      <c r="B464" s="274"/>
      <c r="C464" s="273"/>
      <c r="D464" s="273"/>
      <c r="E464" s="273"/>
      <c r="F464" s="272"/>
    </row>
    <row r="465" spans="2:6" ht="12" customHeight="1" x14ac:dyDescent="0.15">
      <c r="B465" s="274"/>
      <c r="C465" s="273"/>
      <c r="D465" s="273"/>
      <c r="E465" s="273"/>
      <c r="F465" s="272"/>
    </row>
    <row r="466" spans="2:6" ht="12" customHeight="1" x14ac:dyDescent="0.15">
      <c r="B466" s="274"/>
      <c r="C466" s="273"/>
      <c r="D466" s="273"/>
      <c r="E466" s="273"/>
      <c r="F466" s="272"/>
    </row>
    <row r="467" spans="2:6" ht="12" customHeight="1" x14ac:dyDescent="0.15">
      <c r="B467" s="274"/>
      <c r="C467" s="273"/>
      <c r="D467" s="273"/>
      <c r="E467" s="273"/>
      <c r="F467" s="272"/>
    </row>
    <row r="468" spans="2:6" ht="12" customHeight="1" x14ac:dyDescent="0.15">
      <c r="B468" s="274"/>
      <c r="C468" s="273"/>
      <c r="D468" s="273"/>
      <c r="E468" s="273"/>
      <c r="F468" s="272"/>
    </row>
    <row r="469" spans="2:6" ht="12" customHeight="1" x14ac:dyDescent="0.15">
      <c r="B469" s="274"/>
      <c r="C469" s="273"/>
      <c r="D469" s="273"/>
      <c r="E469" s="273"/>
      <c r="F469" s="272"/>
    </row>
    <row r="470" spans="2:6" ht="12" customHeight="1" x14ac:dyDescent="0.15">
      <c r="B470" s="274"/>
      <c r="C470" s="273"/>
      <c r="D470" s="273"/>
      <c r="E470" s="273"/>
      <c r="F470" s="272"/>
    </row>
    <row r="471" spans="2:6" ht="12" customHeight="1" x14ac:dyDescent="0.15">
      <c r="B471" s="274"/>
      <c r="C471" s="273"/>
      <c r="D471" s="273"/>
      <c r="E471" s="273"/>
      <c r="F471" s="272"/>
    </row>
    <row r="472" spans="2:6" ht="12" customHeight="1" x14ac:dyDescent="0.15">
      <c r="B472" s="274"/>
      <c r="C472" s="273"/>
      <c r="D472" s="273"/>
      <c r="E472" s="273"/>
      <c r="F472" s="272"/>
    </row>
    <row r="473" spans="2:6" ht="12" customHeight="1" x14ac:dyDescent="0.15">
      <c r="B473" s="274"/>
      <c r="C473" s="273"/>
      <c r="D473" s="273"/>
      <c r="E473" s="273"/>
      <c r="F473" s="272"/>
    </row>
    <row r="474" spans="2:6" ht="12" customHeight="1" x14ac:dyDescent="0.15">
      <c r="B474" s="274"/>
      <c r="C474" s="273"/>
      <c r="D474" s="273"/>
      <c r="E474" s="273"/>
      <c r="F474" s="272"/>
    </row>
    <row r="475" spans="2:6" ht="12" customHeight="1" x14ac:dyDescent="0.15">
      <c r="B475" s="274"/>
      <c r="C475" s="273"/>
      <c r="D475" s="273"/>
      <c r="E475" s="273"/>
      <c r="F475" s="272"/>
    </row>
    <row r="476" spans="2:6" ht="12" customHeight="1" x14ac:dyDescent="0.15">
      <c r="B476" s="274"/>
      <c r="C476" s="273"/>
      <c r="D476" s="273"/>
      <c r="E476" s="273"/>
      <c r="F476" s="272"/>
    </row>
    <row r="477" spans="2:6" ht="12" customHeight="1" x14ac:dyDescent="0.15">
      <c r="B477" s="274"/>
      <c r="C477" s="273"/>
      <c r="D477" s="273"/>
      <c r="E477" s="273"/>
      <c r="F477" s="272"/>
    </row>
    <row r="478" spans="2:6" ht="12" customHeight="1" x14ac:dyDescent="0.15">
      <c r="B478" s="274"/>
      <c r="C478" s="273"/>
      <c r="D478" s="273"/>
      <c r="E478" s="273"/>
      <c r="F478" s="272"/>
    </row>
    <row r="479" spans="2:6" ht="12" customHeight="1" x14ac:dyDescent="0.15">
      <c r="B479" s="274"/>
      <c r="C479" s="273"/>
      <c r="D479" s="273"/>
      <c r="E479" s="273"/>
      <c r="F479" s="272"/>
    </row>
    <row r="480" spans="2:6" ht="12" customHeight="1" x14ac:dyDescent="0.15">
      <c r="B480" s="274"/>
      <c r="C480" s="273"/>
      <c r="D480" s="273"/>
      <c r="E480" s="273"/>
      <c r="F480" s="272"/>
    </row>
    <row r="481" spans="2:6" ht="12" customHeight="1" x14ac:dyDescent="0.15">
      <c r="B481" s="274"/>
      <c r="C481" s="273"/>
      <c r="D481" s="273"/>
      <c r="E481" s="273"/>
      <c r="F481" s="272"/>
    </row>
    <row r="482" spans="2:6" ht="12" customHeight="1" x14ac:dyDescent="0.15">
      <c r="B482" s="274"/>
      <c r="C482" s="273"/>
      <c r="D482" s="273"/>
      <c r="E482" s="273"/>
      <c r="F482" s="272"/>
    </row>
    <row r="483" spans="2:6" ht="12" customHeight="1" x14ac:dyDescent="0.15">
      <c r="B483" s="274"/>
      <c r="C483" s="273"/>
      <c r="D483" s="273"/>
      <c r="E483" s="273"/>
      <c r="F483" s="272"/>
    </row>
    <row r="484" spans="2:6" ht="12" customHeight="1" x14ac:dyDescent="0.15">
      <c r="B484" s="274"/>
      <c r="C484" s="273"/>
      <c r="D484" s="273"/>
      <c r="E484" s="273"/>
      <c r="F484" s="272"/>
    </row>
    <row r="485" spans="2:6" ht="12" customHeight="1" x14ac:dyDescent="0.15">
      <c r="B485" s="274"/>
      <c r="C485" s="273"/>
      <c r="D485" s="273"/>
      <c r="E485" s="273"/>
      <c r="F485" s="272"/>
    </row>
    <row r="486" spans="2:6" ht="12" customHeight="1" x14ac:dyDescent="0.15">
      <c r="B486" s="274"/>
      <c r="C486" s="273"/>
      <c r="D486" s="273"/>
      <c r="E486" s="273"/>
      <c r="F486" s="272"/>
    </row>
    <row r="487" spans="2:6" ht="12" customHeight="1" x14ac:dyDescent="0.15">
      <c r="B487" s="274"/>
      <c r="C487" s="273"/>
      <c r="D487" s="273"/>
      <c r="E487" s="273"/>
      <c r="F487" s="272"/>
    </row>
    <row r="488" spans="2:6" ht="12" customHeight="1" x14ac:dyDescent="0.15">
      <c r="B488" s="274"/>
      <c r="C488" s="273"/>
      <c r="D488" s="273"/>
      <c r="E488" s="273"/>
      <c r="F488" s="272"/>
    </row>
    <row r="489" spans="2:6" ht="12" customHeight="1" x14ac:dyDescent="0.15">
      <c r="B489" s="274"/>
      <c r="C489" s="273"/>
      <c r="D489" s="273"/>
      <c r="E489" s="273"/>
      <c r="F489" s="272"/>
    </row>
    <row r="490" spans="2:6" ht="12" customHeight="1" x14ac:dyDescent="0.15">
      <c r="B490" s="274"/>
      <c r="C490" s="273"/>
      <c r="D490" s="273"/>
      <c r="E490" s="273"/>
      <c r="F490" s="272"/>
    </row>
    <row r="491" spans="2:6" ht="12" customHeight="1" x14ac:dyDescent="0.15">
      <c r="B491" s="274"/>
      <c r="C491" s="273"/>
      <c r="D491" s="273"/>
      <c r="E491" s="273"/>
      <c r="F491" s="272"/>
    </row>
    <row r="492" spans="2:6" ht="12" customHeight="1" x14ac:dyDescent="0.15">
      <c r="B492" s="274"/>
      <c r="C492" s="273"/>
      <c r="D492" s="273"/>
      <c r="E492" s="273"/>
      <c r="F492" s="272"/>
    </row>
    <row r="493" spans="2:6" ht="12" customHeight="1" x14ac:dyDescent="0.15">
      <c r="B493" s="274"/>
      <c r="C493" s="273"/>
      <c r="D493" s="273"/>
      <c r="E493" s="273"/>
      <c r="F493" s="272"/>
    </row>
    <row r="494" spans="2:6" ht="12" customHeight="1" x14ac:dyDescent="0.15">
      <c r="B494" s="274"/>
      <c r="C494" s="273"/>
      <c r="D494" s="273"/>
      <c r="E494" s="273"/>
      <c r="F494" s="272"/>
    </row>
    <row r="495" spans="2:6" ht="12" customHeight="1" x14ac:dyDescent="0.15">
      <c r="B495" s="274"/>
      <c r="C495" s="273"/>
      <c r="D495" s="273"/>
      <c r="E495" s="273"/>
      <c r="F495" s="272"/>
    </row>
    <row r="496" spans="2:6" ht="12" customHeight="1" x14ac:dyDescent="0.15">
      <c r="B496" s="274"/>
      <c r="C496" s="273"/>
      <c r="D496" s="273"/>
      <c r="E496" s="273"/>
      <c r="F496" s="272"/>
    </row>
    <row r="497" spans="2:6" ht="12" customHeight="1" x14ac:dyDescent="0.15">
      <c r="B497" s="274"/>
      <c r="C497" s="273"/>
      <c r="D497" s="273"/>
      <c r="E497" s="273"/>
      <c r="F497" s="272"/>
    </row>
    <row r="498" spans="2:6" ht="12" customHeight="1" x14ac:dyDescent="0.15">
      <c r="B498" s="274"/>
      <c r="C498" s="273"/>
      <c r="D498" s="273"/>
      <c r="E498" s="273"/>
      <c r="F498" s="272"/>
    </row>
    <row r="499" spans="2:6" ht="12" customHeight="1" x14ac:dyDescent="0.15">
      <c r="B499" s="274"/>
      <c r="C499" s="273"/>
      <c r="D499" s="273"/>
      <c r="E499" s="273"/>
      <c r="F499" s="272"/>
    </row>
    <row r="500" spans="2:6" ht="12" customHeight="1" x14ac:dyDescent="0.15">
      <c r="B500" s="274"/>
      <c r="C500" s="273"/>
      <c r="D500" s="273"/>
      <c r="E500" s="273"/>
      <c r="F500" s="272"/>
    </row>
    <row r="501" spans="2:6" ht="12" customHeight="1" x14ac:dyDescent="0.15">
      <c r="B501" s="274"/>
      <c r="C501" s="273"/>
      <c r="D501" s="273"/>
      <c r="E501" s="273"/>
      <c r="F501" s="272"/>
    </row>
    <row r="502" spans="2:6" ht="12" customHeight="1" x14ac:dyDescent="0.15">
      <c r="B502" s="274"/>
      <c r="C502" s="273"/>
      <c r="D502" s="273"/>
      <c r="E502" s="273"/>
      <c r="F502" s="272"/>
    </row>
    <row r="503" spans="2:6" ht="12" customHeight="1" x14ac:dyDescent="0.15">
      <c r="B503" s="274"/>
      <c r="C503" s="273"/>
      <c r="D503" s="273"/>
      <c r="E503" s="273"/>
      <c r="F503" s="272"/>
    </row>
    <row r="504" spans="2:6" ht="12" customHeight="1" x14ac:dyDescent="0.15">
      <c r="B504" s="274"/>
      <c r="C504" s="273"/>
      <c r="D504" s="273"/>
      <c r="E504" s="273"/>
      <c r="F504" s="272"/>
    </row>
    <row r="505" spans="2:6" ht="12" customHeight="1" x14ac:dyDescent="0.15">
      <c r="B505" s="274"/>
      <c r="C505" s="273"/>
      <c r="D505" s="273"/>
      <c r="E505" s="273"/>
      <c r="F505" s="272"/>
    </row>
    <row r="506" spans="2:6" ht="12" customHeight="1" x14ac:dyDescent="0.15">
      <c r="B506" s="274"/>
      <c r="C506" s="273"/>
      <c r="D506" s="273"/>
      <c r="E506" s="273"/>
      <c r="F506" s="272"/>
    </row>
    <row r="507" spans="2:6" ht="12" customHeight="1" x14ac:dyDescent="0.15">
      <c r="B507" s="274"/>
      <c r="C507" s="273"/>
      <c r="D507" s="273"/>
      <c r="E507" s="273"/>
      <c r="F507" s="272"/>
    </row>
    <row r="508" spans="2:6" ht="12" customHeight="1" x14ac:dyDescent="0.15">
      <c r="B508" s="274"/>
      <c r="C508" s="273"/>
      <c r="D508" s="273"/>
      <c r="E508" s="273"/>
      <c r="F508" s="272"/>
    </row>
    <row r="509" spans="2:6" ht="12" customHeight="1" x14ac:dyDescent="0.15">
      <c r="B509" s="274"/>
      <c r="C509" s="273"/>
      <c r="D509" s="273"/>
      <c r="E509" s="273"/>
      <c r="F509" s="272"/>
    </row>
    <row r="510" spans="2:6" ht="12" customHeight="1" x14ac:dyDescent="0.15">
      <c r="B510" s="274"/>
      <c r="C510" s="273"/>
      <c r="D510" s="273"/>
      <c r="E510" s="273"/>
      <c r="F510" s="272"/>
    </row>
    <row r="511" spans="2:6" ht="12" customHeight="1" x14ac:dyDescent="0.15">
      <c r="B511" s="274"/>
      <c r="C511" s="273"/>
      <c r="D511" s="273"/>
      <c r="E511" s="273"/>
      <c r="F511" s="272"/>
    </row>
    <row r="512" spans="2:6" ht="12" customHeight="1" x14ac:dyDescent="0.15">
      <c r="B512" s="274"/>
      <c r="C512" s="273"/>
      <c r="D512" s="273"/>
      <c r="E512" s="273"/>
      <c r="F512" s="272"/>
    </row>
    <row r="513" spans="2:6" ht="12" customHeight="1" x14ac:dyDescent="0.15">
      <c r="B513" s="274"/>
      <c r="C513" s="273"/>
      <c r="D513" s="273"/>
      <c r="E513" s="273"/>
      <c r="F513" s="272"/>
    </row>
    <row r="514" spans="2:6" ht="12" customHeight="1" x14ac:dyDescent="0.15">
      <c r="B514" s="274"/>
      <c r="C514" s="273"/>
      <c r="D514" s="273"/>
      <c r="E514" s="273"/>
      <c r="F514" s="272"/>
    </row>
    <row r="515" spans="2:6" ht="12" customHeight="1" x14ac:dyDescent="0.15">
      <c r="B515" s="274"/>
      <c r="C515" s="273"/>
      <c r="D515" s="273"/>
      <c r="E515" s="273"/>
      <c r="F515" s="272"/>
    </row>
    <row r="516" spans="2:6" ht="12" customHeight="1" x14ac:dyDescent="0.15">
      <c r="B516" s="274"/>
      <c r="C516" s="273"/>
      <c r="D516" s="273"/>
      <c r="E516" s="273"/>
      <c r="F516" s="272"/>
    </row>
    <row r="517" spans="2:6" ht="12" customHeight="1" x14ac:dyDescent="0.15">
      <c r="B517" s="274"/>
      <c r="C517" s="273"/>
      <c r="D517" s="273"/>
      <c r="E517" s="273"/>
      <c r="F517" s="272"/>
    </row>
    <row r="518" spans="2:6" ht="12" customHeight="1" x14ac:dyDescent="0.15">
      <c r="B518" s="274"/>
      <c r="C518" s="273"/>
      <c r="D518" s="273"/>
      <c r="E518" s="273"/>
      <c r="F518" s="272"/>
    </row>
    <row r="519" spans="2:6" ht="12" customHeight="1" x14ac:dyDescent="0.15">
      <c r="B519" s="274"/>
      <c r="C519" s="273"/>
      <c r="D519" s="273"/>
      <c r="E519" s="273"/>
      <c r="F519" s="272"/>
    </row>
    <row r="520" spans="2:6" ht="12" customHeight="1" x14ac:dyDescent="0.15">
      <c r="B520" s="274"/>
      <c r="C520" s="273"/>
      <c r="D520" s="273"/>
      <c r="E520" s="273"/>
      <c r="F520" s="272"/>
    </row>
    <row r="521" spans="2:6" ht="12" customHeight="1" x14ac:dyDescent="0.15">
      <c r="B521" s="274"/>
      <c r="C521" s="273"/>
      <c r="D521" s="273"/>
      <c r="E521" s="273"/>
      <c r="F521" s="272"/>
    </row>
    <row r="522" spans="2:6" ht="12" customHeight="1" x14ac:dyDescent="0.15">
      <c r="B522" s="274"/>
      <c r="C522" s="273"/>
      <c r="D522" s="273"/>
      <c r="E522" s="273"/>
      <c r="F522" s="272"/>
    </row>
    <row r="523" spans="2:6" ht="12" customHeight="1" x14ac:dyDescent="0.15">
      <c r="B523" s="274"/>
      <c r="C523" s="273"/>
      <c r="D523" s="273"/>
      <c r="E523" s="273"/>
      <c r="F523" s="272"/>
    </row>
    <row r="524" spans="2:6" ht="12" customHeight="1" x14ac:dyDescent="0.15">
      <c r="B524" s="274"/>
      <c r="C524" s="273"/>
      <c r="D524" s="273"/>
      <c r="E524" s="273"/>
      <c r="F524" s="272"/>
    </row>
    <row r="525" spans="2:6" ht="12" customHeight="1" x14ac:dyDescent="0.15">
      <c r="B525" s="274"/>
      <c r="C525" s="273"/>
      <c r="D525" s="273"/>
      <c r="E525" s="273"/>
      <c r="F525" s="272"/>
    </row>
    <row r="526" spans="2:6" ht="12" customHeight="1" x14ac:dyDescent="0.15">
      <c r="B526" s="274"/>
      <c r="C526" s="273"/>
      <c r="D526" s="273"/>
      <c r="E526" s="273"/>
      <c r="F526" s="272"/>
    </row>
    <row r="527" spans="2:6" ht="12" customHeight="1" x14ac:dyDescent="0.15">
      <c r="B527" s="274"/>
      <c r="C527" s="273"/>
      <c r="D527" s="273"/>
      <c r="E527" s="273"/>
      <c r="F527" s="272"/>
    </row>
    <row r="528" spans="2:6" ht="12" customHeight="1" x14ac:dyDescent="0.15">
      <c r="B528" s="274"/>
      <c r="C528" s="273"/>
      <c r="D528" s="273"/>
      <c r="E528" s="273"/>
      <c r="F528" s="272"/>
    </row>
    <row r="529" spans="2:6" ht="12" customHeight="1" x14ac:dyDescent="0.15">
      <c r="B529" s="274"/>
      <c r="C529" s="273"/>
      <c r="D529" s="273"/>
      <c r="E529" s="273"/>
      <c r="F529" s="272"/>
    </row>
    <row r="530" spans="2:6" ht="12" customHeight="1" x14ac:dyDescent="0.15">
      <c r="B530" s="274"/>
      <c r="C530" s="273"/>
      <c r="D530" s="273"/>
      <c r="E530" s="273"/>
      <c r="F530" s="272"/>
    </row>
    <row r="531" spans="2:6" ht="12" customHeight="1" x14ac:dyDescent="0.15">
      <c r="B531" s="274"/>
      <c r="C531" s="273"/>
      <c r="D531" s="273"/>
      <c r="E531" s="273"/>
      <c r="F531" s="272"/>
    </row>
    <row r="532" spans="2:6" ht="12" customHeight="1" x14ac:dyDescent="0.15">
      <c r="B532" s="274"/>
      <c r="C532" s="273"/>
      <c r="D532" s="273"/>
      <c r="E532" s="273"/>
      <c r="F532" s="272"/>
    </row>
    <row r="533" spans="2:6" ht="12" customHeight="1" x14ac:dyDescent="0.15">
      <c r="B533" s="274"/>
      <c r="C533" s="273"/>
      <c r="D533" s="273"/>
      <c r="E533" s="273"/>
      <c r="F533" s="272"/>
    </row>
    <row r="534" spans="2:6" ht="12" customHeight="1" x14ac:dyDescent="0.15">
      <c r="B534" s="274"/>
      <c r="C534" s="273"/>
      <c r="D534" s="273"/>
      <c r="E534" s="273"/>
      <c r="F534" s="272"/>
    </row>
    <row r="535" spans="2:6" ht="12" customHeight="1" x14ac:dyDescent="0.15">
      <c r="B535" s="274"/>
      <c r="C535" s="273"/>
      <c r="D535" s="273"/>
      <c r="E535" s="273"/>
      <c r="F535" s="272"/>
    </row>
    <row r="536" spans="2:6" ht="12" customHeight="1" x14ac:dyDescent="0.15">
      <c r="B536" s="274"/>
      <c r="C536" s="273"/>
      <c r="D536" s="273"/>
      <c r="E536" s="273"/>
      <c r="F536" s="272"/>
    </row>
    <row r="537" spans="2:6" ht="12" customHeight="1" x14ac:dyDescent="0.15">
      <c r="B537" s="274"/>
      <c r="C537" s="273"/>
      <c r="D537" s="273"/>
      <c r="E537" s="273"/>
      <c r="F537" s="272"/>
    </row>
    <row r="538" spans="2:6" ht="12" customHeight="1" x14ac:dyDescent="0.15">
      <c r="B538" s="274"/>
      <c r="C538" s="273"/>
      <c r="D538" s="273"/>
      <c r="E538" s="273"/>
      <c r="F538" s="272"/>
    </row>
    <row r="539" spans="2:6" ht="12" customHeight="1" x14ac:dyDescent="0.15">
      <c r="B539" s="274"/>
      <c r="C539" s="273"/>
      <c r="D539" s="273"/>
      <c r="E539" s="273"/>
      <c r="F539" s="272"/>
    </row>
    <row r="540" spans="2:6" ht="12" customHeight="1" x14ac:dyDescent="0.15">
      <c r="B540" s="274"/>
      <c r="C540" s="273"/>
      <c r="D540" s="273"/>
      <c r="E540" s="273"/>
      <c r="F540" s="272"/>
    </row>
    <row r="541" spans="2:6" ht="12" customHeight="1" x14ac:dyDescent="0.15">
      <c r="B541" s="274"/>
      <c r="C541" s="273"/>
      <c r="D541" s="273"/>
      <c r="E541" s="273"/>
      <c r="F541" s="272"/>
    </row>
    <row r="542" spans="2:6" ht="12" customHeight="1" x14ac:dyDescent="0.15">
      <c r="B542" s="274"/>
      <c r="C542" s="273"/>
      <c r="D542" s="273"/>
      <c r="E542" s="273"/>
      <c r="F542" s="272"/>
    </row>
    <row r="543" spans="2:6" ht="12" customHeight="1" x14ac:dyDescent="0.15">
      <c r="B543" s="274"/>
      <c r="C543" s="273"/>
      <c r="D543" s="273"/>
      <c r="E543" s="273"/>
      <c r="F543" s="272"/>
    </row>
    <row r="544" spans="2:6" ht="12" customHeight="1" x14ac:dyDescent="0.15">
      <c r="B544" s="274"/>
      <c r="C544" s="273"/>
      <c r="D544" s="273"/>
      <c r="E544" s="273"/>
      <c r="F544" s="272"/>
    </row>
    <row r="545" spans="2:6" ht="12" customHeight="1" x14ac:dyDescent="0.15">
      <c r="B545" s="274"/>
      <c r="C545" s="273"/>
      <c r="D545" s="273"/>
      <c r="E545" s="273"/>
      <c r="F545" s="272"/>
    </row>
    <row r="546" spans="2:6" ht="12" customHeight="1" x14ac:dyDescent="0.15">
      <c r="B546" s="274"/>
      <c r="C546" s="273"/>
      <c r="D546" s="273"/>
      <c r="E546" s="273"/>
      <c r="F546" s="272"/>
    </row>
    <row r="547" spans="2:6" ht="12" customHeight="1" x14ac:dyDescent="0.15">
      <c r="B547" s="274"/>
      <c r="C547" s="273"/>
      <c r="D547" s="273"/>
      <c r="E547" s="273"/>
      <c r="F547" s="272"/>
    </row>
    <row r="548" spans="2:6" ht="12" customHeight="1" x14ac:dyDescent="0.15">
      <c r="B548" s="274"/>
      <c r="C548" s="273"/>
      <c r="D548" s="273"/>
      <c r="E548" s="273"/>
      <c r="F548" s="272"/>
    </row>
    <row r="549" spans="2:6" ht="12" customHeight="1" x14ac:dyDescent="0.15">
      <c r="B549" s="274"/>
      <c r="C549" s="273"/>
      <c r="D549" s="273"/>
      <c r="E549" s="273"/>
      <c r="F549" s="272"/>
    </row>
    <row r="550" spans="2:6" ht="12" customHeight="1" x14ac:dyDescent="0.15">
      <c r="B550" s="274"/>
      <c r="C550" s="273"/>
      <c r="D550" s="273"/>
      <c r="E550" s="273"/>
      <c r="F550" s="272"/>
    </row>
    <row r="551" spans="2:6" ht="12" customHeight="1" x14ac:dyDescent="0.15">
      <c r="B551" s="274"/>
      <c r="C551" s="273"/>
      <c r="D551" s="273"/>
      <c r="E551" s="273"/>
      <c r="F551" s="272"/>
    </row>
    <row r="552" spans="2:6" ht="12" customHeight="1" x14ac:dyDescent="0.15">
      <c r="B552" s="274"/>
      <c r="C552" s="273"/>
      <c r="D552" s="273"/>
      <c r="E552" s="273"/>
      <c r="F552" s="272"/>
    </row>
    <row r="553" spans="2:6" ht="12" customHeight="1" x14ac:dyDescent="0.15">
      <c r="B553" s="274"/>
      <c r="C553" s="273"/>
      <c r="D553" s="273"/>
      <c r="E553" s="273"/>
      <c r="F553" s="272"/>
    </row>
    <row r="554" spans="2:6" ht="12" customHeight="1" x14ac:dyDescent="0.15">
      <c r="B554" s="274"/>
      <c r="C554" s="273"/>
      <c r="D554" s="273"/>
      <c r="E554" s="273"/>
      <c r="F554" s="272"/>
    </row>
    <row r="555" spans="2:6" ht="12" customHeight="1" x14ac:dyDescent="0.15">
      <c r="B555" s="274"/>
      <c r="C555" s="273"/>
      <c r="D555" s="273"/>
      <c r="E555" s="273"/>
      <c r="F555" s="272"/>
    </row>
    <row r="556" spans="2:6" ht="12" customHeight="1" x14ac:dyDescent="0.15">
      <c r="B556" s="274"/>
      <c r="C556" s="273"/>
      <c r="D556" s="273"/>
      <c r="E556" s="273"/>
      <c r="F556" s="272"/>
    </row>
    <row r="557" spans="2:6" ht="12" customHeight="1" x14ac:dyDescent="0.15">
      <c r="B557" s="274"/>
      <c r="C557" s="273"/>
      <c r="D557" s="273"/>
      <c r="E557" s="273"/>
      <c r="F557" s="272"/>
    </row>
    <row r="558" spans="2:6" ht="12" customHeight="1" x14ac:dyDescent="0.15">
      <c r="B558" s="274"/>
      <c r="C558" s="273"/>
      <c r="D558" s="273"/>
      <c r="E558" s="273"/>
      <c r="F558" s="272"/>
    </row>
    <row r="559" spans="2:6" ht="12" customHeight="1" x14ac:dyDescent="0.15">
      <c r="B559" s="274"/>
      <c r="C559" s="273"/>
      <c r="D559" s="273"/>
      <c r="E559" s="273"/>
      <c r="F559" s="272"/>
    </row>
    <row r="560" spans="2:6" ht="12" customHeight="1" x14ac:dyDescent="0.15">
      <c r="B560" s="274"/>
      <c r="C560" s="273"/>
      <c r="D560" s="273"/>
      <c r="E560" s="273"/>
      <c r="F560" s="272"/>
    </row>
    <row r="561" spans="2:6" ht="12" customHeight="1" x14ac:dyDescent="0.15">
      <c r="B561" s="274"/>
      <c r="C561" s="273"/>
      <c r="D561" s="273"/>
      <c r="E561" s="273"/>
      <c r="F561" s="272"/>
    </row>
    <row r="562" spans="2:6" ht="12" customHeight="1" x14ac:dyDescent="0.15">
      <c r="B562" s="274"/>
      <c r="C562" s="273"/>
      <c r="D562" s="273"/>
      <c r="E562" s="273"/>
      <c r="F562" s="272"/>
    </row>
    <row r="563" spans="2:6" ht="12" customHeight="1" x14ac:dyDescent="0.15">
      <c r="B563" s="274"/>
      <c r="C563" s="273"/>
      <c r="D563" s="273"/>
      <c r="E563" s="273"/>
      <c r="F563" s="272"/>
    </row>
    <row r="564" spans="2:6" ht="12" customHeight="1" x14ac:dyDescent="0.15">
      <c r="B564" s="274"/>
      <c r="C564" s="273"/>
      <c r="D564" s="273"/>
      <c r="E564" s="273"/>
      <c r="F564" s="272"/>
    </row>
    <row r="565" spans="2:6" ht="12" customHeight="1" x14ac:dyDescent="0.15">
      <c r="B565" s="274"/>
      <c r="C565" s="273"/>
      <c r="D565" s="273"/>
      <c r="E565" s="273"/>
      <c r="F565" s="272"/>
    </row>
    <row r="566" spans="2:6" ht="12" customHeight="1" x14ac:dyDescent="0.15">
      <c r="B566" s="274"/>
      <c r="C566" s="273"/>
      <c r="D566" s="273"/>
      <c r="E566" s="273"/>
      <c r="F566" s="272"/>
    </row>
    <row r="567" spans="2:6" ht="12" customHeight="1" x14ac:dyDescent="0.15">
      <c r="B567" s="274"/>
      <c r="C567" s="273"/>
      <c r="D567" s="273"/>
      <c r="E567" s="273"/>
      <c r="F567" s="272"/>
    </row>
    <row r="568" spans="2:6" ht="12" customHeight="1" x14ac:dyDescent="0.15">
      <c r="B568" s="274"/>
      <c r="C568" s="273"/>
      <c r="D568" s="273"/>
      <c r="E568" s="273"/>
      <c r="F568" s="272"/>
    </row>
    <row r="569" spans="2:6" ht="12" customHeight="1" x14ac:dyDescent="0.15">
      <c r="B569" s="274"/>
      <c r="C569" s="273"/>
      <c r="D569" s="273"/>
      <c r="E569" s="273"/>
      <c r="F569" s="272"/>
    </row>
    <row r="570" spans="2:6" ht="12" customHeight="1" x14ac:dyDescent="0.15">
      <c r="B570" s="274"/>
      <c r="C570" s="273"/>
      <c r="D570" s="273"/>
      <c r="E570" s="273"/>
      <c r="F570" s="272"/>
    </row>
    <row r="571" spans="2:6" ht="12" customHeight="1" x14ac:dyDescent="0.15">
      <c r="B571" s="274"/>
      <c r="C571" s="273"/>
      <c r="D571" s="273"/>
      <c r="E571" s="273"/>
      <c r="F571" s="272"/>
    </row>
    <row r="572" spans="2:6" ht="12" customHeight="1" x14ac:dyDescent="0.15">
      <c r="B572" s="274"/>
      <c r="C572" s="273"/>
      <c r="D572" s="273"/>
      <c r="E572" s="273"/>
      <c r="F572" s="272"/>
    </row>
    <row r="573" spans="2:6" ht="12" customHeight="1" x14ac:dyDescent="0.15">
      <c r="B573" s="274"/>
      <c r="C573" s="273"/>
      <c r="D573" s="273"/>
      <c r="E573" s="273"/>
      <c r="F573" s="272"/>
    </row>
    <row r="574" spans="2:6" ht="12" customHeight="1" x14ac:dyDescent="0.15">
      <c r="B574" s="274"/>
      <c r="C574" s="273"/>
      <c r="D574" s="273"/>
      <c r="E574" s="273"/>
      <c r="F574" s="272"/>
    </row>
    <row r="575" spans="2:6" ht="12" customHeight="1" x14ac:dyDescent="0.15">
      <c r="B575" s="274"/>
      <c r="C575" s="273"/>
      <c r="D575" s="273"/>
      <c r="E575" s="273"/>
      <c r="F575" s="272"/>
    </row>
    <row r="576" spans="2:6" ht="12" customHeight="1" x14ac:dyDescent="0.15">
      <c r="B576" s="274"/>
      <c r="C576" s="273"/>
      <c r="D576" s="273"/>
      <c r="E576" s="273"/>
      <c r="F576" s="272"/>
    </row>
    <row r="577" spans="2:6" ht="12" customHeight="1" x14ac:dyDescent="0.15">
      <c r="B577" s="274"/>
      <c r="C577" s="273"/>
      <c r="D577" s="273"/>
      <c r="E577" s="273"/>
      <c r="F577" s="272"/>
    </row>
    <row r="578" spans="2:6" ht="12" customHeight="1" x14ac:dyDescent="0.15">
      <c r="B578" s="274"/>
      <c r="C578" s="273"/>
      <c r="D578" s="273"/>
      <c r="E578" s="273"/>
      <c r="F578" s="272"/>
    </row>
    <row r="579" spans="2:6" ht="12" customHeight="1" x14ac:dyDescent="0.15">
      <c r="B579" s="274"/>
      <c r="C579" s="273"/>
      <c r="D579" s="273"/>
      <c r="E579" s="273"/>
      <c r="F579" s="272"/>
    </row>
    <row r="580" spans="2:6" ht="12" customHeight="1" x14ac:dyDescent="0.15">
      <c r="B580" s="274"/>
      <c r="C580" s="273"/>
      <c r="D580" s="273"/>
      <c r="E580" s="273"/>
      <c r="F580" s="272"/>
    </row>
    <row r="581" spans="2:6" ht="12" customHeight="1" x14ac:dyDescent="0.15">
      <c r="B581" s="274"/>
      <c r="C581" s="273"/>
      <c r="D581" s="273"/>
      <c r="E581" s="273"/>
      <c r="F581" s="272"/>
    </row>
    <row r="582" spans="2:6" ht="12" customHeight="1" x14ac:dyDescent="0.15">
      <c r="B582" s="274"/>
      <c r="C582" s="273"/>
      <c r="D582" s="273"/>
      <c r="E582" s="273"/>
      <c r="F582" s="272"/>
    </row>
    <row r="583" spans="2:6" ht="12" customHeight="1" x14ac:dyDescent="0.15">
      <c r="B583" s="274"/>
      <c r="C583" s="273"/>
      <c r="D583" s="273"/>
      <c r="E583" s="273"/>
      <c r="F583" s="272"/>
    </row>
    <row r="584" spans="2:6" ht="12" customHeight="1" x14ac:dyDescent="0.15">
      <c r="B584" s="274"/>
      <c r="C584" s="273"/>
      <c r="D584" s="273"/>
      <c r="E584" s="273"/>
      <c r="F584" s="272"/>
    </row>
    <row r="585" spans="2:6" ht="12" customHeight="1" x14ac:dyDescent="0.15">
      <c r="B585" s="274"/>
      <c r="C585" s="273"/>
      <c r="D585" s="273"/>
      <c r="E585" s="273"/>
      <c r="F585" s="272"/>
    </row>
    <row r="586" spans="2:6" ht="12" customHeight="1" x14ac:dyDescent="0.15">
      <c r="B586" s="274"/>
      <c r="C586" s="273"/>
      <c r="D586" s="273"/>
      <c r="E586" s="273"/>
      <c r="F586" s="272"/>
    </row>
    <row r="587" spans="2:6" ht="12" customHeight="1" x14ac:dyDescent="0.15">
      <c r="B587" s="274"/>
      <c r="C587" s="273"/>
      <c r="D587" s="273"/>
      <c r="E587" s="273"/>
      <c r="F587" s="272"/>
    </row>
    <row r="588" spans="2:6" ht="12" customHeight="1" x14ac:dyDescent="0.15">
      <c r="B588" s="274"/>
      <c r="C588" s="273"/>
      <c r="D588" s="273"/>
      <c r="E588" s="273"/>
      <c r="F588" s="272"/>
    </row>
    <row r="589" spans="2:6" ht="12" customHeight="1" x14ac:dyDescent="0.15">
      <c r="B589" s="274"/>
      <c r="C589" s="273"/>
      <c r="D589" s="273"/>
      <c r="E589" s="273"/>
      <c r="F589" s="272"/>
    </row>
    <row r="590" spans="2:6" ht="12" customHeight="1" x14ac:dyDescent="0.15">
      <c r="B590" s="274"/>
      <c r="C590" s="273"/>
      <c r="D590" s="273"/>
      <c r="E590" s="273"/>
      <c r="F590" s="272"/>
    </row>
    <row r="591" spans="2:6" ht="12" customHeight="1" x14ac:dyDescent="0.15">
      <c r="B591" s="274"/>
      <c r="C591" s="273"/>
      <c r="D591" s="273"/>
      <c r="E591" s="273"/>
      <c r="F591" s="272"/>
    </row>
    <row r="592" spans="2:6" ht="12" customHeight="1" x14ac:dyDescent="0.15">
      <c r="B592" s="274"/>
      <c r="C592" s="273"/>
      <c r="D592" s="273"/>
      <c r="E592" s="273"/>
      <c r="F592" s="272"/>
    </row>
    <row r="593" spans="2:6" ht="12" customHeight="1" x14ac:dyDescent="0.15">
      <c r="B593" s="274"/>
      <c r="C593" s="273"/>
      <c r="D593" s="273"/>
      <c r="E593" s="273"/>
      <c r="F593" s="272"/>
    </row>
    <row r="594" spans="2:6" ht="12" customHeight="1" x14ac:dyDescent="0.15">
      <c r="B594" s="274"/>
      <c r="C594" s="273"/>
      <c r="D594" s="273"/>
      <c r="E594" s="273"/>
      <c r="F594" s="272"/>
    </row>
    <row r="595" spans="2:6" ht="12" customHeight="1" x14ac:dyDescent="0.15">
      <c r="B595" s="274"/>
      <c r="C595" s="273"/>
      <c r="D595" s="273"/>
      <c r="E595" s="273"/>
      <c r="F595" s="272"/>
    </row>
    <row r="596" spans="2:6" ht="12" customHeight="1" x14ac:dyDescent="0.15">
      <c r="B596" s="274"/>
      <c r="C596" s="273"/>
      <c r="D596" s="273"/>
      <c r="E596" s="273"/>
      <c r="F596" s="272"/>
    </row>
    <row r="597" spans="2:6" ht="12" customHeight="1" x14ac:dyDescent="0.15">
      <c r="B597" s="274"/>
      <c r="C597" s="273"/>
      <c r="D597" s="273"/>
      <c r="E597" s="273"/>
      <c r="F597" s="272"/>
    </row>
    <row r="598" spans="2:6" ht="12" customHeight="1" x14ac:dyDescent="0.15">
      <c r="B598" s="274"/>
      <c r="C598" s="273"/>
      <c r="D598" s="273"/>
      <c r="E598" s="273"/>
      <c r="F598" s="272"/>
    </row>
    <row r="599" spans="2:6" ht="12" customHeight="1" x14ac:dyDescent="0.15">
      <c r="B599" s="274"/>
      <c r="C599" s="273"/>
      <c r="D599" s="273"/>
      <c r="E599" s="273"/>
      <c r="F599" s="272"/>
    </row>
    <row r="600" spans="2:6" ht="12" customHeight="1" x14ac:dyDescent="0.15">
      <c r="B600" s="274"/>
      <c r="C600" s="273"/>
      <c r="D600" s="273"/>
      <c r="E600" s="273"/>
      <c r="F600" s="272"/>
    </row>
    <row r="601" spans="2:6" ht="12" customHeight="1" x14ac:dyDescent="0.15">
      <c r="B601" s="274"/>
      <c r="C601" s="273"/>
      <c r="D601" s="273"/>
      <c r="E601" s="273"/>
      <c r="F601" s="272"/>
    </row>
    <row r="602" spans="2:6" ht="12" customHeight="1" x14ac:dyDescent="0.15">
      <c r="B602" s="274"/>
      <c r="C602" s="273"/>
      <c r="D602" s="273"/>
      <c r="E602" s="273"/>
      <c r="F602" s="272"/>
    </row>
    <row r="603" spans="2:6" ht="12" customHeight="1" x14ac:dyDescent="0.15">
      <c r="B603" s="274"/>
      <c r="C603" s="273"/>
      <c r="D603" s="273"/>
      <c r="E603" s="273"/>
      <c r="F603" s="272"/>
    </row>
    <row r="604" spans="2:6" ht="12" customHeight="1" x14ac:dyDescent="0.15">
      <c r="B604" s="274"/>
      <c r="C604" s="273"/>
      <c r="D604" s="273"/>
      <c r="E604" s="273"/>
      <c r="F604" s="272"/>
    </row>
    <row r="605" spans="2:6" ht="12" customHeight="1" x14ac:dyDescent="0.15">
      <c r="B605" s="274"/>
      <c r="C605" s="273"/>
      <c r="D605" s="273"/>
      <c r="E605" s="273"/>
      <c r="F605" s="272"/>
    </row>
    <row r="606" spans="2:6" ht="12" customHeight="1" x14ac:dyDescent="0.15">
      <c r="B606" s="274"/>
      <c r="C606" s="273"/>
      <c r="D606" s="273"/>
      <c r="E606" s="273"/>
      <c r="F606" s="272"/>
    </row>
    <row r="607" spans="2:6" ht="12" customHeight="1" x14ac:dyDescent="0.15">
      <c r="B607" s="274"/>
      <c r="C607" s="273"/>
      <c r="D607" s="273"/>
      <c r="E607" s="273"/>
      <c r="F607" s="272"/>
    </row>
    <row r="608" spans="2:6" ht="12" customHeight="1" x14ac:dyDescent="0.15">
      <c r="B608" s="274"/>
      <c r="C608" s="273"/>
      <c r="D608" s="273"/>
      <c r="E608" s="273"/>
      <c r="F608" s="272"/>
    </row>
    <row r="609" spans="2:6" ht="12" customHeight="1" x14ac:dyDescent="0.15">
      <c r="B609" s="274"/>
      <c r="C609" s="273"/>
      <c r="D609" s="273"/>
      <c r="E609" s="273"/>
      <c r="F609" s="272"/>
    </row>
    <row r="610" spans="2:6" ht="12" customHeight="1" x14ac:dyDescent="0.15">
      <c r="B610" s="274"/>
      <c r="C610" s="273"/>
      <c r="D610" s="273"/>
      <c r="E610" s="273"/>
      <c r="F610" s="272"/>
    </row>
    <row r="611" spans="2:6" ht="12" customHeight="1" x14ac:dyDescent="0.15">
      <c r="B611" s="274"/>
      <c r="C611" s="273"/>
      <c r="D611" s="273"/>
      <c r="E611" s="273"/>
      <c r="F611" s="272"/>
    </row>
    <row r="612" spans="2:6" ht="12" customHeight="1" x14ac:dyDescent="0.15">
      <c r="B612" s="274"/>
      <c r="C612" s="273"/>
      <c r="D612" s="273"/>
      <c r="E612" s="273"/>
      <c r="F612" s="272"/>
    </row>
    <row r="613" spans="2:6" ht="12" customHeight="1" x14ac:dyDescent="0.15">
      <c r="B613" s="274"/>
      <c r="C613" s="273"/>
      <c r="D613" s="273"/>
      <c r="E613" s="273"/>
      <c r="F613" s="272"/>
    </row>
    <row r="614" spans="2:6" ht="12" customHeight="1" x14ac:dyDescent="0.15">
      <c r="B614" s="274"/>
      <c r="C614" s="273"/>
      <c r="D614" s="273"/>
      <c r="E614" s="273"/>
      <c r="F614" s="272"/>
    </row>
    <row r="615" spans="2:6" ht="12" customHeight="1" x14ac:dyDescent="0.15">
      <c r="B615" s="274"/>
      <c r="C615" s="273"/>
      <c r="D615" s="273"/>
      <c r="E615" s="273"/>
      <c r="F615" s="272"/>
    </row>
    <row r="616" spans="2:6" ht="12" customHeight="1" x14ac:dyDescent="0.15">
      <c r="B616" s="274"/>
      <c r="C616" s="273"/>
      <c r="D616" s="273"/>
      <c r="E616" s="273"/>
      <c r="F616" s="272"/>
    </row>
    <row r="617" spans="2:6" ht="12" customHeight="1" x14ac:dyDescent="0.15">
      <c r="B617" s="274"/>
      <c r="C617" s="273"/>
      <c r="D617" s="273"/>
      <c r="E617" s="273"/>
      <c r="F617" s="272"/>
    </row>
    <row r="618" spans="2:6" ht="12" customHeight="1" x14ac:dyDescent="0.15">
      <c r="B618" s="274"/>
      <c r="C618" s="273"/>
      <c r="D618" s="273"/>
      <c r="E618" s="273"/>
      <c r="F618" s="272"/>
    </row>
    <row r="619" spans="2:6" ht="12" customHeight="1" x14ac:dyDescent="0.15">
      <c r="B619" s="274"/>
      <c r="C619" s="273"/>
      <c r="D619" s="273"/>
      <c r="E619" s="273"/>
      <c r="F619" s="272"/>
    </row>
    <row r="620" spans="2:6" ht="12" customHeight="1" x14ac:dyDescent="0.15">
      <c r="B620" s="274"/>
      <c r="C620" s="273"/>
      <c r="D620" s="273"/>
      <c r="E620" s="273"/>
      <c r="F620" s="272"/>
    </row>
    <row r="621" spans="2:6" ht="12" customHeight="1" x14ac:dyDescent="0.15">
      <c r="B621" s="274"/>
      <c r="C621" s="273"/>
      <c r="D621" s="273"/>
      <c r="E621" s="273"/>
      <c r="F621" s="272"/>
    </row>
    <row r="622" spans="2:6" ht="12" customHeight="1" x14ac:dyDescent="0.15">
      <c r="B622" s="274"/>
      <c r="C622" s="273"/>
      <c r="D622" s="273"/>
      <c r="E622" s="273"/>
      <c r="F622" s="272"/>
    </row>
    <row r="623" spans="2:6" ht="12" customHeight="1" x14ac:dyDescent="0.15">
      <c r="B623" s="274"/>
      <c r="C623" s="273"/>
      <c r="D623" s="273"/>
      <c r="E623" s="273"/>
      <c r="F623" s="272"/>
    </row>
    <row r="624" spans="2:6" ht="12" customHeight="1" x14ac:dyDescent="0.15">
      <c r="B624" s="274"/>
      <c r="C624" s="273"/>
      <c r="D624" s="273"/>
      <c r="E624" s="273"/>
      <c r="F624" s="272"/>
    </row>
    <row r="625" spans="2:6" ht="12" customHeight="1" x14ac:dyDescent="0.15">
      <c r="B625" s="274"/>
      <c r="C625" s="273"/>
      <c r="D625" s="273"/>
      <c r="E625" s="273"/>
      <c r="F625" s="272"/>
    </row>
    <row r="626" spans="2:6" ht="12" customHeight="1" x14ac:dyDescent="0.15">
      <c r="B626" s="274"/>
      <c r="C626" s="273"/>
      <c r="D626" s="273"/>
      <c r="E626" s="273"/>
      <c r="F626" s="272"/>
    </row>
    <row r="627" spans="2:6" ht="12" customHeight="1" x14ac:dyDescent="0.15">
      <c r="B627" s="274"/>
      <c r="C627" s="273"/>
      <c r="D627" s="273"/>
      <c r="E627" s="273"/>
      <c r="F627" s="272"/>
    </row>
    <row r="628" spans="2:6" ht="12" customHeight="1" x14ac:dyDescent="0.15">
      <c r="B628" s="274"/>
      <c r="C628" s="273"/>
      <c r="D628" s="273"/>
      <c r="E628" s="273"/>
      <c r="F628" s="272"/>
    </row>
    <row r="629" spans="2:6" ht="12" customHeight="1" x14ac:dyDescent="0.15">
      <c r="B629" s="274"/>
      <c r="C629" s="273"/>
      <c r="D629" s="273"/>
      <c r="E629" s="273"/>
      <c r="F629" s="272"/>
    </row>
    <row r="630" spans="2:6" ht="12" customHeight="1" x14ac:dyDescent="0.15">
      <c r="B630" s="274"/>
      <c r="C630" s="273"/>
      <c r="D630" s="273"/>
      <c r="E630" s="273"/>
      <c r="F630" s="272"/>
    </row>
    <row r="631" spans="2:6" ht="12" customHeight="1" x14ac:dyDescent="0.15">
      <c r="B631" s="274"/>
      <c r="C631" s="273"/>
      <c r="D631" s="273"/>
      <c r="E631" s="273"/>
      <c r="F631" s="272"/>
    </row>
    <row r="632" spans="2:6" ht="12" customHeight="1" x14ac:dyDescent="0.15">
      <c r="B632" s="274"/>
      <c r="C632" s="273"/>
      <c r="D632" s="273"/>
      <c r="E632" s="273"/>
      <c r="F632" s="272"/>
    </row>
    <row r="633" spans="2:6" ht="12" customHeight="1" x14ac:dyDescent="0.15">
      <c r="B633" s="274"/>
      <c r="C633" s="273"/>
      <c r="D633" s="273"/>
      <c r="E633" s="273"/>
      <c r="F633" s="272"/>
    </row>
    <row r="634" spans="2:6" ht="12" customHeight="1" x14ac:dyDescent="0.15">
      <c r="B634" s="274"/>
      <c r="C634" s="273"/>
      <c r="D634" s="273"/>
      <c r="E634" s="273"/>
      <c r="F634" s="272"/>
    </row>
    <row r="635" spans="2:6" ht="12" customHeight="1" x14ac:dyDescent="0.15">
      <c r="B635" s="274"/>
      <c r="C635" s="273"/>
      <c r="D635" s="273"/>
      <c r="E635" s="273"/>
      <c r="F635" s="272"/>
    </row>
    <row r="636" spans="2:6" ht="12" customHeight="1" x14ac:dyDescent="0.15">
      <c r="B636" s="274"/>
      <c r="C636" s="273"/>
      <c r="D636" s="273"/>
      <c r="E636" s="273"/>
      <c r="F636" s="272"/>
    </row>
    <row r="637" spans="2:6" ht="12" customHeight="1" x14ac:dyDescent="0.15">
      <c r="B637" s="274"/>
      <c r="C637" s="273"/>
      <c r="D637" s="273"/>
      <c r="E637" s="273"/>
      <c r="F637" s="272"/>
    </row>
    <row r="638" spans="2:6" ht="12" customHeight="1" x14ac:dyDescent="0.15">
      <c r="B638" s="274"/>
      <c r="C638" s="273"/>
      <c r="D638" s="273"/>
      <c r="E638" s="273"/>
      <c r="F638" s="272"/>
    </row>
    <row r="639" spans="2:6" ht="12" customHeight="1" x14ac:dyDescent="0.15">
      <c r="B639" s="274"/>
      <c r="C639" s="273"/>
      <c r="D639" s="273"/>
      <c r="E639" s="273"/>
      <c r="F639" s="272"/>
    </row>
    <row r="640" spans="2:6" ht="12" customHeight="1" x14ac:dyDescent="0.15">
      <c r="B640" s="274"/>
      <c r="C640" s="273"/>
      <c r="D640" s="273"/>
      <c r="E640" s="273"/>
      <c r="F640" s="272"/>
    </row>
    <row r="641" spans="2:6" ht="12" customHeight="1" x14ac:dyDescent="0.15">
      <c r="B641" s="274"/>
      <c r="C641" s="273"/>
      <c r="D641" s="273"/>
      <c r="E641" s="273"/>
      <c r="F641" s="272"/>
    </row>
    <row r="642" spans="2:6" ht="12" customHeight="1" x14ac:dyDescent="0.15">
      <c r="B642" s="274"/>
      <c r="C642" s="273"/>
      <c r="D642" s="273"/>
      <c r="E642" s="273"/>
      <c r="F642" s="272"/>
    </row>
    <row r="643" spans="2:6" ht="12" customHeight="1" x14ac:dyDescent="0.15">
      <c r="B643" s="274"/>
      <c r="C643" s="273"/>
      <c r="D643" s="273"/>
      <c r="E643" s="273"/>
      <c r="F643" s="272"/>
    </row>
    <row r="644" spans="2:6" ht="12" customHeight="1" x14ac:dyDescent="0.15">
      <c r="B644" s="274"/>
      <c r="C644" s="273"/>
      <c r="D644" s="273"/>
      <c r="E644" s="273"/>
      <c r="F644" s="272"/>
    </row>
    <row r="645" spans="2:6" ht="12" customHeight="1" x14ac:dyDescent="0.15">
      <c r="B645" s="274"/>
      <c r="C645" s="273"/>
      <c r="D645" s="273"/>
      <c r="E645" s="273"/>
      <c r="F645" s="272"/>
    </row>
    <row r="646" spans="2:6" ht="12" customHeight="1" x14ac:dyDescent="0.15">
      <c r="B646" s="274"/>
      <c r="C646" s="273"/>
      <c r="D646" s="273"/>
      <c r="E646" s="273"/>
      <c r="F646" s="272"/>
    </row>
    <row r="647" spans="2:6" ht="12" customHeight="1" x14ac:dyDescent="0.15">
      <c r="B647" s="274"/>
      <c r="C647" s="273"/>
      <c r="D647" s="273"/>
      <c r="E647" s="273"/>
      <c r="F647" s="272"/>
    </row>
    <row r="648" spans="2:6" ht="12" customHeight="1" x14ac:dyDescent="0.15">
      <c r="B648" s="274"/>
      <c r="C648" s="273"/>
      <c r="D648" s="273"/>
      <c r="E648" s="273"/>
      <c r="F648" s="272"/>
    </row>
    <row r="649" spans="2:6" ht="12" customHeight="1" x14ac:dyDescent="0.15">
      <c r="B649" s="274"/>
      <c r="C649" s="273"/>
      <c r="D649" s="273"/>
      <c r="E649" s="273"/>
      <c r="F649" s="272"/>
    </row>
    <row r="650" spans="2:6" ht="12" customHeight="1" x14ac:dyDescent="0.15">
      <c r="B650" s="274"/>
      <c r="C650" s="273"/>
      <c r="D650" s="273"/>
      <c r="E650" s="273"/>
      <c r="F650" s="272"/>
    </row>
    <row r="651" spans="2:6" ht="12" customHeight="1" x14ac:dyDescent="0.15">
      <c r="B651" s="274"/>
      <c r="C651" s="273"/>
      <c r="D651" s="273"/>
      <c r="E651" s="273"/>
      <c r="F651" s="272"/>
    </row>
    <row r="652" spans="2:6" ht="12" customHeight="1" x14ac:dyDescent="0.15">
      <c r="B652" s="274"/>
      <c r="C652" s="273"/>
      <c r="D652" s="273"/>
      <c r="E652" s="273"/>
      <c r="F652" s="272"/>
    </row>
    <row r="653" spans="2:6" ht="12" customHeight="1" x14ac:dyDescent="0.15">
      <c r="B653" s="274"/>
      <c r="C653" s="273"/>
      <c r="D653" s="273"/>
      <c r="E653" s="273"/>
      <c r="F653" s="272"/>
    </row>
    <row r="654" spans="2:6" ht="12" customHeight="1" x14ac:dyDescent="0.15">
      <c r="B654" s="274"/>
      <c r="C654" s="273"/>
      <c r="D654" s="273"/>
      <c r="E654" s="273"/>
      <c r="F654" s="272"/>
    </row>
    <row r="655" spans="2:6" ht="12" customHeight="1" x14ac:dyDescent="0.15">
      <c r="B655" s="274"/>
      <c r="C655" s="273"/>
      <c r="D655" s="273"/>
      <c r="E655" s="273"/>
      <c r="F655" s="272"/>
    </row>
    <row r="656" spans="2:6" ht="12" customHeight="1" x14ac:dyDescent="0.15">
      <c r="B656" s="274"/>
      <c r="C656" s="273"/>
      <c r="D656" s="273"/>
      <c r="E656" s="273"/>
      <c r="F656" s="272"/>
    </row>
    <row r="657" spans="2:6" ht="12" customHeight="1" x14ac:dyDescent="0.15">
      <c r="B657" s="274"/>
      <c r="C657" s="273"/>
      <c r="D657" s="273"/>
      <c r="E657" s="273"/>
      <c r="F657" s="272"/>
    </row>
    <row r="658" spans="2:6" ht="12" customHeight="1" x14ac:dyDescent="0.15">
      <c r="B658" s="274"/>
      <c r="C658" s="273"/>
      <c r="D658" s="273"/>
      <c r="E658" s="273"/>
      <c r="F658" s="272"/>
    </row>
    <row r="659" spans="2:6" ht="12" customHeight="1" x14ac:dyDescent="0.15">
      <c r="B659" s="274"/>
      <c r="C659" s="273"/>
      <c r="D659" s="273"/>
      <c r="E659" s="273"/>
      <c r="F659" s="272"/>
    </row>
    <row r="660" spans="2:6" ht="12" customHeight="1" x14ac:dyDescent="0.15">
      <c r="B660" s="274"/>
      <c r="C660" s="273"/>
      <c r="D660" s="273"/>
      <c r="E660" s="273"/>
      <c r="F660" s="272"/>
    </row>
    <row r="661" spans="2:6" ht="12" customHeight="1" x14ac:dyDescent="0.15">
      <c r="B661" s="274"/>
      <c r="C661" s="273"/>
      <c r="D661" s="273"/>
      <c r="E661" s="273"/>
      <c r="F661" s="272"/>
    </row>
    <row r="662" spans="2:6" ht="12" customHeight="1" x14ac:dyDescent="0.15">
      <c r="B662" s="274"/>
      <c r="C662" s="273"/>
      <c r="D662" s="273"/>
      <c r="E662" s="273"/>
      <c r="F662" s="272"/>
    </row>
    <row r="663" spans="2:6" ht="12" customHeight="1" x14ac:dyDescent="0.15">
      <c r="B663" s="274"/>
      <c r="C663" s="273"/>
      <c r="D663" s="273"/>
      <c r="E663" s="273"/>
      <c r="F663" s="272"/>
    </row>
    <row r="664" spans="2:6" ht="12" customHeight="1" x14ac:dyDescent="0.15">
      <c r="B664" s="274"/>
      <c r="C664" s="273"/>
      <c r="D664" s="273"/>
      <c r="E664" s="273"/>
      <c r="F664" s="272"/>
    </row>
    <row r="665" spans="2:6" ht="12" customHeight="1" x14ac:dyDescent="0.15">
      <c r="B665" s="274"/>
      <c r="C665" s="273"/>
      <c r="D665" s="273"/>
      <c r="E665" s="273"/>
      <c r="F665" s="272"/>
    </row>
    <row r="666" spans="2:6" ht="12" customHeight="1" x14ac:dyDescent="0.15">
      <c r="B666" s="274"/>
      <c r="C666" s="273"/>
      <c r="D666" s="273"/>
      <c r="E666" s="273"/>
      <c r="F666" s="272"/>
    </row>
    <row r="667" spans="2:6" ht="12" customHeight="1" x14ac:dyDescent="0.15">
      <c r="B667" s="274"/>
      <c r="C667" s="273"/>
      <c r="D667" s="273"/>
      <c r="E667" s="273"/>
      <c r="F667" s="272"/>
    </row>
    <row r="668" spans="2:6" ht="12" customHeight="1" x14ac:dyDescent="0.15">
      <c r="B668" s="274"/>
      <c r="C668" s="273"/>
      <c r="D668" s="273"/>
      <c r="E668" s="273"/>
      <c r="F668" s="272"/>
    </row>
    <row r="669" spans="2:6" ht="12" customHeight="1" x14ac:dyDescent="0.15">
      <c r="B669" s="274"/>
      <c r="C669" s="273"/>
      <c r="D669" s="273"/>
      <c r="E669" s="273"/>
      <c r="F669" s="272"/>
    </row>
    <row r="670" spans="2:6" ht="12" customHeight="1" x14ac:dyDescent="0.15">
      <c r="B670" s="274"/>
      <c r="C670" s="273"/>
      <c r="D670" s="273"/>
      <c r="E670" s="273"/>
      <c r="F670" s="272"/>
    </row>
    <row r="671" spans="2:6" ht="12" customHeight="1" x14ac:dyDescent="0.15">
      <c r="B671" s="274"/>
      <c r="C671" s="273"/>
      <c r="D671" s="273"/>
      <c r="E671" s="273"/>
      <c r="F671" s="272"/>
    </row>
    <row r="672" spans="2:6" ht="12" customHeight="1" x14ac:dyDescent="0.15">
      <c r="B672" s="274"/>
      <c r="C672" s="273"/>
      <c r="D672" s="273"/>
      <c r="E672" s="273"/>
      <c r="F672" s="272"/>
    </row>
    <row r="673" spans="2:6" ht="12" customHeight="1" x14ac:dyDescent="0.15">
      <c r="B673" s="274"/>
      <c r="C673" s="273"/>
      <c r="D673" s="273"/>
      <c r="E673" s="273"/>
      <c r="F673" s="272"/>
    </row>
    <row r="674" spans="2:6" ht="12" customHeight="1" x14ac:dyDescent="0.15">
      <c r="B674" s="274"/>
      <c r="C674" s="273"/>
      <c r="D674" s="273"/>
      <c r="E674" s="273"/>
      <c r="F674" s="272"/>
    </row>
    <row r="675" spans="2:6" ht="12" customHeight="1" x14ac:dyDescent="0.15">
      <c r="B675" s="274"/>
      <c r="C675" s="273"/>
      <c r="D675" s="273"/>
      <c r="E675" s="273"/>
      <c r="F675" s="272"/>
    </row>
    <row r="676" spans="2:6" ht="12" customHeight="1" x14ac:dyDescent="0.15">
      <c r="B676" s="274"/>
      <c r="C676" s="273"/>
      <c r="D676" s="273"/>
      <c r="E676" s="273"/>
      <c r="F676" s="272"/>
    </row>
    <row r="677" spans="2:6" ht="12" customHeight="1" x14ac:dyDescent="0.15">
      <c r="B677" s="274"/>
      <c r="C677" s="273"/>
      <c r="D677" s="273"/>
      <c r="E677" s="273"/>
      <c r="F677" s="272"/>
    </row>
    <row r="678" spans="2:6" ht="12" customHeight="1" x14ac:dyDescent="0.15">
      <c r="B678" s="274"/>
      <c r="C678" s="273"/>
      <c r="D678" s="273"/>
      <c r="E678" s="273"/>
      <c r="F678" s="272"/>
    </row>
    <row r="679" spans="2:6" ht="12" customHeight="1" x14ac:dyDescent="0.15">
      <c r="B679" s="274"/>
      <c r="C679" s="273"/>
      <c r="D679" s="273"/>
      <c r="E679" s="273"/>
      <c r="F679" s="272"/>
    </row>
    <row r="680" spans="2:6" ht="12" customHeight="1" x14ac:dyDescent="0.15">
      <c r="B680" s="274"/>
      <c r="C680" s="273"/>
      <c r="D680" s="273"/>
      <c r="E680" s="273"/>
      <c r="F680" s="272"/>
    </row>
    <row r="681" spans="2:6" ht="12" customHeight="1" x14ac:dyDescent="0.15">
      <c r="B681" s="274"/>
      <c r="C681" s="273"/>
      <c r="D681" s="273"/>
      <c r="E681" s="273"/>
      <c r="F681" s="272"/>
    </row>
    <row r="682" spans="2:6" ht="12" customHeight="1" x14ac:dyDescent="0.15">
      <c r="B682" s="274"/>
      <c r="C682" s="273"/>
      <c r="D682" s="273"/>
      <c r="E682" s="273"/>
      <c r="F682" s="272"/>
    </row>
    <row r="683" spans="2:6" ht="12" customHeight="1" x14ac:dyDescent="0.15">
      <c r="B683" s="274"/>
      <c r="C683" s="273"/>
      <c r="D683" s="273"/>
      <c r="E683" s="273"/>
      <c r="F683" s="272"/>
    </row>
    <row r="684" spans="2:6" ht="12" customHeight="1" x14ac:dyDescent="0.15">
      <c r="B684" s="274"/>
      <c r="C684" s="273"/>
      <c r="D684" s="273"/>
      <c r="E684" s="273"/>
      <c r="F684" s="272"/>
    </row>
    <row r="685" spans="2:6" ht="12" customHeight="1" x14ac:dyDescent="0.15">
      <c r="B685" s="274"/>
      <c r="C685" s="273"/>
      <c r="D685" s="273"/>
      <c r="E685" s="273"/>
      <c r="F685" s="272"/>
    </row>
    <row r="686" spans="2:6" ht="12" customHeight="1" x14ac:dyDescent="0.15">
      <c r="B686" s="274"/>
      <c r="C686" s="273"/>
      <c r="D686" s="273"/>
      <c r="E686" s="273"/>
      <c r="F686" s="272"/>
    </row>
    <row r="687" spans="2:6" ht="12" customHeight="1" x14ac:dyDescent="0.15">
      <c r="B687" s="274"/>
      <c r="C687" s="273"/>
      <c r="D687" s="273"/>
      <c r="E687" s="273"/>
      <c r="F687" s="272"/>
    </row>
    <row r="688" spans="2:6" ht="12" customHeight="1" x14ac:dyDescent="0.15">
      <c r="B688" s="274"/>
      <c r="C688" s="273"/>
      <c r="D688" s="273"/>
      <c r="E688" s="273"/>
      <c r="F688" s="272"/>
    </row>
    <row r="689" spans="2:6" ht="12" customHeight="1" x14ac:dyDescent="0.15">
      <c r="B689" s="274"/>
      <c r="C689" s="273"/>
      <c r="D689" s="273"/>
      <c r="E689" s="273"/>
      <c r="F689" s="272"/>
    </row>
    <row r="690" spans="2:6" ht="12" customHeight="1" x14ac:dyDescent="0.15">
      <c r="B690" s="274"/>
      <c r="C690" s="273"/>
      <c r="D690" s="273"/>
      <c r="E690" s="273"/>
      <c r="F690" s="272"/>
    </row>
    <row r="691" spans="2:6" ht="12" customHeight="1" x14ac:dyDescent="0.15">
      <c r="B691" s="274"/>
      <c r="C691" s="273"/>
      <c r="D691" s="273"/>
      <c r="E691" s="273"/>
      <c r="F691" s="272"/>
    </row>
    <row r="692" spans="2:6" ht="12" customHeight="1" x14ac:dyDescent="0.15">
      <c r="B692" s="274"/>
      <c r="C692" s="273"/>
      <c r="D692" s="273"/>
      <c r="E692" s="273"/>
      <c r="F692" s="272"/>
    </row>
    <row r="693" spans="2:6" ht="12" customHeight="1" x14ac:dyDescent="0.15">
      <c r="B693" s="274"/>
      <c r="C693" s="273"/>
      <c r="D693" s="273"/>
      <c r="E693" s="273"/>
      <c r="F693" s="272"/>
    </row>
    <row r="694" spans="2:6" ht="12" customHeight="1" x14ac:dyDescent="0.15">
      <c r="B694" s="274"/>
      <c r="C694" s="273"/>
      <c r="D694" s="273"/>
      <c r="E694" s="273"/>
      <c r="F694" s="272"/>
    </row>
    <row r="695" spans="2:6" ht="12" customHeight="1" x14ac:dyDescent="0.15">
      <c r="B695" s="274"/>
      <c r="C695" s="273"/>
      <c r="D695" s="273"/>
      <c r="E695" s="273"/>
      <c r="F695" s="272"/>
    </row>
    <row r="696" spans="2:6" ht="12" customHeight="1" x14ac:dyDescent="0.15">
      <c r="B696" s="274"/>
      <c r="C696" s="273"/>
      <c r="D696" s="273"/>
      <c r="E696" s="273"/>
      <c r="F696" s="272"/>
    </row>
    <row r="697" spans="2:6" ht="12" customHeight="1" x14ac:dyDescent="0.15">
      <c r="B697" s="274"/>
      <c r="C697" s="273"/>
      <c r="D697" s="273"/>
      <c r="E697" s="273"/>
      <c r="F697" s="272"/>
    </row>
    <row r="698" spans="2:6" ht="12" customHeight="1" x14ac:dyDescent="0.15">
      <c r="B698" s="274"/>
      <c r="C698" s="273"/>
      <c r="D698" s="273"/>
      <c r="E698" s="273"/>
      <c r="F698" s="272"/>
    </row>
    <row r="699" spans="2:6" ht="12" customHeight="1" x14ac:dyDescent="0.15">
      <c r="B699" s="274"/>
      <c r="C699" s="273"/>
      <c r="D699" s="273"/>
      <c r="E699" s="273"/>
      <c r="F699" s="272"/>
    </row>
    <row r="700" spans="2:6" ht="12" customHeight="1" x14ac:dyDescent="0.15">
      <c r="B700" s="274"/>
      <c r="C700" s="273"/>
      <c r="D700" s="273"/>
      <c r="E700" s="273"/>
      <c r="F700" s="272"/>
    </row>
    <row r="701" spans="2:6" ht="12" customHeight="1" x14ac:dyDescent="0.15">
      <c r="B701" s="274"/>
      <c r="C701" s="273"/>
      <c r="D701" s="273"/>
      <c r="E701" s="273"/>
      <c r="F701" s="272"/>
    </row>
    <row r="702" spans="2:6" ht="12" customHeight="1" x14ac:dyDescent="0.15">
      <c r="B702" s="274"/>
      <c r="C702" s="273"/>
      <c r="D702" s="273"/>
      <c r="E702" s="273"/>
      <c r="F702" s="272"/>
    </row>
    <row r="703" spans="2:6" ht="12" customHeight="1" x14ac:dyDescent="0.15">
      <c r="B703" s="274"/>
      <c r="C703" s="273"/>
      <c r="D703" s="273"/>
      <c r="E703" s="273"/>
      <c r="F703" s="272"/>
    </row>
    <row r="704" spans="2:6" ht="12" customHeight="1" x14ac:dyDescent="0.15">
      <c r="B704" s="274"/>
      <c r="C704" s="273"/>
      <c r="D704" s="273"/>
      <c r="E704" s="273"/>
      <c r="F704" s="272"/>
    </row>
    <row r="705" spans="2:6" ht="12" customHeight="1" x14ac:dyDescent="0.15">
      <c r="B705" s="274"/>
      <c r="C705" s="273"/>
      <c r="D705" s="273"/>
      <c r="E705" s="273"/>
      <c r="F705" s="272"/>
    </row>
    <row r="706" spans="2:6" ht="12" customHeight="1" x14ac:dyDescent="0.15">
      <c r="B706" s="274"/>
      <c r="C706" s="273"/>
      <c r="D706" s="273"/>
      <c r="E706" s="273"/>
      <c r="F706" s="272"/>
    </row>
    <row r="707" spans="2:6" ht="12" customHeight="1" x14ac:dyDescent="0.15">
      <c r="B707" s="274"/>
      <c r="C707" s="273"/>
      <c r="D707" s="273"/>
      <c r="E707" s="273"/>
      <c r="F707" s="272"/>
    </row>
    <row r="708" spans="2:6" ht="12" customHeight="1" x14ac:dyDescent="0.15">
      <c r="B708" s="274"/>
      <c r="C708" s="273"/>
      <c r="D708" s="273"/>
      <c r="E708" s="273"/>
      <c r="F708" s="272"/>
    </row>
    <row r="709" spans="2:6" ht="12" customHeight="1" x14ac:dyDescent="0.15">
      <c r="B709" s="274"/>
      <c r="C709" s="273"/>
      <c r="D709" s="273"/>
      <c r="E709" s="273"/>
      <c r="F709" s="272"/>
    </row>
    <row r="710" spans="2:6" ht="12" customHeight="1" x14ac:dyDescent="0.15">
      <c r="B710" s="274"/>
      <c r="C710" s="273"/>
      <c r="D710" s="273"/>
      <c r="E710" s="273"/>
      <c r="F710" s="272"/>
    </row>
    <row r="711" spans="2:6" ht="12" customHeight="1" x14ac:dyDescent="0.15">
      <c r="B711" s="274"/>
      <c r="C711" s="273"/>
      <c r="D711" s="273"/>
      <c r="E711" s="273"/>
      <c r="F711" s="272"/>
    </row>
    <row r="712" spans="2:6" ht="12" customHeight="1" x14ac:dyDescent="0.15">
      <c r="B712" s="274"/>
      <c r="C712" s="273"/>
      <c r="D712" s="273"/>
      <c r="E712" s="273"/>
      <c r="F712" s="272"/>
    </row>
    <row r="713" spans="2:6" ht="12" customHeight="1" x14ac:dyDescent="0.15">
      <c r="B713" s="274"/>
      <c r="C713" s="273"/>
      <c r="D713" s="273"/>
      <c r="E713" s="273"/>
      <c r="F713" s="272"/>
    </row>
    <row r="714" spans="2:6" ht="12" customHeight="1" x14ac:dyDescent="0.15">
      <c r="B714" s="274"/>
      <c r="C714" s="273"/>
      <c r="D714" s="273"/>
      <c r="E714" s="273"/>
      <c r="F714" s="272"/>
    </row>
    <row r="715" spans="2:6" ht="12" customHeight="1" x14ac:dyDescent="0.15">
      <c r="B715" s="274"/>
      <c r="C715" s="273"/>
      <c r="D715" s="273"/>
      <c r="E715" s="273"/>
      <c r="F715" s="272"/>
    </row>
    <row r="716" spans="2:6" ht="12" customHeight="1" x14ac:dyDescent="0.15">
      <c r="B716" s="274"/>
      <c r="C716" s="273"/>
      <c r="D716" s="273"/>
      <c r="E716" s="273"/>
      <c r="F716" s="272"/>
    </row>
    <row r="717" spans="2:6" ht="12" customHeight="1" x14ac:dyDescent="0.15">
      <c r="B717" s="274"/>
      <c r="C717" s="273"/>
      <c r="D717" s="273"/>
      <c r="E717" s="273"/>
      <c r="F717" s="272"/>
    </row>
    <row r="718" spans="2:6" ht="12" customHeight="1" x14ac:dyDescent="0.15">
      <c r="B718" s="274"/>
      <c r="C718" s="273"/>
      <c r="D718" s="273"/>
      <c r="E718" s="273"/>
      <c r="F718" s="272"/>
    </row>
    <row r="719" spans="2:6" ht="12" customHeight="1" x14ac:dyDescent="0.15">
      <c r="B719" s="274"/>
      <c r="C719" s="273"/>
      <c r="D719" s="273"/>
      <c r="E719" s="273"/>
      <c r="F719" s="272"/>
    </row>
    <row r="720" spans="2:6" ht="12" customHeight="1" x14ac:dyDescent="0.15">
      <c r="B720" s="274"/>
      <c r="C720" s="273"/>
      <c r="D720" s="273"/>
      <c r="E720" s="273"/>
      <c r="F720" s="272"/>
    </row>
    <row r="721" spans="2:6" ht="12" customHeight="1" x14ac:dyDescent="0.15">
      <c r="B721" s="274"/>
      <c r="C721" s="273"/>
      <c r="D721" s="273"/>
      <c r="E721" s="273"/>
      <c r="F721" s="272"/>
    </row>
    <row r="722" spans="2:6" ht="12" customHeight="1" x14ac:dyDescent="0.15">
      <c r="B722" s="274"/>
      <c r="C722" s="273"/>
      <c r="D722" s="273"/>
      <c r="E722" s="273"/>
      <c r="F722" s="272"/>
    </row>
    <row r="723" spans="2:6" ht="12" customHeight="1" x14ac:dyDescent="0.15">
      <c r="B723" s="274"/>
      <c r="C723" s="273"/>
      <c r="D723" s="273"/>
      <c r="E723" s="273"/>
      <c r="F723" s="272"/>
    </row>
    <row r="724" spans="2:6" ht="12" customHeight="1" x14ac:dyDescent="0.15">
      <c r="B724" s="274"/>
      <c r="C724" s="273"/>
      <c r="D724" s="273"/>
      <c r="E724" s="273"/>
      <c r="F724" s="272"/>
    </row>
    <row r="725" spans="2:6" ht="12" customHeight="1" x14ac:dyDescent="0.15">
      <c r="B725" s="274"/>
      <c r="C725" s="273"/>
      <c r="D725" s="273"/>
      <c r="E725" s="273"/>
      <c r="F725" s="272"/>
    </row>
    <row r="726" spans="2:6" ht="12" customHeight="1" x14ac:dyDescent="0.15">
      <c r="B726" s="274"/>
      <c r="C726" s="273"/>
      <c r="D726" s="273"/>
      <c r="E726" s="273"/>
      <c r="F726" s="272"/>
    </row>
    <row r="727" spans="2:6" ht="12" customHeight="1" x14ac:dyDescent="0.15">
      <c r="B727" s="274"/>
      <c r="C727" s="273"/>
      <c r="D727" s="273"/>
      <c r="E727" s="273"/>
      <c r="F727" s="272"/>
    </row>
    <row r="728" spans="2:6" ht="12" customHeight="1" x14ac:dyDescent="0.15">
      <c r="B728" s="274"/>
      <c r="C728" s="273"/>
      <c r="D728" s="273"/>
      <c r="E728" s="273"/>
      <c r="F728" s="272"/>
    </row>
    <row r="729" spans="2:6" ht="12" customHeight="1" x14ac:dyDescent="0.15">
      <c r="B729" s="274"/>
      <c r="C729" s="273"/>
      <c r="D729" s="273"/>
      <c r="E729" s="273"/>
      <c r="F729" s="272"/>
    </row>
    <row r="730" spans="2:6" ht="12" customHeight="1" x14ac:dyDescent="0.15">
      <c r="B730" s="274"/>
      <c r="C730" s="273"/>
      <c r="D730" s="273"/>
      <c r="E730" s="273"/>
      <c r="F730" s="272"/>
    </row>
    <row r="731" spans="2:6" ht="12" customHeight="1" x14ac:dyDescent="0.15">
      <c r="B731" s="274"/>
      <c r="C731" s="273"/>
      <c r="D731" s="273"/>
      <c r="E731" s="273"/>
      <c r="F731" s="272"/>
    </row>
    <row r="732" spans="2:6" ht="12" customHeight="1" x14ac:dyDescent="0.15">
      <c r="B732" s="274"/>
      <c r="C732" s="273"/>
      <c r="D732" s="273"/>
      <c r="E732" s="273"/>
      <c r="F732" s="272"/>
    </row>
    <row r="733" spans="2:6" ht="12" customHeight="1" x14ac:dyDescent="0.15">
      <c r="B733" s="274"/>
      <c r="C733" s="273"/>
      <c r="D733" s="273"/>
      <c r="E733" s="273"/>
      <c r="F733" s="272"/>
    </row>
    <row r="734" spans="2:6" ht="12" customHeight="1" x14ac:dyDescent="0.15">
      <c r="B734" s="274"/>
      <c r="C734" s="273"/>
      <c r="D734" s="273"/>
      <c r="E734" s="273"/>
      <c r="F734" s="272"/>
    </row>
    <row r="735" spans="2:6" ht="12" customHeight="1" x14ac:dyDescent="0.15">
      <c r="B735" s="274"/>
      <c r="C735" s="273"/>
      <c r="D735" s="273"/>
      <c r="E735" s="273"/>
      <c r="F735" s="272"/>
    </row>
    <row r="736" spans="2:6" ht="12" customHeight="1" x14ac:dyDescent="0.15">
      <c r="B736" s="274"/>
      <c r="C736" s="273"/>
      <c r="D736" s="273"/>
      <c r="E736" s="273"/>
      <c r="F736" s="272"/>
    </row>
    <row r="737" spans="2:6" ht="12" customHeight="1" x14ac:dyDescent="0.15">
      <c r="B737" s="274"/>
      <c r="C737" s="273"/>
      <c r="D737" s="273"/>
      <c r="E737" s="273"/>
      <c r="F737" s="272"/>
    </row>
    <row r="738" spans="2:6" ht="12" customHeight="1" x14ac:dyDescent="0.15">
      <c r="B738" s="274"/>
      <c r="C738" s="273"/>
      <c r="D738" s="273"/>
      <c r="E738" s="273"/>
      <c r="F738" s="272"/>
    </row>
    <row r="739" spans="2:6" ht="12" customHeight="1" x14ac:dyDescent="0.15">
      <c r="B739" s="274"/>
      <c r="C739" s="273"/>
      <c r="D739" s="273"/>
      <c r="E739" s="273"/>
      <c r="F739" s="272"/>
    </row>
    <row r="740" spans="2:6" ht="12" customHeight="1" x14ac:dyDescent="0.15">
      <c r="B740" s="274"/>
      <c r="C740" s="273"/>
      <c r="D740" s="273"/>
      <c r="E740" s="273"/>
      <c r="F740" s="272"/>
    </row>
    <row r="741" spans="2:6" ht="12" customHeight="1" x14ac:dyDescent="0.15">
      <c r="B741" s="274"/>
      <c r="C741" s="273"/>
      <c r="D741" s="273"/>
      <c r="E741" s="273"/>
      <c r="F741" s="272"/>
    </row>
    <row r="742" spans="2:6" ht="12" customHeight="1" x14ac:dyDescent="0.15">
      <c r="B742" s="274"/>
      <c r="C742" s="273"/>
      <c r="D742" s="273"/>
      <c r="E742" s="273"/>
      <c r="F742" s="272"/>
    </row>
    <row r="743" spans="2:6" ht="12" customHeight="1" x14ac:dyDescent="0.15">
      <c r="B743" s="274"/>
      <c r="C743" s="273"/>
      <c r="D743" s="273"/>
      <c r="E743" s="273"/>
      <c r="F743" s="272"/>
    </row>
    <row r="744" spans="2:6" ht="12" customHeight="1" x14ac:dyDescent="0.15">
      <c r="B744" s="274"/>
      <c r="C744" s="273"/>
      <c r="D744" s="273"/>
      <c r="E744" s="273"/>
      <c r="F744" s="272"/>
    </row>
    <row r="745" spans="2:6" ht="12" customHeight="1" x14ac:dyDescent="0.15">
      <c r="B745" s="274"/>
      <c r="C745" s="273"/>
      <c r="D745" s="273"/>
      <c r="E745" s="273"/>
      <c r="F745" s="272"/>
    </row>
    <row r="746" spans="2:6" ht="12" customHeight="1" x14ac:dyDescent="0.15">
      <c r="B746" s="274"/>
      <c r="C746" s="273"/>
      <c r="D746" s="273"/>
      <c r="E746" s="273"/>
      <c r="F746" s="272"/>
    </row>
    <row r="747" spans="2:6" ht="12" customHeight="1" x14ac:dyDescent="0.15">
      <c r="B747" s="274"/>
      <c r="C747" s="273"/>
      <c r="D747" s="273"/>
      <c r="E747" s="273"/>
      <c r="F747" s="272"/>
    </row>
    <row r="748" spans="2:6" ht="12" customHeight="1" x14ac:dyDescent="0.15">
      <c r="B748" s="274"/>
      <c r="C748" s="273"/>
      <c r="D748" s="273"/>
      <c r="E748" s="273"/>
      <c r="F748" s="272"/>
    </row>
    <row r="749" spans="2:6" ht="12" customHeight="1" x14ac:dyDescent="0.15">
      <c r="B749" s="274"/>
      <c r="C749" s="273"/>
      <c r="D749" s="273"/>
      <c r="E749" s="273"/>
      <c r="F749" s="272"/>
    </row>
    <row r="750" spans="2:6" ht="12" customHeight="1" x14ac:dyDescent="0.15">
      <c r="B750" s="274"/>
      <c r="C750" s="273"/>
      <c r="D750" s="273"/>
      <c r="E750" s="273"/>
      <c r="F750" s="272"/>
    </row>
    <row r="751" spans="2:6" ht="12" customHeight="1" x14ac:dyDescent="0.15">
      <c r="B751" s="274"/>
      <c r="C751" s="273"/>
      <c r="D751" s="273"/>
      <c r="E751" s="273"/>
      <c r="F751" s="272"/>
    </row>
    <row r="752" spans="2:6" ht="12" customHeight="1" x14ac:dyDescent="0.15">
      <c r="B752" s="274"/>
      <c r="C752" s="273"/>
      <c r="D752" s="273"/>
      <c r="E752" s="273"/>
      <c r="F752" s="272"/>
    </row>
    <row r="753" spans="2:6" ht="12" customHeight="1" x14ac:dyDescent="0.15">
      <c r="B753" s="274"/>
      <c r="C753" s="273"/>
      <c r="D753" s="273"/>
      <c r="E753" s="273"/>
      <c r="F753" s="272"/>
    </row>
    <row r="754" spans="2:6" ht="12" customHeight="1" x14ac:dyDescent="0.15">
      <c r="B754" s="274"/>
      <c r="C754" s="273"/>
      <c r="D754" s="273"/>
      <c r="E754" s="273"/>
      <c r="F754" s="272"/>
    </row>
    <row r="755" spans="2:6" ht="12" customHeight="1" x14ac:dyDescent="0.15">
      <c r="B755" s="274"/>
      <c r="C755" s="273"/>
      <c r="D755" s="273"/>
      <c r="E755" s="273"/>
      <c r="F755" s="272"/>
    </row>
    <row r="756" spans="2:6" ht="12" customHeight="1" x14ac:dyDescent="0.15">
      <c r="B756" s="274"/>
      <c r="C756" s="273"/>
      <c r="D756" s="273"/>
      <c r="E756" s="273"/>
      <c r="F756" s="272"/>
    </row>
    <row r="757" spans="2:6" ht="12" customHeight="1" x14ac:dyDescent="0.15">
      <c r="B757" s="274"/>
      <c r="C757" s="273"/>
      <c r="D757" s="273"/>
      <c r="E757" s="273"/>
      <c r="F757" s="272"/>
    </row>
    <row r="758" spans="2:6" ht="12" customHeight="1" x14ac:dyDescent="0.15">
      <c r="B758" s="274"/>
      <c r="C758" s="273"/>
      <c r="D758" s="273"/>
      <c r="E758" s="273"/>
      <c r="F758" s="272"/>
    </row>
    <row r="759" spans="2:6" ht="12" customHeight="1" x14ac:dyDescent="0.15">
      <c r="B759" s="274"/>
      <c r="C759" s="273"/>
      <c r="D759" s="273"/>
      <c r="E759" s="273"/>
      <c r="F759" s="272"/>
    </row>
    <row r="760" spans="2:6" ht="12" customHeight="1" x14ac:dyDescent="0.15">
      <c r="B760" s="274"/>
      <c r="C760" s="273"/>
      <c r="D760" s="273"/>
      <c r="E760" s="273"/>
      <c r="F760" s="272"/>
    </row>
    <row r="761" spans="2:6" ht="12" customHeight="1" x14ac:dyDescent="0.15">
      <c r="B761" s="274"/>
      <c r="C761" s="273"/>
      <c r="D761" s="273"/>
      <c r="E761" s="273"/>
      <c r="F761" s="272"/>
    </row>
    <row r="762" spans="2:6" ht="12" customHeight="1" x14ac:dyDescent="0.15">
      <c r="B762" s="274"/>
      <c r="C762" s="273"/>
      <c r="D762" s="273"/>
      <c r="E762" s="273"/>
      <c r="F762" s="272"/>
    </row>
    <row r="763" spans="2:6" ht="12" customHeight="1" x14ac:dyDescent="0.15">
      <c r="B763" s="274"/>
      <c r="C763" s="273"/>
      <c r="D763" s="273"/>
      <c r="E763" s="273"/>
      <c r="F763" s="272"/>
    </row>
    <row r="764" spans="2:6" ht="12" customHeight="1" x14ac:dyDescent="0.15">
      <c r="B764" s="274"/>
      <c r="C764" s="273"/>
      <c r="D764" s="273"/>
      <c r="E764" s="273"/>
      <c r="F764" s="272"/>
    </row>
    <row r="765" spans="2:6" ht="12" customHeight="1" x14ac:dyDescent="0.15">
      <c r="B765" s="274"/>
      <c r="C765" s="273"/>
      <c r="D765" s="273"/>
      <c r="E765" s="273"/>
      <c r="F765" s="272"/>
    </row>
    <row r="766" spans="2:6" ht="12" customHeight="1" x14ac:dyDescent="0.15">
      <c r="B766" s="274"/>
      <c r="C766" s="273"/>
      <c r="D766" s="273"/>
      <c r="E766" s="273"/>
      <c r="F766" s="272"/>
    </row>
    <row r="767" spans="2:6" ht="12" customHeight="1" x14ac:dyDescent="0.15">
      <c r="B767" s="274"/>
      <c r="C767" s="273"/>
      <c r="D767" s="273"/>
      <c r="E767" s="273"/>
      <c r="F767" s="272"/>
    </row>
    <row r="768" spans="2:6" ht="12" customHeight="1" x14ac:dyDescent="0.15">
      <c r="B768" s="274"/>
      <c r="C768" s="273"/>
      <c r="D768" s="273"/>
      <c r="E768" s="273"/>
      <c r="F768" s="272"/>
    </row>
    <row r="769" spans="2:6" ht="12" customHeight="1" x14ac:dyDescent="0.15">
      <c r="B769" s="274"/>
      <c r="C769" s="273"/>
      <c r="D769" s="273"/>
      <c r="E769" s="273"/>
      <c r="F769" s="272"/>
    </row>
    <row r="770" spans="2:6" ht="12" customHeight="1" x14ac:dyDescent="0.15">
      <c r="B770" s="274"/>
      <c r="C770" s="273"/>
      <c r="D770" s="273"/>
      <c r="E770" s="273"/>
      <c r="F770" s="272"/>
    </row>
    <row r="771" spans="2:6" ht="12" customHeight="1" x14ac:dyDescent="0.15">
      <c r="B771" s="274"/>
      <c r="C771" s="273"/>
      <c r="D771" s="273"/>
      <c r="E771" s="273"/>
      <c r="F771" s="272"/>
    </row>
    <row r="772" spans="2:6" ht="12" customHeight="1" x14ac:dyDescent="0.15">
      <c r="B772" s="274"/>
      <c r="C772" s="273"/>
      <c r="D772" s="273"/>
      <c r="E772" s="273"/>
      <c r="F772" s="272"/>
    </row>
    <row r="773" spans="2:6" ht="12" customHeight="1" x14ac:dyDescent="0.15">
      <c r="B773" s="274"/>
      <c r="C773" s="273"/>
      <c r="D773" s="273"/>
      <c r="E773" s="273"/>
      <c r="F773" s="272"/>
    </row>
    <row r="774" spans="2:6" ht="12" customHeight="1" x14ac:dyDescent="0.15">
      <c r="B774" s="274"/>
      <c r="C774" s="273"/>
      <c r="D774" s="273"/>
      <c r="E774" s="273"/>
      <c r="F774" s="272"/>
    </row>
    <row r="775" spans="2:6" ht="12" customHeight="1" x14ac:dyDescent="0.15">
      <c r="B775" s="274"/>
      <c r="C775" s="273"/>
      <c r="D775" s="273"/>
      <c r="E775" s="273"/>
      <c r="F775" s="272"/>
    </row>
    <row r="776" spans="2:6" ht="12" customHeight="1" x14ac:dyDescent="0.15">
      <c r="B776" s="274"/>
      <c r="C776" s="273"/>
      <c r="D776" s="273"/>
      <c r="E776" s="273"/>
      <c r="F776" s="272"/>
    </row>
    <row r="777" spans="2:6" ht="12" customHeight="1" x14ac:dyDescent="0.15">
      <c r="B777" s="274"/>
      <c r="C777" s="273"/>
      <c r="D777" s="273"/>
      <c r="E777" s="273"/>
      <c r="F777" s="272"/>
    </row>
    <row r="778" spans="2:6" ht="12" customHeight="1" x14ac:dyDescent="0.15">
      <c r="B778" s="274"/>
      <c r="C778" s="273"/>
      <c r="D778" s="273"/>
      <c r="E778" s="273"/>
      <c r="F778" s="272"/>
    </row>
    <row r="779" spans="2:6" ht="12" customHeight="1" x14ac:dyDescent="0.15">
      <c r="B779" s="274"/>
      <c r="C779" s="273"/>
      <c r="D779" s="273"/>
      <c r="E779" s="273"/>
      <c r="F779" s="272"/>
    </row>
    <row r="780" spans="2:6" ht="12" customHeight="1" x14ac:dyDescent="0.15">
      <c r="B780" s="274"/>
      <c r="C780" s="273"/>
      <c r="D780" s="273"/>
      <c r="E780" s="273"/>
      <c r="F780" s="272"/>
    </row>
    <row r="781" spans="2:6" ht="12" customHeight="1" x14ac:dyDescent="0.15">
      <c r="B781" s="274"/>
      <c r="C781" s="273"/>
      <c r="D781" s="273"/>
      <c r="E781" s="273"/>
      <c r="F781" s="272"/>
    </row>
    <row r="782" spans="2:6" ht="12" customHeight="1" x14ac:dyDescent="0.15">
      <c r="B782" s="274"/>
      <c r="C782" s="273"/>
      <c r="D782" s="273"/>
      <c r="E782" s="273"/>
      <c r="F782" s="272"/>
    </row>
    <row r="783" spans="2:6" ht="12" customHeight="1" x14ac:dyDescent="0.15">
      <c r="B783" s="274"/>
      <c r="C783" s="273"/>
      <c r="D783" s="273"/>
      <c r="E783" s="273"/>
      <c r="F783" s="272"/>
    </row>
    <row r="784" spans="2:6" ht="12" customHeight="1" x14ac:dyDescent="0.15">
      <c r="B784" s="274"/>
      <c r="C784" s="273"/>
      <c r="D784" s="273"/>
      <c r="E784" s="273"/>
      <c r="F784" s="272"/>
    </row>
    <row r="785" spans="2:6" ht="12" customHeight="1" x14ac:dyDescent="0.15">
      <c r="B785" s="274"/>
      <c r="C785" s="273"/>
      <c r="D785" s="273"/>
      <c r="E785" s="273"/>
      <c r="F785" s="272"/>
    </row>
    <row r="786" spans="2:6" ht="12" customHeight="1" x14ac:dyDescent="0.15">
      <c r="B786" s="274"/>
      <c r="C786" s="273"/>
      <c r="D786" s="273"/>
      <c r="E786" s="273"/>
      <c r="F786" s="272"/>
    </row>
    <row r="787" spans="2:6" ht="12" customHeight="1" x14ac:dyDescent="0.15">
      <c r="B787" s="274"/>
      <c r="C787" s="273"/>
      <c r="D787" s="273"/>
      <c r="E787" s="273"/>
      <c r="F787" s="272"/>
    </row>
    <row r="788" spans="2:6" ht="12" customHeight="1" x14ac:dyDescent="0.15">
      <c r="B788" s="274"/>
      <c r="C788" s="273"/>
      <c r="D788" s="273"/>
      <c r="E788" s="273"/>
      <c r="F788" s="272"/>
    </row>
    <row r="789" spans="2:6" ht="12" customHeight="1" x14ac:dyDescent="0.15">
      <c r="B789" s="274"/>
      <c r="C789" s="273"/>
      <c r="D789" s="273"/>
      <c r="E789" s="273"/>
      <c r="F789" s="272"/>
    </row>
    <row r="790" spans="2:6" ht="12" customHeight="1" x14ac:dyDescent="0.15">
      <c r="B790" s="274"/>
      <c r="C790" s="273"/>
      <c r="D790" s="273"/>
      <c r="E790" s="273"/>
      <c r="F790" s="272"/>
    </row>
    <row r="791" spans="2:6" ht="12" customHeight="1" x14ac:dyDescent="0.15">
      <c r="B791" s="274"/>
      <c r="C791" s="273"/>
      <c r="D791" s="273"/>
      <c r="E791" s="273"/>
      <c r="F791" s="272"/>
    </row>
    <row r="792" spans="2:6" ht="12" customHeight="1" x14ac:dyDescent="0.15">
      <c r="B792" s="274"/>
      <c r="C792" s="273"/>
      <c r="D792" s="273"/>
      <c r="E792" s="273"/>
      <c r="F792" s="272"/>
    </row>
    <row r="793" spans="2:6" ht="12" customHeight="1" x14ac:dyDescent="0.15">
      <c r="B793" s="274"/>
      <c r="C793" s="273"/>
      <c r="D793" s="273"/>
      <c r="E793" s="273"/>
      <c r="F793" s="272"/>
    </row>
    <row r="794" spans="2:6" ht="12" customHeight="1" x14ac:dyDescent="0.15">
      <c r="B794" s="274"/>
      <c r="C794" s="273"/>
      <c r="D794" s="273"/>
      <c r="E794" s="273"/>
      <c r="F794" s="272"/>
    </row>
    <row r="795" spans="2:6" ht="12" customHeight="1" x14ac:dyDescent="0.15">
      <c r="B795" s="274"/>
      <c r="C795" s="273"/>
      <c r="D795" s="273"/>
      <c r="E795" s="273"/>
      <c r="F795" s="272"/>
    </row>
    <row r="796" spans="2:6" ht="12" customHeight="1" x14ac:dyDescent="0.15">
      <c r="B796" s="274"/>
      <c r="C796" s="273"/>
      <c r="D796" s="273"/>
      <c r="E796" s="273"/>
      <c r="F796" s="272"/>
    </row>
    <row r="797" spans="2:6" ht="12" customHeight="1" x14ac:dyDescent="0.15">
      <c r="B797" s="274"/>
      <c r="C797" s="273"/>
      <c r="D797" s="273"/>
      <c r="E797" s="273"/>
      <c r="F797" s="272"/>
    </row>
    <row r="798" spans="2:6" ht="12" customHeight="1" x14ac:dyDescent="0.15">
      <c r="B798" s="274"/>
      <c r="C798" s="273"/>
      <c r="D798" s="273"/>
      <c r="E798" s="273"/>
      <c r="F798" s="272"/>
    </row>
    <row r="799" spans="2:6" ht="12" customHeight="1" x14ac:dyDescent="0.15">
      <c r="B799" s="274"/>
      <c r="C799" s="273"/>
      <c r="D799" s="273"/>
      <c r="E799" s="273"/>
      <c r="F799" s="272"/>
    </row>
    <row r="800" spans="2:6" ht="12" customHeight="1" x14ac:dyDescent="0.15">
      <c r="B800" s="274"/>
      <c r="C800" s="273"/>
      <c r="D800" s="273"/>
      <c r="E800" s="273"/>
      <c r="F800" s="272"/>
    </row>
    <row r="801" spans="2:6" ht="12" customHeight="1" x14ac:dyDescent="0.15">
      <c r="B801" s="274"/>
      <c r="C801" s="273"/>
      <c r="D801" s="273"/>
      <c r="E801" s="273"/>
      <c r="F801" s="272"/>
    </row>
    <row r="802" spans="2:6" ht="12" customHeight="1" x14ac:dyDescent="0.15">
      <c r="B802" s="274"/>
      <c r="C802" s="273"/>
      <c r="D802" s="273"/>
      <c r="E802" s="273"/>
      <c r="F802" s="272"/>
    </row>
    <row r="803" spans="2:6" ht="12" customHeight="1" x14ac:dyDescent="0.15">
      <c r="B803" s="274"/>
      <c r="C803" s="273"/>
      <c r="D803" s="273"/>
      <c r="E803" s="273"/>
      <c r="F803" s="272"/>
    </row>
    <row r="804" spans="2:6" ht="12" customHeight="1" x14ac:dyDescent="0.15">
      <c r="B804" s="274"/>
      <c r="C804" s="273"/>
      <c r="D804" s="273"/>
      <c r="E804" s="273"/>
      <c r="F804" s="272"/>
    </row>
    <row r="805" spans="2:6" ht="12" customHeight="1" x14ac:dyDescent="0.15">
      <c r="B805" s="274"/>
      <c r="C805" s="273"/>
      <c r="D805" s="273"/>
      <c r="E805" s="273"/>
      <c r="F805" s="272"/>
    </row>
    <row r="806" spans="2:6" ht="12" customHeight="1" x14ac:dyDescent="0.15">
      <c r="B806" s="274"/>
      <c r="C806" s="273"/>
      <c r="D806" s="273"/>
      <c r="E806" s="273"/>
      <c r="F806" s="272"/>
    </row>
    <row r="807" spans="2:6" ht="12" customHeight="1" x14ac:dyDescent="0.15">
      <c r="B807" s="274"/>
      <c r="C807" s="273"/>
      <c r="D807" s="273"/>
      <c r="E807" s="273"/>
      <c r="F807" s="272"/>
    </row>
    <row r="808" spans="2:6" ht="12" customHeight="1" x14ac:dyDescent="0.15">
      <c r="B808" s="274"/>
      <c r="C808" s="273"/>
      <c r="D808" s="273"/>
      <c r="E808" s="273"/>
      <c r="F808" s="272"/>
    </row>
    <row r="809" spans="2:6" ht="12" customHeight="1" x14ac:dyDescent="0.15">
      <c r="B809" s="274"/>
      <c r="C809" s="273"/>
      <c r="D809" s="273"/>
      <c r="E809" s="273"/>
      <c r="F809" s="272"/>
    </row>
    <row r="810" spans="2:6" ht="12" customHeight="1" x14ac:dyDescent="0.15">
      <c r="B810" s="274"/>
      <c r="C810" s="273"/>
      <c r="D810" s="273"/>
      <c r="E810" s="273"/>
      <c r="F810" s="272"/>
    </row>
    <row r="811" spans="2:6" ht="12" customHeight="1" x14ac:dyDescent="0.15">
      <c r="B811" s="274"/>
      <c r="C811" s="273"/>
      <c r="D811" s="273"/>
      <c r="E811" s="273"/>
      <c r="F811" s="272"/>
    </row>
    <row r="812" spans="2:6" ht="12" customHeight="1" x14ac:dyDescent="0.15">
      <c r="B812" s="274"/>
      <c r="C812" s="273"/>
      <c r="D812" s="273"/>
      <c r="E812" s="273"/>
      <c r="F812" s="272"/>
    </row>
    <row r="813" spans="2:6" ht="12" customHeight="1" x14ac:dyDescent="0.15">
      <c r="B813" s="274"/>
      <c r="C813" s="273"/>
      <c r="D813" s="273"/>
      <c r="E813" s="273"/>
      <c r="F813" s="272"/>
    </row>
    <row r="814" spans="2:6" ht="12" customHeight="1" x14ac:dyDescent="0.15">
      <c r="B814" s="274"/>
      <c r="C814" s="273"/>
      <c r="D814" s="273"/>
      <c r="E814" s="273"/>
      <c r="F814" s="272"/>
    </row>
    <row r="815" spans="2:6" ht="12" customHeight="1" x14ac:dyDescent="0.15">
      <c r="B815" s="274"/>
      <c r="C815" s="273"/>
      <c r="D815" s="273"/>
      <c r="E815" s="273"/>
      <c r="F815" s="272"/>
    </row>
    <row r="816" spans="2:6" ht="12" customHeight="1" x14ac:dyDescent="0.15">
      <c r="B816" s="274"/>
      <c r="C816" s="273"/>
      <c r="D816" s="273"/>
      <c r="E816" s="273"/>
      <c r="F816" s="272"/>
    </row>
    <row r="817" spans="2:6" ht="12" customHeight="1" x14ac:dyDescent="0.15">
      <c r="B817" s="274"/>
      <c r="C817" s="273"/>
      <c r="D817" s="273"/>
      <c r="E817" s="273"/>
      <c r="F817" s="272"/>
    </row>
    <row r="818" spans="2:6" ht="12" customHeight="1" x14ac:dyDescent="0.15">
      <c r="B818" s="274"/>
      <c r="C818" s="273"/>
      <c r="D818" s="273"/>
      <c r="E818" s="273"/>
      <c r="F818" s="272"/>
    </row>
    <row r="819" spans="2:6" ht="12" customHeight="1" x14ac:dyDescent="0.15">
      <c r="B819" s="274"/>
      <c r="C819" s="273"/>
      <c r="D819" s="273"/>
      <c r="E819" s="273"/>
      <c r="F819" s="272"/>
    </row>
    <row r="820" spans="2:6" ht="12" customHeight="1" x14ac:dyDescent="0.15">
      <c r="B820" s="274"/>
      <c r="C820" s="273"/>
      <c r="D820" s="273"/>
      <c r="E820" s="273"/>
      <c r="F820" s="272"/>
    </row>
    <row r="821" spans="2:6" ht="12" customHeight="1" x14ac:dyDescent="0.15">
      <c r="B821" s="274"/>
      <c r="C821" s="273"/>
      <c r="D821" s="273"/>
      <c r="E821" s="273"/>
      <c r="F821" s="272"/>
    </row>
    <row r="822" spans="2:6" ht="12" customHeight="1" x14ac:dyDescent="0.15">
      <c r="B822" s="274"/>
      <c r="C822" s="273"/>
      <c r="D822" s="273"/>
      <c r="E822" s="273"/>
      <c r="F822" s="272"/>
    </row>
    <row r="823" spans="2:6" ht="12" customHeight="1" x14ac:dyDescent="0.15">
      <c r="B823" s="274"/>
      <c r="C823" s="273"/>
      <c r="D823" s="273"/>
      <c r="E823" s="273"/>
      <c r="F823" s="272"/>
    </row>
    <row r="824" spans="2:6" ht="12" customHeight="1" x14ac:dyDescent="0.15">
      <c r="B824" s="274"/>
      <c r="C824" s="273"/>
      <c r="D824" s="273"/>
      <c r="E824" s="273"/>
      <c r="F824" s="272"/>
    </row>
    <row r="825" spans="2:6" ht="12" customHeight="1" x14ac:dyDescent="0.15">
      <c r="B825" s="274"/>
      <c r="C825" s="273"/>
      <c r="D825" s="273"/>
      <c r="E825" s="273"/>
      <c r="F825" s="272"/>
    </row>
    <row r="826" spans="2:6" ht="12" customHeight="1" x14ac:dyDescent="0.15">
      <c r="B826" s="274"/>
      <c r="C826" s="273"/>
      <c r="D826" s="273"/>
      <c r="E826" s="273"/>
      <c r="F826" s="272"/>
    </row>
    <row r="827" spans="2:6" ht="12" customHeight="1" x14ac:dyDescent="0.15">
      <c r="B827" s="274"/>
      <c r="C827" s="273"/>
      <c r="D827" s="273"/>
      <c r="E827" s="273"/>
      <c r="F827" s="272"/>
    </row>
    <row r="828" spans="2:6" ht="12" customHeight="1" x14ac:dyDescent="0.15">
      <c r="B828" s="274"/>
      <c r="C828" s="273"/>
      <c r="D828" s="273"/>
      <c r="E828" s="273"/>
      <c r="F828" s="272"/>
    </row>
    <row r="829" spans="2:6" ht="12" customHeight="1" x14ac:dyDescent="0.15">
      <c r="B829" s="274"/>
      <c r="C829" s="273"/>
      <c r="D829" s="273"/>
      <c r="E829" s="273"/>
      <c r="F829" s="272"/>
    </row>
    <row r="830" spans="2:6" ht="12" customHeight="1" x14ac:dyDescent="0.15">
      <c r="B830" s="274"/>
      <c r="C830" s="273"/>
      <c r="D830" s="273"/>
      <c r="E830" s="273"/>
      <c r="F830" s="272"/>
    </row>
    <row r="831" spans="2:6" ht="12" customHeight="1" x14ac:dyDescent="0.15">
      <c r="B831" s="274"/>
      <c r="C831" s="273"/>
      <c r="D831" s="273"/>
      <c r="E831" s="273"/>
      <c r="F831" s="272"/>
    </row>
    <row r="832" spans="2:6" ht="12" customHeight="1" x14ac:dyDescent="0.15">
      <c r="B832" s="274"/>
      <c r="C832" s="273"/>
      <c r="D832" s="273"/>
      <c r="E832" s="273"/>
      <c r="F832" s="272"/>
    </row>
    <row r="833" spans="2:6" ht="12" customHeight="1" x14ac:dyDescent="0.15">
      <c r="B833" s="274"/>
      <c r="C833" s="273"/>
      <c r="D833" s="273"/>
      <c r="E833" s="273"/>
      <c r="F833" s="272"/>
    </row>
    <row r="834" spans="2:6" ht="12" customHeight="1" x14ac:dyDescent="0.15">
      <c r="B834" s="274"/>
      <c r="C834" s="273"/>
      <c r="D834" s="273"/>
      <c r="E834" s="273"/>
      <c r="F834" s="272"/>
    </row>
    <row r="835" spans="2:6" ht="12" customHeight="1" x14ac:dyDescent="0.15">
      <c r="B835" s="274"/>
      <c r="C835" s="273"/>
      <c r="D835" s="273"/>
      <c r="E835" s="273"/>
      <c r="F835" s="272"/>
    </row>
    <row r="836" spans="2:6" ht="12" customHeight="1" x14ac:dyDescent="0.15">
      <c r="B836" s="274"/>
      <c r="C836" s="273"/>
      <c r="D836" s="273"/>
      <c r="E836" s="273"/>
      <c r="F836" s="272"/>
    </row>
    <row r="837" spans="2:6" ht="12" customHeight="1" x14ac:dyDescent="0.15">
      <c r="B837" s="274"/>
      <c r="C837" s="273"/>
      <c r="D837" s="273"/>
      <c r="E837" s="273"/>
      <c r="F837" s="272"/>
    </row>
    <row r="838" spans="2:6" ht="12" customHeight="1" x14ac:dyDescent="0.15">
      <c r="B838" s="274"/>
      <c r="C838" s="273"/>
      <c r="D838" s="273"/>
      <c r="E838" s="273"/>
      <c r="F838" s="272"/>
    </row>
    <row r="839" spans="2:6" ht="12" customHeight="1" x14ac:dyDescent="0.15">
      <c r="B839" s="274"/>
      <c r="C839" s="273"/>
      <c r="D839" s="273"/>
      <c r="E839" s="273"/>
      <c r="F839" s="272"/>
    </row>
    <row r="840" spans="2:6" ht="12" customHeight="1" x14ac:dyDescent="0.15">
      <c r="B840" s="274"/>
      <c r="C840" s="273"/>
      <c r="D840" s="273"/>
      <c r="E840" s="273"/>
      <c r="F840" s="272"/>
    </row>
    <row r="841" spans="2:6" ht="12" customHeight="1" x14ac:dyDescent="0.15">
      <c r="B841" s="274"/>
      <c r="C841" s="273"/>
      <c r="D841" s="273"/>
      <c r="E841" s="273"/>
      <c r="F841" s="272"/>
    </row>
    <row r="842" spans="2:6" ht="12" customHeight="1" x14ac:dyDescent="0.15">
      <c r="B842" s="274"/>
      <c r="C842" s="273"/>
      <c r="D842" s="273"/>
      <c r="E842" s="273"/>
      <c r="F842" s="272"/>
    </row>
    <row r="843" spans="2:6" ht="12" customHeight="1" x14ac:dyDescent="0.15">
      <c r="B843" s="274"/>
      <c r="C843" s="273"/>
      <c r="D843" s="273"/>
      <c r="E843" s="273"/>
      <c r="F843" s="272"/>
    </row>
    <row r="844" spans="2:6" ht="12" customHeight="1" x14ac:dyDescent="0.15">
      <c r="B844" s="274"/>
      <c r="C844" s="273"/>
      <c r="D844" s="273"/>
      <c r="E844" s="273"/>
      <c r="F844" s="272"/>
    </row>
    <row r="845" spans="2:6" ht="12" customHeight="1" x14ac:dyDescent="0.15">
      <c r="B845" s="274"/>
      <c r="C845" s="273"/>
      <c r="D845" s="273"/>
      <c r="E845" s="273"/>
      <c r="F845" s="272"/>
    </row>
    <row r="846" spans="2:6" ht="12" customHeight="1" x14ac:dyDescent="0.15">
      <c r="B846" s="274"/>
      <c r="C846" s="273"/>
      <c r="D846" s="273"/>
      <c r="E846" s="273"/>
      <c r="F846" s="272"/>
    </row>
    <row r="847" spans="2:6" ht="12" customHeight="1" x14ac:dyDescent="0.15">
      <c r="B847" s="274"/>
      <c r="C847" s="273"/>
      <c r="D847" s="273"/>
      <c r="E847" s="273"/>
      <c r="F847" s="272"/>
    </row>
    <row r="848" spans="2:6" ht="12" customHeight="1" x14ac:dyDescent="0.15">
      <c r="B848" s="274"/>
      <c r="C848" s="273"/>
      <c r="D848" s="273"/>
      <c r="E848" s="273"/>
      <c r="F848" s="272"/>
    </row>
    <row r="849" spans="2:6" ht="12" customHeight="1" x14ac:dyDescent="0.15">
      <c r="B849" s="274"/>
      <c r="C849" s="273"/>
      <c r="D849" s="273"/>
      <c r="E849" s="273"/>
      <c r="F849" s="272"/>
    </row>
    <row r="850" spans="2:6" ht="12" customHeight="1" x14ac:dyDescent="0.15">
      <c r="B850" s="274"/>
      <c r="C850" s="273"/>
      <c r="D850" s="273"/>
      <c r="E850" s="273"/>
      <c r="F850" s="272"/>
    </row>
    <row r="851" spans="2:6" ht="12" customHeight="1" x14ac:dyDescent="0.15">
      <c r="B851" s="274"/>
      <c r="C851" s="273"/>
      <c r="D851" s="273"/>
      <c r="E851" s="273"/>
      <c r="F851" s="272"/>
    </row>
    <row r="852" spans="2:6" ht="12" customHeight="1" x14ac:dyDescent="0.15">
      <c r="B852" s="274"/>
      <c r="C852" s="273"/>
      <c r="D852" s="273"/>
      <c r="E852" s="273"/>
      <c r="F852" s="272"/>
    </row>
    <row r="853" spans="2:6" ht="12" customHeight="1" x14ac:dyDescent="0.15">
      <c r="B853" s="274"/>
      <c r="C853" s="273"/>
      <c r="D853" s="273"/>
      <c r="E853" s="273"/>
      <c r="F853" s="272"/>
    </row>
    <row r="854" spans="2:6" ht="12" customHeight="1" x14ac:dyDescent="0.15">
      <c r="B854" s="274"/>
      <c r="C854" s="273"/>
      <c r="D854" s="273"/>
      <c r="E854" s="273"/>
      <c r="F854" s="272"/>
    </row>
    <row r="855" spans="2:6" ht="12" customHeight="1" x14ac:dyDescent="0.15">
      <c r="B855" s="274"/>
      <c r="C855" s="273"/>
      <c r="D855" s="273"/>
      <c r="E855" s="273"/>
      <c r="F855" s="272"/>
    </row>
    <row r="856" spans="2:6" ht="12" customHeight="1" x14ac:dyDescent="0.15">
      <c r="B856" s="274"/>
      <c r="C856" s="273"/>
      <c r="D856" s="273"/>
      <c r="E856" s="273"/>
      <c r="F856" s="272"/>
    </row>
    <row r="857" spans="2:6" ht="12" customHeight="1" x14ac:dyDescent="0.15">
      <c r="B857" s="274"/>
      <c r="C857" s="273"/>
      <c r="D857" s="273"/>
      <c r="E857" s="273"/>
      <c r="F857" s="272"/>
    </row>
    <row r="858" spans="2:6" ht="12" customHeight="1" x14ac:dyDescent="0.15">
      <c r="B858" s="274"/>
      <c r="C858" s="273"/>
      <c r="D858" s="273"/>
      <c r="E858" s="273"/>
      <c r="F858" s="272"/>
    </row>
    <row r="859" spans="2:6" ht="12" customHeight="1" x14ac:dyDescent="0.15">
      <c r="B859" s="274"/>
      <c r="C859" s="273"/>
      <c r="D859" s="273"/>
      <c r="E859" s="273"/>
      <c r="F859" s="272"/>
    </row>
    <row r="860" spans="2:6" ht="12" customHeight="1" x14ac:dyDescent="0.15">
      <c r="B860" s="274"/>
      <c r="C860" s="273"/>
      <c r="D860" s="273"/>
      <c r="E860" s="273"/>
      <c r="F860" s="272"/>
    </row>
    <row r="861" spans="2:6" ht="12" customHeight="1" x14ac:dyDescent="0.15">
      <c r="B861" s="274"/>
      <c r="C861" s="273"/>
      <c r="D861" s="273"/>
      <c r="E861" s="273"/>
      <c r="F861" s="272"/>
    </row>
    <row r="862" spans="2:6" ht="12" customHeight="1" x14ac:dyDescent="0.15">
      <c r="B862" s="274"/>
      <c r="C862" s="273"/>
      <c r="D862" s="273"/>
      <c r="E862" s="273"/>
      <c r="F862" s="272"/>
    </row>
    <row r="863" spans="2:6" ht="12" customHeight="1" x14ac:dyDescent="0.15">
      <c r="B863" s="274"/>
      <c r="C863" s="273"/>
      <c r="D863" s="273"/>
      <c r="E863" s="273"/>
      <c r="F863" s="272"/>
    </row>
    <row r="864" spans="2:6" ht="12" customHeight="1" x14ac:dyDescent="0.15">
      <c r="B864" s="274"/>
      <c r="C864" s="273"/>
      <c r="D864" s="273"/>
      <c r="E864" s="273"/>
      <c r="F864" s="272"/>
    </row>
    <row r="865" spans="2:6" ht="12" customHeight="1" x14ac:dyDescent="0.15">
      <c r="B865" s="274"/>
      <c r="C865" s="273"/>
      <c r="D865" s="273"/>
      <c r="E865" s="273"/>
      <c r="F865" s="272"/>
    </row>
    <row r="866" spans="2:6" ht="12" customHeight="1" x14ac:dyDescent="0.15">
      <c r="B866" s="274"/>
      <c r="C866" s="273"/>
      <c r="D866" s="273"/>
      <c r="E866" s="273"/>
      <c r="F866" s="272"/>
    </row>
    <row r="867" spans="2:6" ht="12" customHeight="1" x14ac:dyDescent="0.15">
      <c r="B867" s="274"/>
      <c r="C867" s="273"/>
      <c r="D867" s="273"/>
      <c r="E867" s="273"/>
      <c r="F867" s="272"/>
    </row>
    <row r="868" spans="2:6" ht="12" customHeight="1" x14ac:dyDescent="0.15">
      <c r="B868" s="274"/>
      <c r="C868" s="273"/>
      <c r="D868" s="273"/>
      <c r="E868" s="273"/>
      <c r="F868" s="272"/>
    </row>
    <row r="869" spans="2:6" ht="12" customHeight="1" x14ac:dyDescent="0.15">
      <c r="B869" s="274"/>
      <c r="C869" s="273"/>
      <c r="D869" s="273"/>
      <c r="E869" s="273"/>
      <c r="F869" s="272"/>
    </row>
    <row r="870" spans="2:6" ht="12" customHeight="1" x14ac:dyDescent="0.15">
      <c r="B870" s="274"/>
      <c r="C870" s="273"/>
      <c r="D870" s="273"/>
      <c r="E870" s="273"/>
      <c r="F870" s="272"/>
    </row>
    <row r="871" spans="2:6" ht="12" customHeight="1" x14ac:dyDescent="0.15">
      <c r="B871" s="274"/>
      <c r="C871" s="273"/>
      <c r="D871" s="273"/>
      <c r="E871" s="273"/>
      <c r="F871" s="272"/>
    </row>
    <row r="872" spans="2:6" ht="12" customHeight="1" x14ac:dyDescent="0.15">
      <c r="B872" s="274"/>
      <c r="C872" s="273"/>
      <c r="D872" s="273"/>
      <c r="E872" s="273"/>
      <c r="F872" s="272"/>
    </row>
    <row r="873" spans="2:6" ht="12" customHeight="1" x14ac:dyDescent="0.15">
      <c r="B873" s="274"/>
      <c r="C873" s="273"/>
      <c r="D873" s="273"/>
      <c r="E873" s="273"/>
      <c r="F873" s="272"/>
    </row>
    <row r="874" spans="2:6" ht="12" customHeight="1" x14ac:dyDescent="0.15">
      <c r="B874" s="274"/>
      <c r="C874" s="273"/>
      <c r="D874" s="273"/>
      <c r="E874" s="273"/>
      <c r="F874" s="272"/>
    </row>
    <row r="875" spans="2:6" ht="12" customHeight="1" x14ac:dyDescent="0.15">
      <c r="B875" s="274"/>
      <c r="C875" s="273"/>
      <c r="D875" s="273"/>
      <c r="E875" s="273"/>
      <c r="F875" s="272"/>
    </row>
    <row r="876" spans="2:6" ht="12" customHeight="1" x14ac:dyDescent="0.15">
      <c r="B876" s="274"/>
      <c r="C876" s="273"/>
      <c r="D876" s="273"/>
      <c r="E876" s="273"/>
      <c r="F876" s="272"/>
    </row>
    <row r="877" spans="2:6" ht="12" customHeight="1" x14ac:dyDescent="0.15">
      <c r="B877" s="274"/>
      <c r="C877" s="273"/>
      <c r="D877" s="273"/>
      <c r="E877" s="273"/>
      <c r="F877" s="272"/>
    </row>
    <row r="878" spans="2:6" ht="12" customHeight="1" x14ac:dyDescent="0.15">
      <c r="B878" s="274"/>
      <c r="C878" s="273"/>
      <c r="D878" s="273"/>
      <c r="E878" s="273"/>
      <c r="F878" s="272"/>
    </row>
    <row r="879" spans="2:6" ht="12" customHeight="1" x14ac:dyDescent="0.15">
      <c r="B879" s="274"/>
      <c r="C879" s="273"/>
      <c r="D879" s="273"/>
      <c r="E879" s="273"/>
      <c r="F879" s="272"/>
    </row>
    <row r="880" spans="2:6" ht="12" customHeight="1" x14ac:dyDescent="0.15">
      <c r="B880" s="274"/>
      <c r="C880" s="273"/>
      <c r="D880" s="273"/>
      <c r="E880" s="273"/>
      <c r="F880" s="272"/>
    </row>
    <row r="881" spans="2:6" ht="12" customHeight="1" x14ac:dyDescent="0.15">
      <c r="B881" s="274"/>
      <c r="C881" s="273"/>
      <c r="D881" s="273"/>
      <c r="E881" s="273"/>
      <c r="F881" s="272"/>
    </row>
    <row r="882" spans="2:6" ht="12" customHeight="1" x14ac:dyDescent="0.15">
      <c r="B882" s="274"/>
      <c r="C882" s="273"/>
      <c r="D882" s="273"/>
      <c r="E882" s="273"/>
      <c r="F882" s="272"/>
    </row>
    <row r="883" spans="2:6" ht="12" customHeight="1" x14ac:dyDescent="0.15">
      <c r="B883" s="274"/>
      <c r="C883" s="273"/>
      <c r="D883" s="273"/>
      <c r="E883" s="273"/>
      <c r="F883" s="272"/>
    </row>
    <row r="884" spans="2:6" ht="12" customHeight="1" x14ac:dyDescent="0.15">
      <c r="B884" s="274"/>
      <c r="C884" s="273"/>
      <c r="D884" s="273"/>
      <c r="E884" s="273"/>
      <c r="F884" s="272"/>
    </row>
    <row r="885" spans="2:6" ht="12" customHeight="1" x14ac:dyDescent="0.15">
      <c r="B885" s="274"/>
      <c r="C885" s="273"/>
      <c r="D885" s="273"/>
      <c r="E885" s="273"/>
      <c r="F885" s="272"/>
    </row>
    <row r="886" spans="2:6" ht="12" customHeight="1" x14ac:dyDescent="0.15">
      <c r="B886" s="274"/>
      <c r="C886" s="273"/>
      <c r="D886" s="273"/>
      <c r="E886" s="273"/>
      <c r="F886" s="272"/>
    </row>
    <row r="887" spans="2:6" ht="12" customHeight="1" x14ac:dyDescent="0.15">
      <c r="B887" s="274"/>
      <c r="C887" s="273"/>
      <c r="D887" s="273"/>
      <c r="E887" s="273"/>
      <c r="F887" s="272"/>
    </row>
    <row r="888" spans="2:6" ht="12" customHeight="1" x14ac:dyDescent="0.15">
      <c r="B888" s="274"/>
      <c r="C888" s="273"/>
      <c r="D888" s="273"/>
      <c r="E888" s="273"/>
      <c r="F888" s="272"/>
    </row>
    <row r="889" spans="2:6" ht="12" customHeight="1" x14ac:dyDescent="0.15">
      <c r="B889" s="274"/>
      <c r="C889" s="273"/>
      <c r="D889" s="273"/>
      <c r="E889" s="273"/>
      <c r="F889" s="272"/>
    </row>
    <row r="890" spans="2:6" ht="12" customHeight="1" x14ac:dyDescent="0.15">
      <c r="B890" s="274"/>
      <c r="C890" s="273"/>
      <c r="D890" s="273"/>
      <c r="E890" s="273"/>
      <c r="F890" s="272"/>
    </row>
    <row r="891" spans="2:6" ht="12" customHeight="1" x14ac:dyDescent="0.15">
      <c r="B891" s="274"/>
      <c r="C891" s="273"/>
      <c r="D891" s="273"/>
      <c r="E891" s="273"/>
      <c r="F891" s="272"/>
    </row>
    <row r="892" spans="2:6" ht="12" customHeight="1" x14ac:dyDescent="0.15">
      <c r="B892" s="274"/>
      <c r="C892" s="273"/>
      <c r="D892" s="273"/>
      <c r="E892" s="273"/>
      <c r="F892" s="272"/>
    </row>
    <row r="893" spans="2:6" ht="12" customHeight="1" x14ac:dyDescent="0.15">
      <c r="B893" s="274"/>
      <c r="C893" s="273"/>
      <c r="D893" s="273"/>
      <c r="E893" s="273"/>
      <c r="F893" s="272"/>
    </row>
    <row r="894" spans="2:6" ht="12" customHeight="1" x14ac:dyDescent="0.15">
      <c r="B894" s="274"/>
      <c r="C894" s="273"/>
      <c r="D894" s="273"/>
      <c r="E894" s="273"/>
      <c r="F894" s="272"/>
    </row>
    <row r="895" spans="2:6" ht="12" customHeight="1" x14ac:dyDescent="0.15">
      <c r="B895" s="274"/>
      <c r="C895" s="273"/>
      <c r="D895" s="273"/>
      <c r="E895" s="273"/>
      <c r="F895" s="272"/>
    </row>
    <row r="896" spans="2:6" ht="12" customHeight="1" x14ac:dyDescent="0.15">
      <c r="B896" s="274"/>
      <c r="C896" s="273"/>
      <c r="D896" s="273"/>
      <c r="E896" s="273"/>
      <c r="F896" s="272"/>
    </row>
    <row r="897" spans="2:6" ht="12" customHeight="1" x14ac:dyDescent="0.15">
      <c r="B897" s="274"/>
      <c r="C897" s="273"/>
      <c r="D897" s="273"/>
      <c r="E897" s="273"/>
      <c r="F897" s="272"/>
    </row>
    <row r="898" spans="2:6" ht="12" customHeight="1" x14ac:dyDescent="0.15">
      <c r="B898" s="274"/>
      <c r="C898" s="273"/>
      <c r="D898" s="273"/>
      <c r="E898" s="273"/>
      <c r="F898" s="272"/>
    </row>
    <row r="899" spans="2:6" ht="12" customHeight="1" x14ac:dyDescent="0.15">
      <c r="B899" s="274"/>
      <c r="C899" s="273"/>
      <c r="D899" s="273"/>
      <c r="E899" s="273"/>
      <c r="F899" s="272"/>
    </row>
    <row r="900" spans="2:6" ht="12" customHeight="1" x14ac:dyDescent="0.15">
      <c r="B900" s="274"/>
      <c r="C900" s="273"/>
      <c r="D900" s="273"/>
      <c r="E900" s="273"/>
      <c r="F900" s="272"/>
    </row>
    <row r="901" spans="2:6" ht="12" customHeight="1" x14ac:dyDescent="0.15">
      <c r="B901" s="274"/>
      <c r="C901" s="273"/>
      <c r="D901" s="273"/>
      <c r="E901" s="273"/>
      <c r="F901" s="272"/>
    </row>
    <row r="902" spans="2:6" ht="12" customHeight="1" x14ac:dyDescent="0.15">
      <c r="B902" s="274"/>
      <c r="C902" s="273"/>
      <c r="D902" s="273"/>
      <c r="E902" s="273"/>
      <c r="F902" s="272"/>
    </row>
    <row r="903" spans="2:6" ht="12" customHeight="1" x14ac:dyDescent="0.15">
      <c r="B903" s="274"/>
      <c r="C903" s="273"/>
      <c r="D903" s="273"/>
      <c r="E903" s="273"/>
      <c r="F903" s="272"/>
    </row>
    <row r="904" spans="2:6" ht="12" customHeight="1" x14ac:dyDescent="0.15">
      <c r="B904" s="274"/>
      <c r="C904" s="273"/>
      <c r="D904" s="273"/>
      <c r="E904" s="273"/>
      <c r="F904" s="272"/>
    </row>
    <row r="905" spans="2:6" ht="12" customHeight="1" x14ac:dyDescent="0.15">
      <c r="B905" s="274"/>
      <c r="C905" s="273"/>
      <c r="D905" s="273"/>
      <c r="E905" s="273"/>
      <c r="F905" s="272"/>
    </row>
    <row r="906" spans="2:6" ht="12" customHeight="1" x14ac:dyDescent="0.15">
      <c r="B906" s="274"/>
      <c r="C906" s="273"/>
      <c r="D906" s="273"/>
      <c r="E906" s="273"/>
      <c r="F906" s="272"/>
    </row>
    <row r="907" spans="2:6" ht="12" customHeight="1" x14ac:dyDescent="0.15">
      <c r="B907" s="274"/>
      <c r="C907" s="273"/>
      <c r="D907" s="273"/>
      <c r="E907" s="273"/>
      <c r="F907" s="272"/>
    </row>
    <row r="908" spans="2:6" ht="12" customHeight="1" x14ac:dyDescent="0.15">
      <c r="B908" s="274"/>
      <c r="C908" s="273"/>
      <c r="D908" s="273"/>
      <c r="E908" s="273"/>
      <c r="F908" s="272"/>
    </row>
    <row r="909" spans="2:6" ht="12" customHeight="1" x14ac:dyDescent="0.15">
      <c r="B909" s="274"/>
      <c r="C909" s="273"/>
      <c r="D909" s="273"/>
      <c r="E909" s="273"/>
      <c r="F909" s="272"/>
    </row>
    <row r="910" spans="2:6" ht="12" customHeight="1" x14ac:dyDescent="0.15">
      <c r="B910" s="274"/>
      <c r="C910" s="273"/>
      <c r="D910" s="273"/>
      <c r="E910" s="273"/>
      <c r="F910" s="272"/>
    </row>
    <row r="911" spans="2:6" ht="12" customHeight="1" x14ac:dyDescent="0.15">
      <c r="B911" s="274"/>
      <c r="C911" s="273"/>
      <c r="D911" s="273"/>
      <c r="E911" s="273"/>
      <c r="F911" s="272"/>
    </row>
    <row r="912" spans="2:6" ht="12" customHeight="1" x14ac:dyDescent="0.15">
      <c r="B912" s="274"/>
      <c r="C912" s="273"/>
      <c r="D912" s="273"/>
      <c r="E912" s="273"/>
      <c r="F912" s="272"/>
    </row>
    <row r="913" spans="2:6" ht="12" customHeight="1" x14ac:dyDescent="0.15">
      <c r="B913" s="274"/>
      <c r="C913" s="273"/>
      <c r="D913" s="273"/>
      <c r="E913" s="273"/>
      <c r="F913" s="272"/>
    </row>
    <row r="914" spans="2:6" ht="12" customHeight="1" x14ac:dyDescent="0.15">
      <c r="B914" s="274"/>
      <c r="C914" s="273"/>
      <c r="D914" s="273"/>
      <c r="E914" s="273"/>
      <c r="F914" s="272"/>
    </row>
    <row r="915" spans="2:6" ht="12" customHeight="1" x14ac:dyDescent="0.15">
      <c r="B915" s="274"/>
      <c r="C915" s="273"/>
      <c r="D915" s="273"/>
      <c r="E915" s="273"/>
      <c r="F915" s="272"/>
    </row>
    <row r="916" spans="2:6" ht="12" customHeight="1" x14ac:dyDescent="0.15">
      <c r="B916" s="274"/>
      <c r="C916" s="273"/>
      <c r="D916" s="273"/>
      <c r="E916" s="273"/>
      <c r="F916" s="272"/>
    </row>
    <row r="917" spans="2:6" ht="12" customHeight="1" x14ac:dyDescent="0.15">
      <c r="B917" s="274"/>
      <c r="C917" s="273"/>
      <c r="D917" s="273"/>
      <c r="E917" s="273"/>
      <c r="F917" s="272"/>
    </row>
    <row r="918" spans="2:6" ht="12" customHeight="1" x14ac:dyDescent="0.15">
      <c r="B918" s="274"/>
      <c r="C918" s="273"/>
      <c r="D918" s="273"/>
      <c r="E918" s="273"/>
      <c r="F918" s="272"/>
    </row>
    <row r="919" spans="2:6" ht="12" customHeight="1" x14ac:dyDescent="0.15">
      <c r="B919" s="274"/>
      <c r="C919" s="273"/>
      <c r="D919" s="273"/>
      <c r="E919" s="273"/>
      <c r="F919" s="272"/>
    </row>
    <row r="920" spans="2:6" ht="12" customHeight="1" x14ac:dyDescent="0.15">
      <c r="B920" s="274"/>
      <c r="C920" s="273"/>
      <c r="D920" s="273"/>
      <c r="E920" s="273"/>
      <c r="F920" s="272"/>
    </row>
    <row r="921" spans="2:6" ht="12" customHeight="1" x14ac:dyDescent="0.15">
      <c r="B921" s="274"/>
      <c r="C921" s="273"/>
      <c r="D921" s="273"/>
      <c r="E921" s="273"/>
      <c r="F921" s="272"/>
    </row>
    <row r="922" spans="2:6" ht="12" customHeight="1" x14ac:dyDescent="0.15">
      <c r="B922" s="274"/>
      <c r="C922" s="273"/>
      <c r="D922" s="273"/>
      <c r="E922" s="273"/>
      <c r="F922" s="272"/>
    </row>
    <row r="923" spans="2:6" ht="12" customHeight="1" x14ac:dyDescent="0.15">
      <c r="B923" s="274"/>
      <c r="C923" s="273"/>
      <c r="D923" s="273"/>
      <c r="E923" s="273"/>
      <c r="F923" s="272"/>
    </row>
    <row r="924" spans="2:6" ht="12" customHeight="1" x14ac:dyDescent="0.15">
      <c r="B924" s="274"/>
      <c r="C924" s="273"/>
      <c r="D924" s="273"/>
      <c r="E924" s="273"/>
      <c r="F924" s="272"/>
    </row>
    <row r="925" spans="2:6" ht="12" customHeight="1" x14ac:dyDescent="0.15">
      <c r="B925" s="274"/>
      <c r="C925" s="273"/>
      <c r="D925" s="273"/>
      <c r="E925" s="273"/>
      <c r="F925" s="272"/>
    </row>
    <row r="926" spans="2:6" ht="12" customHeight="1" x14ac:dyDescent="0.15">
      <c r="B926" s="274"/>
      <c r="C926" s="273"/>
      <c r="D926" s="273"/>
      <c r="E926" s="273"/>
      <c r="F926" s="272"/>
    </row>
    <row r="927" spans="2:6" ht="12" customHeight="1" x14ac:dyDescent="0.15">
      <c r="B927" s="274"/>
      <c r="C927" s="273"/>
      <c r="D927" s="273"/>
      <c r="E927" s="273"/>
      <c r="F927" s="272"/>
    </row>
    <row r="928" spans="2:6" ht="12" customHeight="1" x14ac:dyDescent="0.15">
      <c r="B928" s="274"/>
      <c r="C928" s="273"/>
      <c r="D928" s="273"/>
      <c r="E928" s="273"/>
      <c r="F928" s="272"/>
    </row>
    <row r="929" spans="2:6" ht="12" customHeight="1" x14ac:dyDescent="0.15">
      <c r="B929" s="274"/>
      <c r="C929" s="273"/>
      <c r="D929" s="273"/>
      <c r="E929" s="273"/>
      <c r="F929" s="272"/>
    </row>
    <row r="930" spans="2:6" ht="12" customHeight="1" x14ac:dyDescent="0.15">
      <c r="B930" s="274"/>
      <c r="C930" s="273"/>
      <c r="D930" s="273"/>
      <c r="E930" s="273"/>
      <c r="F930" s="272"/>
    </row>
    <row r="931" spans="2:6" ht="12" customHeight="1" x14ac:dyDescent="0.15">
      <c r="B931" s="274"/>
      <c r="C931" s="273"/>
      <c r="D931" s="273"/>
      <c r="E931" s="273"/>
      <c r="F931" s="272"/>
    </row>
    <row r="932" spans="2:6" ht="12" customHeight="1" x14ac:dyDescent="0.15">
      <c r="B932" s="274"/>
      <c r="C932" s="273"/>
      <c r="D932" s="273"/>
      <c r="E932" s="273"/>
      <c r="F932" s="272"/>
    </row>
    <row r="933" spans="2:6" ht="12" customHeight="1" x14ac:dyDescent="0.15">
      <c r="B933" s="274"/>
      <c r="C933" s="273"/>
      <c r="D933" s="273"/>
      <c r="E933" s="273"/>
      <c r="F933" s="272"/>
    </row>
    <row r="934" spans="2:6" ht="12" customHeight="1" x14ac:dyDescent="0.15">
      <c r="B934" s="274"/>
      <c r="C934" s="273"/>
      <c r="D934" s="273"/>
      <c r="E934" s="273"/>
      <c r="F934" s="272"/>
    </row>
    <row r="935" spans="2:6" ht="12" customHeight="1" x14ac:dyDescent="0.15">
      <c r="B935" s="274"/>
      <c r="C935" s="273"/>
      <c r="D935" s="273"/>
      <c r="E935" s="273"/>
      <c r="F935" s="272"/>
    </row>
    <row r="936" spans="2:6" ht="12" customHeight="1" x14ac:dyDescent="0.15">
      <c r="B936" s="274"/>
      <c r="C936" s="273"/>
      <c r="D936" s="273"/>
      <c r="E936" s="273"/>
      <c r="F936" s="272"/>
    </row>
    <row r="937" spans="2:6" ht="12" customHeight="1" x14ac:dyDescent="0.15">
      <c r="B937" s="274"/>
      <c r="C937" s="273"/>
      <c r="D937" s="273"/>
      <c r="E937" s="273"/>
      <c r="F937" s="272"/>
    </row>
    <row r="938" spans="2:6" ht="12" customHeight="1" x14ac:dyDescent="0.15">
      <c r="B938" s="274"/>
      <c r="C938" s="273"/>
      <c r="D938" s="273"/>
      <c r="E938" s="273"/>
      <c r="F938" s="272"/>
    </row>
    <row r="939" spans="2:6" ht="12" customHeight="1" x14ac:dyDescent="0.15">
      <c r="B939" s="274"/>
      <c r="C939" s="273"/>
      <c r="D939" s="273"/>
      <c r="E939" s="273"/>
      <c r="F939" s="272"/>
    </row>
    <row r="940" spans="2:6" ht="12" customHeight="1" x14ac:dyDescent="0.15">
      <c r="B940" s="274"/>
      <c r="C940" s="273"/>
      <c r="D940" s="273"/>
      <c r="E940" s="273"/>
      <c r="F940" s="272"/>
    </row>
    <row r="941" spans="2:6" ht="12" customHeight="1" x14ac:dyDescent="0.15">
      <c r="B941" s="274"/>
      <c r="C941" s="273"/>
      <c r="D941" s="273"/>
      <c r="E941" s="273"/>
      <c r="F941" s="272"/>
    </row>
    <row r="942" spans="2:6" ht="12" customHeight="1" x14ac:dyDescent="0.15">
      <c r="B942" s="274"/>
      <c r="C942" s="273"/>
      <c r="D942" s="273"/>
      <c r="E942" s="273"/>
      <c r="F942" s="272"/>
    </row>
    <row r="943" spans="2:6" ht="12" customHeight="1" x14ac:dyDescent="0.15">
      <c r="B943" s="274"/>
      <c r="C943" s="273"/>
      <c r="D943" s="273"/>
      <c r="E943" s="273"/>
      <c r="F943" s="272"/>
    </row>
    <row r="944" spans="2:6" ht="12" customHeight="1" x14ac:dyDescent="0.15">
      <c r="B944" s="274"/>
      <c r="C944" s="273"/>
      <c r="D944" s="273"/>
      <c r="E944" s="273"/>
      <c r="F944" s="272"/>
    </row>
    <row r="945" spans="2:6" ht="12" customHeight="1" x14ac:dyDescent="0.15">
      <c r="B945" s="274"/>
      <c r="C945" s="273"/>
      <c r="D945" s="273"/>
      <c r="E945" s="273"/>
      <c r="F945" s="272"/>
    </row>
    <row r="946" spans="2:6" ht="12" customHeight="1" x14ac:dyDescent="0.15">
      <c r="B946" s="274"/>
      <c r="C946" s="273"/>
      <c r="D946" s="273"/>
      <c r="E946" s="273"/>
      <c r="F946" s="272"/>
    </row>
    <row r="947" spans="2:6" ht="12" customHeight="1" x14ac:dyDescent="0.15">
      <c r="B947" s="274"/>
      <c r="C947" s="273"/>
      <c r="D947" s="273"/>
      <c r="E947" s="273"/>
      <c r="F947" s="272"/>
    </row>
    <row r="948" spans="2:6" ht="12" customHeight="1" x14ac:dyDescent="0.15">
      <c r="B948" s="274"/>
      <c r="C948" s="273"/>
      <c r="D948" s="273"/>
      <c r="E948" s="273"/>
      <c r="F948" s="272"/>
    </row>
    <row r="949" spans="2:6" ht="12" customHeight="1" x14ac:dyDescent="0.15">
      <c r="B949" s="274"/>
      <c r="C949" s="273"/>
      <c r="D949" s="273"/>
      <c r="E949" s="273"/>
      <c r="F949" s="272"/>
    </row>
    <row r="950" spans="2:6" ht="12" customHeight="1" x14ac:dyDescent="0.15">
      <c r="B950" s="274"/>
      <c r="C950" s="273"/>
      <c r="D950" s="273"/>
      <c r="E950" s="273"/>
      <c r="F950" s="272"/>
    </row>
    <row r="951" spans="2:6" ht="12" customHeight="1" x14ac:dyDescent="0.15">
      <c r="B951" s="274"/>
      <c r="C951" s="273"/>
      <c r="D951" s="273"/>
      <c r="E951" s="273"/>
      <c r="F951" s="272"/>
    </row>
    <row r="952" spans="2:6" ht="12" customHeight="1" x14ac:dyDescent="0.15">
      <c r="B952" s="274"/>
      <c r="C952" s="273"/>
      <c r="D952" s="273"/>
      <c r="E952" s="273"/>
      <c r="F952" s="272"/>
    </row>
    <row r="953" spans="2:6" ht="12" customHeight="1" x14ac:dyDescent="0.15">
      <c r="B953" s="274"/>
      <c r="C953" s="273"/>
      <c r="D953" s="273"/>
      <c r="E953" s="273"/>
      <c r="F953" s="272"/>
    </row>
    <row r="954" spans="2:6" ht="12" customHeight="1" x14ac:dyDescent="0.15">
      <c r="B954" s="274"/>
      <c r="C954" s="273"/>
      <c r="D954" s="273"/>
      <c r="E954" s="273"/>
      <c r="F954" s="272"/>
    </row>
    <row r="955" spans="2:6" ht="12" customHeight="1" x14ac:dyDescent="0.15">
      <c r="B955" s="274"/>
      <c r="C955" s="273"/>
      <c r="D955" s="273"/>
      <c r="E955" s="273"/>
      <c r="F955" s="272"/>
    </row>
    <row r="956" spans="2:6" ht="12" customHeight="1" x14ac:dyDescent="0.15">
      <c r="B956" s="274"/>
      <c r="C956" s="273"/>
      <c r="D956" s="273"/>
      <c r="E956" s="273"/>
      <c r="F956" s="272"/>
    </row>
    <row r="957" spans="2:6" ht="12" customHeight="1" x14ac:dyDescent="0.15">
      <c r="B957" s="274"/>
      <c r="C957" s="273"/>
      <c r="D957" s="273"/>
      <c r="E957" s="273"/>
      <c r="F957" s="272"/>
    </row>
    <row r="958" spans="2:6" ht="12" customHeight="1" x14ac:dyDescent="0.15">
      <c r="B958" s="274"/>
      <c r="C958" s="273"/>
      <c r="D958" s="273"/>
      <c r="E958" s="273"/>
      <c r="F958" s="272"/>
    </row>
    <row r="959" spans="2:6" ht="12" customHeight="1" x14ac:dyDescent="0.15">
      <c r="B959" s="274"/>
      <c r="C959" s="273"/>
      <c r="D959" s="273"/>
      <c r="E959" s="273"/>
      <c r="F959" s="272"/>
    </row>
    <row r="960" spans="2:6" ht="12" customHeight="1" x14ac:dyDescent="0.15">
      <c r="B960" s="274"/>
      <c r="C960" s="273"/>
      <c r="D960" s="273"/>
      <c r="E960" s="273"/>
      <c r="F960" s="272"/>
    </row>
    <row r="961" spans="2:6" ht="12" customHeight="1" x14ac:dyDescent="0.15">
      <c r="B961" s="274"/>
      <c r="C961" s="273"/>
      <c r="D961" s="273"/>
      <c r="E961" s="273"/>
      <c r="F961" s="272"/>
    </row>
    <row r="962" spans="2:6" ht="12" customHeight="1" x14ac:dyDescent="0.15">
      <c r="B962" s="274"/>
      <c r="C962" s="273"/>
      <c r="D962" s="273"/>
      <c r="E962" s="273"/>
      <c r="F962" s="272"/>
    </row>
    <row r="963" spans="2:6" ht="12" customHeight="1" x14ac:dyDescent="0.15">
      <c r="B963" s="274"/>
      <c r="C963" s="273"/>
      <c r="D963" s="273"/>
      <c r="E963" s="273"/>
      <c r="F963" s="272"/>
    </row>
    <row r="964" spans="2:6" ht="12" customHeight="1" x14ac:dyDescent="0.15">
      <c r="B964" s="274"/>
      <c r="C964" s="273"/>
      <c r="D964" s="273"/>
      <c r="E964" s="273"/>
      <c r="F964" s="272"/>
    </row>
    <row r="965" spans="2:6" ht="12" customHeight="1" x14ac:dyDescent="0.15">
      <c r="B965" s="274"/>
      <c r="C965" s="273"/>
      <c r="D965" s="273"/>
      <c r="E965" s="273"/>
      <c r="F965" s="272"/>
    </row>
    <row r="966" spans="2:6" ht="12" customHeight="1" x14ac:dyDescent="0.15">
      <c r="B966" s="274"/>
      <c r="C966" s="273"/>
      <c r="D966" s="273"/>
      <c r="E966" s="273"/>
      <c r="F966" s="272"/>
    </row>
    <row r="967" spans="2:6" ht="12" customHeight="1" x14ac:dyDescent="0.15">
      <c r="B967" s="274"/>
      <c r="C967" s="273"/>
      <c r="D967" s="273"/>
      <c r="E967" s="273"/>
      <c r="F967" s="272"/>
    </row>
    <row r="968" spans="2:6" ht="12" customHeight="1" x14ac:dyDescent="0.15">
      <c r="B968" s="274"/>
      <c r="C968" s="273"/>
      <c r="D968" s="273"/>
      <c r="E968" s="273"/>
      <c r="F968" s="272"/>
    </row>
    <row r="969" spans="2:6" ht="12" customHeight="1" x14ac:dyDescent="0.15">
      <c r="B969" s="274"/>
      <c r="C969" s="273"/>
      <c r="D969" s="273"/>
      <c r="E969" s="273"/>
      <c r="F969" s="272"/>
    </row>
    <row r="970" spans="2:6" ht="12" customHeight="1" x14ac:dyDescent="0.15">
      <c r="B970" s="274"/>
      <c r="C970" s="273"/>
      <c r="D970" s="273"/>
      <c r="E970" s="273"/>
      <c r="F970" s="272"/>
    </row>
    <row r="971" spans="2:6" ht="12" customHeight="1" x14ac:dyDescent="0.15">
      <c r="B971" s="274"/>
      <c r="C971" s="273"/>
      <c r="D971" s="273"/>
      <c r="E971" s="273"/>
      <c r="F971" s="272"/>
    </row>
    <row r="972" spans="2:6" ht="12" customHeight="1" x14ac:dyDescent="0.15">
      <c r="B972" s="274"/>
      <c r="C972" s="273"/>
      <c r="D972" s="273"/>
      <c r="E972" s="273"/>
      <c r="F972" s="272"/>
    </row>
    <row r="973" spans="2:6" ht="12" customHeight="1" x14ac:dyDescent="0.15">
      <c r="B973" s="274"/>
      <c r="C973" s="273"/>
      <c r="D973" s="273"/>
      <c r="E973" s="273"/>
      <c r="F973" s="272"/>
    </row>
    <row r="974" spans="2:6" ht="12" customHeight="1" x14ac:dyDescent="0.15">
      <c r="B974" s="274"/>
      <c r="C974" s="273"/>
      <c r="D974" s="273"/>
      <c r="E974" s="273"/>
      <c r="F974" s="272"/>
    </row>
    <row r="975" spans="2:6" ht="12" customHeight="1" x14ac:dyDescent="0.15">
      <c r="B975" s="274"/>
      <c r="C975" s="273"/>
      <c r="D975" s="273"/>
      <c r="E975" s="273"/>
      <c r="F975" s="272"/>
    </row>
    <row r="976" spans="2:6" ht="12" customHeight="1" x14ac:dyDescent="0.15">
      <c r="B976" s="274"/>
      <c r="C976" s="273"/>
      <c r="D976" s="273"/>
      <c r="E976" s="273"/>
      <c r="F976" s="272"/>
    </row>
    <row r="977" spans="2:6" ht="12" customHeight="1" x14ac:dyDescent="0.15">
      <c r="B977" s="274"/>
      <c r="C977" s="273"/>
      <c r="D977" s="273"/>
      <c r="E977" s="273"/>
      <c r="F977" s="272"/>
    </row>
    <row r="978" spans="2:6" ht="12" customHeight="1" x14ac:dyDescent="0.15">
      <c r="B978" s="274"/>
      <c r="C978" s="273"/>
      <c r="D978" s="273"/>
      <c r="E978" s="273"/>
      <c r="F978" s="272"/>
    </row>
    <row r="979" spans="2:6" ht="12" customHeight="1" x14ac:dyDescent="0.15">
      <c r="B979" s="274"/>
      <c r="C979" s="273"/>
      <c r="D979" s="273"/>
      <c r="E979" s="273"/>
      <c r="F979" s="272"/>
    </row>
    <row r="980" spans="2:6" ht="12" customHeight="1" x14ac:dyDescent="0.15">
      <c r="B980" s="274"/>
      <c r="C980" s="273"/>
      <c r="D980" s="273"/>
      <c r="E980" s="273"/>
      <c r="F980" s="272"/>
    </row>
    <row r="981" spans="2:6" ht="12" customHeight="1" x14ac:dyDescent="0.15">
      <c r="B981" s="274"/>
      <c r="C981" s="273"/>
      <c r="D981" s="273"/>
      <c r="E981" s="273"/>
      <c r="F981" s="272"/>
    </row>
    <row r="982" spans="2:6" ht="12" customHeight="1" x14ac:dyDescent="0.15">
      <c r="B982" s="274"/>
      <c r="C982" s="273"/>
      <c r="D982" s="273"/>
      <c r="E982" s="273"/>
      <c r="F982" s="272"/>
    </row>
    <row r="983" spans="2:6" ht="12" customHeight="1" x14ac:dyDescent="0.15">
      <c r="B983" s="274"/>
      <c r="C983" s="273"/>
      <c r="D983" s="273"/>
      <c r="E983" s="273"/>
      <c r="F983" s="272"/>
    </row>
    <row r="984" spans="2:6" ht="12" customHeight="1" x14ac:dyDescent="0.15">
      <c r="B984" s="274"/>
      <c r="C984" s="273"/>
      <c r="D984" s="273"/>
      <c r="E984" s="273"/>
      <c r="F984" s="272"/>
    </row>
    <row r="985" spans="2:6" ht="12" customHeight="1" x14ac:dyDescent="0.15">
      <c r="B985" s="274"/>
      <c r="C985" s="273"/>
      <c r="D985" s="273"/>
      <c r="E985" s="273"/>
      <c r="F985" s="272"/>
    </row>
    <row r="986" spans="2:6" ht="12" customHeight="1" x14ac:dyDescent="0.15">
      <c r="B986" s="274"/>
      <c r="C986" s="273"/>
      <c r="D986" s="273"/>
      <c r="E986" s="273"/>
      <c r="F986" s="272"/>
    </row>
    <row r="987" spans="2:6" ht="12" customHeight="1" x14ac:dyDescent="0.15">
      <c r="B987" s="274"/>
      <c r="C987" s="273"/>
      <c r="D987" s="273"/>
      <c r="E987" s="273"/>
      <c r="F987" s="272"/>
    </row>
    <row r="988" spans="2:6" ht="12" customHeight="1" x14ac:dyDescent="0.15">
      <c r="B988" s="274"/>
      <c r="C988" s="273"/>
      <c r="D988" s="273"/>
      <c r="E988" s="273"/>
      <c r="F988" s="272"/>
    </row>
    <row r="989" spans="2:6" ht="12" customHeight="1" x14ac:dyDescent="0.15">
      <c r="B989" s="274"/>
      <c r="C989" s="273"/>
      <c r="D989" s="273"/>
      <c r="E989" s="273"/>
      <c r="F989" s="272"/>
    </row>
  </sheetData>
  <mergeCells count="1">
    <mergeCell ref="A1:F1"/>
  </mergeCells>
  <pageMargins left="0.78749999999999998" right="0.78749999999999998" top="0.78749999999999998" bottom="0.78749999999999998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2:N32"/>
  <sheetViews>
    <sheetView workbookViewId="0">
      <selection activeCell="B23" sqref="B23"/>
    </sheetView>
  </sheetViews>
  <sheetFormatPr baseColWidth="10" defaultColWidth="12.6640625" defaultRowHeight="15" customHeight="1" x14ac:dyDescent="0.15"/>
  <cols>
    <col min="1" max="1" width="4.5" customWidth="1"/>
    <col min="2" max="2" width="59.33203125" customWidth="1"/>
    <col min="3" max="3" width="13" customWidth="1"/>
    <col min="4" max="4" width="25.5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</cols>
  <sheetData>
    <row r="2" spans="1:6" ht="46" customHeight="1" x14ac:dyDescent="0.15"/>
    <row r="3" spans="1:6" ht="18.75" customHeight="1" x14ac:dyDescent="0.2">
      <c r="A3" s="5" t="s">
        <v>0</v>
      </c>
      <c r="C3" s="4"/>
      <c r="D3" s="4"/>
      <c r="E3" s="4"/>
      <c r="F3" s="5"/>
    </row>
    <row r="4" spans="1:6" ht="12" customHeight="1" x14ac:dyDescent="0.15">
      <c r="A4" s="2" t="s">
        <v>1</v>
      </c>
      <c r="C4" s="4"/>
      <c r="D4" s="4"/>
      <c r="E4" s="4"/>
      <c r="F4" s="2"/>
    </row>
    <row r="5" spans="1:6" ht="12" customHeight="1" x14ac:dyDescent="0.15">
      <c r="B5" s="2"/>
      <c r="C5" s="4"/>
      <c r="D5" s="4"/>
      <c r="E5" s="4"/>
    </row>
    <row r="6" spans="1:6" ht="33" customHeight="1" x14ac:dyDescent="0.15">
      <c r="B6" s="6"/>
      <c r="C6" s="4"/>
      <c r="D6" s="4"/>
      <c r="E6" s="4"/>
      <c r="F6" s="98"/>
    </row>
    <row r="7" spans="1:6" ht="17.25" customHeight="1" x14ac:dyDescent="0.15">
      <c r="A7" s="8"/>
      <c r="B7" s="240" t="s">
        <v>201</v>
      </c>
      <c r="C7" s="100"/>
      <c r="D7" s="100"/>
      <c r="E7" s="101"/>
      <c r="F7" s="8"/>
    </row>
    <row r="8" spans="1:6" ht="12" customHeight="1" x14ac:dyDescent="0.15">
      <c r="B8" s="2"/>
      <c r="C8" s="4"/>
      <c r="D8" s="4"/>
      <c r="E8" s="4"/>
    </row>
    <row r="9" spans="1:6" ht="16.5" customHeight="1" x14ac:dyDescent="0.15">
      <c r="B9" s="103"/>
      <c r="C9" s="104"/>
      <c r="D9" s="105"/>
      <c r="E9" s="106" t="s">
        <v>52</v>
      </c>
    </row>
    <row r="10" spans="1:6" ht="13.5" customHeight="1" x14ac:dyDescent="0.15">
      <c r="B10" s="241" t="s">
        <v>199</v>
      </c>
      <c r="C10" s="107"/>
      <c r="D10" s="90"/>
      <c r="E10" s="83">
        <v>36205.11</v>
      </c>
    </row>
    <row r="11" spans="1:6" ht="7.5" customHeight="1" x14ac:dyDescent="0.15">
      <c r="A11" s="7"/>
      <c r="B11" s="38"/>
      <c r="C11" s="4"/>
      <c r="D11" s="83"/>
      <c r="E11" s="83"/>
    </row>
    <row r="12" spans="1:6" ht="15" customHeight="1" x14ac:dyDescent="0.15">
      <c r="A12" s="7"/>
      <c r="B12" s="241" t="s">
        <v>200</v>
      </c>
      <c r="C12" s="4"/>
      <c r="D12" s="83"/>
      <c r="E12" s="83">
        <v>6000</v>
      </c>
    </row>
    <row r="13" spans="1:6" ht="7.5" customHeight="1" x14ac:dyDescent="0.15">
      <c r="B13" s="108"/>
      <c r="C13" s="109"/>
      <c r="D13" s="110"/>
      <c r="E13" s="83"/>
    </row>
    <row r="14" spans="1:6" ht="15" customHeight="1" x14ac:dyDescent="0.15">
      <c r="B14" s="111"/>
      <c r="C14" s="112"/>
      <c r="D14" s="113" t="s">
        <v>65</v>
      </c>
      <c r="E14" s="114">
        <f>SUM(E10:E13)</f>
        <v>42205.11</v>
      </c>
    </row>
    <row r="15" spans="1:6" ht="15" customHeight="1" x14ac:dyDescent="0.15">
      <c r="B15" s="115" t="s">
        <v>66</v>
      </c>
      <c r="C15" s="116"/>
      <c r="D15" s="116"/>
      <c r="E15" s="116"/>
    </row>
    <row r="16" spans="1:6" ht="15" customHeight="1" x14ac:dyDescent="0.15">
      <c r="B16" s="115" t="s">
        <v>67</v>
      </c>
      <c r="C16" s="116"/>
      <c r="D16" s="116"/>
      <c r="E16" s="116"/>
    </row>
    <row r="17" spans="2:14" ht="15" customHeight="1" x14ac:dyDescent="0.15">
      <c r="B17" s="117" t="s">
        <v>68</v>
      </c>
      <c r="C17" s="4"/>
      <c r="D17" s="4"/>
      <c r="E17" s="4"/>
      <c r="I17" s="84"/>
      <c r="J17" s="84"/>
      <c r="K17" s="84"/>
      <c r="L17" s="84"/>
    </row>
    <row r="18" spans="2:14" ht="15" customHeight="1" x14ac:dyDescent="0.15">
      <c r="B18" s="117" t="s">
        <v>69</v>
      </c>
      <c r="C18" s="4"/>
      <c r="D18" s="4"/>
      <c r="E18" s="4"/>
      <c r="I18" s="84"/>
      <c r="J18" s="84"/>
      <c r="K18" s="84"/>
      <c r="L18" s="84"/>
    </row>
    <row r="19" spans="2:14" ht="15" customHeight="1" x14ac:dyDescent="0.15">
      <c r="B19" s="118"/>
      <c r="C19" s="4"/>
      <c r="D19" s="4"/>
      <c r="E19" s="4"/>
      <c r="I19" s="84"/>
      <c r="J19" s="84"/>
      <c r="K19" s="84"/>
      <c r="L19" s="84"/>
    </row>
    <row r="20" spans="2:14" ht="15" customHeight="1" x14ac:dyDescent="0.15">
      <c r="B20" s="118" t="s">
        <v>70</v>
      </c>
      <c r="C20" s="4"/>
      <c r="D20" s="4"/>
      <c r="E20" s="4"/>
      <c r="I20" s="84"/>
      <c r="J20" s="84"/>
      <c r="K20" s="84"/>
      <c r="L20" s="84"/>
    </row>
    <row r="21" spans="2:14" ht="15" customHeight="1" x14ac:dyDescent="0.15">
      <c r="B21" s="118" t="s">
        <v>71</v>
      </c>
      <c r="C21" s="4"/>
      <c r="D21" s="4"/>
      <c r="E21" s="4"/>
      <c r="I21" s="84"/>
      <c r="J21" s="84"/>
      <c r="K21" s="84"/>
      <c r="L21" s="84"/>
    </row>
    <row r="22" spans="2:14" ht="15" customHeight="1" x14ac:dyDescent="0.15">
      <c r="B22" s="118"/>
      <c r="C22" s="4"/>
      <c r="D22" s="4"/>
      <c r="E22" s="4"/>
      <c r="I22" s="84"/>
      <c r="J22" s="84"/>
      <c r="K22" s="84"/>
      <c r="L22" s="84"/>
    </row>
    <row r="23" spans="2:14" ht="15" customHeight="1" x14ac:dyDescent="0.2">
      <c r="B23" s="119" t="s">
        <v>259</v>
      </c>
      <c r="C23" s="120"/>
      <c r="D23" s="121"/>
      <c r="E23" s="122">
        <f>E14</f>
        <v>42205.11</v>
      </c>
      <c r="H23" s="123" t="s">
        <v>72</v>
      </c>
      <c r="I23" s="124" t="s">
        <v>73</v>
      </c>
      <c r="J23" s="125" t="s">
        <v>74</v>
      </c>
      <c r="K23" s="125" t="s">
        <v>75</v>
      </c>
      <c r="L23" s="126" t="s">
        <v>76</v>
      </c>
      <c r="M23" s="127" t="s">
        <v>77</v>
      </c>
      <c r="N23" s="128"/>
    </row>
    <row r="24" spans="2:14" ht="15" customHeight="1" x14ac:dyDescent="0.15">
      <c r="B24" s="130" t="s">
        <v>78</v>
      </c>
      <c r="C24" s="131" t="s">
        <v>79</v>
      </c>
      <c r="D24" s="132" t="s">
        <v>80</v>
      </c>
      <c r="E24" s="131" t="s">
        <v>81</v>
      </c>
      <c r="H24" s="133">
        <v>1</v>
      </c>
      <c r="I24" s="84">
        <f>E23</f>
        <v>42205.11</v>
      </c>
      <c r="J24" s="84">
        <v>3385038.8048100215</v>
      </c>
      <c r="K24" s="84">
        <v>26236200</v>
      </c>
      <c r="L24" s="151">
        <f>J24/J31*100</f>
        <v>12.902168777528845</v>
      </c>
      <c r="M24" s="84">
        <f t="shared" ref="M24:M30" si="0">(I24*J24/K24)</f>
        <v>5445.3745249417016</v>
      </c>
      <c r="N24" s="134">
        <f t="shared" ref="N24:N30" si="1">M24</f>
        <v>5445.3745249417016</v>
      </c>
    </row>
    <row r="25" spans="2:14" ht="15" customHeight="1" x14ac:dyDescent="0.15">
      <c r="B25" s="135" t="s">
        <v>34</v>
      </c>
      <c r="C25" s="136" t="s">
        <v>35</v>
      </c>
      <c r="D25" s="137">
        <v>0.129</v>
      </c>
      <c r="E25" s="138">
        <f t="shared" ref="E25:E31" si="2">M24</f>
        <v>5445.3745249417016</v>
      </c>
      <c r="H25" s="133">
        <v>2</v>
      </c>
      <c r="I25" s="84">
        <f>E23</f>
        <v>42205.11</v>
      </c>
      <c r="J25" s="84">
        <v>3452215.7605962222</v>
      </c>
      <c r="K25" s="84">
        <v>26236200</v>
      </c>
      <c r="L25" s="152">
        <f>J25/J31*100</f>
        <v>13.158215597518785</v>
      </c>
      <c r="M25" s="84">
        <f t="shared" si="0"/>
        <v>5553.4393669699584</v>
      </c>
      <c r="N25" s="134">
        <f t="shared" si="1"/>
        <v>5553.4393669699584</v>
      </c>
    </row>
    <row r="26" spans="2:14" ht="12" customHeight="1" x14ac:dyDescent="0.15">
      <c r="B26" s="139" t="s">
        <v>207</v>
      </c>
      <c r="C26" s="140" t="s">
        <v>38</v>
      </c>
      <c r="D26" s="141">
        <v>0.13159999999999999</v>
      </c>
      <c r="E26" s="142">
        <f t="shared" si="2"/>
        <v>5553.4393669699584</v>
      </c>
      <c r="H26" s="133">
        <v>3</v>
      </c>
      <c r="I26" s="84">
        <f>E23</f>
        <v>42205.11</v>
      </c>
      <c r="J26" s="84">
        <v>4062206.5109048504</v>
      </c>
      <c r="K26" s="84">
        <v>26236200</v>
      </c>
      <c r="L26" s="152">
        <f>J26/J31*100</f>
        <v>15.483212168320303</v>
      </c>
      <c r="M26" s="84">
        <f t="shared" si="0"/>
        <v>6534.7067271729675</v>
      </c>
      <c r="N26" s="134">
        <f t="shared" si="1"/>
        <v>6534.7067271729675</v>
      </c>
    </row>
    <row r="27" spans="2:14" ht="12" customHeight="1" x14ac:dyDescent="0.15">
      <c r="B27" s="139" t="s">
        <v>39</v>
      </c>
      <c r="C27" s="140" t="s">
        <v>40</v>
      </c>
      <c r="D27" s="141">
        <v>0.15479999999999999</v>
      </c>
      <c r="E27" s="142">
        <f t="shared" si="2"/>
        <v>6534.7067271729675</v>
      </c>
      <c r="H27" s="133">
        <v>4</v>
      </c>
      <c r="I27" s="84">
        <f>E23</f>
        <v>42205.11</v>
      </c>
      <c r="J27" s="84">
        <v>2069290.155914224</v>
      </c>
      <c r="K27" s="84">
        <v>26236200</v>
      </c>
      <c r="L27" s="152">
        <f>J27/J31*100</f>
        <v>7.8871565086187196</v>
      </c>
      <c r="M27" s="84">
        <f t="shared" si="0"/>
        <v>3328.7830803346892</v>
      </c>
      <c r="N27" s="134">
        <f t="shared" si="1"/>
        <v>3328.7830803346892</v>
      </c>
    </row>
    <row r="28" spans="2:14" ht="12" customHeight="1" x14ac:dyDescent="0.15">
      <c r="B28" s="139" t="s">
        <v>41</v>
      </c>
      <c r="C28" s="140" t="s">
        <v>42</v>
      </c>
      <c r="D28" s="141">
        <v>7.8899999999999998E-2</v>
      </c>
      <c r="E28" s="142">
        <f t="shared" si="2"/>
        <v>3328.7830803346892</v>
      </c>
      <c r="H28" s="133">
        <v>5</v>
      </c>
      <c r="I28" s="84">
        <f>E23</f>
        <v>42205.11</v>
      </c>
      <c r="J28" s="84">
        <v>2539128.9835855695</v>
      </c>
      <c r="K28" s="84">
        <v>26236200</v>
      </c>
      <c r="L28" s="152">
        <f>J28/J31*100</f>
        <v>9.6779601603340808</v>
      </c>
      <c r="M28" s="84">
        <f t="shared" si="0"/>
        <v>4084.5937314251742</v>
      </c>
      <c r="N28" s="134">
        <f t="shared" si="1"/>
        <v>4084.5937314251742</v>
      </c>
    </row>
    <row r="29" spans="2:14" ht="12" customHeight="1" x14ac:dyDescent="0.15">
      <c r="B29" s="139" t="s">
        <v>82</v>
      </c>
      <c r="C29" s="140" t="s">
        <v>44</v>
      </c>
      <c r="D29" s="141">
        <v>9.6799999999999997E-2</v>
      </c>
      <c r="E29" s="142">
        <f t="shared" si="2"/>
        <v>4084.5937314251742</v>
      </c>
      <c r="H29" s="133">
        <v>6</v>
      </c>
      <c r="I29" s="84">
        <f>E23</f>
        <v>42205.11</v>
      </c>
      <c r="J29" s="84">
        <v>4172168.7897215486</v>
      </c>
      <c r="K29" s="84">
        <v>26236200</v>
      </c>
      <c r="L29" s="152">
        <f>J29/J31*100</f>
        <v>15.902336427232411</v>
      </c>
      <c r="M29" s="84">
        <f t="shared" si="0"/>
        <v>6711.5985816835073</v>
      </c>
      <c r="N29" s="134">
        <f t="shared" si="1"/>
        <v>6711.5985816835073</v>
      </c>
    </row>
    <row r="30" spans="2:14" ht="12" customHeight="1" x14ac:dyDescent="0.15">
      <c r="B30" s="139" t="s">
        <v>45</v>
      </c>
      <c r="C30" s="140" t="s">
        <v>46</v>
      </c>
      <c r="D30" s="141">
        <v>0.159</v>
      </c>
      <c r="E30" s="142">
        <f t="shared" si="2"/>
        <v>6711.5985816835073</v>
      </c>
      <c r="H30" s="133">
        <v>7</v>
      </c>
      <c r="I30" s="84">
        <f>E23</f>
        <v>42205.11</v>
      </c>
      <c r="J30" s="84">
        <v>6556150.9944675583</v>
      </c>
      <c r="K30" s="84">
        <v>26236200</v>
      </c>
      <c r="L30" s="152">
        <f>J30/J31*100</f>
        <v>24.988950360446864</v>
      </c>
      <c r="M30" s="84">
        <f t="shared" si="0"/>
        <v>10546.613987471992</v>
      </c>
      <c r="N30" s="134">
        <f t="shared" si="1"/>
        <v>10546.613987471992</v>
      </c>
    </row>
    <row r="31" spans="2:14" ht="12" customHeight="1" x14ac:dyDescent="0.15">
      <c r="B31" s="139" t="s">
        <v>47</v>
      </c>
      <c r="C31" s="140" t="s">
        <v>48</v>
      </c>
      <c r="D31" s="141">
        <v>0.24990000000000001</v>
      </c>
      <c r="E31" s="142">
        <f t="shared" si="2"/>
        <v>10546.613987471992</v>
      </c>
      <c r="H31" s="143"/>
      <c r="I31" s="144"/>
      <c r="J31" s="145">
        <f>SUM(J24:J30)</f>
        <v>26236199.999999993</v>
      </c>
      <c r="K31" s="145"/>
      <c r="L31" s="145">
        <f t="shared" ref="L31:N31" si="3">SUM(L24:L30)</f>
        <v>100.00000000000001</v>
      </c>
      <c r="M31" s="145">
        <f t="shared" si="3"/>
        <v>42205.109999999986</v>
      </c>
      <c r="N31" s="146">
        <f t="shared" si="3"/>
        <v>42205.109999999986</v>
      </c>
    </row>
    <row r="32" spans="2:14" ht="12" customHeight="1" x14ac:dyDescent="0.15">
      <c r="B32" s="147" t="s">
        <v>52</v>
      </c>
      <c r="C32" s="148"/>
      <c r="D32" s="149">
        <f t="shared" ref="D32:E32" si="4">SUM(D25:D31)</f>
        <v>1</v>
      </c>
      <c r="E32" s="150">
        <f t="shared" si="4"/>
        <v>42205.109999999986</v>
      </c>
      <c r="I32" s="84"/>
      <c r="J32" s="84"/>
      <c r="K32" s="84"/>
      <c r="L32" s="84"/>
    </row>
  </sheetData>
  <pageMargins left="0.78749999999999998" right="0.78749999999999998" top="0.78749999999999998" bottom="0.78749999999999998" header="0" footer="0"/>
  <pageSetup paperSize="9" orientation="portrait"/>
  <colBreaks count="1" manualBreakCount="1">
    <brk id="6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7B8B-136D-4B46-B735-FE8C73A4E709}">
  <sheetPr>
    <tabColor theme="5" tint="0.39997558519241921"/>
    <pageSetUpPr fitToPage="1"/>
  </sheetPr>
  <dimension ref="A2:L42"/>
  <sheetViews>
    <sheetView zoomScale="110" zoomScaleNormal="110" workbookViewId="0">
      <selection activeCell="G44" sqref="G44"/>
    </sheetView>
  </sheetViews>
  <sheetFormatPr baseColWidth="10" defaultColWidth="12.6640625" defaultRowHeight="15" customHeight="1" x14ac:dyDescent="0.15"/>
  <cols>
    <col min="1" max="1" width="4.5" style="377" customWidth="1"/>
    <col min="2" max="2" width="32.5" style="377" customWidth="1"/>
    <col min="3" max="3" width="8.83203125" style="377" customWidth="1"/>
    <col min="4" max="4" width="12.83203125" style="377" customWidth="1"/>
    <col min="5" max="5" width="14.33203125" style="377" customWidth="1"/>
    <col min="6" max="6" width="7.1640625" style="377" customWidth="1"/>
    <col min="7" max="7" width="6.6640625" style="377" customWidth="1"/>
    <col min="8" max="8" width="9.1640625" style="377" customWidth="1"/>
    <col min="9" max="9" width="11.5" style="377" customWidth="1"/>
    <col min="10" max="10" width="14.5" style="377" customWidth="1"/>
    <col min="11" max="11" width="15.1640625" style="377" customWidth="1"/>
    <col min="12" max="12" width="11.5" style="377" customWidth="1"/>
    <col min="13" max="13" width="20" style="377" customWidth="1"/>
    <col min="14" max="16384" width="12.6640625" style="377"/>
  </cols>
  <sheetData>
    <row r="2" spans="1:12" ht="46" customHeight="1" x14ac:dyDescent="0.15"/>
    <row r="3" spans="1:12" ht="18.75" customHeight="1" x14ac:dyDescent="0.2">
      <c r="A3" s="5" t="s">
        <v>0</v>
      </c>
      <c r="C3" s="4"/>
      <c r="D3" s="4"/>
      <c r="E3" s="4"/>
      <c r="F3" s="5"/>
    </row>
    <row r="4" spans="1:12" ht="12" customHeight="1" x14ac:dyDescent="0.15">
      <c r="A4" s="2" t="s">
        <v>1</v>
      </c>
      <c r="C4" s="4"/>
      <c r="D4" s="4"/>
      <c r="E4" s="4"/>
      <c r="F4" s="2"/>
    </row>
    <row r="5" spans="1:12" ht="12" customHeight="1" x14ac:dyDescent="0.15">
      <c r="B5" s="2"/>
      <c r="C5" s="4"/>
      <c r="D5" s="4"/>
      <c r="E5" s="4"/>
    </row>
    <row r="6" spans="1:12" ht="36" customHeight="1" x14ac:dyDescent="0.15">
      <c r="B6" s="6"/>
      <c r="C6" s="4"/>
      <c r="D6" s="4"/>
      <c r="E6" s="4"/>
      <c r="F6" s="98"/>
    </row>
    <row r="7" spans="1:12" ht="17.25" customHeight="1" x14ac:dyDescent="0.15">
      <c r="A7" s="8"/>
      <c r="B7" s="99" t="s">
        <v>261</v>
      </c>
      <c r="C7" s="100"/>
      <c r="D7" s="100"/>
      <c r="E7" s="101"/>
      <c r="F7" s="8"/>
    </row>
    <row r="8" spans="1:12" ht="16.5" customHeight="1" x14ac:dyDescent="0.15">
      <c r="B8" s="396"/>
      <c r="C8" s="104"/>
      <c r="D8" s="105"/>
      <c r="E8" s="106" t="s">
        <v>52</v>
      </c>
    </row>
    <row r="9" spans="1:12" ht="24" customHeight="1" x14ac:dyDescent="0.15">
      <c r="B9" s="397" t="s">
        <v>266</v>
      </c>
      <c r="C9" s="107"/>
      <c r="D9" s="90"/>
      <c r="E9" s="83">
        <v>93000</v>
      </c>
    </row>
    <row r="10" spans="1:12" ht="18" customHeight="1" x14ac:dyDescent="0.15">
      <c r="B10" s="108"/>
      <c r="C10" s="109"/>
      <c r="D10" s="110"/>
      <c r="E10" s="83"/>
    </row>
    <row r="11" spans="1:12" ht="15" customHeight="1" x14ac:dyDescent="0.15">
      <c r="B11" s="111"/>
      <c r="C11" s="112"/>
      <c r="D11" s="113" t="s">
        <v>65</v>
      </c>
      <c r="E11" s="114">
        <f>SUM(E9:E10)</f>
        <v>93000</v>
      </c>
    </row>
    <row r="12" spans="1:12" ht="15" customHeight="1" x14ac:dyDescent="0.15">
      <c r="B12" s="115" t="s">
        <v>66</v>
      </c>
      <c r="C12" s="116"/>
      <c r="D12" s="116"/>
      <c r="E12" s="116"/>
    </row>
    <row r="13" spans="1:12" ht="15" customHeight="1" x14ac:dyDescent="0.15">
      <c r="B13" s="115" t="s">
        <v>267</v>
      </c>
      <c r="C13" s="116"/>
      <c r="D13" s="116"/>
      <c r="E13" s="116"/>
    </row>
    <row r="14" spans="1:12" ht="15" customHeight="1" x14ac:dyDescent="0.15">
      <c r="B14" s="117" t="s">
        <v>263</v>
      </c>
      <c r="C14" s="4"/>
      <c r="D14" s="4"/>
      <c r="E14" s="4"/>
      <c r="I14" s="84"/>
      <c r="J14" s="84"/>
      <c r="K14" s="84"/>
      <c r="L14" s="84"/>
    </row>
    <row r="15" spans="1:12" ht="15" customHeight="1" x14ac:dyDescent="0.15">
      <c r="B15" s="117" t="s">
        <v>264</v>
      </c>
      <c r="C15" s="4"/>
      <c r="D15" s="4"/>
      <c r="E15" s="4"/>
      <c r="I15" s="84"/>
      <c r="J15" s="84"/>
      <c r="K15" s="84"/>
      <c r="L15" s="84"/>
    </row>
    <row r="16" spans="1:12" ht="15" customHeight="1" x14ac:dyDescent="0.15">
      <c r="B16" s="118"/>
      <c r="C16" s="4"/>
      <c r="D16" s="4"/>
      <c r="E16" s="4"/>
      <c r="I16" s="84"/>
      <c r="J16" s="84"/>
      <c r="K16" s="84"/>
      <c r="L16" s="84"/>
    </row>
    <row r="17" spans="2:12" ht="15" customHeight="1" x14ac:dyDescent="0.15">
      <c r="B17" s="118" t="s">
        <v>70</v>
      </c>
      <c r="C17" s="4"/>
      <c r="D17" s="4"/>
      <c r="E17" s="4"/>
      <c r="I17" s="84"/>
      <c r="J17" s="84"/>
      <c r="K17" s="84"/>
      <c r="L17" s="84"/>
    </row>
    <row r="18" spans="2:12" ht="15" customHeight="1" x14ac:dyDescent="0.15">
      <c r="B18" s="118" t="s">
        <v>71</v>
      </c>
      <c r="C18" s="4"/>
      <c r="D18" s="4"/>
      <c r="E18" s="4"/>
    </row>
    <row r="19" spans="2:12" ht="15" customHeight="1" x14ac:dyDescent="0.15">
      <c r="B19" s="118"/>
      <c r="C19" s="4"/>
      <c r="D19" s="4"/>
      <c r="E19" s="4"/>
    </row>
    <row r="20" spans="2:12" ht="15" customHeight="1" x14ac:dyDescent="0.2">
      <c r="B20" s="119" t="s">
        <v>262</v>
      </c>
      <c r="C20" s="120"/>
      <c r="D20" s="121"/>
      <c r="E20" s="122">
        <v>93000</v>
      </c>
    </row>
    <row r="21" spans="2:12" ht="15" customHeight="1" x14ac:dyDescent="0.15">
      <c r="B21" s="130" t="s">
        <v>78</v>
      </c>
      <c r="C21" s="131" t="s">
        <v>79</v>
      </c>
      <c r="D21" s="132" t="s">
        <v>268</v>
      </c>
      <c r="E21" s="131" t="s">
        <v>81</v>
      </c>
    </row>
    <row r="22" spans="2:12" ht="15" customHeight="1" x14ac:dyDescent="0.15">
      <c r="B22" s="135" t="s">
        <v>34</v>
      </c>
      <c r="C22" s="136" t="s">
        <v>35</v>
      </c>
      <c r="D22" s="137"/>
      <c r="E22" s="138"/>
    </row>
    <row r="23" spans="2:12" ht="12" customHeight="1" x14ac:dyDescent="0.15">
      <c r="B23" s="139" t="s">
        <v>207</v>
      </c>
      <c r="C23" s="140" t="s">
        <v>38</v>
      </c>
      <c r="D23" s="141">
        <v>0.15</v>
      </c>
      <c r="E23" s="142">
        <f>E20*D23</f>
        <v>13950</v>
      </c>
    </row>
    <row r="24" spans="2:12" ht="12" customHeight="1" x14ac:dyDescent="0.15">
      <c r="B24" s="139" t="s">
        <v>39</v>
      </c>
      <c r="C24" s="140" t="s">
        <v>40</v>
      </c>
      <c r="D24" s="141">
        <v>0.18</v>
      </c>
      <c r="E24" s="142">
        <f>E20*D24</f>
        <v>16740</v>
      </c>
    </row>
    <row r="25" spans="2:12" ht="12" customHeight="1" x14ac:dyDescent="0.15">
      <c r="B25" s="139" t="s">
        <v>41</v>
      </c>
      <c r="C25" s="140" t="s">
        <v>42</v>
      </c>
      <c r="D25" s="141">
        <v>0.09</v>
      </c>
      <c r="E25" s="142">
        <f>E20*D25</f>
        <v>8370</v>
      </c>
    </row>
    <row r="26" spans="2:12" ht="12" customHeight="1" x14ac:dyDescent="0.15">
      <c r="B26" s="139" t="s">
        <v>82</v>
      </c>
      <c r="C26" s="140" t="s">
        <v>44</v>
      </c>
      <c r="D26" s="141">
        <v>0.11</v>
      </c>
      <c r="E26" s="142">
        <f>E20*D26</f>
        <v>10230</v>
      </c>
    </row>
    <row r="27" spans="2:12" ht="12" customHeight="1" x14ac:dyDescent="0.15">
      <c r="B27" s="139" t="s">
        <v>45</v>
      </c>
      <c r="C27" s="140" t="s">
        <v>46</v>
      </c>
      <c r="D27" s="141">
        <v>0.18</v>
      </c>
      <c r="E27" s="142">
        <f>E20*D27</f>
        <v>16740</v>
      </c>
    </row>
    <row r="28" spans="2:12" ht="12" customHeight="1" x14ac:dyDescent="0.15">
      <c r="B28" s="139" t="s">
        <v>47</v>
      </c>
      <c r="C28" s="140" t="s">
        <v>48</v>
      </c>
      <c r="D28" s="141">
        <v>0.28999999999999998</v>
      </c>
      <c r="E28" s="142">
        <f>E20*D28</f>
        <v>26969.999999999996</v>
      </c>
    </row>
    <row r="29" spans="2:12" ht="12" customHeight="1" x14ac:dyDescent="0.15">
      <c r="B29" s="147" t="s">
        <v>52</v>
      </c>
      <c r="C29" s="148"/>
      <c r="D29" s="149">
        <f t="shared" ref="D29:E29" si="0">SUM(D22:D28)</f>
        <v>1</v>
      </c>
      <c r="E29" s="150">
        <f t="shared" si="0"/>
        <v>93000</v>
      </c>
      <c r="I29" s="84"/>
      <c r="J29" s="84"/>
      <c r="K29" s="84"/>
      <c r="L29" s="84"/>
    </row>
    <row r="32" spans="2:12" ht="15" customHeight="1" x14ac:dyDescent="0.15">
      <c r="C32" s="84"/>
      <c r="D32" s="84"/>
      <c r="E32" s="84"/>
      <c r="F32" s="84"/>
    </row>
    <row r="33" spans="2:8" ht="15" customHeight="1" x14ac:dyDescent="0.15">
      <c r="C33" s="84"/>
      <c r="D33" s="84"/>
      <c r="E33" s="84"/>
      <c r="F33" s="84"/>
    </row>
    <row r="34" spans="2:8" ht="15" customHeight="1" x14ac:dyDescent="0.15">
      <c r="B34" s="123" t="s">
        <v>72</v>
      </c>
      <c r="C34" s="124" t="s">
        <v>73</v>
      </c>
      <c r="D34" s="125" t="s">
        <v>74</v>
      </c>
      <c r="E34" s="125" t="s">
        <v>75</v>
      </c>
      <c r="F34" s="126" t="s">
        <v>76</v>
      </c>
      <c r="G34" s="127" t="s">
        <v>265</v>
      </c>
      <c r="H34" s="128"/>
    </row>
    <row r="35" spans="2:8" ht="15" customHeight="1" x14ac:dyDescent="0.15">
      <c r="B35" s="133">
        <v>1</v>
      </c>
      <c r="C35" s="84">
        <f>E20</f>
        <v>93000</v>
      </c>
      <c r="D35" s="84">
        <v>3385038.8048100215</v>
      </c>
      <c r="E35" s="84">
        <v>26236200</v>
      </c>
      <c r="F35" s="151"/>
      <c r="G35" s="84"/>
      <c r="H35" s="134"/>
    </row>
    <row r="36" spans="2:8" ht="15" customHeight="1" x14ac:dyDescent="0.15">
      <c r="B36" s="133">
        <v>2</v>
      </c>
      <c r="C36" s="84">
        <f>E20</f>
        <v>93000</v>
      </c>
      <c r="D36" s="84">
        <v>3452215.7605962222</v>
      </c>
      <c r="E36" s="84">
        <v>26236200</v>
      </c>
      <c r="F36" s="152">
        <f>D36/D42*100</f>
        <v>13.158215597518785</v>
      </c>
      <c r="G36" s="398">
        <v>0.15</v>
      </c>
      <c r="H36" s="134">
        <f>C36*G36</f>
        <v>13950</v>
      </c>
    </row>
    <row r="37" spans="2:8" ht="15" customHeight="1" x14ac:dyDescent="0.15">
      <c r="B37" s="133">
        <v>3</v>
      </c>
      <c r="C37" s="84">
        <f>E20</f>
        <v>93000</v>
      </c>
      <c r="D37" s="84">
        <v>4062206.5109048504</v>
      </c>
      <c r="E37" s="84">
        <v>26236200</v>
      </c>
      <c r="F37" s="152">
        <f>D37/D42*100</f>
        <v>15.483212168320303</v>
      </c>
      <c r="G37" s="398">
        <v>0.18</v>
      </c>
      <c r="H37" s="134">
        <f t="shared" ref="H37:H41" si="1">C37*G37</f>
        <v>16740</v>
      </c>
    </row>
    <row r="38" spans="2:8" ht="15" customHeight="1" x14ac:dyDescent="0.15">
      <c r="B38" s="133">
        <v>4</v>
      </c>
      <c r="C38" s="84">
        <f>E20</f>
        <v>93000</v>
      </c>
      <c r="D38" s="84">
        <v>2069290.155914224</v>
      </c>
      <c r="E38" s="84">
        <v>26236200</v>
      </c>
      <c r="F38" s="152">
        <f>D38/D42*100</f>
        <v>7.8871565086187196</v>
      </c>
      <c r="G38" s="398">
        <v>0.09</v>
      </c>
      <c r="H38" s="134">
        <f t="shared" si="1"/>
        <v>8370</v>
      </c>
    </row>
    <row r="39" spans="2:8" ht="15" customHeight="1" x14ac:dyDescent="0.15">
      <c r="B39" s="133">
        <v>5</v>
      </c>
      <c r="C39" s="84">
        <f>E20</f>
        <v>93000</v>
      </c>
      <c r="D39" s="84">
        <v>2539128.9835855695</v>
      </c>
      <c r="E39" s="84">
        <v>26236200</v>
      </c>
      <c r="F39" s="152">
        <f>D39/D42*100</f>
        <v>9.6779601603340808</v>
      </c>
      <c r="G39" s="398">
        <v>0.11</v>
      </c>
      <c r="H39" s="134">
        <f t="shared" si="1"/>
        <v>10230</v>
      </c>
    </row>
    <row r="40" spans="2:8" ht="15" customHeight="1" x14ac:dyDescent="0.15">
      <c r="B40" s="133">
        <v>6</v>
      </c>
      <c r="C40" s="84">
        <f>E20</f>
        <v>93000</v>
      </c>
      <c r="D40" s="84">
        <v>4172168.7897215486</v>
      </c>
      <c r="E40" s="84">
        <v>26236200</v>
      </c>
      <c r="F40" s="152">
        <f>D40/D42*100</f>
        <v>15.902336427232411</v>
      </c>
      <c r="G40" s="398">
        <v>0.18</v>
      </c>
      <c r="H40" s="134">
        <f t="shared" si="1"/>
        <v>16740</v>
      </c>
    </row>
    <row r="41" spans="2:8" ht="15" customHeight="1" x14ac:dyDescent="0.15">
      <c r="B41" s="133">
        <v>7</v>
      </c>
      <c r="C41" s="84">
        <f>E20</f>
        <v>93000</v>
      </c>
      <c r="D41" s="84">
        <v>6556150.9944675583</v>
      </c>
      <c r="E41" s="84">
        <v>26236200</v>
      </c>
      <c r="F41" s="152">
        <f>D41/D42*100</f>
        <v>24.988950360446864</v>
      </c>
      <c r="G41" s="398">
        <v>0.28999999999999998</v>
      </c>
      <c r="H41" s="134">
        <f t="shared" si="1"/>
        <v>26969.999999999996</v>
      </c>
    </row>
    <row r="42" spans="2:8" ht="15" customHeight="1" x14ac:dyDescent="0.15">
      <c r="B42" s="143"/>
      <c r="C42" s="144"/>
      <c r="D42" s="145">
        <f>SUM(D35:D41)</f>
        <v>26236199.999999993</v>
      </c>
      <c r="E42" s="145"/>
      <c r="F42" s="145">
        <f t="shared" ref="F42:H42" si="2">SUM(F35:F41)</f>
        <v>87.097831222471171</v>
      </c>
      <c r="G42" s="399">
        <f t="shared" si="2"/>
        <v>1</v>
      </c>
      <c r="H42" s="146">
        <f t="shared" si="2"/>
        <v>93000</v>
      </c>
    </row>
  </sheetData>
  <pageMargins left="0.78749999999999998" right="0.78749999999999998" top="0.78749999999999998" bottom="0.78749999999999998" header="0" footer="0"/>
  <pageSetup paperSize="9" scale="44" orientation="portrait"/>
  <colBreaks count="1" manualBreakCount="1">
    <brk id="6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2:N54"/>
  <sheetViews>
    <sheetView topLeftCell="A10" zoomScale="130" zoomScaleNormal="130" workbookViewId="0">
      <selection activeCell="K41" sqref="K41"/>
    </sheetView>
  </sheetViews>
  <sheetFormatPr baseColWidth="10" defaultColWidth="12.6640625" defaultRowHeight="15" customHeight="1" x14ac:dyDescent="0.15"/>
  <cols>
    <col min="1" max="1" width="4.5" customWidth="1"/>
    <col min="2" max="2" width="42.1640625" customWidth="1"/>
    <col min="3" max="4" width="13" customWidth="1"/>
    <col min="5" max="5" width="14.33203125" customWidth="1"/>
    <col min="6" max="6" width="4.5" customWidth="1"/>
    <col min="7" max="8" width="6.6640625" customWidth="1"/>
    <col min="9" max="9" width="11.5" customWidth="1"/>
    <col min="10" max="10" width="14.5" customWidth="1"/>
    <col min="11" max="11" width="15.1640625" customWidth="1"/>
    <col min="12" max="12" width="11.5" customWidth="1"/>
    <col min="13" max="13" width="14.83203125" customWidth="1"/>
  </cols>
  <sheetData>
    <row r="2" spans="1:6" ht="18.75" customHeight="1" x14ac:dyDescent="0.2">
      <c r="A2" s="5" t="s">
        <v>0</v>
      </c>
      <c r="C2" s="4"/>
      <c r="D2" s="4"/>
      <c r="E2" s="4"/>
      <c r="F2" s="5"/>
    </row>
    <row r="3" spans="1:6" ht="12" customHeight="1" x14ac:dyDescent="0.15">
      <c r="A3" s="2" t="s">
        <v>1</v>
      </c>
      <c r="C3" s="4"/>
      <c r="D3" s="4"/>
      <c r="E3" s="4"/>
      <c r="F3" s="2"/>
    </row>
    <row r="4" spans="1:6" ht="12" customHeight="1" x14ac:dyDescent="0.15">
      <c r="B4" s="2"/>
      <c r="C4" s="4"/>
      <c r="D4" s="4"/>
      <c r="E4" s="4"/>
    </row>
    <row r="5" spans="1:6" ht="12" customHeight="1" x14ac:dyDescent="0.15">
      <c r="B5" s="6"/>
      <c r="C5" s="4"/>
      <c r="D5" s="4"/>
      <c r="E5" s="4"/>
      <c r="F5" s="154" t="s">
        <v>229</v>
      </c>
    </row>
    <row r="6" spans="1:6" ht="17.25" customHeight="1" x14ac:dyDescent="0.15">
      <c r="A6" s="8"/>
      <c r="B6" s="99" t="s">
        <v>256</v>
      </c>
      <c r="C6" s="100"/>
      <c r="D6" s="100"/>
      <c r="E6" s="101"/>
      <c r="F6" s="8"/>
    </row>
    <row r="7" spans="1:6" ht="12" customHeight="1" x14ac:dyDescent="0.15">
      <c r="B7" s="2"/>
      <c r="C7" s="4"/>
      <c r="D7" s="4"/>
      <c r="E7" s="4"/>
    </row>
    <row r="8" spans="1:6" ht="15" customHeight="1" x14ac:dyDescent="0.15">
      <c r="B8" s="12"/>
      <c r="C8" s="106" t="s">
        <v>83</v>
      </c>
      <c r="D8" s="106" t="s">
        <v>84</v>
      </c>
      <c r="E8" s="106" t="s">
        <v>85</v>
      </c>
    </row>
    <row r="9" spans="1:6" ht="15" customHeight="1" x14ac:dyDescent="0.15">
      <c r="A9" s="8"/>
      <c r="B9" s="155" t="s">
        <v>86</v>
      </c>
      <c r="C9" s="156">
        <v>3600</v>
      </c>
      <c r="D9" s="157">
        <v>12</v>
      </c>
      <c r="E9" s="156">
        <f t="shared" ref="E9:E16" si="0">C9*D9</f>
        <v>43200</v>
      </c>
      <c r="F9" s="8"/>
    </row>
    <row r="10" spans="1:6" ht="15" customHeight="1" x14ac:dyDescent="0.15">
      <c r="A10" s="8"/>
      <c r="B10" s="158" t="s">
        <v>87</v>
      </c>
      <c r="C10" s="159">
        <v>2500</v>
      </c>
      <c r="D10" s="160">
        <v>12</v>
      </c>
      <c r="E10" s="159">
        <f t="shared" si="0"/>
        <v>30000</v>
      </c>
      <c r="F10" s="8"/>
    </row>
    <row r="11" spans="1:6" ht="15" customHeight="1" x14ac:dyDescent="0.15">
      <c r="A11" s="8"/>
      <c r="B11" s="158" t="s">
        <v>53</v>
      </c>
      <c r="C11" s="159">
        <v>850</v>
      </c>
      <c r="D11" s="160">
        <v>12</v>
      </c>
      <c r="E11" s="159">
        <f t="shared" si="0"/>
        <v>10200</v>
      </c>
      <c r="F11" s="8"/>
    </row>
    <row r="12" spans="1:6" ht="15" customHeight="1" x14ac:dyDescent="0.15">
      <c r="A12" s="8"/>
      <c r="B12" s="374" t="s">
        <v>250</v>
      </c>
      <c r="C12" s="375">
        <v>2500</v>
      </c>
      <c r="D12" s="376">
        <v>12</v>
      </c>
      <c r="E12" s="159">
        <f t="shared" si="0"/>
        <v>30000</v>
      </c>
      <c r="F12" s="8"/>
    </row>
    <row r="13" spans="1:6" ht="15" customHeight="1" x14ac:dyDescent="0.15">
      <c r="A13" s="8"/>
      <c r="B13" s="158" t="s">
        <v>55</v>
      </c>
      <c r="C13" s="159">
        <v>3500</v>
      </c>
      <c r="D13" s="160">
        <v>12</v>
      </c>
      <c r="E13" s="159">
        <f t="shared" si="0"/>
        <v>42000</v>
      </c>
      <c r="F13" s="8"/>
    </row>
    <row r="14" spans="1:6" ht="15" customHeight="1" x14ac:dyDescent="0.15">
      <c r="A14" s="8"/>
      <c r="B14" s="158" t="s">
        <v>58</v>
      </c>
      <c r="C14" s="159">
        <v>1000</v>
      </c>
      <c r="D14" s="160">
        <v>12</v>
      </c>
      <c r="E14" s="159">
        <f t="shared" si="0"/>
        <v>12000</v>
      </c>
      <c r="F14" s="8"/>
    </row>
    <row r="15" spans="1:6" ht="15" customHeight="1" x14ac:dyDescent="0.15">
      <c r="A15" s="8"/>
      <c r="B15" s="158" t="s">
        <v>88</v>
      </c>
      <c r="C15" s="159">
        <v>18000</v>
      </c>
      <c r="D15" s="160">
        <v>12</v>
      </c>
      <c r="E15" s="159">
        <f t="shared" si="0"/>
        <v>216000</v>
      </c>
      <c r="F15" s="8"/>
    </row>
    <row r="16" spans="1:6" ht="15" customHeight="1" x14ac:dyDescent="0.15">
      <c r="A16" s="8"/>
      <c r="B16" s="158" t="s">
        <v>89</v>
      </c>
      <c r="C16" s="159">
        <v>170</v>
      </c>
      <c r="D16" s="160">
        <v>12</v>
      </c>
      <c r="E16" s="159">
        <f t="shared" si="0"/>
        <v>2040</v>
      </c>
      <c r="F16" s="8"/>
    </row>
    <row r="17" spans="2:14" ht="15" customHeight="1" x14ac:dyDescent="0.15">
      <c r="B17" s="161" t="s">
        <v>90</v>
      </c>
      <c r="C17" s="162">
        <v>13533.33</v>
      </c>
      <c r="D17" s="163">
        <v>12</v>
      </c>
      <c r="E17" s="162">
        <v>162400</v>
      </c>
      <c r="F17" s="8"/>
      <c r="G17" s="8"/>
      <c r="H17" s="8"/>
      <c r="I17" s="102"/>
      <c r="J17" s="102"/>
      <c r="K17" s="102"/>
      <c r="L17" s="102"/>
      <c r="M17" s="8"/>
      <c r="N17" s="8"/>
    </row>
    <row r="18" spans="2:14" ht="15" customHeight="1" x14ac:dyDescent="0.15">
      <c r="B18" s="164" t="s">
        <v>251</v>
      </c>
      <c r="C18" s="165">
        <f>SUM(C9:C17)</f>
        <v>45653.33</v>
      </c>
      <c r="D18" s="166"/>
      <c r="E18" s="150">
        <f>SUM(E9:E17)</f>
        <v>547840</v>
      </c>
      <c r="F18" s="8"/>
      <c r="G18" s="8"/>
      <c r="H18" s="8"/>
      <c r="I18" s="102"/>
      <c r="J18" s="102"/>
      <c r="K18" s="102"/>
      <c r="L18" s="102"/>
      <c r="M18" s="8"/>
      <c r="N18" s="8"/>
    </row>
    <row r="19" spans="2:14" ht="15" customHeight="1" x14ac:dyDescent="0.15">
      <c r="B19" s="164"/>
      <c r="C19" s="150"/>
      <c r="D19" s="166"/>
      <c r="E19" s="150"/>
      <c r="I19" s="84"/>
      <c r="J19" s="84"/>
      <c r="K19" s="84"/>
      <c r="L19" s="84"/>
    </row>
    <row r="20" spans="2:14" ht="15" customHeight="1" x14ac:dyDescent="0.15">
      <c r="B20" s="167" t="s">
        <v>252</v>
      </c>
      <c r="C20" s="168"/>
      <c r="D20" s="168"/>
      <c r="E20" s="168"/>
      <c r="I20" s="84"/>
      <c r="J20" s="84"/>
      <c r="K20" s="84"/>
      <c r="L20" s="84"/>
    </row>
    <row r="21" spans="2:14" ht="15" customHeight="1" x14ac:dyDescent="0.15">
      <c r="B21" s="169"/>
      <c r="C21" s="4"/>
      <c r="D21" s="4"/>
      <c r="E21" s="4"/>
      <c r="I21" s="84"/>
      <c r="J21" s="84"/>
      <c r="K21" s="84"/>
      <c r="L21" s="84"/>
    </row>
    <row r="22" spans="2:14" ht="15" customHeight="1" x14ac:dyDescent="0.15">
      <c r="B22" s="169"/>
      <c r="C22" s="170"/>
      <c r="D22" s="170"/>
      <c r="E22" s="170"/>
      <c r="H22" s="171" t="s">
        <v>255</v>
      </c>
      <c r="I22" s="84"/>
      <c r="J22" s="84"/>
      <c r="K22" s="84"/>
      <c r="L22" s="84"/>
    </row>
    <row r="23" spans="2:14" ht="15" customHeight="1" x14ac:dyDescent="0.2">
      <c r="B23" s="172" t="s">
        <v>253</v>
      </c>
      <c r="C23" s="173"/>
      <c r="D23" s="174" t="s">
        <v>91</v>
      </c>
      <c r="E23" s="175">
        <f>E18</f>
        <v>547840</v>
      </c>
      <c r="H23" s="73" t="s">
        <v>72</v>
      </c>
      <c r="I23" s="176" t="s">
        <v>73</v>
      </c>
      <c r="J23" s="84" t="s">
        <v>74</v>
      </c>
      <c r="K23" s="84" t="s">
        <v>75</v>
      </c>
      <c r="L23" s="177" t="s">
        <v>76</v>
      </c>
      <c r="M23" s="73" t="s">
        <v>77</v>
      </c>
    </row>
    <row r="24" spans="2:14" ht="15" customHeight="1" x14ac:dyDescent="0.15">
      <c r="B24" s="130" t="s">
        <v>78</v>
      </c>
      <c r="C24" s="131" t="s">
        <v>79</v>
      </c>
      <c r="D24" s="132" t="s">
        <v>80</v>
      </c>
      <c r="E24" s="131" t="s">
        <v>81</v>
      </c>
      <c r="H24" s="178">
        <v>1</v>
      </c>
      <c r="I24" s="84">
        <f>E23</f>
        <v>547840</v>
      </c>
      <c r="J24" s="84">
        <v>3386200</v>
      </c>
      <c r="K24" s="84">
        <v>26236200</v>
      </c>
      <c r="L24" s="179">
        <f>(J24/J31)*100</f>
        <v>12.906594705025881</v>
      </c>
      <c r="M24" s="180">
        <f t="shared" ref="M24:M30" si="1">(I24*J24/K24)</f>
        <v>70707.488432013779</v>
      </c>
      <c r="N24" s="84"/>
    </row>
    <row r="25" spans="2:14" ht="15" customHeight="1" x14ac:dyDescent="0.15">
      <c r="B25" s="135" t="s">
        <v>34</v>
      </c>
      <c r="C25" s="136" t="s">
        <v>35</v>
      </c>
      <c r="D25" s="137">
        <v>0.129</v>
      </c>
      <c r="E25" s="181">
        <f t="shared" ref="E25:E31" si="2">547840*D25</f>
        <v>70671.360000000001</v>
      </c>
      <c r="H25" s="178">
        <v>2</v>
      </c>
      <c r="I25" s="84">
        <f>E23</f>
        <v>547840</v>
      </c>
      <c r="J25" s="84">
        <v>3453400</v>
      </c>
      <c r="K25" s="84">
        <v>26236200</v>
      </c>
      <c r="L25" s="179">
        <f>(J25/J31)*100</f>
        <v>13.162729358672367</v>
      </c>
      <c r="M25" s="180">
        <f t="shared" si="1"/>
        <v>72110.6965185507</v>
      </c>
      <c r="N25" s="84"/>
    </row>
    <row r="26" spans="2:14" ht="12" customHeight="1" x14ac:dyDescent="0.15">
      <c r="B26" s="139" t="s">
        <v>92</v>
      </c>
      <c r="C26" s="140" t="s">
        <v>38</v>
      </c>
      <c r="D26" s="141">
        <v>0.13159999999999999</v>
      </c>
      <c r="E26" s="181">
        <f t="shared" si="2"/>
        <v>72095.743999999992</v>
      </c>
      <c r="H26" s="178">
        <v>3</v>
      </c>
      <c r="I26" s="84">
        <f>E23</f>
        <v>547840</v>
      </c>
      <c r="J26" s="84">
        <v>4063600</v>
      </c>
      <c r="K26" s="84">
        <v>26236200</v>
      </c>
      <c r="L26" s="179">
        <f>(J26/J31)*100</f>
        <v>15.4885234904445</v>
      </c>
      <c r="M26" s="180">
        <f t="shared" si="1"/>
        <v>84852.327090051156</v>
      </c>
      <c r="N26" s="84"/>
    </row>
    <row r="27" spans="2:14" ht="12" customHeight="1" x14ac:dyDescent="0.15">
      <c r="B27" s="139" t="s">
        <v>39</v>
      </c>
      <c r="C27" s="140" t="s">
        <v>40</v>
      </c>
      <c r="D27" s="141">
        <v>0.15479999999999999</v>
      </c>
      <c r="E27" s="181">
        <f t="shared" si="2"/>
        <v>84805.631999999998</v>
      </c>
      <c r="H27" s="178">
        <v>4</v>
      </c>
      <c r="I27" s="84">
        <f>E23</f>
        <v>547840</v>
      </c>
      <c r="J27" s="84">
        <v>2061000</v>
      </c>
      <c r="K27" s="84">
        <v>26236200</v>
      </c>
      <c r="L27" s="179">
        <f>(J27/J31)*100</f>
        <v>7.8555583506757838</v>
      </c>
      <c r="M27" s="180">
        <f t="shared" si="1"/>
        <v>43035.890868342212</v>
      </c>
      <c r="N27" s="84"/>
    </row>
    <row r="28" spans="2:14" ht="12" customHeight="1" x14ac:dyDescent="0.15">
      <c r="B28" s="139" t="s">
        <v>41</v>
      </c>
      <c r="C28" s="140" t="s">
        <v>42</v>
      </c>
      <c r="D28" s="141">
        <v>7.8899999999999998E-2</v>
      </c>
      <c r="E28" s="181">
        <f t="shared" si="2"/>
        <v>43224.576000000001</v>
      </c>
      <c r="H28" s="178">
        <v>5</v>
      </c>
      <c r="I28" s="84">
        <f>E23</f>
        <v>547840</v>
      </c>
      <c r="J28" s="84">
        <v>2540000</v>
      </c>
      <c r="K28" s="84">
        <v>26236200</v>
      </c>
      <c r="L28" s="179">
        <f>(J28/J31)*100</f>
        <v>9.6812800634238201</v>
      </c>
      <c r="M28" s="180">
        <f t="shared" si="1"/>
        <v>53037.924699461051</v>
      </c>
      <c r="N28" s="84"/>
    </row>
    <row r="29" spans="2:14" ht="12" customHeight="1" x14ac:dyDescent="0.15">
      <c r="B29" s="139" t="s">
        <v>82</v>
      </c>
      <c r="C29" s="140" t="s">
        <v>44</v>
      </c>
      <c r="D29" s="141">
        <v>9.6799999999999997E-2</v>
      </c>
      <c r="E29" s="181">
        <f t="shared" si="2"/>
        <v>53030.911999999997</v>
      </c>
      <c r="H29" s="178">
        <v>6</v>
      </c>
      <c r="I29" s="84">
        <f>E23</f>
        <v>547840</v>
      </c>
      <c r="J29" s="84">
        <v>4173600</v>
      </c>
      <c r="K29" s="84">
        <v>26236200</v>
      </c>
      <c r="L29" s="179">
        <f>(J29/J31)*100</f>
        <v>15.907791524687266</v>
      </c>
      <c r="M29" s="180">
        <f t="shared" si="1"/>
        <v>87149.245088846714</v>
      </c>
      <c r="N29" s="84"/>
    </row>
    <row r="30" spans="2:14" ht="12" customHeight="1" x14ac:dyDescent="0.15">
      <c r="B30" s="139" t="s">
        <v>93</v>
      </c>
      <c r="C30" s="140" t="s">
        <v>46</v>
      </c>
      <c r="D30" s="141">
        <v>0.159</v>
      </c>
      <c r="E30" s="181">
        <f t="shared" si="2"/>
        <v>87106.559999999998</v>
      </c>
      <c r="H30" s="178">
        <v>7</v>
      </c>
      <c r="I30" s="84">
        <f>E23</f>
        <v>547840</v>
      </c>
      <c r="J30" s="84">
        <v>6558400</v>
      </c>
      <c r="K30" s="84">
        <v>26236200</v>
      </c>
      <c r="L30" s="179">
        <f>(J30/J31)*100</f>
        <v>24.997522507070382</v>
      </c>
      <c r="M30" s="180">
        <f t="shared" si="1"/>
        <v>136946.4273027344</v>
      </c>
      <c r="N30" s="84"/>
    </row>
    <row r="31" spans="2:14" ht="12" customHeight="1" x14ac:dyDescent="0.15">
      <c r="B31" s="139" t="s">
        <v>47</v>
      </c>
      <c r="C31" s="140" t="s">
        <v>48</v>
      </c>
      <c r="D31" s="141">
        <v>0.24990000000000001</v>
      </c>
      <c r="E31" s="181">
        <f t="shared" si="2"/>
        <v>136905.21600000001</v>
      </c>
      <c r="I31" s="84"/>
      <c r="J31" s="182">
        <f>SUM(J24:J30)</f>
        <v>26236200</v>
      </c>
      <c r="K31" s="182"/>
      <c r="L31" s="183">
        <f t="shared" ref="L31:M31" si="3">SUM(L24:L30)</f>
        <v>100</v>
      </c>
      <c r="M31" s="182">
        <f t="shared" si="3"/>
        <v>547840</v>
      </c>
      <c r="N31" s="84"/>
    </row>
    <row r="32" spans="2:14" ht="12" customHeight="1" x14ac:dyDescent="0.15">
      <c r="B32" s="147" t="s">
        <v>52</v>
      </c>
      <c r="C32" s="148"/>
      <c r="D32" s="149">
        <f>SUM(D25:D31)</f>
        <v>1</v>
      </c>
      <c r="E32" s="166">
        <f>SUM(E25:E31)</f>
        <v>547840</v>
      </c>
    </row>
    <row r="33" spans="2:14" ht="12" customHeight="1" x14ac:dyDescent="0.15">
      <c r="B33" s="2"/>
      <c r="C33" s="4"/>
      <c r="D33" s="4"/>
      <c r="E33" s="4"/>
      <c r="H33" s="171"/>
      <c r="I33" s="84"/>
      <c r="J33" s="84"/>
      <c r="K33" s="84"/>
      <c r="L33" s="84"/>
    </row>
    <row r="34" spans="2:14" ht="12" customHeight="1" x14ac:dyDescent="0.15">
      <c r="B34" s="2"/>
      <c r="C34" s="4"/>
      <c r="D34" s="4"/>
      <c r="E34" s="4"/>
      <c r="H34" s="171"/>
      <c r="I34" s="84"/>
      <c r="J34" s="84"/>
      <c r="K34" s="84"/>
      <c r="L34" s="84"/>
    </row>
    <row r="35" spans="2:14" ht="12" customHeight="1" x14ac:dyDescent="0.15">
      <c r="B35" s="184"/>
      <c r="C35" s="185" t="s">
        <v>254</v>
      </c>
      <c r="D35" s="186"/>
      <c r="E35" s="187"/>
      <c r="H35" s="73"/>
      <c r="I35" s="176"/>
      <c r="J35" s="84"/>
      <c r="K35" s="84"/>
      <c r="L35" s="177"/>
      <c r="M35" s="73"/>
    </row>
    <row r="36" spans="2:14" ht="12" customHeight="1" x14ac:dyDescent="0.15">
      <c r="B36" s="188" t="s">
        <v>72</v>
      </c>
      <c r="C36" s="189" t="s">
        <v>94</v>
      </c>
      <c r="D36" s="189"/>
      <c r="E36" s="189" t="s">
        <v>52</v>
      </c>
      <c r="H36" s="178"/>
      <c r="I36" s="84"/>
      <c r="J36" s="84"/>
      <c r="K36" s="84"/>
      <c r="L36" s="179"/>
      <c r="M36" s="180"/>
      <c r="N36" s="84"/>
    </row>
    <row r="37" spans="2:14" ht="12" customHeight="1" x14ac:dyDescent="0.15">
      <c r="B37" s="190" t="s">
        <v>35</v>
      </c>
      <c r="C37" s="36">
        <f t="shared" ref="C37:C43" si="4">E25/4</f>
        <v>17667.84</v>
      </c>
      <c r="D37" s="159"/>
      <c r="E37" s="159">
        <f t="shared" ref="E37:E43" si="5">C37+D37</f>
        <v>17667.84</v>
      </c>
      <c r="H37" s="178"/>
      <c r="I37" s="84"/>
      <c r="J37" s="84"/>
      <c r="K37" s="84"/>
      <c r="L37" s="179"/>
      <c r="M37" s="180"/>
      <c r="N37" s="84"/>
    </row>
    <row r="38" spans="2:14" ht="12" customHeight="1" x14ac:dyDescent="0.15">
      <c r="B38" s="190" t="s">
        <v>38</v>
      </c>
      <c r="C38" s="36">
        <f t="shared" si="4"/>
        <v>18023.935999999998</v>
      </c>
      <c r="D38" s="159"/>
      <c r="E38" s="159">
        <f t="shared" si="5"/>
        <v>18023.935999999998</v>
      </c>
      <c r="H38" s="178"/>
      <c r="I38" s="84"/>
      <c r="J38" s="84"/>
      <c r="K38" s="84"/>
      <c r="L38" s="179"/>
      <c r="M38" s="180"/>
      <c r="N38" s="84"/>
    </row>
    <row r="39" spans="2:14" ht="12" customHeight="1" x14ac:dyDescent="0.15">
      <c r="B39" s="190" t="s">
        <v>40</v>
      </c>
      <c r="C39" s="36">
        <f t="shared" si="4"/>
        <v>21201.407999999999</v>
      </c>
      <c r="D39" s="159"/>
      <c r="E39" s="159">
        <f t="shared" si="5"/>
        <v>21201.407999999999</v>
      </c>
      <c r="H39" s="178"/>
      <c r="I39" s="84"/>
      <c r="J39" s="84"/>
      <c r="K39" s="84"/>
      <c r="L39" s="179"/>
      <c r="M39" s="180"/>
      <c r="N39" s="84"/>
    </row>
    <row r="40" spans="2:14" ht="12" customHeight="1" x14ac:dyDescent="0.15">
      <c r="B40" s="190" t="s">
        <v>42</v>
      </c>
      <c r="C40" s="36">
        <f t="shared" si="4"/>
        <v>10806.144</v>
      </c>
      <c r="D40" s="159"/>
      <c r="E40" s="159">
        <f t="shared" si="5"/>
        <v>10806.144</v>
      </c>
      <c r="H40" s="178"/>
      <c r="I40" s="84"/>
      <c r="J40" s="84"/>
      <c r="K40" s="84"/>
      <c r="L40" s="179"/>
      <c r="M40" s="180"/>
      <c r="N40" s="84"/>
    </row>
    <row r="41" spans="2:14" ht="12" customHeight="1" x14ac:dyDescent="0.15">
      <c r="B41" s="190" t="s">
        <v>44</v>
      </c>
      <c r="C41" s="36">
        <f t="shared" si="4"/>
        <v>13257.727999999999</v>
      </c>
      <c r="D41" s="159"/>
      <c r="E41" s="159">
        <f t="shared" si="5"/>
        <v>13257.727999999999</v>
      </c>
      <c r="H41" s="178"/>
      <c r="I41" s="84"/>
      <c r="J41" s="84"/>
      <c r="K41" s="84"/>
      <c r="L41" s="179"/>
      <c r="M41" s="180"/>
      <c r="N41" s="84"/>
    </row>
    <row r="42" spans="2:14" ht="12" customHeight="1" x14ac:dyDescent="0.15">
      <c r="B42" s="190" t="s">
        <v>46</v>
      </c>
      <c r="C42" s="36">
        <f t="shared" si="4"/>
        <v>21776.639999999999</v>
      </c>
      <c r="D42" s="159"/>
      <c r="E42" s="159">
        <f t="shared" si="5"/>
        <v>21776.639999999999</v>
      </c>
      <c r="H42" s="178"/>
      <c r="I42" s="84"/>
      <c r="J42" s="84"/>
      <c r="K42" s="84"/>
      <c r="L42" s="179"/>
      <c r="M42" s="180"/>
      <c r="N42" s="84"/>
    </row>
    <row r="43" spans="2:14" ht="12" customHeight="1" x14ac:dyDescent="0.15">
      <c r="B43" s="191" t="s">
        <v>48</v>
      </c>
      <c r="C43" s="192">
        <f t="shared" si="4"/>
        <v>34226.304000000004</v>
      </c>
      <c r="D43" s="162"/>
      <c r="E43" s="162">
        <f t="shared" si="5"/>
        <v>34226.304000000004</v>
      </c>
      <c r="I43" s="84"/>
      <c r="J43" s="182"/>
      <c r="K43" s="182"/>
      <c r="L43" s="183"/>
      <c r="M43" s="182"/>
      <c r="N43" s="84"/>
    </row>
    <row r="44" spans="2:14" ht="12" customHeight="1" x14ac:dyDescent="0.15">
      <c r="B44" s="2"/>
      <c r="C44" s="81">
        <f t="shared" ref="C44:E44" si="6">SUM(C37:C43)</f>
        <v>136960</v>
      </c>
      <c r="D44" s="81">
        <f t="shared" si="6"/>
        <v>0</v>
      </c>
      <c r="E44" s="81">
        <f t="shared" si="6"/>
        <v>136960</v>
      </c>
    </row>
    <row r="45" spans="2:14" ht="12" customHeight="1" x14ac:dyDescent="0.15">
      <c r="B45" s="2"/>
      <c r="H45" s="171"/>
      <c r="I45" s="84"/>
      <c r="J45" s="84"/>
      <c r="K45" s="84"/>
      <c r="L45" s="84"/>
    </row>
    <row r="46" spans="2:14" ht="12" customHeight="1" x14ac:dyDescent="0.15">
      <c r="B46" s="2"/>
      <c r="H46" s="73"/>
      <c r="I46" s="176"/>
      <c r="J46" s="84"/>
      <c r="K46" s="84"/>
      <c r="L46" s="177"/>
      <c r="M46" s="73"/>
    </row>
    <row r="47" spans="2:14" ht="12" customHeight="1" x14ac:dyDescent="0.15">
      <c r="B47" s="2"/>
      <c r="H47" s="178"/>
      <c r="I47" s="84"/>
      <c r="J47" s="84"/>
      <c r="K47" s="84"/>
      <c r="L47" s="179"/>
      <c r="M47" s="180"/>
      <c r="N47" s="84"/>
    </row>
    <row r="48" spans="2:14" ht="12" customHeight="1" x14ac:dyDescent="0.15">
      <c r="B48" s="2"/>
      <c r="H48" s="178"/>
      <c r="I48" s="84"/>
      <c r="J48" s="84"/>
      <c r="K48" s="84"/>
      <c r="L48" s="179"/>
      <c r="M48" s="180"/>
      <c r="N48" s="84"/>
    </row>
    <row r="49" spans="2:14" ht="12" customHeight="1" x14ac:dyDescent="0.15">
      <c r="B49" s="2"/>
      <c r="H49" s="178"/>
      <c r="I49" s="84"/>
      <c r="J49" s="84"/>
      <c r="K49" s="84"/>
      <c r="L49" s="179"/>
      <c r="M49" s="180"/>
      <c r="N49" s="84"/>
    </row>
    <row r="50" spans="2:14" ht="12" customHeight="1" x14ac:dyDescent="0.15">
      <c r="B50" s="2"/>
      <c r="C50" s="4"/>
      <c r="D50" s="4"/>
      <c r="E50" s="4"/>
      <c r="H50" s="178"/>
      <c r="I50" s="84"/>
      <c r="J50" s="84"/>
      <c r="K50" s="84"/>
      <c r="L50" s="179"/>
      <c r="M50" s="180"/>
      <c r="N50" s="84"/>
    </row>
    <row r="51" spans="2:14" ht="12" customHeight="1" x14ac:dyDescent="0.15">
      <c r="B51" s="2"/>
      <c r="C51" s="4"/>
      <c r="D51" s="4"/>
      <c r="E51" s="4"/>
      <c r="H51" s="178"/>
      <c r="I51" s="84"/>
      <c r="J51" s="84"/>
      <c r="K51" s="84"/>
      <c r="L51" s="179"/>
      <c r="M51" s="180"/>
      <c r="N51" s="84"/>
    </row>
    <row r="52" spans="2:14" ht="12" customHeight="1" x14ac:dyDescent="0.15">
      <c r="H52" s="178"/>
      <c r="I52" s="84"/>
      <c r="J52" s="84"/>
      <c r="K52" s="84"/>
      <c r="L52" s="179"/>
      <c r="M52" s="180"/>
      <c r="N52" s="84"/>
    </row>
    <row r="53" spans="2:14" ht="12" customHeight="1" x14ac:dyDescent="0.15">
      <c r="H53" s="178"/>
      <c r="I53" s="84"/>
      <c r="J53" s="84"/>
      <c r="K53" s="84"/>
      <c r="L53" s="179"/>
      <c r="M53" s="180"/>
      <c r="N53" s="84"/>
    </row>
    <row r="54" spans="2:14" ht="12" customHeight="1" x14ac:dyDescent="0.15">
      <c r="I54" s="84"/>
      <c r="J54" s="182"/>
      <c r="K54" s="182"/>
      <c r="L54" s="183"/>
      <c r="M54" s="182"/>
      <c r="N54" s="84"/>
    </row>
  </sheetData>
  <printOptions horizontalCentered="1"/>
  <pageMargins left="0.47222222222222199" right="0.47222222222222199" top="0.61944444444444402" bottom="0.35416666666666702" header="0" footer="0"/>
  <pageSetup scale="81" orientation="portrait"/>
  <headerFooter>
    <oddHeader>&amp;C&amp;A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N44"/>
  <sheetViews>
    <sheetView workbookViewId="0"/>
  </sheetViews>
  <sheetFormatPr baseColWidth="10" defaultColWidth="12.6640625" defaultRowHeight="15" customHeight="1" x14ac:dyDescent="0.15"/>
  <cols>
    <col min="1" max="1" width="5.33203125" customWidth="1"/>
    <col min="2" max="2" width="36.83203125" customWidth="1"/>
    <col min="3" max="3" width="12.5" customWidth="1"/>
    <col min="4" max="4" width="14.6640625" customWidth="1"/>
    <col min="5" max="7" width="11.5" customWidth="1"/>
    <col min="8" max="10" width="12.1640625" customWidth="1"/>
    <col min="11" max="11" width="17.83203125" customWidth="1"/>
    <col min="12" max="26" width="12.1640625" customWidth="1"/>
  </cols>
  <sheetData>
    <row r="1" spans="2:14" ht="12" customHeight="1" x14ac:dyDescent="0.15">
      <c r="D1" s="153"/>
      <c r="E1" s="84"/>
      <c r="F1" s="129"/>
      <c r="G1" s="129"/>
      <c r="K1" s="194">
        <v>26236200</v>
      </c>
    </row>
    <row r="2" spans="2:14" ht="12" customHeight="1" x14ac:dyDescent="0.15">
      <c r="B2" s="195" t="s">
        <v>78</v>
      </c>
      <c r="C2" s="196" t="s">
        <v>72</v>
      </c>
      <c r="D2" s="196"/>
      <c r="E2" s="197" t="s">
        <v>159</v>
      </c>
      <c r="F2" s="198" t="s">
        <v>160</v>
      </c>
      <c r="G2" s="129"/>
      <c r="J2" s="178" t="s">
        <v>72</v>
      </c>
      <c r="K2" s="176" t="s">
        <v>74</v>
      </c>
      <c r="L2" s="177" t="s">
        <v>76</v>
      </c>
      <c r="M2" s="199" t="s">
        <v>76</v>
      </c>
      <c r="N2" s="200" t="s">
        <v>161</v>
      </c>
    </row>
    <row r="3" spans="2:14" ht="12" customHeight="1" x14ac:dyDescent="0.15">
      <c r="B3" s="24" t="s">
        <v>34</v>
      </c>
      <c r="C3" s="196" t="s">
        <v>35</v>
      </c>
      <c r="D3" s="201"/>
      <c r="E3" s="84"/>
      <c r="F3" s="129"/>
      <c r="G3" s="129"/>
      <c r="J3" s="178">
        <v>1</v>
      </c>
      <c r="K3" s="84">
        <f>K1/J20*J13</f>
        <v>3385038.8048100215</v>
      </c>
      <c r="L3" s="84">
        <v>12.9</v>
      </c>
      <c r="M3" s="202">
        <v>12.9</v>
      </c>
      <c r="N3" s="203">
        <f t="shared" ref="N3:N9" si="0">M3*10000</f>
        <v>129000</v>
      </c>
    </row>
    <row r="4" spans="2:14" ht="12" customHeight="1" x14ac:dyDescent="0.15">
      <c r="B4" s="24"/>
      <c r="C4" s="204" t="s">
        <v>162</v>
      </c>
      <c r="D4" s="205" t="s">
        <v>163</v>
      </c>
      <c r="E4" s="153">
        <v>79.09</v>
      </c>
      <c r="F4" s="129"/>
      <c r="G4" s="129"/>
      <c r="J4" s="178">
        <v>2</v>
      </c>
      <c r="K4" s="84">
        <f>K1/J20*J14</f>
        <v>3452215.7605962222</v>
      </c>
      <c r="L4" s="84">
        <v>13.16</v>
      </c>
      <c r="M4" s="202">
        <v>13.16</v>
      </c>
      <c r="N4" s="203">
        <f t="shared" si="0"/>
        <v>131600</v>
      </c>
    </row>
    <row r="5" spans="2:14" ht="12" customHeight="1" x14ac:dyDescent="0.15">
      <c r="B5" s="24"/>
      <c r="C5" s="206" t="s">
        <v>164</v>
      </c>
      <c r="D5" s="205" t="s">
        <v>165</v>
      </c>
      <c r="E5" s="84">
        <v>18.91</v>
      </c>
      <c r="F5" s="129"/>
      <c r="G5" s="129"/>
      <c r="J5" s="178">
        <v>3</v>
      </c>
      <c r="K5" s="84">
        <f>K1/J20*J15</f>
        <v>4062206.5109048504</v>
      </c>
      <c r="L5" s="84">
        <v>15.48</v>
      </c>
      <c r="M5" s="202">
        <v>15.48</v>
      </c>
      <c r="N5" s="203">
        <f t="shared" si="0"/>
        <v>154800</v>
      </c>
    </row>
    <row r="6" spans="2:14" ht="12" customHeight="1" x14ac:dyDescent="0.15">
      <c r="B6" s="24"/>
      <c r="C6" s="206" t="s">
        <v>166</v>
      </c>
      <c r="D6" s="205" t="s">
        <v>167</v>
      </c>
      <c r="E6" s="84">
        <v>71.31</v>
      </c>
      <c r="F6" s="129"/>
      <c r="G6" s="129"/>
      <c r="J6" s="178">
        <v>4</v>
      </c>
      <c r="K6" s="84">
        <f>K1/J20*J16</f>
        <v>2069290.155914224</v>
      </c>
      <c r="L6" s="84">
        <v>7.89</v>
      </c>
      <c r="M6" s="202">
        <v>7.89</v>
      </c>
      <c r="N6" s="203">
        <f t="shared" si="0"/>
        <v>78900</v>
      </c>
    </row>
    <row r="7" spans="2:14" ht="12" customHeight="1" x14ac:dyDescent="0.15">
      <c r="B7" s="24"/>
      <c r="C7" s="207"/>
      <c r="D7" s="201"/>
      <c r="E7" s="208">
        <f>SUM(E4:E6)</f>
        <v>169.31</v>
      </c>
      <c r="F7" s="209">
        <f>E7/E44</f>
        <v>0.12902168777528844</v>
      </c>
      <c r="G7" s="129">
        <v>0.129</v>
      </c>
      <c r="J7" s="178">
        <v>5</v>
      </c>
      <c r="K7" s="84">
        <f>K1/J20*J17</f>
        <v>2539128.9835855695</v>
      </c>
      <c r="L7" s="84">
        <v>9.68</v>
      </c>
      <c r="M7" s="202">
        <v>9.68</v>
      </c>
      <c r="N7" s="203">
        <f t="shared" si="0"/>
        <v>96800</v>
      </c>
    </row>
    <row r="8" spans="2:14" ht="12" customHeight="1" x14ac:dyDescent="0.15">
      <c r="B8" s="24" t="s">
        <v>92</v>
      </c>
      <c r="C8" s="196" t="s">
        <v>38</v>
      </c>
      <c r="D8" s="201"/>
      <c r="E8" s="84"/>
      <c r="F8" s="129"/>
      <c r="G8" s="129"/>
      <c r="J8" s="178">
        <v>6</v>
      </c>
      <c r="K8" s="84">
        <f>K1/J20*J18</f>
        <v>4172168.7897215486</v>
      </c>
      <c r="L8" s="84">
        <v>15.9</v>
      </c>
      <c r="M8" s="202">
        <v>15.9</v>
      </c>
      <c r="N8" s="203">
        <f t="shared" si="0"/>
        <v>159000</v>
      </c>
    </row>
    <row r="9" spans="2:14" ht="12" customHeight="1" x14ac:dyDescent="0.15">
      <c r="B9" s="24"/>
      <c r="C9" s="204" t="s">
        <v>162</v>
      </c>
      <c r="D9" s="205" t="s">
        <v>168</v>
      </c>
      <c r="E9" s="84">
        <v>90.48</v>
      </c>
      <c r="F9" s="129"/>
      <c r="G9" s="129"/>
      <c r="J9" s="178">
        <v>7</v>
      </c>
      <c r="K9" s="84">
        <f>K1/J20*J19</f>
        <v>6556150.9944675583</v>
      </c>
      <c r="L9" s="84">
        <v>24.99</v>
      </c>
      <c r="M9" s="202">
        <v>24.99</v>
      </c>
      <c r="N9" s="203">
        <f t="shared" si="0"/>
        <v>249899.99999999997</v>
      </c>
    </row>
    <row r="10" spans="2:14" ht="12" customHeight="1" x14ac:dyDescent="0.15">
      <c r="B10" s="24"/>
      <c r="C10" s="206" t="s">
        <v>164</v>
      </c>
      <c r="D10" s="205" t="s">
        <v>169</v>
      </c>
      <c r="E10" s="84">
        <v>24.52</v>
      </c>
      <c r="F10" s="129"/>
      <c r="G10" s="129"/>
      <c r="J10" s="84"/>
      <c r="K10" s="182">
        <f t="shared" ref="K10:N10" si="1">SUM(K3:K9)</f>
        <v>26236199.999999993</v>
      </c>
      <c r="L10" s="182">
        <f t="shared" si="1"/>
        <v>100</v>
      </c>
      <c r="M10" s="210">
        <f t="shared" si="1"/>
        <v>100</v>
      </c>
      <c r="N10" s="211">
        <f t="shared" si="1"/>
        <v>1000000</v>
      </c>
    </row>
    <row r="11" spans="2:14" ht="12" customHeight="1" x14ac:dyDescent="0.15">
      <c r="B11" s="24"/>
      <c r="C11" s="206" t="s">
        <v>166</v>
      </c>
      <c r="D11" s="205" t="s">
        <v>170</v>
      </c>
      <c r="E11" s="84">
        <v>57.67</v>
      </c>
      <c r="F11" s="129"/>
      <c r="G11" s="129"/>
      <c r="I11" s="84"/>
      <c r="J11" s="84"/>
      <c r="K11" s="84"/>
      <c r="L11" s="84"/>
    </row>
    <row r="12" spans="2:14" ht="12" customHeight="1" x14ac:dyDescent="0.15">
      <c r="B12" s="24"/>
      <c r="C12" s="207"/>
      <c r="D12" s="201"/>
      <c r="E12" s="208">
        <f>SUM(E9:E11)</f>
        <v>172.67000000000002</v>
      </c>
      <c r="F12" s="209">
        <f>E12/E44</f>
        <v>0.13158215597518785</v>
      </c>
      <c r="G12" s="129">
        <v>0.13159999999999999</v>
      </c>
      <c r="I12" s="1" t="s">
        <v>72</v>
      </c>
      <c r="J12" s="1" t="s">
        <v>171</v>
      </c>
      <c r="K12" s="212" t="s">
        <v>172</v>
      </c>
      <c r="L12" s="213" t="s">
        <v>173</v>
      </c>
      <c r="M12" s="214" t="s">
        <v>173</v>
      </c>
      <c r="N12" s="200" t="s">
        <v>173</v>
      </c>
    </row>
    <row r="13" spans="2:14" ht="12" customHeight="1" x14ac:dyDescent="0.15">
      <c r="B13" s="24" t="s">
        <v>39</v>
      </c>
      <c r="C13" s="196" t="s">
        <v>40</v>
      </c>
      <c r="D13" s="201"/>
      <c r="E13" s="84"/>
      <c r="F13" s="129"/>
      <c r="G13" s="129"/>
      <c r="I13" s="178">
        <v>1</v>
      </c>
      <c r="J13" s="215">
        <v>169.31</v>
      </c>
      <c r="K13" s="84">
        <v>1</v>
      </c>
      <c r="L13" s="84">
        <v>0.90310000000000001</v>
      </c>
      <c r="M13" s="171">
        <v>0.90310000000000001</v>
      </c>
      <c r="N13" s="203">
        <f t="shared" ref="N13:N19" si="2">M13*10000</f>
        <v>9031</v>
      </c>
    </row>
    <row r="14" spans="2:14" ht="12" customHeight="1" x14ac:dyDescent="0.15">
      <c r="B14" s="24"/>
      <c r="C14" s="204" t="s">
        <v>162</v>
      </c>
      <c r="D14" s="205" t="s">
        <v>174</v>
      </c>
      <c r="E14" s="84">
        <v>82.55</v>
      </c>
      <c r="F14" s="129"/>
      <c r="G14" s="129"/>
      <c r="I14" s="178">
        <v>2</v>
      </c>
      <c r="J14" s="215">
        <v>172.67</v>
      </c>
      <c r="K14" s="84">
        <v>1</v>
      </c>
      <c r="L14" s="84">
        <v>0.92110000000000003</v>
      </c>
      <c r="M14" s="171">
        <v>0.92110000000000003</v>
      </c>
      <c r="N14" s="203">
        <f t="shared" si="2"/>
        <v>9211</v>
      </c>
    </row>
    <row r="15" spans="2:14" ht="12" customHeight="1" x14ac:dyDescent="0.15">
      <c r="B15" s="24"/>
      <c r="C15" s="206" t="s">
        <v>164</v>
      </c>
      <c r="D15" s="205" t="s">
        <v>175</v>
      </c>
      <c r="E15" s="84">
        <v>25.38</v>
      </c>
      <c r="F15" s="129"/>
      <c r="G15" s="129"/>
      <c r="I15" s="178">
        <v>3</v>
      </c>
      <c r="J15" s="215">
        <v>203.18</v>
      </c>
      <c r="K15" s="84">
        <v>1</v>
      </c>
      <c r="L15" s="84">
        <v>1.0838000000000001</v>
      </c>
      <c r="M15" s="171">
        <v>1.0838000000000001</v>
      </c>
      <c r="N15" s="203">
        <f t="shared" si="2"/>
        <v>10838.000000000002</v>
      </c>
    </row>
    <row r="16" spans="2:14" ht="12" customHeight="1" x14ac:dyDescent="0.15">
      <c r="B16" s="24"/>
      <c r="C16" s="206" t="s">
        <v>164</v>
      </c>
      <c r="D16" s="205" t="s">
        <v>176</v>
      </c>
      <c r="E16" s="84">
        <v>4.57</v>
      </c>
      <c r="F16" s="129"/>
      <c r="G16" s="129"/>
      <c r="I16" s="178">
        <v>4</v>
      </c>
      <c r="J16" s="215">
        <v>103.5</v>
      </c>
      <c r="K16" s="84">
        <v>1</v>
      </c>
      <c r="L16" s="84">
        <v>0.55210000000000004</v>
      </c>
      <c r="M16" s="171">
        <v>0.55210000000000004</v>
      </c>
      <c r="N16" s="203">
        <f t="shared" si="2"/>
        <v>5521</v>
      </c>
    </row>
    <row r="17" spans="2:14" ht="12" customHeight="1" x14ac:dyDescent="0.15">
      <c r="B17" s="24"/>
      <c r="C17" s="206" t="s">
        <v>166</v>
      </c>
      <c r="D17" s="205" t="s">
        <v>177</v>
      </c>
      <c r="E17" s="84">
        <v>90.68</v>
      </c>
      <c r="F17" s="129"/>
      <c r="G17" s="129"/>
      <c r="I17" s="178">
        <v>5</v>
      </c>
      <c r="J17" s="215">
        <v>127</v>
      </c>
      <c r="K17" s="84">
        <v>1</v>
      </c>
      <c r="L17" s="84">
        <v>0.67749999999999999</v>
      </c>
      <c r="M17" s="171">
        <v>0.67749999999999999</v>
      </c>
      <c r="N17" s="203">
        <f t="shared" si="2"/>
        <v>6775</v>
      </c>
    </row>
    <row r="18" spans="2:14" ht="12" customHeight="1" x14ac:dyDescent="0.15">
      <c r="B18" s="24"/>
      <c r="C18" s="207"/>
      <c r="D18" s="201"/>
      <c r="E18" s="208">
        <f>SUM(E14:E17)</f>
        <v>203.18</v>
      </c>
      <c r="F18" s="209">
        <f>E18/E44</f>
        <v>0.15483212168320304</v>
      </c>
      <c r="G18" s="129">
        <v>0.15479999999999999</v>
      </c>
      <c r="I18" s="178">
        <v>6</v>
      </c>
      <c r="J18" s="215">
        <v>208.68</v>
      </c>
      <c r="K18" s="84">
        <v>1</v>
      </c>
      <c r="L18" s="84">
        <v>1.1132</v>
      </c>
      <c r="M18" s="171">
        <v>1.1132</v>
      </c>
      <c r="N18" s="203">
        <f t="shared" si="2"/>
        <v>11132</v>
      </c>
    </row>
    <row r="19" spans="2:14" ht="12" customHeight="1" x14ac:dyDescent="0.15">
      <c r="B19" s="24" t="s">
        <v>41</v>
      </c>
      <c r="C19" s="196" t="s">
        <v>42</v>
      </c>
      <c r="D19" s="201"/>
      <c r="E19" s="84"/>
      <c r="F19" s="129"/>
      <c r="G19" s="129"/>
      <c r="I19" s="178">
        <v>7</v>
      </c>
      <c r="J19" s="215">
        <v>327.92</v>
      </c>
      <c r="K19" s="84">
        <v>1</v>
      </c>
      <c r="L19" s="84">
        <v>1.7492000000000001</v>
      </c>
      <c r="M19" s="171">
        <v>1.7492000000000001</v>
      </c>
      <c r="N19" s="203">
        <f t="shared" si="2"/>
        <v>17492</v>
      </c>
    </row>
    <row r="20" spans="2:14" ht="12" customHeight="1" x14ac:dyDescent="0.15">
      <c r="B20" s="24"/>
      <c r="C20" s="204" t="s">
        <v>162</v>
      </c>
      <c r="D20" s="205" t="s">
        <v>178</v>
      </c>
      <c r="E20" s="84">
        <v>72.59</v>
      </c>
      <c r="F20" s="129"/>
      <c r="G20" s="129"/>
      <c r="I20" s="84"/>
      <c r="J20" s="216">
        <f>J13+J14+J15+J16+J17+J18+J19</f>
        <v>1312.2600000000002</v>
      </c>
      <c r="K20" s="217">
        <f t="shared" ref="K20:N20" si="3">SUM(K13:K19)</f>
        <v>7</v>
      </c>
      <c r="L20" s="218">
        <f t="shared" si="3"/>
        <v>7.0000000000000009</v>
      </c>
      <c r="M20" s="219">
        <f t="shared" si="3"/>
        <v>7.0000000000000009</v>
      </c>
      <c r="N20" s="211">
        <f t="shared" si="3"/>
        <v>70000</v>
      </c>
    </row>
    <row r="21" spans="2:14" ht="12" customHeight="1" x14ac:dyDescent="0.15">
      <c r="B21" s="24"/>
      <c r="C21" s="206" t="s">
        <v>164</v>
      </c>
      <c r="D21" s="205" t="s">
        <v>179</v>
      </c>
      <c r="E21" s="84">
        <v>18.91</v>
      </c>
      <c r="F21" s="129"/>
      <c r="G21" s="129"/>
      <c r="I21" s="84"/>
      <c r="J21" s="84"/>
      <c r="K21" s="84"/>
      <c r="L21" s="180"/>
    </row>
    <row r="22" spans="2:14" ht="12" customHeight="1" x14ac:dyDescent="0.15">
      <c r="B22" s="24"/>
      <c r="C22" s="207" t="s">
        <v>180</v>
      </c>
      <c r="D22" s="205" t="s">
        <v>181</v>
      </c>
      <c r="E22" s="84">
        <v>12</v>
      </c>
      <c r="F22" s="129"/>
      <c r="G22" s="129"/>
      <c r="I22" s="84"/>
      <c r="J22" s="84"/>
      <c r="K22" s="84"/>
      <c r="L22" s="180"/>
    </row>
    <row r="23" spans="2:14" ht="12" customHeight="1" x14ac:dyDescent="0.15">
      <c r="B23" s="24"/>
      <c r="C23" s="207"/>
      <c r="D23" s="201"/>
      <c r="E23" s="220">
        <f>SUM(E20:E22)</f>
        <v>103.5</v>
      </c>
      <c r="F23" s="209">
        <f>E23/E44</f>
        <v>7.8871565086187187E-2</v>
      </c>
      <c r="G23" s="129">
        <v>7.8899999999999998E-2</v>
      </c>
      <c r="I23" s="178">
        <v>1</v>
      </c>
      <c r="J23" s="215">
        <v>169.31</v>
      </c>
      <c r="K23" s="84">
        <v>1312.26</v>
      </c>
      <c r="L23" s="221">
        <v>0.129021</v>
      </c>
      <c r="M23" s="73">
        <v>7</v>
      </c>
      <c r="N23" s="222">
        <f t="shared" ref="N23:N29" si="4">L23*M23</f>
        <v>0.90314699999999992</v>
      </c>
    </row>
    <row r="24" spans="2:14" ht="12" customHeight="1" x14ac:dyDescent="0.15">
      <c r="B24" s="24" t="s">
        <v>82</v>
      </c>
      <c r="C24" s="196" t="s">
        <v>44</v>
      </c>
      <c r="D24" s="201"/>
      <c r="E24" s="84"/>
      <c r="F24" s="129"/>
      <c r="G24" s="129"/>
      <c r="I24" s="178">
        <v>2</v>
      </c>
      <c r="J24" s="215">
        <v>172.67</v>
      </c>
      <c r="K24" s="84">
        <v>1312.26</v>
      </c>
      <c r="L24" s="221">
        <v>0.131582</v>
      </c>
      <c r="M24" s="73">
        <v>7</v>
      </c>
      <c r="N24" s="222">
        <f t="shared" si="4"/>
        <v>0.92107400000000006</v>
      </c>
    </row>
    <row r="25" spans="2:14" ht="12" customHeight="1" x14ac:dyDescent="0.15">
      <c r="B25" s="24"/>
      <c r="C25" s="204" t="s">
        <v>162</v>
      </c>
      <c r="D25" s="205" t="s">
        <v>182</v>
      </c>
      <c r="E25" s="84">
        <v>90.48</v>
      </c>
      <c r="F25" s="129"/>
      <c r="G25" s="129"/>
      <c r="I25" s="178">
        <v>3</v>
      </c>
      <c r="J25" s="215">
        <v>203.18</v>
      </c>
      <c r="K25" s="84">
        <v>1312.26</v>
      </c>
      <c r="L25" s="221">
        <f t="shared" ref="L25:L29" si="5">J25/K25</f>
        <v>0.15483212168320304</v>
      </c>
      <c r="M25" s="73">
        <v>7</v>
      </c>
      <c r="N25" s="222">
        <f t="shared" si="4"/>
        <v>1.0838248517824214</v>
      </c>
    </row>
    <row r="26" spans="2:14" ht="12" customHeight="1" x14ac:dyDescent="0.15">
      <c r="B26" s="24"/>
      <c r="C26" s="206" t="s">
        <v>164</v>
      </c>
      <c r="D26" s="205" t="s">
        <v>183</v>
      </c>
      <c r="E26" s="84">
        <v>24.52</v>
      </c>
      <c r="F26" s="129"/>
      <c r="G26" s="129"/>
      <c r="I26" s="178">
        <v>4</v>
      </c>
      <c r="J26" s="215">
        <v>103.5</v>
      </c>
      <c r="K26" s="84">
        <v>1312.26</v>
      </c>
      <c r="L26" s="221">
        <f t="shared" si="5"/>
        <v>7.8871565086187187E-2</v>
      </c>
      <c r="M26" s="73">
        <v>7</v>
      </c>
      <c r="N26" s="222">
        <f t="shared" si="4"/>
        <v>0.55210095560331029</v>
      </c>
    </row>
    <row r="27" spans="2:14" ht="12" customHeight="1" x14ac:dyDescent="0.15">
      <c r="B27" s="24"/>
      <c r="C27" s="207" t="s">
        <v>180</v>
      </c>
      <c r="D27" s="205" t="s">
        <v>184</v>
      </c>
      <c r="E27" s="84">
        <v>12</v>
      </c>
      <c r="F27" s="129"/>
      <c r="G27" s="129"/>
      <c r="I27" s="178">
        <v>5</v>
      </c>
      <c r="J27" s="215">
        <v>127</v>
      </c>
      <c r="K27" s="84">
        <v>1312.26</v>
      </c>
      <c r="L27" s="221">
        <f t="shared" si="5"/>
        <v>9.6779601603340801E-2</v>
      </c>
      <c r="M27" s="73">
        <v>7</v>
      </c>
      <c r="N27" s="222">
        <f t="shared" si="4"/>
        <v>0.67745721122338565</v>
      </c>
    </row>
    <row r="28" spans="2:14" ht="12" customHeight="1" x14ac:dyDescent="0.15">
      <c r="B28" s="24"/>
      <c r="C28" s="207"/>
      <c r="D28" s="201"/>
      <c r="E28" s="208">
        <f>SUM(E25:E27)</f>
        <v>127</v>
      </c>
      <c r="F28" s="209">
        <f>E28/E44</f>
        <v>9.6779601603340801E-2</v>
      </c>
      <c r="G28" s="129">
        <v>9.6799999999999997E-2</v>
      </c>
      <c r="I28" s="178">
        <v>6</v>
      </c>
      <c r="J28" s="215">
        <v>208.68</v>
      </c>
      <c r="K28" s="84">
        <v>1312.26</v>
      </c>
      <c r="L28" s="221">
        <f t="shared" si="5"/>
        <v>0.15902336427232408</v>
      </c>
      <c r="M28" s="73">
        <v>7</v>
      </c>
      <c r="N28" s="222">
        <f t="shared" si="4"/>
        <v>1.1131635499062686</v>
      </c>
    </row>
    <row r="29" spans="2:14" ht="12" customHeight="1" x14ac:dyDescent="0.15">
      <c r="B29" s="24" t="s">
        <v>185</v>
      </c>
      <c r="C29" s="196" t="s">
        <v>46</v>
      </c>
      <c r="D29" s="201"/>
      <c r="E29" s="84"/>
      <c r="F29" s="129"/>
      <c r="G29" s="129"/>
      <c r="I29" s="178">
        <v>7</v>
      </c>
      <c r="J29" s="215">
        <v>327.92</v>
      </c>
      <c r="K29" s="84">
        <v>1312.26</v>
      </c>
      <c r="L29" s="221">
        <f t="shared" si="5"/>
        <v>0.24988950360446863</v>
      </c>
      <c r="M29" s="73">
        <v>7</v>
      </c>
      <c r="N29" s="222">
        <f t="shared" si="4"/>
        <v>1.7492265252312804</v>
      </c>
    </row>
    <row r="30" spans="2:14" ht="12" customHeight="1" x14ac:dyDescent="0.15">
      <c r="B30" s="24"/>
      <c r="C30" s="204" t="s">
        <v>162</v>
      </c>
      <c r="D30" s="205" t="s">
        <v>186</v>
      </c>
      <c r="E30" s="84">
        <v>82.55</v>
      </c>
      <c r="F30" s="129"/>
      <c r="G30" s="129"/>
      <c r="I30" s="84"/>
      <c r="J30" s="216">
        <f>SUM(J23:J29)</f>
        <v>1312.2600000000002</v>
      </c>
      <c r="K30" s="84"/>
      <c r="L30" s="84">
        <f>SUM(L23:L29)</f>
        <v>0.99999915624952374</v>
      </c>
      <c r="M30" s="221"/>
      <c r="N30" s="222">
        <f>SUM(N23:N29)</f>
        <v>6.9999940937466665</v>
      </c>
    </row>
    <row r="31" spans="2:14" ht="12" customHeight="1" x14ac:dyDescent="0.15">
      <c r="B31" s="24"/>
      <c r="C31" s="206" t="s">
        <v>164</v>
      </c>
      <c r="D31" s="201" t="s">
        <v>187</v>
      </c>
      <c r="E31" s="84">
        <v>25.38</v>
      </c>
      <c r="F31" s="129"/>
      <c r="G31" s="129"/>
    </row>
    <row r="32" spans="2:14" ht="12" customHeight="1" x14ac:dyDescent="0.15">
      <c r="B32" s="24"/>
      <c r="C32" s="206" t="s">
        <v>164</v>
      </c>
      <c r="D32" s="201" t="s">
        <v>188</v>
      </c>
      <c r="E32" s="84">
        <v>4.57</v>
      </c>
      <c r="F32" s="129"/>
      <c r="G32" s="129"/>
    </row>
    <row r="33" spans="2:7" ht="12" customHeight="1" x14ac:dyDescent="0.15">
      <c r="B33" s="24"/>
      <c r="C33" s="207" t="s">
        <v>180</v>
      </c>
      <c r="D33" s="205" t="s">
        <v>189</v>
      </c>
      <c r="E33" s="84">
        <v>12</v>
      </c>
      <c r="F33" s="129"/>
      <c r="G33" s="129"/>
    </row>
    <row r="34" spans="2:7" ht="12" customHeight="1" x14ac:dyDescent="0.15">
      <c r="B34" s="24"/>
      <c r="C34" s="206" t="s">
        <v>166</v>
      </c>
      <c r="D34" s="205" t="s">
        <v>190</v>
      </c>
      <c r="E34" s="84">
        <v>72.459999999999994</v>
      </c>
      <c r="F34" s="129"/>
      <c r="G34" s="129"/>
    </row>
    <row r="35" spans="2:7" ht="12" customHeight="1" x14ac:dyDescent="0.15">
      <c r="B35" s="24"/>
      <c r="C35" s="206" t="s">
        <v>191</v>
      </c>
      <c r="D35" s="205" t="s">
        <v>192</v>
      </c>
      <c r="E35" s="84">
        <v>6.37</v>
      </c>
      <c r="F35" s="129"/>
      <c r="G35" s="129"/>
    </row>
    <row r="36" spans="2:7" ht="12" customHeight="1" x14ac:dyDescent="0.15">
      <c r="B36" s="24"/>
      <c r="C36" s="206" t="s">
        <v>191</v>
      </c>
      <c r="D36" s="205" t="s">
        <v>193</v>
      </c>
      <c r="E36" s="84">
        <v>5.35</v>
      </c>
      <c r="F36" s="129"/>
      <c r="G36" s="129"/>
    </row>
    <row r="37" spans="2:7" ht="12" customHeight="1" x14ac:dyDescent="0.15">
      <c r="B37" s="24"/>
      <c r="C37" s="206"/>
      <c r="D37" s="205"/>
      <c r="E37" s="208">
        <f>SUM(E30:E36)</f>
        <v>208.67999999999998</v>
      </c>
      <c r="F37" s="209">
        <f>E37/E44</f>
        <v>0.15902336427232408</v>
      </c>
      <c r="G37" s="129">
        <v>0.159</v>
      </c>
    </row>
    <row r="38" spans="2:7" ht="12" customHeight="1" x14ac:dyDescent="0.15">
      <c r="B38" s="24" t="s">
        <v>47</v>
      </c>
      <c r="C38" s="196" t="s">
        <v>48</v>
      </c>
      <c r="D38" s="201"/>
      <c r="E38" s="84"/>
      <c r="F38" s="129"/>
      <c r="G38" s="129"/>
    </row>
    <row r="39" spans="2:7" ht="12" customHeight="1" x14ac:dyDescent="0.15">
      <c r="C39" s="204" t="s">
        <v>162</v>
      </c>
      <c r="D39" s="205" t="s">
        <v>194</v>
      </c>
      <c r="E39" s="84">
        <v>123.26</v>
      </c>
      <c r="F39" s="129"/>
      <c r="G39" s="129"/>
    </row>
    <row r="40" spans="2:7" ht="12" customHeight="1" x14ac:dyDescent="0.15">
      <c r="C40" s="206" t="s">
        <v>164</v>
      </c>
      <c r="D40" s="205" t="s">
        <v>195</v>
      </c>
      <c r="E40" s="84">
        <v>176.74</v>
      </c>
      <c r="F40" s="129"/>
      <c r="G40" s="129"/>
    </row>
    <row r="41" spans="2:7" ht="12" customHeight="1" x14ac:dyDescent="0.15">
      <c r="C41" s="207" t="s">
        <v>180</v>
      </c>
      <c r="D41" s="205" t="s">
        <v>196</v>
      </c>
      <c r="E41" s="84">
        <v>27.92</v>
      </c>
      <c r="F41" s="129"/>
      <c r="G41" s="129"/>
    </row>
    <row r="42" spans="2:7" ht="12" customHeight="1" x14ac:dyDescent="0.15">
      <c r="D42" s="153"/>
      <c r="E42" s="208">
        <f>SUM(E39:E41)</f>
        <v>327.92</v>
      </c>
      <c r="F42" s="209">
        <f>E42/E44</f>
        <v>0.24988950360446863</v>
      </c>
      <c r="G42" s="129">
        <v>0.24990000000000001</v>
      </c>
    </row>
    <row r="43" spans="2:7" ht="12" customHeight="1" x14ac:dyDescent="0.15">
      <c r="D43" s="153"/>
      <c r="E43" s="84"/>
      <c r="F43" s="129"/>
      <c r="G43" s="129"/>
    </row>
    <row r="44" spans="2:7" ht="12" customHeight="1" x14ac:dyDescent="0.15">
      <c r="D44" s="193" t="s">
        <v>197</v>
      </c>
      <c r="E44" s="197">
        <f>E7+E12+E18+E23+E28+E37+E42</f>
        <v>1312.26</v>
      </c>
      <c r="F44" s="129">
        <f t="shared" ref="F44:G44" si="6">SUM(F7:F42)</f>
        <v>1</v>
      </c>
      <c r="G44" s="129">
        <f t="shared" si="6"/>
        <v>1</v>
      </c>
    </row>
  </sheetData>
  <pageMargins left="0.78749999999999998" right="0.78749999999999998" top="1.05277777777778" bottom="1.05277777777778" header="0" footer="0"/>
  <pageSetup paperSize="9" scale="93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Fondo de reservas</vt:lpstr>
      <vt:lpstr>Caja Chica-Cta.Bco</vt:lpstr>
      <vt:lpstr>Gastos detallados</vt:lpstr>
      <vt:lpstr>A1</vt:lpstr>
      <vt:lpstr>A2</vt:lpstr>
      <vt:lpstr>A3</vt:lpstr>
      <vt:lpstr>A4</vt:lpstr>
      <vt:lpstr>A5</vt:lpstr>
      <vt:lpstr>A6</vt:lpstr>
      <vt:lpstr>A7</vt:lpstr>
      <vt:lpstr>Pedido Exceptional - ENERO2025</vt:lpstr>
      <vt:lpstr>Cuota Extraordinaria Privilegio</vt:lpstr>
      <vt:lpstr>Presupuesto 2025 Aprobado</vt:lpstr>
      <vt:lpstr>Distribución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yunairy</dc:creator>
  <cp:lastModifiedBy>Microsoft Office User</cp:lastModifiedBy>
  <cp:lastPrinted>2025-03-13T21:35:26Z</cp:lastPrinted>
  <dcterms:created xsi:type="dcterms:W3CDTF">2024-01-05T16:39:16Z</dcterms:created>
  <dcterms:modified xsi:type="dcterms:W3CDTF">2025-03-14T15:08:48Z</dcterms:modified>
</cp:coreProperties>
</file>
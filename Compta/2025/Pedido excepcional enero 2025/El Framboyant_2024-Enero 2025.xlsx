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5/Pedido excepcional enero 2025/"/>
    </mc:Choice>
  </mc:AlternateContent>
  <xr:revisionPtr revIDLastSave="0" documentId="13_ncr:1_{96C9D96D-97AE-DC45-BB1E-B3B36C712F89}" xr6:coauthVersionLast="45" xr6:coauthVersionMax="45" xr10:uidLastSave="{00000000-0000-0000-0000-000000000000}"/>
  <bookViews>
    <workbookView xWindow="33600" yWindow="500" windowWidth="33600" windowHeight="20500" firstSheet="5" activeTab="12" xr2:uid="{00000000-000D-0000-FFFF-FFFF00000000}"/>
  </bookViews>
  <sheets>
    <sheet name="Fondo de reservas" sheetId="1" r:id="rId1"/>
    <sheet name="Caja Chica-Cta.Bco" sheetId="2" r:id="rId2"/>
    <sheet name="Gastos detallados" sheetId="3" r:id="rId3"/>
    <sheet name="PedidoAGE12-01" sheetId="4" r:id="rId4"/>
    <sheet name="PedidoVotoElec-09-04" sheetId="5" r:id="rId5"/>
    <sheet name="Pedido Exceptional - Agosto 24" sheetId="6" r:id="rId6"/>
    <sheet name="PedidoVotoElec-11-10" sheetId="17" r:id="rId7"/>
    <sheet name="PedidoVotoElec-09-12" sheetId="16" r:id="rId8"/>
    <sheet name="Pedido Exceptional - ENERO2025" sheetId="18" r:id="rId9"/>
    <sheet name="Presupuesto 2024 Aprobado" sheetId="7" r:id="rId10"/>
    <sheet name="A1" sheetId="8" r:id="rId11"/>
    <sheet name="A2" sheetId="9" r:id="rId12"/>
    <sheet name="A3" sheetId="10" r:id="rId13"/>
    <sheet name="A4" sheetId="11" r:id="rId14"/>
    <sheet name="A5" sheetId="12" r:id="rId15"/>
    <sheet name="A6" sheetId="13" r:id="rId16"/>
    <sheet name="A7" sheetId="14" r:id="rId17"/>
    <sheet name="Distribución" sheetId="15" r:id="rId18"/>
  </sheets>
  <definedNames>
    <definedName name="_xlnm._FilterDatabase" localSheetId="1" hidden="1">'Caja Chica-Cta.Bco'!$B$9:$F$204</definedName>
  </definedNames>
  <calcPr calcId="191029"/>
  <extLst>
    <ext uri="GoogleSheetsCustomDataVersion2">
      <go:sheetsCustomData xmlns:go="http://customooxmlschemas.google.com/" r:id="rId19" roundtripDataChecksum="mHj54pfwGa34Mk9W644cwQvW0Qj3i47x6KjAp6OnHzo="/>
    </ext>
  </extLst>
</workbook>
</file>

<file path=xl/calcChain.xml><?xml version="1.0" encoding="utf-8"?>
<calcChain xmlns="http://schemas.openxmlformats.org/spreadsheetml/2006/main">
  <c r="L204" i="2" l="1"/>
  <c r="E40" i="14" l="1"/>
  <c r="E40" i="13"/>
  <c r="E41" i="12"/>
  <c r="E40" i="11"/>
  <c r="E41" i="10"/>
  <c r="E42" i="9"/>
  <c r="E68" i="8"/>
  <c r="F204" i="2" l="1"/>
  <c r="D32" i="18"/>
  <c r="J31" i="18"/>
  <c r="L30" i="18" s="1"/>
  <c r="L29" i="18"/>
  <c r="L27" i="18"/>
  <c r="L26" i="18"/>
  <c r="L24" i="18"/>
  <c r="E14" i="18"/>
  <c r="E23" i="18" s="1"/>
  <c r="D38" i="17"/>
  <c r="J37" i="17"/>
  <c r="L31" i="17" s="1"/>
  <c r="L36" i="17"/>
  <c r="L35" i="17"/>
  <c r="L33" i="17"/>
  <c r="L30" i="17"/>
  <c r="E17" i="17"/>
  <c r="E20" i="17"/>
  <c r="E29" i="17" s="1"/>
  <c r="E18" i="16"/>
  <c r="E13" i="16"/>
  <c r="D39" i="16"/>
  <c r="J38" i="16"/>
  <c r="L33" i="16" s="1"/>
  <c r="L37" i="16"/>
  <c r="L36" i="16"/>
  <c r="L35" i="16"/>
  <c r="L34" i="16"/>
  <c r="L31" i="16" l="1"/>
  <c r="L32" i="16"/>
  <c r="I27" i="18"/>
  <c r="M27" i="18" s="1"/>
  <c r="I30" i="18"/>
  <c r="M30" i="18" s="1"/>
  <c r="I28" i="18"/>
  <c r="M28" i="18" s="1"/>
  <c r="I29" i="18"/>
  <c r="M29" i="18" s="1"/>
  <c r="I25" i="18"/>
  <c r="M25" i="18" s="1"/>
  <c r="I26" i="18"/>
  <c r="M26" i="18" s="1"/>
  <c r="I24" i="18"/>
  <c r="M24" i="18" s="1"/>
  <c r="L28" i="18"/>
  <c r="L25" i="18"/>
  <c r="E21" i="16"/>
  <c r="E30" i="16" s="1"/>
  <c r="I33" i="16" s="1"/>
  <c r="M33" i="16" s="1"/>
  <c r="I36" i="17"/>
  <c r="M36" i="17" s="1"/>
  <c r="I35" i="17"/>
  <c r="M35" i="17" s="1"/>
  <c r="I31" i="17"/>
  <c r="M31" i="17" s="1"/>
  <c r="I34" i="17"/>
  <c r="M34" i="17" s="1"/>
  <c r="I32" i="17"/>
  <c r="M32" i="17" s="1"/>
  <c r="I30" i="17"/>
  <c r="M30" i="17" s="1"/>
  <c r="I33" i="17"/>
  <c r="M33" i="17" s="1"/>
  <c r="L32" i="17"/>
  <c r="L34" i="17"/>
  <c r="D52" i="3"/>
  <c r="D37" i="3"/>
  <c r="D106" i="3"/>
  <c r="D176" i="3"/>
  <c r="L38" i="16" l="1"/>
  <c r="L37" i="17"/>
  <c r="L31" i="18"/>
  <c r="E28" i="18"/>
  <c r="D39" i="11" s="1"/>
  <c r="N27" i="18"/>
  <c r="E30" i="18"/>
  <c r="D39" i="13" s="1"/>
  <c r="N29" i="18"/>
  <c r="E31" i="18"/>
  <c r="D39" i="14" s="1"/>
  <c r="N30" i="18"/>
  <c r="M31" i="18"/>
  <c r="E25" i="18"/>
  <c r="D67" i="8" s="1"/>
  <c r="N24" i="18"/>
  <c r="E27" i="18"/>
  <c r="D40" i="10" s="1"/>
  <c r="N26" i="18"/>
  <c r="E26" i="18"/>
  <c r="D41" i="9" s="1"/>
  <c r="N25" i="18"/>
  <c r="N28" i="18"/>
  <c r="E29" i="18"/>
  <c r="D40" i="12" s="1"/>
  <c r="I35" i="16"/>
  <c r="M35" i="16" s="1"/>
  <c r="E36" i="16" s="1"/>
  <c r="D39" i="12" s="1"/>
  <c r="I32" i="16"/>
  <c r="M32" i="16" s="1"/>
  <c r="N32" i="16" s="1"/>
  <c r="I37" i="16"/>
  <c r="M37" i="16" s="1"/>
  <c r="E38" i="16" s="1"/>
  <c r="D38" i="14" s="1"/>
  <c r="I34" i="16"/>
  <c r="M34" i="16" s="1"/>
  <c r="N34" i="16" s="1"/>
  <c r="I31" i="16"/>
  <c r="M31" i="16" s="1"/>
  <c r="E32" i="16" s="1"/>
  <c r="D66" i="8" s="1"/>
  <c r="I36" i="16"/>
  <c r="M36" i="16" s="1"/>
  <c r="N36" i="16" s="1"/>
  <c r="E34" i="17"/>
  <c r="D37" i="11" s="1"/>
  <c r="N33" i="17"/>
  <c r="N30" i="17"/>
  <c r="M37" i="17"/>
  <c r="E31" i="17"/>
  <c r="D65" i="8" s="1"/>
  <c r="N31" i="17"/>
  <c r="E32" i="17"/>
  <c r="D39" i="9" s="1"/>
  <c r="N35" i="17"/>
  <c r="E36" i="17"/>
  <c r="D37" i="13" s="1"/>
  <c r="E33" i="17"/>
  <c r="D38" i="10" s="1"/>
  <c r="N32" i="17"/>
  <c r="E35" i="17"/>
  <c r="D38" i="12" s="1"/>
  <c r="N34" i="17"/>
  <c r="E37" i="17"/>
  <c r="D37" i="14" s="1"/>
  <c r="N36" i="17"/>
  <c r="E34" i="16"/>
  <c r="D39" i="10" s="1"/>
  <c r="N33" i="16"/>
  <c r="N35" i="16"/>
  <c r="E33" i="16"/>
  <c r="D40" i="9" s="1"/>
  <c r="N37" i="16"/>
  <c r="D191" i="3"/>
  <c r="G44" i="15"/>
  <c r="E42" i="15"/>
  <c r="E37" i="15"/>
  <c r="J30" i="15"/>
  <c r="L29" i="15"/>
  <c r="N29" i="15" s="1"/>
  <c r="L28" i="15"/>
  <c r="N28" i="15" s="1"/>
  <c r="E28" i="15"/>
  <c r="L27" i="15"/>
  <c r="N27" i="15" s="1"/>
  <c r="L26" i="15"/>
  <c r="N26" i="15" s="1"/>
  <c r="L25" i="15"/>
  <c r="N24" i="15"/>
  <c r="N23" i="15"/>
  <c r="E23" i="15"/>
  <c r="M20" i="15"/>
  <c r="L20" i="15"/>
  <c r="K20" i="15"/>
  <c r="J20" i="15"/>
  <c r="N19" i="15"/>
  <c r="N18" i="15"/>
  <c r="E18" i="15"/>
  <c r="N17" i="15"/>
  <c r="N16" i="15"/>
  <c r="N15" i="15"/>
  <c r="N14" i="15"/>
  <c r="N13" i="15"/>
  <c r="E12" i="15"/>
  <c r="M10" i="15"/>
  <c r="L10" i="15"/>
  <c r="N9" i="15"/>
  <c r="N8" i="15"/>
  <c r="N7" i="15"/>
  <c r="E7" i="15"/>
  <c r="N6" i="15"/>
  <c r="K6" i="15"/>
  <c r="N5" i="15"/>
  <c r="N4" i="15"/>
  <c r="N3" i="15"/>
  <c r="F13" i="14"/>
  <c r="F14" i="14" s="1"/>
  <c r="F15" i="14" s="1"/>
  <c r="F16" i="14" s="1"/>
  <c r="F13" i="13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13" i="12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D34" i="11"/>
  <c r="F13" i="1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13" i="10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D35" i="9"/>
  <c r="F13" i="9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D80" i="8"/>
  <c r="D49" i="8"/>
  <c r="D48" i="8"/>
  <c r="D46" i="8"/>
  <c r="D43" i="8"/>
  <c r="D42" i="8"/>
  <c r="D40" i="8"/>
  <c r="D37" i="8"/>
  <c r="D36" i="8"/>
  <c r="D35" i="8"/>
  <c r="D33" i="8"/>
  <c r="F13" i="8"/>
  <c r="F14" i="8" s="1"/>
  <c r="F15" i="8" s="1"/>
  <c r="F16" i="8" s="1"/>
  <c r="F17" i="8" s="1"/>
  <c r="F18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N67" i="7"/>
  <c r="J67" i="7"/>
  <c r="L66" i="7" s="1"/>
  <c r="M66" i="7"/>
  <c r="M65" i="7"/>
  <c r="M64" i="7"/>
  <c r="M63" i="7"/>
  <c r="M62" i="7"/>
  <c r="M61" i="7"/>
  <c r="M60" i="7"/>
  <c r="M67" i="7" s="1"/>
  <c r="N56" i="7"/>
  <c r="J56" i="7"/>
  <c r="D56" i="7"/>
  <c r="D30" i="14" s="1"/>
  <c r="C56" i="7"/>
  <c r="D34" i="14" s="1"/>
  <c r="M55" i="7"/>
  <c r="D55" i="7"/>
  <c r="C55" i="7"/>
  <c r="M54" i="7"/>
  <c r="D54" i="7"/>
  <c r="D31" i="12" s="1"/>
  <c r="C54" i="7"/>
  <c r="D30" i="12" s="1"/>
  <c r="M53" i="7"/>
  <c r="D53" i="7"/>
  <c r="C53" i="7"/>
  <c r="D29" i="11" s="1"/>
  <c r="M52" i="7"/>
  <c r="D52" i="7"/>
  <c r="D31" i="10" s="1"/>
  <c r="C52" i="7"/>
  <c r="M51" i="7"/>
  <c r="D51" i="7"/>
  <c r="D30" i="9" s="1"/>
  <c r="C51" i="7"/>
  <c r="D29" i="9" s="1"/>
  <c r="M50" i="7"/>
  <c r="D50" i="7"/>
  <c r="C50" i="7"/>
  <c r="D50" i="8" s="1"/>
  <c r="M49" i="7"/>
  <c r="E46" i="7"/>
  <c r="D46" i="7"/>
  <c r="N45" i="7"/>
  <c r="J45" i="7"/>
  <c r="L40" i="7" s="1"/>
  <c r="L42" i="7"/>
  <c r="E37" i="7"/>
  <c r="I43" i="7" s="1"/>
  <c r="M43" i="7" s="1"/>
  <c r="E35" i="7"/>
  <c r="D35" i="7"/>
  <c r="N34" i="7"/>
  <c r="J34" i="7"/>
  <c r="L32" i="7" s="1"/>
  <c r="L33" i="7"/>
  <c r="L31" i="7"/>
  <c r="L30" i="7"/>
  <c r="L28" i="7"/>
  <c r="L27" i="7"/>
  <c r="E21" i="7"/>
  <c r="C18" i="7"/>
  <c r="E15" i="7"/>
  <c r="E14" i="7"/>
  <c r="E13" i="7"/>
  <c r="E12" i="7"/>
  <c r="E11" i="7"/>
  <c r="E10" i="7"/>
  <c r="E9" i="7"/>
  <c r="D39" i="6"/>
  <c r="J38" i="6"/>
  <c r="L35" i="6" s="1"/>
  <c r="L37" i="6"/>
  <c r="L36" i="6"/>
  <c r="L34" i="6"/>
  <c r="L33" i="6"/>
  <c r="L32" i="6"/>
  <c r="L31" i="6"/>
  <c r="E21" i="6"/>
  <c r="E30" i="6" s="1"/>
  <c r="D39" i="5"/>
  <c r="J38" i="5"/>
  <c r="L36" i="5" s="1"/>
  <c r="L33" i="5"/>
  <c r="I33" i="5"/>
  <c r="M33" i="5" s="1"/>
  <c r="E13" i="5"/>
  <c r="E21" i="5" s="1"/>
  <c r="E30" i="5" s="1"/>
  <c r="E39" i="4"/>
  <c r="D39" i="4"/>
  <c r="N38" i="4"/>
  <c r="J38" i="4"/>
  <c r="L37" i="4" s="1"/>
  <c r="L35" i="4"/>
  <c r="L34" i="4"/>
  <c r="E19" i="4"/>
  <c r="E21" i="4" s="1"/>
  <c r="E30" i="4" s="1"/>
  <c r="I34" i="4" s="1"/>
  <c r="M34" i="4" s="1"/>
  <c r="D268" i="3"/>
  <c r="D272" i="3" s="1"/>
  <c r="D252" i="3"/>
  <c r="D241" i="3"/>
  <c r="D214" i="3"/>
  <c r="D205" i="3"/>
  <c r="D201" i="3"/>
  <c r="D161" i="3"/>
  <c r="D157" i="3"/>
  <c r="M204" i="2"/>
  <c r="M207" i="2" s="1"/>
  <c r="L206" i="2"/>
  <c r="F207" i="2"/>
  <c r="E90" i="2"/>
  <c r="E204" i="2" s="1"/>
  <c r="E206" i="2" s="1"/>
  <c r="G123" i="1"/>
  <c r="G126" i="1" s="1"/>
  <c r="F123" i="1"/>
  <c r="F125" i="1" s="1"/>
  <c r="E37" i="16" l="1"/>
  <c r="D38" i="13" s="1"/>
  <c r="E51" i="7"/>
  <c r="L36" i="4"/>
  <c r="L29" i="7"/>
  <c r="L34" i="7" s="1"/>
  <c r="E56" i="7"/>
  <c r="L63" i="7"/>
  <c r="D35" i="12"/>
  <c r="L31" i="4"/>
  <c r="L32" i="4"/>
  <c r="L60" i="7"/>
  <c r="D68" i="8"/>
  <c r="F68" i="8" s="1"/>
  <c r="F82" i="8" s="1"/>
  <c r="F216" i="2" s="1"/>
  <c r="D36" i="9"/>
  <c r="D42" i="9" s="1"/>
  <c r="F42" i="9" s="1"/>
  <c r="F45" i="9" s="1"/>
  <c r="F217" i="2" s="1"/>
  <c r="D29" i="14"/>
  <c r="I40" i="7"/>
  <c r="M40" i="7" s="1"/>
  <c r="L64" i="7"/>
  <c r="L33" i="4"/>
  <c r="L65" i="7"/>
  <c r="E54" i="7"/>
  <c r="F37" i="8"/>
  <c r="L61" i="7"/>
  <c r="D35" i="14"/>
  <c r="E35" i="16"/>
  <c r="D38" i="11" s="1"/>
  <c r="F30" i="12"/>
  <c r="F31" i="12" s="1"/>
  <c r="F32" i="12" s="1"/>
  <c r="F33" i="12" s="1"/>
  <c r="F34" i="12" s="1"/>
  <c r="F35" i="12" s="1"/>
  <c r="F29" i="11"/>
  <c r="F29" i="9"/>
  <c r="F30" i="9" s="1"/>
  <c r="F31" i="9" s="1"/>
  <c r="F32" i="9" s="1"/>
  <c r="F33" i="9" s="1"/>
  <c r="F34" i="9" s="1"/>
  <c r="F35" i="9" s="1"/>
  <c r="F208" i="2"/>
  <c r="F211" i="2" s="1"/>
  <c r="N31" i="18"/>
  <c r="E32" i="18"/>
  <c r="M38" i="16"/>
  <c r="N31" i="16"/>
  <c r="N38" i="16" s="1"/>
  <c r="E38" i="17"/>
  <c r="N37" i="17"/>
  <c r="M208" i="2"/>
  <c r="F210" i="2" s="1"/>
  <c r="I32" i="6"/>
  <c r="M32" i="6" s="1"/>
  <c r="I35" i="6"/>
  <c r="M35" i="6" s="1"/>
  <c r="I33" i="6"/>
  <c r="M33" i="6" s="1"/>
  <c r="I36" i="6"/>
  <c r="M36" i="6" s="1"/>
  <c r="I34" i="6"/>
  <c r="M34" i="6" s="1"/>
  <c r="I37" i="6"/>
  <c r="M37" i="6" s="1"/>
  <c r="I31" i="6"/>
  <c r="M31" i="6" s="1"/>
  <c r="L54" i="7"/>
  <c r="L50" i="7"/>
  <c r="L49" i="7"/>
  <c r="L52" i="7"/>
  <c r="L55" i="7"/>
  <c r="L38" i="6"/>
  <c r="E34" i="5"/>
  <c r="N33" i="5"/>
  <c r="E44" i="15"/>
  <c r="F37" i="15" s="1"/>
  <c r="L30" i="15"/>
  <c r="N25" i="15"/>
  <c r="N30" i="15" s="1"/>
  <c r="D30" i="11"/>
  <c r="D40" i="11" s="1"/>
  <c r="F40" i="11" s="1"/>
  <c r="F219" i="2" s="1"/>
  <c r="D35" i="11"/>
  <c r="D29" i="13"/>
  <c r="E55" i="7"/>
  <c r="E53" i="7"/>
  <c r="D30" i="13"/>
  <c r="D35" i="13"/>
  <c r="D34" i="13"/>
  <c r="N20" i="15"/>
  <c r="K8" i="15"/>
  <c r="K5" i="15"/>
  <c r="K7" i="15"/>
  <c r="K4" i="15"/>
  <c r="I33" i="4"/>
  <c r="M33" i="4" s="1"/>
  <c r="I37" i="4"/>
  <c r="M37" i="4" s="1"/>
  <c r="I35" i="4"/>
  <c r="M35" i="4" s="1"/>
  <c r="I32" i="4"/>
  <c r="M32" i="4" s="1"/>
  <c r="L34" i="5"/>
  <c r="L37" i="5"/>
  <c r="L32" i="5"/>
  <c r="L35" i="5"/>
  <c r="L51" i="7"/>
  <c r="L53" i="7"/>
  <c r="K3" i="15"/>
  <c r="D270" i="3"/>
  <c r="I31" i="4"/>
  <c r="M31" i="4" s="1"/>
  <c r="I36" i="4"/>
  <c r="M36" i="4" s="1"/>
  <c r="I31" i="5"/>
  <c r="M31" i="5" s="1"/>
  <c r="I34" i="5"/>
  <c r="M34" i="5" s="1"/>
  <c r="I37" i="5"/>
  <c r="M37" i="5" s="1"/>
  <c r="I32" i="5"/>
  <c r="M32" i="5" s="1"/>
  <c r="I35" i="5"/>
  <c r="M35" i="5" s="1"/>
  <c r="E18" i="7"/>
  <c r="D38" i="8"/>
  <c r="F38" i="8" s="1"/>
  <c r="C57" i="7"/>
  <c r="M56" i="7"/>
  <c r="N10" i="15"/>
  <c r="K9" i="15"/>
  <c r="L38" i="4"/>
  <c r="L31" i="5"/>
  <c r="L39" i="7"/>
  <c r="L43" i="7"/>
  <c r="L44" i="7"/>
  <c r="L41" i="7"/>
  <c r="L38" i="7"/>
  <c r="D57" i="7"/>
  <c r="D51" i="8"/>
  <c r="D55" i="8" s="1"/>
  <c r="D30" i="10"/>
  <c r="E52" i="7"/>
  <c r="D35" i="10"/>
  <c r="D39" i="8"/>
  <c r="F18" i="14"/>
  <c r="F19" i="14" s="1"/>
  <c r="F20" i="14" s="1"/>
  <c r="F21" i="14" s="1"/>
  <c r="F22" i="14" s="1"/>
  <c r="F23" i="14" s="1"/>
  <c r="F24" i="14" s="1"/>
  <c r="F17" i="14"/>
  <c r="F42" i="15"/>
  <c r="G127" i="1"/>
  <c r="F213" i="2" s="1"/>
  <c r="I36" i="5"/>
  <c r="M36" i="5" s="1"/>
  <c r="I42" i="7"/>
  <c r="M42" i="7" s="1"/>
  <c r="I39" i="7"/>
  <c r="M39" i="7" s="1"/>
  <c r="I44" i="7"/>
  <c r="M44" i="7" s="1"/>
  <c r="I41" i="7"/>
  <c r="M41" i="7" s="1"/>
  <c r="I38" i="7"/>
  <c r="M38" i="7" s="1"/>
  <c r="E50" i="7"/>
  <c r="L62" i="7"/>
  <c r="L67" i="7" s="1"/>
  <c r="D36" i="10"/>
  <c r="D36" i="12"/>
  <c r="D41" i="12" s="1"/>
  <c r="F36" i="9" l="1"/>
  <c r="F37" i="9" s="1"/>
  <c r="F38" i="9" s="1"/>
  <c r="F39" i="9" s="1"/>
  <c r="F40" i="9" s="1"/>
  <c r="F41" i="9" s="1"/>
  <c r="F7" i="15"/>
  <c r="F28" i="15"/>
  <c r="D40" i="13"/>
  <c r="F40" i="13" s="1"/>
  <c r="F221" i="2" s="1"/>
  <c r="D41" i="10"/>
  <c r="F41" i="10" s="1"/>
  <c r="F46" i="10" s="1"/>
  <c r="F218" i="2" s="1"/>
  <c r="F30" i="11"/>
  <c r="F31" i="11" s="1"/>
  <c r="F32" i="11" s="1"/>
  <c r="F33" i="11" s="1"/>
  <c r="F34" i="11" s="1"/>
  <c r="F35" i="11" s="1"/>
  <c r="F36" i="11" s="1"/>
  <c r="F37" i="11" s="1"/>
  <c r="F38" i="11" s="1"/>
  <c r="F39" i="11" s="1"/>
  <c r="D40" i="14"/>
  <c r="F40" i="14" s="1"/>
  <c r="F46" i="14" s="1"/>
  <c r="F222" i="2" s="1"/>
  <c r="E39" i="16"/>
  <c r="F36" i="12"/>
  <c r="F37" i="12" s="1"/>
  <c r="F38" i="12" s="1"/>
  <c r="F39" i="12" s="1"/>
  <c r="F40" i="12" s="1"/>
  <c r="F39" i="8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212" i="2"/>
  <c r="F214" i="2" s="1"/>
  <c r="M38" i="4"/>
  <c r="E38" i="6"/>
  <c r="N37" i="6"/>
  <c r="E26" i="7"/>
  <c r="E22" i="7"/>
  <c r="E35" i="6"/>
  <c r="N34" i="6"/>
  <c r="K10" i="15"/>
  <c r="M45" i="7"/>
  <c r="F25" i="14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L45" i="7"/>
  <c r="E38" i="5"/>
  <c r="N37" i="5"/>
  <c r="F41" i="12"/>
  <c r="F220" i="2" s="1"/>
  <c r="E36" i="6"/>
  <c r="N35" i="6"/>
  <c r="M38" i="6"/>
  <c r="E32" i="6"/>
  <c r="E39" i="6" s="1"/>
  <c r="N31" i="6"/>
  <c r="E37" i="5"/>
  <c r="N36" i="5"/>
  <c r="E57" i="7"/>
  <c r="L38" i="5"/>
  <c r="N33" i="6"/>
  <c r="E34" i="6"/>
  <c r="E35" i="5"/>
  <c r="N34" i="5"/>
  <c r="L56" i="7"/>
  <c r="F30" i="10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E33" i="6"/>
  <c r="N32" i="6"/>
  <c r="E36" i="5"/>
  <c r="N35" i="5"/>
  <c r="E37" i="6"/>
  <c r="N36" i="6"/>
  <c r="N32" i="5"/>
  <c r="E33" i="5"/>
  <c r="E32" i="5"/>
  <c r="M38" i="5"/>
  <c r="N31" i="5"/>
  <c r="F23" i="15"/>
  <c r="F12" i="15"/>
  <c r="F18" i="15"/>
  <c r="F44" i="15" s="1"/>
  <c r="F29" i="13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57" i="8" l="1"/>
  <c r="F58" i="8" s="1"/>
  <c r="F59" i="8" s="1"/>
  <c r="F60" i="8" s="1"/>
  <c r="F61" i="8" s="1"/>
  <c r="F62" i="8" s="1"/>
  <c r="F63" i="8" s="1"/>
  <c r="F64" i="8" s="1"/>
  <c r="N38" i="6"/>
  <c r="I27" i="7"/>
  <c r="M27" i="7" s="1"/>
  <c r="I32" i="7"/>
  <c r="M32" i="7" s="1"/>
  <c r="I29" i="7"/>
  <c r="M29" i="7" s="1"/>
  <c r="I31" i="7"/>
  <c r="M31" i="7" s="1"/>
  <c r="I30" i="7"/>
  <c r="M30" i="7" s="1"/>
  <c r="I33" i="7"/>
  <c r="M33" i="7" s="1"/>
  <c r="I28" i="7"/>
  <c r="M28" i="7" s="1"/>
  <c r="N38" i="5"/>
  <c r="E39" i="5"/>
  <c r="F65" i="8" l="1"/>
  <c r="F66" i="8" s="1"/>
  <c r="F67" i="8" s="1"/>
  <c r="F223" i="2"/>
  <c r="M34" i="7"/>
</calcChain>
</file>

<file path=xl/sharedStrings.xml><?xml version="1.0" encoding="utf-8"?>
<sst xmlns="http://schemas.openxmlformats.org/spreadsheetml/2006/main" count="1741" uniqueCount="519">
  <si>
    <t>CONDOMINIO EL FRAMBOYANT</t>
  </si>
  <si>
    <t>Calle 30 de Marzo, Las Terrenas, Samaná, República Dominicana 32200</t>
  </si>
  <si>
    <t>Periodo de 01/01 hasta 31/12/2024</t>
  </si>
  <si>
    <t>FONDO DE RESERVAS</t>
  </si>
  <si>
    <t>Descripción</t>
  </si>
  <si>
    <t>Fecha</t>
  </si>
  <si>
    <t>Tipo</t>
  </si>
  <si>
    <t>Debito</t>
  </si>
  <si>
    <t>Credito</t>
  </si>
  <si>
    <t>Saldo balance al 31/12/2023</t>
  </si>
  <si>
    <t>BQ</t>
  </si>
  <si>
    <t>Retiro-Compensacion deuda A1</t>
  </si>
  <si>
    <t>TOTAL</t>
  </si>
  <si>
    <t>TOTAL DÉBITO</t>
  </si>
  <si>
    <t>TOTAL CRÉDITO</t>
  </si>
  <si>
    <t>BALANCE AL DÍA</t>
  </si>
  <si>
    <t>Estado CAJA CHICA</t>
  </si>
  <si>
    <t>Estado Cuenta Bancaria/ Banco Popular</t>
  </si>
  <si>
    <t>CA</t>
  </si>
  <si>
    <t>Honorario Administrador Enero 2024</t>
  </si>
  <si>
    <t>Luz y Fuerza Diciembre 2023</t>
  </si>
  <si>
    <t>INAPA Enero 2024</t>
  </si>
  <si>
    <t>1 camión del agua – El Flaco</t>
  </si>
  <si>
    <t>2 pastillas de cloro para registro agua pluvial</t>
  </si>
  <si>
    <t>Impuesto 0.15% DGII</t>
  </si>
  <si>
    <t>Registro acta AGE 12/01 ayuntamiento LT</t>
  </si>
  <si>
    <t>Rep. cambio de luce spot defectuoso-Crismar</t>
  </si>
  <si>
    <t>Recogida basura Enero 2024</t>
  </si>
  <si>
    <t>Honorario Administrador Febrero 2024</t>
  </si>
  <si>
    <t xml:space="preserve">Materiales plomería y multa demora A7 – Wilner </t>
  </si>
  <si>
    <t>Honorario del Alguacil para notificación a A-1</t>
  </si>
  <si>
    <t>Honorario Administrador para AGE 12-01-2024</t>
  </si>
  <si>
    <t xml:space="preserve">Interés </t>
  </si>
  <si>
    <t>Reembolso a Jeffrey cargo DGII transf banco – A1</t>
  </si>
  <si>
    <t>Impuesto</t>
  </si>
  <si>
    <t>Entrada a caja chica desde cuenta banco</t>
  </si>
  <si>
    <t>Pago GUERIN-A1 (47 720,90+72,56)</t>
  </si>
  <si>
    <t>Pago ENGEL – A5</t>
  </si>
  <si>
    <t>Luz y Fuerza Enero 2024</t>
  </si>
  <si>
    <t>2 camiones de séptico</t>
  </si>
  <si>
    <t>Retiro para caja chica</t>
  </si>
  <si>
    <t>Pago FACQUET – A4</t>
  </si>
  <si>
    <t>Pago ONDELLA – A3</t>
  </si>
  <si>
    <t>Registro acta AGO 13/02 ayuntamiento LT</t>
  </si>
  <si>
    <t>Pago SANTOS – A6</t>
  </si>
  <si>
    <t>Pago a Jeffrey cargo MoneyGram/Deposito – A2</t>
  </si>
  <si>
    <t>Pago HAZELTINE – A7</t>
  </si>
  <si>
    <t>Reembolso a Jeffrey cargo DGII transf banco – A7</t>
  </si>
  <si>
    <t>Pago GUERIN – A1</t>
  </si>
  <si>
    <t>Devolucion Material NCB0400046722 Obra contadores, Decision AGO 13.02.24 orden 7</t>
  </si>
  <si>
    <t>Recogida basura Febrero 2024</t>
  </si>
  <si>
    <t>Pago METAYER-JEAN – A2</t>
  </si>
  <si>
    <t>Honorario Administrador Marzo 2024</t>
  </si>
  <si>
    <t>Pago HAZELTINE – A7 (26,803.85 + 5,221.59)</t>
  </si>
  <si>
    <t>Avance 60% trabajo muro exterior – Edison</t>
  </si>
  <si>
    <t>Avance 60% trabajo área séptico – Edison</t>
  </si>
  <si>
    <t>Materiales Desague Pluvial NCB0400046722</t>
  </si>
  <si>
    <t>Honorario Administrador (oficina inapa 2 veces, agua negra)</t>
  </si>
  <si>
    <t>Limpieza frente a la calle y plantas creciendo en drenaje</t>
  </si>
  <si>
    <t>Recogida basura Marzo 2024</t>
  </si>
  <si>
    <t>Pago Eddy septico adjuste presupuesto AGE 12.01.24</t>
  </si>
  <si>
    <t>Honorario administrador, reunion ayuntamiento- aguas negras</t>
  </si>
  <si>
    <t>Mantenimiento y rep. Trabajos emergencia, A-1</t>
  </si>
  <si>
    <t>Pago impuesto 0.15 DGII transferencia de fondos a cuenta popular</t>
  </si>
  <si>
    <t>Luz y Fuerza Febrero 2024</t>
  </si>
  <si>
    <t>Pago Honorarios Administrador Mes de Abril 2024</t>
  </si>
  <si>
    <t>INAPA Febrero 2024</t>
  </si>
  <si>
    <t>Honorario Administrador (Ferreteria-Emergencia- Bomba de agua)</t>
  </si>
  <si>
    <r>
      <rPr>
        <sz val="10"/>
        <color theme="1"/>
        <rFont val="Arial"/>
      </rPr>
      <t xml:space="preserve">Materiales </t>
    </r>
    <r>
      <rPr>
        <sz val="11"/>
        <color theme="1"/>
        <rFont val="Arial"/>
      </rPr>
      <t>Trabajo registro aguas pluviales subterráneos – Crismar</t>
    </r>
  </si>
  <si>
    <t xml:space="preserve">Recogida  1 camion de Basura </t>
  </si>
  <si>
    <t>Limpieza parqueo principal, caños y bomba de relevaje</t>
  </si>
  <si>
    <t>2do avance 20% trabajo muro exterior – Edison</t>
  </si>
  <si>
    <t>Compra de carretilla y material</t>
  </si>
  <si>
    <t>Pago METAYER-JEAN- A2</t>
  </si>
  <si>
    <t>2do avance 20% trabajo área séptico – Edison</t>
  </si>
  <si>
    <t>Pago Limpieza cisterna</t>
  </si>
  <si>
    <t>Recogida basura Abril 2024</t>
  </si>
  <si>
    <t>INAPA Marzo 2024</t>
  </si>
  <si>
    <t>Eddy-Pago sueldo trabajo area septicos AGE12.01.23</t>
  </si>
  <si>
    <t>Compra de Codo 32x32 y mano de obra, reparaciones</t>
  </si>
  <si>
    <r>
      <rPr>
        <sz val="10"/>
        <color theme="1"/>
        <rFont val="Arial"/>
      </rPr>
      <t xml:space="preserve">MDO </t>
    </r>
    <r>
      <rPr>
        <sz val="11"/>
        <color theme="1"/>
        <rFont val="Arial"/>
      </rPr>
      <t>Trabajo registro aguas pluviales subterráneos + Rep. Flota agua Inapa – Crismar</t>
    </r>
  </si>
  <si>
    <t>Pago sueldo 20% pared cerca AGE 27.09.23, punto 12</t>
  </si>
  <si>
    <t xml:space="preserve">Cargo administrador recordatorio pago 15 dias despues venc.Pedido de fondo – cuota extraordinaria Voto electronico del 09-04-2024 $10,082.01 </t>
  </si>
  <si>
    <t>Manuel Pierre- Adelanto material y MDO obra 2 (voto elec.9.04.24)</t>
  </si>
  <si>
    <t>MDO drenaje pluvial+penalidad cancelacion AGO 24, AGE 27.09.23 Orden #10+mantenimiento y reparacion</t>
  </si>
  <si>
    <t>Andre Wemni-Arreglo y limpieza area A2 y Jardin A2, luego de construccion septico</t>
  </si>
  <si>
    <t>Cargo Mensual TD clasica</t>
  </si>
  <si>
    <t>Honorario Administrador-Emergencia bomba agua luego de tormenta electrica</t>
  </si>
  <si>
    <t>Luz y fuerza marzo 2024</t>
  </si>
  <si>
    <t>Pago jardinero + limpieza de escombros</t>
  </si>
  <si>
    <t>Pago Inapa Abril-2024</t>
  </si>
  <si>
    <t>Cargo administrador recordatorio pago 15 dias despues venc Cuota diff presupuesto gastos reales 12.01.24 - Orden6)</t>
  </si>
  <si>
    <t>Compra 1 camion de agua</t>
  </si>
  <si>
    <t>Walner Manuel- Adelanto por material, pintura+MDO Voto elec del 15.04.24</t>
  </si>
  <si>
    <t>Andre Wemni-Material preparacion baden Voto Elec.31.05.24 Presupuesto B2</t>
  </si>
  <si>
    <t>Swich Flota electrica y mano de obra instalacion</t>
  </si>
  <si>
    <t>Andre Wemni-Presupuesto obra B-2 voto elec.31.05.24</t>
  </si>
  <si>
    <t>Mano de obra de limpieza Jardineria mensual pared/escalera</t>
  </si>
  <si>
    <t>Materiales y Mdo Obra excepcional, bomba sumergible (crismar)</t>
  </si>
  <si>
    <t>Mano de obra Manuel Pierre/sueldo obra n2-voto elec 9-04-24</t>
  </si>
  <si>
    <t>Compra 1 camion de agua (averia inapa)</t>
  </si>
  <si>
    <t>Adiel Tassaint- limpieza de caños puerta principal</t>
  </si>
  <si>
    <t>Honorario supervisor administracion</t>
  </si>
  <si>
    <t>Cargo administrador  segundo recordatorio pago 45 dias despues venc.A-1 (cuota 09.04.2024)</t>
  </si>
  <si>
    <t>Cargo Bancario</t>
  </si>
  <si>
    <t>walner Manuel-  Voto elec del 09.04.24 Obra 1- Sueldo</t>
  </si>
  <si>
    <t>Ferreteria Bonillas- Cambio luz Parqueo A2+MDO</t>
  </si>
  <si>
    <t>Compra materiales+MDO reparaciones (crismar)</t>
  </si>
  <si>
    <t>Honorarios del Alguacil para notificación a A-1</t>
  </si>
  <si>
    <t>Crismar Plomero- Material y MDO  trabajos plomeria Emergencia desague A5 y Cisterna</t>
  </si>
  <si>
    <t>Viaje un camion de Septico- Vaciado</t>
  </si>
  <si>
    <t>CARGO MENSual TD clasica</t>
  </si>
  <si>
    <t>Jardin A2 y Palma Jardin A6</t>
  </si>
  <si>
    <t>Luz y fuerza Abril 2024</t>
  </si>
  <si>
    <t>Limpieza Jardin</t>
  </si>
  <si>
    <t>INAPA Mayo 2024</t>
  </si>
  <si>
    <t>Roberto Green- Trabajo emergencias desague duchas A7-Problema similar A5</t>
  </si>
  <si>
    <t>Andre wemni- Trabajo emergencia Septico- zanja y tubos</t>
  </si>
  <si>
    <t>Chavan Mesamours - Trabajo emerencia Septico - Plomeria, bomba y electricidad</t>
  </si>
  <si>
    <t>Llave ajustable parilla porton</t>
  </si>
  <si>
    <t>Limpieza aceras y parillas frente al residencial</t>
  </si>
  <si>
    <t>Honorarios 10% supervision trabajos AGE ene 24 septicos+ registro agua pluvia</t>
  </si>
  <si>
    <t>Honorarios Administrador-Digitalizacion del reglamento condominio</t>
  </si>
  <si>
    <t>Honorarios Administrador- JULIO</t>
  </si>
  <si>
    <t>Pago Honorarios Administrador Mes de Mayo 2024</t>
  </si>
  <si>
    <t>Crismar Plomero- Trabajo emergencia-Limpieza bomba pequeña y MDO filtro bomba cisterna</t>
  </si>
  <si>
    <t>Recogida de Basura Mayo 2024</t>
  </si>
  <si>
    <t>INAPA Junio 2024</t>
  </si>
  <si>
    <t>Jardinero- Limpieza Mensual</t>
  </si>
  <si>
    <t>Luz y fuerza Mayo 2024</t>
  </si>
  <si>
    <t>Yale Jardinero- Limpieza de caños y parillas</t>
  </si>
  <si>
    <t>Arreglo de Breaker y limpieza de bomba pequeña</t>
  </si>
  <si>
    <t>Honorarios Administrador- AGOSTO</t>
  </si>
  <si>
    <t>Recogida de Basura Junio 2024</t>
  </si>
  <si>
    <t>Honorario administrador-Recordatorio de pago pedido-excepcional Agosto-24 A-1</t>
  </si>
  <si>
    <t>Compra de 1 funda de Cemento- Conexión cloaca y septico</t>
  </si>
  <si>
    <t>Compra de codos- Material Conexión cloaca y septico</t>
  </si>
  <si>
    <t>Mano de obra conexión cloaca y septico</t>
  </si>
  <si>
    <t>Crismar Plomero- Limpieza tuberia bomba parqueo</t>
  </si>
  <si>
    <t>Pago Honorarios Administrador Mes de Junio 2024</t>
  </si>
  <si>
    <t>Yile jardinero- Compra de guantes, fundas basura y tijeras para jardin</t>
  </si>
  <si>
    <t>Yile jardinero- Limpieza luego de lluvias del 11.09.24</t>
  </si>
  <si>
    <t>Compra Material y MDO Conexión tubo individual A5/A2, lavadoras y limpieza bomba</t>
  </si>
  <si>
    <t>Cargo por servicio Generado</t>
  </si>
  <si>
    <t>Trabajo bomba Parqueo y MDO (picar y bajar el nivel del registro)</t>
  </si>
  <si>
    <t>Luz y fuerza Junio 2024</t>
  </si>
  <si>
    <t>Honorarios Administrador Septiembre 2024</t>
  </si>
  <si>
    <t>INAPA JuLio 2024</t>
  </si>
  <si>
    <t>Pago 2 Camion de Agua- Averia inapa</t>
  </si>
  <si>
    <t>Emergencia-Cambio condensador Bomba sumergible</t>
  </si>
  <si>
    <t>Yile Jardinero-Limpieza parrilas y exteriores antes de lluvia</t>
  </si>
  <si>
    <t>Crismar- Emergencia bomba agua cisterna- cambio fusible</t>
  </si>
  <si>
    <t>Honorarios Administrador Octubre 2024</t>
  </si>
  <si>
    <t>Crismar-2 intervencion bomba parqueo (problema de encendido)</t>
  </si>
  <si>
    <t>Elia-Limpieza caños y parillas antes de lluvias del 9 y 10 de noviembre</t>
  </si>
  <si>
    <t>Reparacion de lampara</t>
  </si>
  <si>
    <t>Crismar- Compra de materiales+MdO reparacion bomba pequeña</t>
  </si>
  <si>
    <t>Materiales paredes bomba pequeña</t>
  </si>
  <si>
    <t>Elia-Mano de obra casita bomba pequeña</t>
  </si>
  <si>
    <t>Crismar- Cambio de lampara escalera y bombillos</t>
  </si>
  <si>
    <t>Pago METAYER-JEAN- A2 provision de gastos</t>
  </si>
  <si>
    <t>Completivo honorarios Administrador Noviembre 2024</t>
  </si>
  <si>
    <t>Luz y Fuerza Julio 2024</t>
  </si>
  <si>
    <t>Recogida de Basura Agosto 2024</t>
  </si>
  <si>
    <t>Inapa Agosto 2024</t>
  </si>
  <si>
    <t>Compra 2 camion de agua (averia inapa)</t>
  </si>
  <si>
    <t>Luz y Fuerza Agosto 2024</t>
  </si>
  <si>
    <t>Recogida de Basura Septiembre</t>
  </si>
  <si>
    <t>Inapa Septiembre y Octubre</t>
  </si>
  <si>
    <t>Luz y Fuerza Septiembre</t>
  </si>
  <si>
    <t>Recogida de Basura Octubre</t>
  </si>
  <si>
    <t>Compra 3 camion de agua (Fuga flotador tinaco A3)</t>
  </si>
  <si>
    <t>Pago Cuota poliza seguro 01CO-185</t>
  </si>
  <si>
    <t xml:space="preserve">Compra 3 camion de agua </t>
  </si>
  <si>
    <t>Adiel Toussait- Limpieza parqueo y parillas</t>
  </si>
  <si>
    <t>Luz y Fuerza Octubre</t>
  </si>
  <si>
    <t>Honorarios Administrador (Noviembre 2024)</t>
  </si>
  <si>
    <t>Inapa Noviembre 2024</t>
  </si>
  <si>
    <t>Recogida basura Noviembre 2024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</si>
  <si>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</si>
  <si>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</si>
  <si>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</si>
  <si>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</si>
  <si>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</si>
  <si>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</si>
  <si>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</si>
  <si>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En debito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</si>
  <si>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</si>
  <si>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</si>
  <si>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</si>
  <si>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</si>
  <si>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</si>
  <si>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</si>
  <si>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</si>
  <si>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</si>
  <si>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color theme="1"/>
        <rFont val="Arial"/>
      </rPr>
      <t xml:space="preserve">Inversiones Ter 187 eirl </t>
    </r>
    <r>
      <rPr>
        <sz val="9"/>
        <color theme="1"/>
        <rFont val="Arial"/>
      </rPr>
      <t>(Karina SANTOS)</t>
    </r>
  </si>
  <si>
    <t>A-6</t>
  </si>
  <si>
    <t>Jonathan HAZELTINE</t>
  </si>
  <si>
    <t>A-7</t>
  </si>
  <si>
    <t xml:space="preserve">TOTAL en Crédito: </t>
  </si>
  <si>
    <t>3er Trimestre</t>
  </si>
  <si>
    <t>Estado detallados de gastos</t>
  </si>
  <si>
    <t>INAPA (Contrato 321528) / Agua</t>
  </si>
  <si>
    <t>Monto</t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</si>
  <si>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</si>
  <si>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t>INAPA Abril 2024</t>
  </si>
  <si>
    <t>1 Camion de Agua</t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</si>
  <si>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</si>
  <si>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</si>
  <si>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</si>
  <si>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</si>
  <si>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</si>
  <si>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t>INAPA MAYO 2024</t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</si>
  <si>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</si>
  <si>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t>INAPA JUNIO 2024</t>
  </si>
  <si>
    <t>INAPA julio 2024</t>
  </si>
  <si>
    <r>
      <rPr>
        <sz val="10"/>
        <color theme="1"/>
        <rFont val="Arial"/>
      </rPr>
      <t xml:space="preserve">2 Camión de agua </t>
    </r>
    <r>
      <rPr>
        <sz val="8"/>
        <color theme="1"/>
        <rFont val="Arial"/>
      </rPr>
      <t>(interrupción servicio por averías)</t>
    </r>
  </si>
  <si>
    <t>INAPA Agosto 2024</t>
  </si>
  <si>
    <r>
      <rPr>
        <sz val="10"/>
        <color theme="1"/>
        <rFont val="Arial"/>
      </rPr>
      <t xml:space="preserve">2 Camión de agua </t>
    </r>
    <r>
      <rPr>
        <sz val="8"/>
        <color theme="1"/>
        <rFont val="Arial"/>
      </rPr>
      <t>(interrupción servicio por averías)</t>
    </r>
  </si>
  <si>
    <r>
      <rPr>
        <sz val="10"/>
        <color theme="1"/>
        <rFont val="Arial"/>
      </rPr>
      <t xml:space="preserve">2 Camión de agua </t>
    </r>
    <r>
      <rPr>
        <sz val="8"/>
        <color theme="1"/>
        <rFont val="Arial"/>
      </rPr>
      <t>(interrupción servicio por averías)</t>
    </r>
  </si>
  <si>
    <t>INAPA Septiembre y Octubre 2024</t>
  </si>
  <si>
    <r>
      <rPr>
        <sz val="10"/>
        <color theme="1"/>
        <rFont val="Arial"/>
      </rPr>
      <t xml:space="preserve">2 Camión de agua </t>
    </r>
    <r>
      <rPr>
        <sz val="8"/>
        <color theme="1"/>
        <rFont val="Arial"/>
      </rPr>
      <t>(interrupción servicio por averías)</t>
    </r>
  </si>
  <si>
    <r>
      <rPr>
        <sz val="10"/>
        <color theme="1"/>
        <rFont val="Arial"/>
      </rPr>
      <t xml:space="preserve">2 Camión de agua </t>
    </r>
    <r>
      <rPr>
        <sz val="8"/>
        <color theme="1"/>
        <rFont val="Arial"/>
      </rPr>
      <t>(interrupción servicio por averías)</t>
    </r>
  </si>
  <si>
    <r>
      <rPr>
        <sz val="10"/>
        <color theme="1"/>
        <rFont val="Arial"/>
      </rPr>
      <t xml:space="preserve">2 Camión de agua </t>
    </r>
    <r>
      <rPr>
        <sz val="8"/>
        <color theme="1"/>
        <rFont val="Arial"/>
      </rPr>
      <t>(interrupción servicio por averías)</t>
    </r>
  </si>
  <si>
    <r>
      <rPr>
        <sz val="10"/>
        <color theme="1"/>
        <rFont val="Arial"/>
      </rPr>
      <t xml:space="preserve">1 Camión de agua </t>
    </r>
    <r>
      <rPr>
        <sz val="8"/>
        <color theme="1"/>
        <rFont val="Arial"/>
      </rPr>
      <t>(interrupción servicio por averías)</t>
    </r>
  </si>
  <si>
    <t>Total</t>
  </si>
  <si>
    <t>LUZ Y FUERZA / Electricidad</t>
  </si>
  <si>
    <t>Luz Diciembre 2023 (55 kwh)</t>
  </si>
  <si>
    <t>Luz Enero 2024 (80 kwh)</t>
  </si>
  <si>
    <t>Luz Febrero 2024 (107 kwh)</t>
  </si>
  <si>
    <t>Luz Marzo 2024 (176 kwh)</t>
  </si>
  <si>
    <t>Luz Abril 2024 (112 kwh)</t>
  </si>
  <si>
    <t>Luz y  Mayo 2024 (85 khw)</t>
  </si>
  <si>
    <t>Luz y Junio 2024 (71khw)</t>
  </si>
  <si>
    <t>Luz Julio 2024 (92kh)</t>
  </si>
  <si>
    <t>Luz Agosto 2024 (97khw)</t>
  </si>
  <si>
    <t>Luz Septiembre 2024 (71khw)</t>
  </si>
  <si>
    <t>Luz Octubre 2024 (64khw)</t>
  </si>
  <si>
    <t>Cargos Bancario / Banco Popular</t>
  </si>
  <si>
    <t>Reparaciones / Mantenimientos</t>
  </si>
  <si>
    <t>Reparación flota agua Inapa + Mant. Tanque de presión – Crismar</t>
  </si>
  <si>
    <t>Swich flota electrica y mano de obra</t>
  </si>
  <si>
    <t>Obra excepcional bomba sumergible (crismar)</t>
  </si>
  <si>
    <t>Mano de obra de limpieza</t>
  </si>
  <si>
    <t>Seguro Incendio y R.C.</t>
  </si>
  <si>
    <t>Seguro Incendio + RC (Universal)</t>
  </si>
  <si>
    <t>Basura / Recogida mensual</t>
  </si>
  <si>
    <t>Recogida basura Mayo 2024</t>
  </si>
  <si>
    <t>Recogida basura Junio 2024</t>
  </si>
  <si>
    <t>Recogida basura Julio 2024</t>
  </si>
  <si>
    <t>Recogida basura Agosto 2024</t>
  </si>
  <si>
    <t>Recogida basura Septiembre 2024</t>
  </si>
  <si>
    <t>Recogida basura Octubre 2024</t>
  </si>
  <si>
    <t>Honorarios del Administrador</t>
  </si>
  <si>
    <t>Honorario Administrador Abril 2024</t>
  </si>
  <si>
    <t>Honorario supervisor (administracion)</t>
  </si>
  <si>
    <t>Honorario Administrador Mayo 2024</t>
  </si>
  <si>
    <t>Honorarios Administrador JUNIO 2024</t>
  </si>
  <si>
    <t>Honorarios Administrador- Septiembre</t>
  </si>
  <si>
    <t>Honorarios del Administrador (Extras)</t>
  </si>
  <si>
    <t>Honorario Administrador (Ferreteria-Emergencia)</t>
  </si>
  <si>
    <t>Honorario Administrador (Emergencia-bomba agua)</t>
  </si>
  <si>
    <t>Honorarios por servicios profesionales</t>
  </si>
  <si>
    <t>Trabajos decididos en AGE 2023</t>
  </si>
  <si>
    <t>Avance 60% trabajo muro exterior – EDISON</t>
  </si>
  <si>
    <t>2do avance 20% trabajo muro exterior – EDISON</t>
  </si>
  <si>
    <t>Pago sueldo 20% Trabajo muro exterior-Edison</t>
  </si>
  <si>
    <t xml:space="preserve">MDO drenaje pluvial+penalidad cancelacion AGE 27.09.23 </t>
  </si>
  <si>
    <t>Trabajos decididos en AGE 2024</t>
  </si>
  <si>
    <t>Avance 60% trabajo area séptico – EDISON</t>
  </si>
  <si>
    <r>
      <rPr>
        <sz val="10"/>
        <color theme="1"/>
        <rFont val="Arial"/>
      </rPr>
      <t xml:space="preserve">Materiales </t>
    </r>
    <r>
      <rPr>
        <sz val="11"/>
        <color theme="1"/>
        <rFont val="Arial"/>
      </rPr>
      <t>Trabajo registro aguas pluviales subterráneos – Crismar</t>
    </r>
  </si>
  <si>
    <t>2do avance 20% trabajo area séptico – EDISON</t>
  </si>
  <si>
    <t>MDO Trabajo registro aguas pluviales subterráneos – Crismar</t>
  </si>
  <si>
    <t>Pago Eddy ajuste de presupuesto septico AGE 12.01.24</t>
  </si>
  <si>
    <t>Manuel Pierre-MDO obra 2 (voto elec.9.04.24)</t>
  </si>
  <si>
    <t>Pedido Excepcional Agosto  2024</t>
  </si>
  <si>
    <t>Otros gastos diversos</t>
  </si>
  <si>
    <t>Cargo MoneyGram/Deposito Banco (cargo del A2)</t>
  </si>
  <si>
    <t>Cargo administrador recordatorio pago 15 dias despues venc.Pedido de fondo – cuota extraordinaria Voto electronico del 09-04-2024 $10,082.01 (Cargo del A1)</t>
  </si>
  <si>
    <t>Cargo administrador recordatorio pago 15 dias despues venc Cuota diff presupuesto gastos reales 12.01.24 - Orden6) (Cargo del A1)</t>
  </si>
  <si>
    <t>Cargo administrador  segundo recordatorio pago 45 dias despues venc. (cuota 09.04.2024)(Cargo del A1)</t>
  </si>
  <si>
    <t>Honorario administrador-Recordatorio de pago pedido-excepcional Agosto-24 (Cargo del A1)</t>
  </si>
  <si>
    <t>TOTAL GENERAL GASTOS COMUNES</t>
  </si>
  <si>
    <t>TOTAL GENERAL GASTOS PERSONALES</t>
  </si>
  <si>
    <t>Cuota Extraordinaria del 2024</t>
  </si>
  <si>
    <t>Pedido de fondo para Trabajos decidido en AGE 12/01/2024</t>
  </si>
  <si>
    <t>Trabajo elevación de nivel área de los sépticos</t>
  </si>
  <si>
    <t>Asamblea General Extraordinaria punto 4 (aprobado unanimidad)</t>
  </si>
  <si>
    <t>Voto electrónico realizado durante 19/01 - 24/01/2024 (100% de emitidos : A2/A3/A6/A7)</t>
  </si>
  <si>
    <t>Trabajo registro de aguas pluviales subterráneos</t>
  </si>
  <si>
    <t>Asamblea General Extraordinaria punto 5 (aprobado unanimidad)</t>
  </si>
  <si>
    <t>*Honorarios 10% para seguimientos y supervisores de trabajos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</si>
  <si>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</si>
  <si>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</si>
  <si>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</si>
  <si>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</si>
  <si>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</si>
  <si>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</si>
  <si>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</si>
  <si>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Repartición de Cuota Extraordianaria AGE 12-01-2024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</si>
  <si>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</si>
  <si>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</si>
  <si>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</si>
  <si>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</si>
  <si>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</si>
  <si>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</si>
  <si>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</si>
  <si>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</si>
  <si>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</si>
  <si>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</si>
  <si>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</si>
  <si>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r>
      <rPr>
        <sz val="11"/>
        <color theme="1"/>
        <rFont val="Arial"/>
      </rPr>
      <t xml:space="preserve">Inversiones Ter 187 eirl </t>
    </r>
    <r>
      <rPr>
        <sz val="9"/>
        <color theme="1"/>
        <rFont val="Arial"/>
      </rPr>
      <t>(Karina SANTOS)</t>
    </r>
  </si>
  <si>
    <t>Pedido de fondo para Trabajos decidido en Voto electronico Del  09-04-2024</t>
  </si>
  <si>
    <t>Obra 1:</t>
  </si>
  <si>
    <t>Trabajo Pintura pared cerca entre el terreno al Norte y A-3-Parqueo A3 ambos lados</t>
  </si>
  <si>
    <t>Obra 2:</t>
  </si>
  <si>
    <t>Dos parillas de metal para el pasaje porton principal y entrada A2-A3</t>
  </si>
  <si>
    <t>Repartición de Cuota Extraordianaria  Voto electronico del 09-04-24</t>
  </si>
  <si>
    <r>
      <rPr>
        <sz val="11"/>
        <color theme="1"/>
        <rFont val="Arial"/>
      </rPr>
      <t xml:space="preserve">Inversiones Ter 187 eirl </t>
    </r>
    <r>
      <rPr>
        <sz val="9"/>
        <color theme="1"/>
        <rFont val="Arial"/>
      </rPr>
      <t>(Karina SANTOS)</t>
    </r>
  </si>
  <si>
    <t>Pedido de fondo para trabajos emergencia agosto 2024</t>
  </si>
  <si>
    <t>Crismar Plomero - Material y mano de obra - Trabajo de plomería de emergencia: Cisterna y tuvo desagüé A5 - 15.07.2024</t>
  </si>
  <si>
    <t>Camion séptico 1 viaje - 15.07.2024</t>
  </si>
  <si>
    <t>Roberto Plomero - Trabajó en emergencia, tuvo desagüé A7 baños, similar A5 - 18.07.2024</t>
  </si>
  <si>
    <t>Andre Wemni - Trabajo de emergencia séptico - Zanja y tubos - 19.07.2024</t>
  </si>
  <si>
    <t>Camión de séptico 1 viaje - 19.07.2024</t>
  </si>
  <si>
    <t>Chavan Plomero - Trabajo de emergencia Séptico  - Plomería, bomba y electricidad - 19.07.2024</t>
  </si>
  <si>
    <t>Crismar Plomero - Trabajó limpieza bomba pequeña, parqueo y colocar filtros en el tubo de 3",</t>
  </si>
  <si>
    <t xml:space="preserve">acostar la bomba cisterna para usar más del nivel útil del agua de la cisterna y regulador de presión de 100 PSI a 60 PSI como lo recomendó - 05.08 y el 08.08.2024 </t>
  </si>
  <si>
    <t>Repartición de Cuota Extraordianaria - Agosto 2024</t>
  </si>
  <si>
    <r>
      <rPr>
        <sz val="11"/>
        <color theme="1"/>
        <rFont val="Arial"/>
      </rPr>
      <t xml:space="preserve">Inversiones Ter 187 eirl </t>
    </r>
    <r>
      <rPr>
        <sz val="9"/>
        <color theme="1"/>
        <rFont val="Arial"/>
      </rPr>
      <t>(Karina SANTOS)</t>
    </r>
  </si>
  <si>
    <t>Presupuesto Provisional 2024 aprobado por la AGO del 13/02/2024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</si>
  <si>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</si>
  <si>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</si>
  <si>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</si>
  <si>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</si>
  <si>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</si>
  <si>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</si>
  <si>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</si>
  <si>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r>
      <rPr>
        <sz val="10"/>
        <color theme="1"/>
        <rFont val="Arial"/>
      </rPr>
      <t>Trabajo tuberías drenaje de agua pluvial (</t>
    </r>
    <r>
      <rPr>
        <b/>
        <sz val="10"/>
        <color theme="1"/>
        <rFont val="Arial"/>
      </rPr>
      <t>monto adicional</t>
    </r>
    <r>
      <rPr>
        <sz val="10"/>
        <color theme="1"/>
        <rFont val="Arial"/>
      </rPr>
      <t>)</t>
    </r>
  </si>
  <si>
    <t>Seguro Incendio y R.C. (20/11/2024-2025)</t>
  </si>
  <si>
    <t>Total Anual Gastos Provisional 2024</t>
  </si>
  <si>
    <t>Fondo de Reservas (para completar $80,000)</t>
  </si>
  <si>
    <t>* Fondo de Reservas (diferencia prevista por cancelación trabajo medidor de agua)</t>
  </si>
  <si>
    <t>(* La diferencia exacta será tomada cuenta al cierre del año 2024)</t>
  </si>
  <si>
    <t>Total Fondo de Reservas 2024</t>
  </si>
  <si>
    <t>Se pedirá trimestralmente (4 veces) : $124,809.46RD y $10,000.00RD Total $134,809.46RD</t>
  </si>
  <si>
    <t>Nota: Tenemos una nota de crédito (materiales) con Ferretería The Home Acosta Polanco</t>
  </si>
  <si>
    <t>con un importe de $14,514.18RD (aproximadamente)</t>
  </si>
  <si>
    <t>Calculo presupuesto 2024</t>
  </si>
  <si>
    <t>Repartición de gasto común provisional 2024:</t>
  </si>
  <si>
    <t>por año</t>
  </si>
  <si>
    <t>Herve METAYER</t>
  </si>
  <si>
    <r>
      <rPr>
        <sz val="11"/>
        <color theme="1"/>
        <rFont val="Arial"/>
      </rPr>
      <t xml:space="preserve">Inversiones Ter 187 eirl </t>
    </r>
    <r>
      <rPr>
        <sz val="9"/>
        <color theme="1"/>
        <rFont val="Arial"/>
      </rPr>
      <t>(Karina SANTOS)</t>
    </r>
  </si>
  <si>
    <t>Calculo Fondo de Reservas 2024</t>
  </si>
  <si>
    <t>Repartición de Fondo de Reservas 2024:</t>
  </si>
  <si>
    <r>
      <rPr>
        <sz val="11"/>
        <color theme="1"/>
        <rFont val="Arial"/>
      </rPr>
      <t xml:space="preserve">Inversiones Ter 187 eirl </t>
    </r>
    <r>
      <rPr>
        <sz val="9"/>
        <color theme="1"/>
        <rFont val="Arial"/>
      </rPr>
      <t>(Karina SANTOS)</t>
    </r>
  </si>
  <si>
    <t>Calculo cierre del 2023</t>
  </si>
  <si>
    <t>MONTO TRIMESTRE 2024</t>
  </si>
  <si>
    <t>Gastos</t>
  </si>
  <si>
    <t>Fdo. Reservas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</si>
  <si>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</si>
  <si>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</si>
  <si>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</si>
  <si>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</si>
  <si>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</si>
  <si>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</si>
  <si>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</si>
  <si>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</si>
  <si>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</si>
  <si>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SALDO ANTERIOR</t>
  </si>
  <si>
    <t>Pedido de fondo – cuota extraordinaria AGE del 12-01-2024</t>
  </si>
  <si>
    <t>Honorario del Alguacil LT para la Notificación de deudas</t>
  </si>
  <si>
    <t>Pago Serge GUERIN (47 720,90+72,56)</t>
  </si>
  <si>
    <t>Gastos Total año 2023 (Aprobado en AGO del 13 febrero 2024)</t>
  </si>
  <si>
    <t>Fondo de Reservas 2023 (Pedido del 01/10/2023 - Total $40,000RD)</t>
  </si>
  <si>
    <t>1er Trimestre 2024 (Enero – Marzo) / Gastos común provisional</t>
  </si>
  <si>
    <t>1er Trimestre 2024 (Enero – Marzo) / Fondo de Reservas 2024</t>
  </si>
  <si>
    <t xml:space="preserve">Rectificación error del 09/02/2024 </t>
  </si>
  <si>
    <t>2do Trimestre 2024 (Abril – Junio) / Gastos común provisional</t>
  </si>
  <si>
    <t>2do Trimestre 2024 (Abril – Junio) / Fondo de Reservas 2024</t>
  </si>
  <si>
    <t>Pedido de fondo – cuota extraordinaria Voto electronico del 09-04-2024</t>
  </si>
  <si>
    <t>Cargo 2% del $10,082.01 (Reglamento Art.33-d)</t>
  </si>
  <si>
    <t xml:space="preserve">Diferencia presupuesto pared cerca y gastos reales de la obra al gasto unico A1-AGE 12.01.24 orden 6 </t>
  </si>
  <si>
    <t>Cargo 2% de $24,574 (Reglamento Art.33-d)Age 12.01.24 orden 6</t>
  </si>
  <si>
    <t>Cargo 2% del $10,082.01 (Reglamento Art.33-d) voto del 09.04.24</t>
  </si>
  <si>
    <t>3er Trimestre 2024 (Julio– Septiembre) / Gastos común provisional</t>
  </si>
  <si>
    <t>3er Trimestre 2024 (Julio– Septiembre)  / Fondo de Reservas 2024</t>
  </si>
  <si>
    <t>Cargo 2% del $16,108.65+1,290.66 Tercer trimestre (Reglamento Art.33-d)</t>
  </si>
  <si>
    <t>Cargo 2% de $24,574 (Reglamento Art.33-d)Diff Presupuesto pared cerca</t>
  </si>
  <si>
    <t>Cargo 2% del $10,082.01 (Reglamento Art.33-d), pedido de fondo cuota extraordinaria del 09.04.34</t>
  </si>
  <si>
    <t>Pedido de fondo – cuota excepcional agosto-2024</t>
  </si>
  <si>
    <t>Cargo 2% del $9,252.88(Reglamento Art.33-d) Pedido de fondo cuota excepcional Agosto-2024</t>
  </si>
  <si>
    <t>4to Trimestre 2024 (Octubre– Diciembre) / Gastos común provisional</t>
  </si>
  <si>
    <t>4to Trimestre 2024 (Octubre– Diciembre)  / Fondo de Reservas 2024</t>
  </si>
  <si>
    <t>Cargo 2% de 1,290.66 4To trimestre (Reglamento Art.33-d)</t>
  </si>
  <si>
    <t xml:space="preserve">TOTAL A1-GUERRIN </t>
  </si>
  <si>
    <t>GASTOS PRIVADO - Aparte de los gastos comunes</t>
  </si>
  <si>
    <t>Cargo administrador segundo recordatorio pago 45 dias despues venc. (Pedido 2do Trimiestre Abril-Junio 2024</t>
  </si>
  <si>
    <t>Cargo administrador segundo recordatorio pago 45 dias despues venc. (Cuota diff presupuesto gastos reales 12.01.24 - Orden6)</t>
  </si>
  <si>
    <t>Honorarios Alguacil-Notificacion de pago</t>
  </si>
  <si>
    <t>Cargo administrador recordatorio Pedido Excepcional Agosto-24</t>
  </si>
  <si>
    <t>total</t>
  </si>
  <si>
    <t xml:space="preserve">Nota Importante: </t>
  </si>
  <si>
    <t>TOTAL en debito</t>
  </si>
  <si>
    <t>Su estado de cuenta está en manera provisional hasta que se cierran las contabilidades del 2024.</t>
  </si>
  <si>
    <t>Banco POPULAR</t>
  </si>
  <si>
    <t>Cuenta Corriente - Sra YUNAIRY ENCARNACION - Cedula 134-0005411-3</t>
  </si>
  <si>
    <t>Cuenta : 0839787280</t>
  </si>
  <si>
    <t>Pesos</t>
  </si>
  <si>
    <t>Apartamento A-2</t>
  </si>
  <si>
    <t>Hervé METAYER / Corine JEAN</t>
  </si>
  <si>
    <t>hmetayer.business@gmail.com; corine.2021@outlook.fr</t>
  </si>
  <si>
    <t>Pago METAYER-JEAN</t>
  </si>
  <si>
    <t>Cargo MoneyGram/Deposito Banco-Gasto Personal-A2</t>
  </si>
  <si>
    <t>3er Trimestre 2024 (Julio– Septiembre) / Fondo de Reservas 2024</t>
  </si>
  <si>
    <t xml:space="preserve">Rectificación error del 15/04/2024 </t>
  </si>
  <si>
    <t xml:space="preserve">TOTAL A2-METAYER </t>
  </si>
  <si>
    <t>Cargo MoneyGram/Deposito Banco</t>
  </si>
  <si>
    <t>TOTAL en Crédito</t>
  </si>
  <si>
    <t>Apartamento A3</t>
  </si>
  <si>
    <t>ondellaf@yahoo.fr</t>
  </si>
  <si>
    <t>Pago Frédéric ONDELLA</t>
  </si>
  <si>
    <t>TOTAL A3-ONDELLA</t>
  </si>
  <si>
    <t>COMPRA DE 3 CAMION DE AGUA, fuga de agua flotador tinaco A-3</t>
  </si>
  <si>
    <t>TOTAL en Debido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</si>
  <si>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</si>
  <si>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</si>
  <si>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</si>
  <si>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</si>
  <si>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</si>
  <si>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</si>
  <si>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</si>
  <si>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</si>
  <si>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</si>
  <si>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</si>
  <si>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</si>
  <si>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</si>
  <si>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</si>
  <si>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</si>
  <si>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</si>
  <si>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</si>
  <si>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</si>
  <si>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</si>
  <si>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</si>
  <si>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Pago HAZELTINE (26,803.85 + 5,221.59)</t>
  </si>
  <si>
    <t>TOTAL A7-HAZELTINE</t>
  </si>
  <si>
    <t>COMPRA DE 1 CAMION DE AGUA, fuga de agua lavamano segundo piso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</si>
  <si>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</si>
  <si>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</si>
  <si>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</si>
  <si>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</si>
  <si>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</si>
  <si>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</si>
  <si>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</si>
  <si>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</si>
  <si>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</si>
  <si>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</si>
  <si>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</si>
  <si>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</si>
  <si>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</si>
  <si>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</si>
  <si>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</si>
  <si>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</si>
  <si>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</si>
  <si>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</si>
  <si>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</si>
  <si>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</si>
  <si>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</si>
  <si>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</si>
  <si>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</si>
  <si>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</si>
  <si>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</si>
  <si>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</si>
  <si>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r>
      <rPr>
        <sz val="11"/>
        <color theme="1"/>
        <rFont val="Arial"/>
      </rPr>
      <t xml:space="preserve">Inversiones Ter 187 eirl </t>
    </r>
    <r>
      <rPr>
        <sz val="9"/>
        <color theme="1"/>
        <rFont val="Arial"/>
      </rPr>
      <t>(Karina SANTOS)</t>
    </r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</si>
  <si>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</si>
  <si>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</si>
  <si>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</si>
  <si>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</si>
  <si>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</si>
  <si>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</si>
  <si>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</si>
  <si>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</si>
  <si>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</si>
  <si>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</si>
  <si>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</si>
  <si>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</si>
  <si>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Limpieza Parillas</t>
  </si>
  <si>
    <t>Honorarios Administrador Noviembre 2024</t>
  </si>
  <si>
    <t>INAPA Noviembre 2024</t>
  </si>
  <si>
    <t>Luz y Fuerza Noviembre</t>
  </si>
  <si>
    <t>Luz Noviembre 2024 (105khw)</t>
  </si>
  <si>
    <t>Compra 1 camion de agua (Fuga de agua en unidad A-7)</t>
  </si>
  <si>
    <t>COMPRA DE 1 CAMION DE AGUA, fuga de agua</t>
  </si>
  <si>
    <t>adiel Toussait- Limpieza Areas comunes, parillas y caños antes y despues de lluvias</t>
  </si>
  <si>
    <t>Compra 1 camion de agua (emergencia-averia inapa)</t>
  </si>
  <si>
    <t>honorarios Administrador (Diciembre 2024)</t>
  </si>
  <si>
    <t>Compra 2 camiones de agua (averia inapa)</t>
  </si>
  <si>
    <t>Completivo honorarios Administrador Diciembre 2024</t>
  </si>
  <si>
    <t>Pedido de fondo para Trabajos decidido en Voto electronico Del  11-10-2024</t>
  </si>
  <si>
    <t>Registrar condomino al RNC (500usd*61)</t>
  </si>
  <si>
    <t>Obras luces parqueo A2-A3</t>
  </si>
  <si>
    <t>Pedido de fondo para Trabajos decidido en Voto electronico Del  09-12-2024</t>
  </si>
  <si>
    <t>Trabajo de caños para el agua del techo principal</t>
  </si>
  <si>
    <t>Filtracion pared este, edificio de los apartamentos A3-A6 y parte de A7 y A8</t>
  </si>
  <si>
    <t>*Honorarios 10% para seguimientos y supervision de trabajos</t>
  </si>
  <si>
    <t>Compra de Bomba de agua  sumergible+ Materiales</t>
  </si>
  <si>
    <t>Compra de 6 Camiones de agua (Averia inapa)</t>
  </si>
  <si>
    <t>Cuota Extraordinaria del 2025</t>
  </si>
  <si>
    <t>Mano de obra y chequeo bomba sumergible</t>
  </si>
  <si>
    <t>Yile-Limpieza profunda de locales de basura y safacones</t>
  </si>
  <si>
    <t>Fecha limite de pago : 23.01.25</t>
  </si>
  <si>
    <t>Periodo de 01/01/2024 hasta 07/01/2025</t>
  </si>
  <si>
    <t>Pedido de fondo – cuota extraordinaria Voto electronico del 11-10-2024</t>
  </si>
  <si>
    <t>Pedido de fondo – cuota extraordinaria Voto electronico del 09-12-2024</t>
  </si>
  <si>
    <t>Pedido Excepcional- Enero 2025</t>
  </si>
  <si>
    <t>Retiro- Compra bomba sumergible</t>
  </si>
  <si>
    <t>Compra bomba sumergible</t>
  </si>
  <si>
    <t>Pedido de fondo para trabajos emergencia 2025</t>
  </si>
  <si>
    <t xml:space="preserve">COMPRA DE MEDIO CAMION DE AGUA, A-3, averia inapa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</si>
</sst>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General"/>
    <numFmt numFmtId="170" formatCode="[$-1C0A]0.00%"/>
    <numFmt numFmtId="171" formatCode="[$-1C0A]0%"/>
    <numFmt numFmtId="172" formatCode="[$-409]#,##0"/>
    <numFmt numFmtId="173" formatCode="#,##0.0000"/>
    <numFmt numFmtId="174" formatCode="#,##0.000"/>
    <numFmt numFmtId="175" formatCode="[$-409]#,##0.00;[Red]\-#,##0.00"/>
    <numFmt numFmtId="176" formatCode="[$-409]0.00"/>
    <numFmt numFmtId="177" formatCode="[$RD$-1C0A]\ #,##0.00;[Red]\-[$RD$-1C0A]\ #,##0.00"/>
    <numFmt numFmtId="178" formatCode="&quot;$&quot;#,##0.00;[Red]&quot;$&quot;#,##0.00"/>
    <numFmt numFmtId="179" formatCode="0.0000"/>
    <numFmt numFmtId="180" formatCode="#,##0.000000"/>
  </numFmts>
  <fonts count="4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sz val="13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0"/>
      <color rgb="FFC9211E"/>
      <name val="Arial"/>
    </font>
    <font>
      <i/>
      <sz val="9"/>
      <color theme="1"/>
      <name val="Arial"/>
    </font>
    <font>
      <i/>
      <sz val="10"/>
      <color theme="1"/>
      <name val="Arial"/>
    </font>
    <font>
      <sz val="10"/>
      <color rgb="FFFF0000"/>
      <name val="Arial"/>
    </font>
    <font>
      <sz val="8"/>
      <color theme="1"/>
      <name val="Arial"/>
    </font>
    <font>
      <b/>
      <i/>
      <sz val="11"/>
      <color rgb="FF800080"/>
      <name val="Arial"/>
    </font>
    <font>
      <i/>
      <sz val="11"/>
      <color rgb="FF800080"/>
      <name val="Arial"/>
    </font>
    <font>
      <b/>
      <sz val="12"/>
      <color theme="1"/>
      <name val="Arial"/>
    </font>
    <font>
      <b/>
      <i/>
      <sz val="10"/>
      <color theme="1"/>
      <name val="Arial"/>
    </font>
    <font>
      <sz val="9"/>
      <color theme="1"/>
      <name val="Arial"/>
    </font>
    <font>
      <sz val="10"/>
      <color theme="1"/>
      <name val="Arial"/>
      <scheme val="minor"/>
    </font>
    <font>
      <b/>
      <sz val="12"/>
      <color theme="1"/>
      <name val="Calibri"/>
    </font>
    <font>
      <sz val="12"/>
      <color theme="1"/>
      <name val="Calibri"/>
    </font>
    <font>
      <i/>
      <sz val="12"/>
      <color theme="1"/>
      <name val="Calibri"/>
    </font>
    <font>
      <i/>
      <sz val="10"/>
      <color theme="1"/>
      <name val="Calibri"/>
    </font>
    <font>
      <b/>
      <i/>
      <sz val="10"/>
      <color theme="1"/>
      <name val="Calibri"/>
    </font>
    <font>
      <sz val="12"/>
      <color theme="1"/>
      <name val="Arial"/>
    </font>
    <font>
      <i/>
      <sz val="11"/>
      <color theme="1"/>
      <name val="Arial"/>
    </font>
    <font>
      <i/>
      <sz val="12"/>
      <color theme="1"/>
      <name val="Arial"/>
    </font>
    <font>
      <b/>
      <i/>
      <sz val="11"/>
      <color theme="1"/>
      <name val="Arial"/>
    </font>
    <font>
      <b/>
      <sz val="10"/>
      <color rgb="FFFF0000"/>
      <name val="Arial"/>
    </font>
    <font>
      <b/>
      <sz val="11"/>
      <color rgb="FFFF0000"/>
      <name val="Arial"/>
    </font>
    <font>
      <sz val="10"/>
      <name val="Arial"/>
    </font>
    <font>
      <i/>
      <sz val="11"/>
      <color theme="1"/>
      <name val="Helvetica Neue"/>
    </font>
    <font>
      <b/>
      <i/>
      <sz val="10"/>
      <color rgb="FFFF0000"/>
      <name val="Arial"/>
    </font>
    <font>
      <b/>
      <i/>
      <u/>
      <sz val="10"/>
      <color rgb="FFFF0000"/>
      <name val="Arial"/>
    </font>
    <font>
      <sz val="10"/>
      <color rgb="FF000000"/>
      <name val="Arial"/>
    </font>
    <font>
      <i/>
      <sz val="10"/>
      <color theme="1"/>
      <name val="Helvetica Neue"/>
    </font>
    <font>
      <u/>
      <sz val="11"/>
      <color theme="1"/>
      <name val="Arial"/>
    </font>
    <font>
      <b/>
      <i/>
      <sz val="11"/>
      <color rgb="FFFF0000"/>
      <name val="Arial"/>
    </font>
    <font>
      <b/>
      <sz val="9"/>
      <color theme="1"/>
      <name val="Arial"/>
    </font>
    <font>
      <b/>
      <sz val="10"/>
      <color rgb="FF355269"/>
      <name val="Arial"/>
    </font>
    <font>
      <b/>
      <i/>
      <sz val="10"/>
      <color rgb="FF355269"/>
      <name val="Arial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7D1D5"/>
        <bgColor rgb="FFF7D1D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DE8CB"/>
        <bgColor rgb="FFDDE8CB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FFF5CE"/>
        <bgColor rgb="FFFFF5CE"/>
      </patternFill>
    </fill>
    <fill>
      <patternFill patternType="solid">
        <fgColor rgb="FFCCCCCC"/>
        <bgColor rgb="FFCCCCCC"/>
      </patternFill>
    </fill>
    <fill>
      <patternFill patternType="solid">
        <fgColor rgb="FFF6F9D4"/>
        <bgColor rgb="FFF6F9D4"/>
      </patternFill>
    </fill>
    <fill>
      <patternFill patternType="solid">
        <fgColor rgb="FFDDDDDD"/>
        <bgColor rgb="FFDDDDDD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vertical="center"/>
    </xf>
    <xf numFmtId="49" fontId="4" fillId="0" borderId="4" xfId="0" applyNumberFormat="1" applyFont="1" applyBorder="1"/>
    <xf numFmtId="164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49" fontId="1" fillId="0" borderId="5" xfId="0" applyNumberFormat="1" applyFont="1" applyBorder="1"/>
    <xf numFmtId="164" fontId="1" fillId="0" borderId="6" xfId="0" applyNumberFormat="1" applyFont="1" applyBorder="1" applyAlignment="1">
      <alignment horizontal="center"/>
    </xf>
    <xf numFmtId="166" fontId="1" fillId="0" borderId="6" xfId="0" applyNumberFormat="1" applyFont="1" applyBorder="1"/>
    <xf numFmtId="167" fontId="1" fillId="0" borderId="5" xfId="0" applyNumberFormat="1" applyFont="1" applyBorder="1"/>
    <xf numFmtId="164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/>
    <xf numFmtId="164" fontId="1" fillId="0" borderId="7" xfId="0" applyNumberFormat="1" applyFont="1" applyBorder="1" applyAlignment="1">
      <alignment horizontal="center"/>
    </xf>
    <xf numFmtId="166" fontId="1" fillId="0" borderId="8" xfId="0" applyNumberFormat="1" applyFont="1" applyBorder="1"/>
    <xf numFmtId="166" fontId="1" fillId="0" borderId="0" xfId="0" applyNumberFormat="1" applyFont="1"/>
    <xf numFmtId="164" fontId="1" fillId="3" borderId="9" xfId="0" applyNumberFormat="1" applyFont="1" applyFill="1" applyBorder="1" applyAlignment="1">
      <alignment horizontal="center"/>
    </xf>
    <xf numFmtId="165" fontId="1" fillId="3" borderId="9" xfId="0" applyNumberFormat="1" applyFont="1" applyFill="1" applyBorder="1"/>
    <xf numFmtId="164" fontId="1" fillId="3" borderId="10" xfId="0" applyNumberFormat="1" applyFont="1" applyFill="1" applyBorder="1" applyAlignment="1">
      <alignment horizontal="center"/>
    </xf>
    <xf numFmtId="166" fontId="1" fillId="3" borderId="10" xfId="0" applyNumberFormat="1" applyFont="1" applyFill="1" applyBorder="1"/>
    <xf numFmtId="167" fontId="1" fillId="0" borderId="4" xfId="0" applyNumberFormat="1" applyFont="1" applyBorder="1" applyAlignment="1">
      <alignment vertical="center" wrapText="1"/>
    </xf>
    <xf numFmtId="167" fontId="1" fillId="3" borderId="10" xfId="0" applyNumberFormat="1" applyFont="1" applyFill="1" applyBorder="1"/>
    <xf numFmtId="166" fontId="1" fillId="4" borderId="10" xfId="0" applyNumberFormat="1" applyFont="1" applyFill="1" applyBorder="1"/>
    <xf numFmtId="167" fontId="1" fillId="0" borderId="11" xfId="0" applyNumberFormat="1" applyFont="1" applyBorder="1"/>
    <xf numFmtId="164" fontId="1" fillId="0" borderId="11" xfId="0" applyNumberFormat="1" applyFont="1" applyBorder="1" applyAlignment="1">
      <alignment horizontal="center"/>
    </xf>
    <xf numFmtId="166" fontId="1" fillId="0" borderId="11" xfId="0" applyNumberFormat="1" applyFont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5" fillId="0" borderId="0" xfId="0" applyNumberFormat="1" applyFont="1"/>
    <xf numFmtId="49" fontId="5" fillId="2" borderId="9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center"/>
    </xf>
    <xf numFmtId="166" fontId="5" fillId="2" borderId="9" xfId="0" applyNumberFormat="1" applyFont="1" applyFill="1" applyBorder="1"/>
    <xf numFmtId="49" fontId="3" fillId="5" borderId="1" xfId="0" applyNumberFormat="1" applyFont="1" applyFill="1" applyBorder="1" applyAlignment="1">
      <alignment horizontal="left" vertical="center"/>
    </xf>
    <xf numFmtId="164" fontId="1" fillId="5" borderId="2" xfId="0" applyNumberFormat="1" applyFont="1" applyFill="1" applyBorder="1" applyAlignment="1">
      <alignment horizontal="center" vertical="center"/>
    </xf>
    <xf numFmtId="165" fontId="1" fillId="5" borderId="3" xfId="0" applyNumberFormat="1" applyFont="1" applyFill="1" applyBorder="1" applyAlignment="1">
      <alignment vertical="center"/>
    </xf>
    <xf numFmtId="166" fontId="7" fillId="0" borderId="5" xfId="0" applyNumberFormat="1" applyFont="1" applyBorder="1"/>
    <xf numFmtId="164" fontId="1" fillId="0" borderId="8" xfId="0" applyNumberFormat="1" applyFont="1" applyBorder="1" applyAlignment="1">
      <alignment horizontal="center"/>
    </xf>
    <xf numFmtId="165" fontId="1" fillId="0" borderId="5" xfId="0" applyNumberFormat="1" applyFont="1" applyBorder="1"/>
    <xf numFmtId="165" fontId="1" fillId="3" borderId="10" xfId="0" applyNumberFormat="1" applyFont="1" applyFill="1" applyBorder="1"/>
    <xf numFmtId="0" fontId="1" fillId="0" borderId="8" xfId="0" applyFont="1" applyBorder="1"/>
    <xf numFmtId="167" fontId="1" fillId="0" borderId="5" xfId="0" applyNumberFormat="1" applyFont="1" applyBorder="1" applyAlignment="1">
      <alignment wrapText="1"/>
    </xf>
    <xf numFmtId="166" fontId="1" fillId="3" borderId="12" xfId="0" applyNumberFormat="1" applyFont="1" applyFill="1" applyBorder="1"/>
    <xf numFmtId="167" fontId="8" fillId="3" borderId="4" xfId="0" applyNumberFormat="1" applyFont="1" applyFill="1" applyBorder="1" applyAlignment="1">
      <alignment vertical="center" wrapText="1"/>
    </xf>
    <xf numFmtId="164" fontId="9" fillId="3" borderId="13" xfId="0" applyNumberFormat="1" applyFont="1" applyFill="1" applyBorder="1" applyAlignment="1">
      <alignment horizontal="center" vertical="center"/>
    </xf>
    <xf numFmtId="166" fontId="1" fillId="6" borderId="10" xfId="0" applyNumberFormat="1" applyFont="1" applyFill="1" applyBorder="1"/>
    <xf numFmtId="164" fontId="9" fillId="3" borderId="14" xfId="0" applyNumberFormat="1" applyFont="1" applyFill="1" applyBorder="1" applyAlignment="1">
      <alignment horizontal="center" vertical="center"/>
    </xf>
    <xf numFmtId="167" fontId="8" fillId="0" borderId="4" xfId="0" applyNumberFormat="1" applyFont="1" applyBorder="1" applyAlignment="1">
      <alignment vertical="center" wrapText="1"/>
    </xf>
    <xf numFmtId="164" fontId="9" fillId="0" borderId="15" xfId="0" applyNumberFormat="1" applyFont="1" applyBorder="1" applyAlignment="1">
      <alignment horizontal="center" vertical="center"/>
    </xf>
    <xf numFmtId="166" fontId="1" fillId="3" borderId="9" xfId="0" applyNumberFormat="1" applyFont="1" applyFill="1" applyBorder="1"/>
    <xf numFmtId="49" fontId="1" fillId="3" borderId="10" xfId="0" applyNumberFormat="1" applyFont="1" applyFill="1" applyBorder="1"/>
    <xf numFmtId="49" fontId="1" fillId="3" borderId="16" xfId="0" applyNumberFormat="1" applyFont="1" applyFill="1" applyBorder="1"/>
    <xf numFmtId="166" fontId="1" fillId="7" borderId="10" xfId="0" applyNumberFormat="1" applyFont="1" applyFill="1" applyBorder="1"/>
    <xf numFmtId="167" fontId="1" fillId="0" borderId="7" xfId="0" applyNumberFormat="1" applyFont="1" applyBorder="1"/>
    <xf numFmtId="167" fontId="1" fillId="0" borderId="0" xfId="0" applyNumberFormat="1" applyFont="1"/>
    <xf numFmtId="167" fontId="1" fillId="3" borderId="16" xfId="0" applyNumberFormat="1" applyFont="1" applyFill="1" applyBorder="1"/>
    <xf numFmtId="166" fontId="1" fillId="3" borderId="10" xfId="0" applyNumberFormat="1" applyFont="1" applyFill="1" applyBorder="1" applyAlignment="1"/>
    <xf numFmtId="167" fontId="1" fillId="0" borderId="7" xfId="0" applyNumberFormat="1" applyFont="1" applyBorder="1" applyAlignment="1"/>
    <xf numFmtId="16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5" fillId="5" borderId="9" xfId="0" applyNumberFormat="1" applyFont="1" applyFill="1" applyBorder="1" applyAlignment="1">
      <alignment horizontal="right"/>
    </xf>
    <xf numFmtId="164" fontId="1" fillId="5" borderId="9" xfId="0" applyNumberFormat="1" applyFont="1" applyFill="1" applyBorder="1" applyAlignment="1">
      <alignment horizontal="left"/>
    </xf>
    <xf numFmtId="164" fontId="1" fillId="5" borderId="9" xfId="0" applyNumberFormat="1" applyFont="1" applyFill="1" applyBorder="1" applyAlignment="1">
      <alignment horizontal="center"/>
    </xf>
    <xf numFmtId="166" fontId="5" fillId="5" borderId="9" xfId="0" applyNumberFormat="1" applyFont="1" applyFill="1" applyBorder="1"/>
    <xf numFmtId="165" fontId="5" fillId="0" borderId="0" xfId="0" applyNumberFormat="1" applyFont="1"/>
    <xf numFmtId="49" fontId="5" fillId="0" borderId="17" xfId="0" applyNumberFormat="1" applyFont="1" applyBorder="1" applyAlignment="1">
      <alignment horizontal="right"/>
    </xf>
    <xf numFmtId="164" fontId="1" fillId="0" borderId="18" xfId="0" applyNumberFormat="1" applyFont="1" applyBorder="1" applyAlignment="1">
      <alignment horizontal="center"/>
    </xf>
    <xf numFmtId="165" fontId="5" fillId="0" borderId="18" xfId="0" applyNumberFormat="1" applyFont="1" applyBorder="1"/>
    <xf numFmtId="165" fontId="5" fillId="0" borderId="19" xfId="0" applyNumberFormat="1" applyFont="1" applyBorder="1"/>
    <xf numFmtId="49" fontId="5" fillId="0" borderId="20" xfId="0" applyNumberFormat="1" applyFont="1" applyBorder="1" applyAlignment="1">
      <alignment horizontal="right"/>
    </xf>
    <xf numFmtId="165" fontId="5" fillId="0" borderId="21" xfId="0" applyNumberFormat="1" applyFont="1" applyBorder="1"/>
    <xf numFmtId="0" fontId="11" fillId="0" borderId="0" xfId="0" applyFont="1"/>
    <xf numFmtId="49" fontId="5" fillId="0" borderId="22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center"/>
    </xf>
    <xf numFmtId="165" fontId="5" fillId="0" borderId="23" xfId="0" applyNumberFormat="1" applyFont="1" applyBorder="1"/>
    <xf numFmtId="165" fontId="6" fillId="0" borderId="24" xfId="0" applyNumberFormat="1" applyFont="1" applyBorder="1"/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/>
    <xf numFmtId="165" fontId="12" fillId="0" borderId="0" xfId="0" applyNumberFormat="1" applyFont="1" applyAlignment="1">
      <alignment horizontal="right"/>
    </xf>
    <xf numFmtId="165" fontId="12" fillId="0" borderId="0" xfId="0" applyNumberFormat="1" applyFont="1"/>
    <xf numFmtId="165" fontId="13" fillId="0" borderId="0" xfId="0" applyNumberFormat="1" applyFont="1" applyAlignment="1">
      <alignment horizontal="right"/>
    </xf>
    <xf numFmtId="165" fontId="13" fillId="0" borderId="0" xfId="0" applyNumberFormat="1" applyFont="1"/>
    <xf numFmtId="165" fontId="6" fillId="0" borderId="0" xfId="0" applyNumberFormat="1" applyFont="1" applyAlignment="1">
      <alignment horizontal="right"/>
    </xf>
    <xf numFmtId="165" fontId="14" fillId="0" borderId="0" xfId="0" applyNumberFormat="1" applyFont="1"/>
    <xf numFmtId="49" fontId="15" fillId="8" borderId="9" xfId="0" applyNumberFormat="1" applyFont="1" applyFill="1" applyBorder="1"/>
    <xf numFmtId="164" fontId="1" fillId="8" borderId="9" xfId="0" applyNumberFormat="1" applyFont="1" applyFill="1" applyBorder="1" applyAlignment="1">
      <alignment horizontal="center"/>
    </xf>
    <xf numFmtId="49" fontId="5" fillId="8" borderId="9" xfId="0" applyNumberFormat="1" applyFont="1" applyFill="1" applyBorder="1" applyAlignment="1">
      <alignment horizontal="right"/>
    </xf>
    <xf numFmtId="165" fontId="5" fillId="8" borderId="9" xfId="0" applyNumberFormat="1" applyFont="1" applyFill="1" applyBorder="1" applyAlignment="1">
      <alignment horizontal="center"/>
    </xf>
    <xf numFmtId="168" fontId="5" fillId="8" borderId="9" xfId="0" applyNumberFormat="1" applyFont="1" applyFill="1" applyBorder="1"/>
    <xf numFmtId="0" fontId="16" fillId="0" borderId="0" xfId="0" applyFont="1"/>
    <xf numFmtId="49" fontId="15" fillId="0" borderId="0" xfId="0" applyNumberFormat="1" applyFont="1"/>
    <xf numFmtId="49" fontId="8" fillId="8" borderId="9" xfId="0" applyNumberFormat="1" applyFont="1" applyFill="1" applyBorder="1"/>
    <xf numFmtId="164" fontId="8" fillId="8" borderId="9" xfId="0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65" fontId="8" fillId="0" borderId="0" xfId="0" applyNumberFormat="1" applyFont="1"/>
    <xf numFmtId="49" fontId="8" fillId="0" borderId="0" xfId="0" applyNumberFormat="1" applyFont="1"/>
    <xf numFmtId="167" fontId="8" fillId="8" borderId="9" xfId="0" applyNumberFormat="1" applyFont="1" applyFill="1" applyBorder="1"/>
    <xf numFmtId="167" fontId="8" fillId="0" borderId="0" xfId="0" applyNumberFormat="1" applyFont="1"/>
    <xf numFmtId="49" fontId="1" fillId="8" borderId="9" xfId="0" applyNumberFormat="1" applyFont="1" applyFill="1" applyBorder="1"/>
    <xf numFmtId="165" fontId="4" fillId="8" borderId="9" xfId="0" applyNumberFormat="1" applyFont="1" applyFill="1" applyBorder="1" applyAlignment="1">
      <alignment horizontal="right"/>
    </xf>
    <xf numFmtId="168" fontId="6" fillId="8" borderId="9" xfId="0" applyNumberFormat="1" applyFont="1" applyFill="1" applyBorder="1"/>
    <xf numFmtId="0" fontId="17" fillId="0" borderId="0" xfId="0" applyFont="1"/>
    <xf numFmtId="168" fontId="5" fillId="0" borderId="0" xfId="0" applyNumberFormat="1" applyFont="1"/>
    <xf numFmtId="49" fontId="18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center"/>
    </xf>
    <xf numFmtId="165" fontId="19" fillId="0" borderId="0" xfId="0" applyNumberFormat="1" applyFont="1"/>
    <xf numFmtId="0" fontId="19" fillId="0" borderId="0" xfId="0" applyFont="1"/>
    <xf numFmtId="49" fontId="19" fillId="0" borderId="0" xfId="0" applyNumberFormat="1" applyFont="1"/>
    <xf numFmtId="0" fontId="20" fillId="0" borderId="0" xfId="0" applyFont="1"/>
    <xf numFmtId="165" fontId="19" fillId="0" borderId="0" xfId="0" applyNumberFormat="1" applyFont="1" applyAlignment="1">
      <alignment horizontal="right"/>
    </xf>
    <xf numFmtId="165" fontId="18" fillId="0" borderId="0" xfId="0" applyNumberFormat="1" applyFont="1"/>
    <xf numFmtId="49" fontId="3" fillId="9" borderId="1" xfId="0" applyNumberFormat="1" applyFont="1" applyFill="1" applyBorder="1" applyAlignment="1">
      <alignment horizontal="left" vertical="center"/>
    </xf>
    <xf numFmtId="164" fontId="1" fillId="9" borderId="2" xfId="0" applyNumberFormat="1" applyFont="1" applyFill="1" applyBorder="1" applyAlignment="1">
      <alignment horizontal="center" vertical="center"/>
    </xf>
    <xf numFmtId="165" fontId="1" fillId="9" borderId="3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6" xfId="0" applyNumberFormat="1" applyFont="1" applyBorder="1"/>
    <xf numFmtId="167" fontId="1" fillId="0" borderId="4" xfId="0" applyNumberFormat="1" applyFont="1" applyBorder="1"/>
    <xf numFmtId="165" fontId="4" fillId="0" borderId="4" xfId="0" applyNumberFormat="1" applyFont="1" applyBorder="1"/>
    <xf numFmtId="49" fontId="1" fillId="0" borderId="6" xfId="0" applyNumberFormat="1" applyFont="1" applyBorder="1"/>
    <xf numFmtId="165" fontId="1" fillId="0" borderId="8" xfId="0" applyNumberFormat="1" applyFont="1" applyBorder="1"/>
    <xf numFmtId="4" fontId="1" fillId="0" borderId="0" xfId="0" applyNumberFormat="1" applyFont="1"/>
    <xf numFmtId="165" fontId="1" fillId="3" borderId="25" xfId="0" applyNumberFormat="1" applyFont="1" applyFill="1" applyBorder="1"/>
    <xf numFmtId="49" fontId="1" fillId="0" borderId="4" xfId="0" applyNumberFormat="1" applyFont="1" applyBorder="1"/>
    <xf numFmtId="164" fontId="1" fillId="3" borderId="4" xfId="0" applyNumberFormat="1" applyFont="1" applyFill="1" applyBorder="1" applyAlignment="1">
      <alignment horizontal="center"/>
    </xf>
    <xf numFmtId="165" fontId="1" fillId="0" borderId="4" xfId="0" applyNumberFormat="1" applyFont="1" applyBorder="1"/>
    <xf numFmtId="49" fontId="1" fillId="0" borderId="26" xfId="0" applyNumberFormat="1" applyFont="1" applyBorder="1"/>
    <xf numFmtId="165" fontId="1" fillId="0" borderId="27" xfId="0" applyNumberFormat="1" applyFont="1" applyBorder="1"/>
    <xf numFmtId="167" fontId="1" fillId="0" borderId="6" xfId="0" applyNumberFormat="1" applyFont="1" applyBorder="1"/>
    <xf numFmtId="164" fontId="1" fillId="0" borderId="5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  <xf numFmtId="167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5" fontId="4" fillId="0" borderId="0" xfId="0" applyNumberFormat="1" applyFont="1"/>
    <xf numFmtId="165" fontId="4" fillId="0" borderId="6" xfId="0" applyNumberFormat="1" applyFont="1" applyBorder="1"/>
    <xf numFmtId="167" fontId="4" fillId="0" borderId="4" xfId="0" applyNumberFormat="1" applyFont="1" applyBorder="1"/>
    <xf numFmtId="165" fontId="21" fillId="0" borderId="8" xfId="0" applyNumberFormat="1" applyFont="1" applyBorder="1"/>
    <xf numFmtId="0" fontId="21" fillId="0" borderId="6" xfId="0" applyFont="1" applyBorder="1" applyAlignment="1">
      <alignment vertical="center"/>
    </xf>
    <xf numFmtId="164" fontId="21" fillId="0" borderId="6" xfId="0" applyNumberFormat="1" applyFont="1" applyBorder="1" applyAlignment="1">
      <alignment horizontal="center"/>
    </xf>
    <xf numFmtId="165" fontId="21" fillId="0" borderId="27" xfId="0" applyNumberFormat="1" applyFont="1" applyBorder="1"/>
    <xf numFmtId="167" fontId="16" fillId="0" borderId="5" xfId="0" applyNumberFormat="1" applyFont="1" applyBorder="1"/>
    <xf numFmtId="167" fontId="21" fillId="0" borderId="4" xfId="0" applyNumberFormat="1" applyFont="1" applyBorder="1"/>
    <xf numFmtId="164" fontId="21" fillId="0" borderId="4" xfId="0" applyNumberFormat="1" applyFont="1" applyBorder="1" applyAlignment="1">
      <alignment horizontal="center"/>
    </xf>
    <xf numFmtId="165" fontId="22" fillId="0" borderId="4" xfId="0" applyNumberFormat="1" applyFont="1" applyBorder="1"/>
    <xf numFmtId="49" fontId="5" fillId="0" borderId="0" xfId="0" applyNumberFormat="1" applyFont="1"/>
    <xf numFmtId="0" fontId="23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49" fontId="3" fillId="9" borderId="28" xfId="0" applyNumberFormat="1" applyFont="1" applyFill="1" applyBorder="1" applyAlignment="1">
      <alignment horizontal="left" vertical="center"/>
    </xf>
    <xf numFmtId="165" fontId="1" fillId="9" borderId="14" xfId="0" applyNumberFormat="1" applyFont="1" applyFill="1" applyBorder="1" applyAlignment="1">
      <alignment vertical="center"/>
    </xf>
    <xf numFmtId="165" fontId="1" fillId="9" borderId="13" xfId="0" applyNumberFormat="1" applyFont="1" applyFill="1" applyBorder="1" applyAlignment="1">
      <alignment vertical="center"/>
    </xf>
    <xf numFmtId="4" fontId="1" fillId="0" borderId="0" xfId="0" applyNumberFormat="1" applyFont="1" applyAlignment="1">
      <alignment vertical="center"/>
    </xf>
    <xf numFmtId="49" fontId="4" fillId="0" borderId="29" xfId="0" applyNumberFormat="1" applyFont="1" applyBorder="1"/>
    <xf numFmtId="167" fontId="4" fillId="0" borderId="30" xfId="0" applyNumberFormat="1" applyFont="1" applyBorder="1" applyAlignment="1">
      <alignment horizontal="center" vertical="center"/>
    </xf>
    <xf numFmtId="167" fontId="4" fillId="0" borderId="15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7" fontId="1" fillId="0" borderId="26" xfId="0" applyNumberFormat="1" applyFont="1" applyBorder="1"/>
    <xf numFmtId="165" fontId="1" fillId="0" borderId="31" xfId="0" applyNumberFormat="1" applyFont="1" applyBorder="1"/>
    <xf numFmtId="167" fontId="6" fillId="0" borderId="7" xfId="0" applyNumberFormat="1" applyFont="1" applyBorder="1"/>
    <xf numFmtId="165" fontId="4" fillId="0" borderId="8" xfId="0" applyNumberFormat="1" applyFont="1" applyBorder="1" applyAlignment="1">
      <alignment horizontal="right"/>
    </xf>
    <xf numFmtId="165" fontId="6" fillId="0" borderId="8" xfId="0" applyNumberFormat="1" applyFont="1" applyBorder="1"/>
    <xf numFmtId="167" fontId="9" fillId="0" borderId="7" xfId="0" applyNumberFormat="1" applyFont="1" applyBorder="1"/>
    <xf numFmtId="165" fontId="1" fillId="0" borderId="8" xfId="0" applyNumberFormat="1" applyFont="1" applyBorder="1" applyAlignment="1">
      <alignment horizontal="right"/>
    </xf>
    <xf numFmtId="165" fontId="4" fillId="0" borderId="8" xfId="0" applyNumberFormat="1" applyFont="1" applyBorder="1"/>
    <xf numFmtId="167" fontId="1" fillId="0" borderId="32" xfId="0" applyNumberFormat="1" applyFont="1" applyBorder="1"/>
    <xf numFmtId="165" fontId="1" fillId="0" borderId="33" xfId="0" applyNumberFormat="1" applyFont="1" applyBorder="1"/>
    <xf numFmtId="165" fontId="1" fillId="0" borderId="34" xfId="0" applyNumberFormat="1" applyFont="1" applyBorder="1"/>
    <xf numFmtId="167" fontId="5" fillId="9" borderId="28" xfId="0" applyNumberFormat="1" applyFont="1" applyFill="1" applyBorder="1" applyAlignment="1">
      <alignment horizontal="center"/>
    </xf>
    <xf numFmtId="165" fontId="24" fillId="9" borderId="14" xfId="0" applyNumberFormat="1" applyFont="1" applyFill="1" applyBorder="1"/>
    <xf numFmtId="165" fontId="5" fillId="9" borderId="13" xfId="0" applyNumberFormat="1" applyFont="1" applyFill="1" applyBorder="1" applyAlignment="1">
      <alignment horizontal="right"/>
    </xf>
    <xf numFmtId="165" fontId="6" fillId="9" borderId="4" xfId="0" applyNumberFormat="1" applyFont="1" applyFill="1" applyBorder="1"/>
    <xf numFmtId="167" fontId="4" fillId="0" borderId="0" xfId="0" applyNumberFormat="1" applyFont="1" applyAlignment="1">
      <alignment horizontal="left"/>
    </xf>
    <xf numFmtId="165" fontId="24" fillId="0" borderId="0" xfId="0" applyNumberFormat="1" applyFont="1"/>
    <xf numFmtId="167" fontId="4" fillId="0" borderId="0" xfId="0" applyNumberFormat="1" applyFont="1"/>
    <xf numFmtId="167" fontId="15" fillId="0" borderId="0" xfId="0" applyNumberFormat="1" applyFont="1"/>
    <xf numFmtId="49" fontId="25" fillId="10" borderId="28" xfId="0" applyNumberFormat="1" applyFont="1" applyFill="1" applyBorder="1" applyAlignment="1">
      <alignment horizontal="left" vertical="center"/>
    </xf>
    <xf numFmtId="165" fontId="1" fillId="10" borderId="14" xfId="0" applyNumberFormat="1" applyFont="1" applyFill="1" applyBorder="1"/>
    <xf numFmtId="165" fontId="1" fillId="10" borderId="14" xfId="0" applyNumberFormat="1" applyFont="1" applyFill="1" applyBorder="1" applyAlignment="1">
      <alignment horizontal="right"/>
    </xf>
    <xf numFmtId="165" fontId="23" fillId="10" borderId="13" xfId="0" applyNumberFormat="1" applyFont="1" applyFill="1" applyBorder="1"/>
    <xf numFmtId="0" fontId="1" fillId="0" borderId="26" xfId="0" applyFont="1" applyBorder="1"/>
    <xf numFmtId="4" fontId="1" fillId="0" borderId="31" xfId="0" applyNumberFormat="1" applyFont="1" applyBorder="1" applyAlignment="1">
      <alignment horizontal="center"/>
    </xf>
    <xf numFmtId="4" fontId="1" fillId="0" borderId="31" xfId="0" applyNumberFormat="1" applyFont="1" applyBorder="1"/>
    <xf numFmtId="4" fontId="16" fillId="0" borderId="31" xfId="0" applyNumberFormat="1" applyFont="1" applyBorder="1" applyAlignment="1">
      <alignment horizontal="center"/>
    </xf>
    <xf numFmtId="0" fontId="1" fillId="0" borderId="31" xfId="0" applyFont="1" applyBorder="1"/>
    <xf numFmtId="0" fontId="1" fillId="0" borderId="27" xfId="0" applyFont="1" applyBorder="1"/>
    <xf numFmtId="10" fontId="1" fillId="0" borderId="0" xfId="0" applyNumberFormat="1" applyFon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" fontId="1" fillId="0" borderId="8" xfId="0" applyNumberFormat="1" applyFon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70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70" fontId="5" fillId="0" borderId="5" xfId="0" applyNumberFormat="1" applyFont="1" applyBorder="1"/>
    <xf numFmtId="165" fontId="5" fillId="0" borderId="5" xfId="0" applyNumberFormat="1" applyFont="1" applyBorder="1"/>
    <xf numFmtId="0" fontId="1" fillId="0" borderId="32" xfId="0" applyFont="1" applyBorder="1"/>
    <xf numFmtId="4" fontId="1" fillId="0" borderId="33" xfId="0" applyNumberFormat="1" applyFont="1" applyBorder="1"/>
    <xf numFmtId="4" fontId="9" fillId="9" borderId="35" xfId="0" applyNumberFormat="1" applyFont="1" applyFill="1" applyBorder="1"/>
    <xf numFmtId="4" fontId="1" fillId="9" borderId="36" xfId="0" applyNumberFormat="1" applyFont="1" applyFill="1" applyBorder="1"/>
    <xf numFmtId="49" fontId="5" fillId="9" borderId="28" xfId="0" applyNumberFormat="1" applyFont="1" applyFill="1" applyBorder="1" applyAlignment="1">
      <alignment horizontal="center"/>
    </xf>
    <xf numFmtId="165" fontId="5" fillId="9" borderId="13" xfId="0" applyNumberFormat="1" applyFont="1" applyFill="1" applyBorder="1"/>
    <xf numFmtId="171" fontId="24" fillId="9" borderId="4" xfId="0" applyNumberFormat="1" applyFont="1" applyFill="1" applyBorder="1"/>
    <xf numFmtId="165" fontId="26" fillId="9" borderId="4" xfId="0" applyNumberFormat="1" applyFont="1" applyFill="1" applyBorder="1"/>
    <xf numFmtId="49" fontId="5" fillId="0" borderId="0" xfId="0" applyNumberFormat="1" applyFont="1" applyAlignment="1">
      <alignment horizontal="center"/>
    </xf>
    <xf numFmtId="171" fontId="24" fillId="0" borderId="0" xfId="0" applyNumberFormat="1" applyFont="1"/>
    <xf numFmtId="167" fontId="27" fillId="0" borderId="26" xfId="0" applyNumberFormat="1" applyFont="1" applyBorder="1"/>
    <xf numFmtId="167" fontId="28" fillId="0" borderId="7" xfId="0" applyNumberFormat="1" applyFont="1" applyBorder="1"/>
    <xf numFmtId="2" fontId="5" fillId="0" borderId="6" xfId="0" applyNumberFormat="1" applyFont="1" applyBorder="1"/>
    <xf numFmtId="2" fontId="5" fillId="0" borderId="5" xfId="0" applyNumberFormat="1" applyFont="1" applyBorder="1"/>
    <xf numFmtId="0" fontId="1" fillId="0" borderId="0" xfId="0" applyFont="1"/>
    <xf numFmtId="165" fontId="5" fillId="0" borderId="8" xfId="0" applyNumberFormat="1" applyFont="1" applyBorder="1"/>
    <xf numFmtId="0" fontId="4" fillId="0" borderId="0" xfId="0" applyFont="1" applyAlignment="1">
      <alignment horizontal="right" vertical="top"/>
    </xf>
    <xf numFmtId="167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vertical="center"/>
    </xf>
    <xf numFmtId="172" fontId="1" fillId="0" borderId="6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72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7" fontId="1" fillId="0" borderId="11" xfId="0" applyNumberFormat="1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172" fontId="1" fillId="0" borderId="11" xfId="0" applyNumberFormat="1" applyFont="1" applyBorder="1" applyAlignment="1">
      <alignment horizontal="center" vertical="center"/>
    </xf>
    <xf numFmtId="167" fontId="26" fillId="9" borderId="4" xfId="0" applyNumberFormat="1" applyFont="1" applyFill="1" applyBorder="1" applyAlignment="1">
      <alignment horizontal="center"/>
    </xf>
    <xf numFmtId="165" fontId="15" fillId="9" borderId="4" xfId="0" applyNumberFormat="1" applyFont="1" applyFill="1" applyBorder="1"/>
    <xf numFmtId="165" fontId="24" fillId="9" borderId="4" xfId="0" applyNumberFormat="1" applyFont="1" applyFill="1" applyBorder="1"/>
    <xf numFmtId="165" fontId="1" fillId="0" borderId="8" xfId="0" applyNumberFormat="1" applyFont="1" applyBorder="1" applyAlignment="1">
      <alignment vertical="center"/>
    </xf>
    <xf numFmtId="172" fontId="1" fillId="0" borderId="8" xfId="0" applyNumberFormat="1" applyFont="1" applyBorder="1" applyAlignment="1">
      <alignment horizontal="center" vertical="center"/>
    </xf>
    <xf numFmtId="167" fontId="9" fillId="0" borderId="0" xfId="0" applyNumberFormat="1" applyFont="1" applyAlignment="1">
      <alignment horizontal="left" vertical="top"/>
    </xf>
    <xf numFmtId="165" fontId="9" fillId="0" borderId="0" xfId="0" applyNumberFormat="1" applyFont="1" applyAlignment="1">
      <alignment vertical="top"/>
    </xf>
    <xf numFmtId="167" fontId="9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4" fillId="0" borderId="0" xfId="0" applyFont="1"/>
    <xf numFmtId="49" fontId="25" fillId="9" borderId="28" xfId="0" applyNumberFormat="1" applyFont="1" applyFill="1" applyBorder="1" applyAlignment="1">
      <alignment horizontal="left" vertical="center"/>
    </xf>
    <xf numFmtId="165" fontId="1" fillId="9" borderId="14" xfId="0" applyNumberFormat="1" applyFont="1" applyFill="1" applyBorder="1"/>
    <xf numFmtId="165" fontId="1" fillId="9" borderId="14" xfId="0" applyNumberFormat="1" applyFont="1" applyFill="1" applyBorder="1" applyAlignment="1">
      <alignment horizontal="right" vertical="center"/>
    </xf>
    <xf numFmtId="165" fontId="14" fillId="9" borderId="13" xfId="0" applyNumberFormat="1" applyFont="1" applyFill="1" applyBorder="1"/>
    <xf numFmtId="4" fontId="1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3" fontId="1" fillId="0" borderId="0" xfId="0" applyNumberFormat="1" applyFont="1"/>
    <xf numFmtId="174" fontId="1" fillId="0" borderId="0" xfId="0" applyNumberFormat="1" applyFont="1"/>
    <xf numFmtId="4" fontId="5" fillId="0" borderId="6" xfId="0" applyNumberFormat="1" applyFont="1" applyBorder="1"/>
    <xf numFmtId="4" fontId="5" fillId="0" borderId="5" xfId="0" applyNumberFormat="1" applyFont="1" applyBorder="1"/>
    <xf numFmtId="4" fontId="5" fillId="0" borderId="11" xfId="0" applyNumberFormat="1" applyFont="1" applyBorder="1"/>
    <xf numFmtId="4" fontId="9" fillId="9" borderId="9" xfId="0" applyNumberFormat="1" applyFont="1" applyFill="1" applyBorder="1"/>
    <xf numFmtId="173" fontId="9" fillId="9" borderId="9" xfId="0" applyNumberFormat="1" applyFont="1" applyFill="1" applyBorder="1"/>
    <xf numFmtId="0" fontId="4" fillId="11" borderId="28" xfId="0" applyFont="1" applyFill="1" applyBorder="1" applyAlignment="1">
      <alignment horizontal="right"/>
    </xf>
    <xf numFmtId="0" fontId="4" fillId="11" borderId="14" xfId="0" applyFont="1" applyFill="1" applyBorder="1" applyAlignment="1">
      <alignment horizontal="right"/>
    </xf>
    <xf numFmtId="165" fontId="1" fillId="11" borderId="14" xfId="0" applyNumberFormat="1" applyFont="1" applyFill="1" applyBorder="1" applyAlignment="1">
      <alignment horizontal="center" vertical="center"/>
    </xf>
    <xf numFmtId="0" fontId="1" fillId="11" borderId="13" xfId="0" applyFont="1" applyFill="1" applyBorder="1"/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165" fontId="1" fillId="0" borderId="5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165" fontId="1" fillId="0" borderId="11" xfId="0" applyNumberFormat="1" applyFont="1" applyBorder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0" fillId="0" borderId="0" xfId="0" applyFont="1"/>
    <xf numFmtId="0" fontId="4" fillId="0" borderId="0" xfId="0" applyFont="1" applyAlignment="1">
      <alignment horizontal="right"/>
    </xf>
    <xf numFmtId="49" fontId="4" fillId="0" borderId="4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vertical="center"/>
    </xf>
    <xf numFmtId="175" fontId="1" fillId="0" borderId="4" xfId="0" applyNumberFormat="1" applyFont="1" applyBorder="1" applyAlignment="1">
      <alignment vertical="center"/>
    </xf>
    <xf numFmtId="164" fontId="9" fillId="0" borderId="4" xfId="0" applyNumberFormat="1" applyFont="1" applyBorder="1" applyAlignment="1">
      <alignment horizontal="center" vertical="center"/>
    </xf>
    <xf numFmtId="165" fontId="9" fillId="0" borderId="4" xfId="0" applyNumberFormat="1" applyFont="1" applyBorder="1" applyAlignment="1">
      <alignment vertical="center"/>
    </xf>
    <xf numFmtId="167" fontId="8" fillId="12" borderId="4" xfId="0" applyNumberFormat="1" applyFont="1" applyFill="1" applyBorder="1" applyAlignment="1">
      <alignment vertical="center" wrapText="1"/>
    </xf>
    <xf numFmtId="164" fontId="9" fillId="12" borderId="4" xfId="0" applyNumberFormat="1" applyFont="1" applyFill="1" applyBorder="1" applyAlignment="1">
      <alignment horizontal="center" vertical="center"/>
    </xf>
    <xf numFmtId="165" fontId="9" fillId="12" borderId="4" xfId="0" applyNumberFormat="1" applyFont="1" applyFill="1" applyBorder="1" applyAlignment="1">
      <alignment vertical="center"/>
    </xf>
    <xf numFmtId="165" fontId="1" fillId="12" borderId="4" xfId="0" applyNumberFormat="1" applyFont="1" applyFill="1" applyBorder="1" applyAlignment="1">
      <alignment vertical="center"/>
    </xf>
    <xf numFmtId="175" fontId="1" fillId="12" borderId="4" xfId="0" applyNumberFormat="1" applyFont="1" applyFill="1" applyBorder="1" applyAlignment="1">
      <alignment vertical="center"/>
    </xf>
    <xf numFmtId="164" fontId="8" fillId="0" borderId="4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167" fontId="1" fillId="3" borderId="4" xfId="0" applyNumberFormat="1" applyFont="1" applyFill="1" applyBorder="1" applyAlignment="1">
      <alignment vertical="center" wrapText="1"/>
    </xf>
    <xf numFmtId="165" fontId="9" fillId="3" borderId="4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 wrapText="1"/>
    </xf>
    <xf numFmtId="164" fontId="9" fillId="3" borderId="4" xfId="0" applyNumberFormat="1" applyFont="1" applyFill="1" applyBorder="1" applyAlignment="1">
      <alignment horizontal="center" vertical="center"/>
    </xf>
    <xf numFmtId="165" fontId="5" fillId="3" borderId="25" xfId="0" applyNumberFormat="1" applyFont="1" applyFill="1" applyBorder="1"/>
    <xf numFmtId="167" fontId="1" fillId="0" borderId="29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right" vertical="center"/>
    </xf>
    <xf numFmtId="175" fontId="10" fillId="0" borderId="4" xfId="0" applyNumberFormat="1" applyFont="1" applyBorder="1" applyAlignment="1">
      <alignment vertical="center"/>
    </xf>
    <xf numFmtId="0" fontId="1" fillId="3" borderId="9" xfId="0" applyFont="1" applyFill="1" applyBorder="1"/>
    <xf numFmtId="0" fontId="9" fillId="0" borderId="0" xfId="0" applyFont="1" applyAlignment="1">
      <alignment horizontal="right"/>
    </xf>
    <xf numFmtId="0" fontId="4" fillId="0" borderId="4" xfId="0" applyFont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177" fontId="31" fillId="3" borderId="4" xfId="0" applyNumberFormat="1" applyFont="1" applyFill="1" applyBorder="1" applyAlignment="1">
      <alignment vertical="center"/>
    </xf>
    <xf numFmtId="177" fontId="1" fillId="0" borderId="0" xfId="0" applyNumberFormat="1" applyFont="1" applyAlignment="1">
      <alignment vertical="center"/>
    </xf>
    <xf numFmtId="175" fontId="26" fillId="0" borderId="0" xfId="0" applyNumberFormat="1" applyFont="1" applyAlignment="1">
      <alignment vertical="center"/>
    </xf>
    <xf numFmtId="0" fontId="6" fillId="0" borderId="0" xfId="0" applyFont="1" applyAlignment="1">
      <alignment horizontal="right"/>
    </xf>
    <xf numFmtId="177" fontId="31" fillId="0" borderId="4" xfId="0" applyNumberFormat="1" applyFont="1" applyBorder="1" applyAlignment="1">
      <alignment vertical="center"/>
    </xf>
    <xf numFmtId="167" fontId="8" fillId="0" borderId="7" xfId="0" applyNumberFormat="1" applyFont="1" applyBorder="1" applyAlignment="1">
      <alignment vertical="center" wrapText="1"/>
    </xf>
    <xf numFmtId="164" fontId="9" fillId="0" borderId="0" xfId="0" applyNumberFormat="1" applyFont="1" applyAlignment="1">
      <alignment horizontal="center" vertical="center"/>
    </xf>
    <xf numFmtId="177" fontId="31" fillId="0" borderId="8" xfId="0" applyNumberFormat="1" applyFont="1" applyBorder="1" applyAlignment="1">
      <alignment vertical="center"/>
    </xf>
    <xf numFmtId="167" fontId="25" fillId="0" borderId="7" xfId="0" applyNumberFormat="1" applyFont="1" applyBorder="1" applyAlignment="1">
      <alignment vertical="center" wrapText="1"/>
    </xf>
    <xf numFmtId="177" fontId="32" fillId="0" borderId="8" xfId="0" applyNumberFormat="1" applyFont="1" applyBorder="1" applyAlignment="1">
      <alignment vertical="center"/>
    </xf>
    <xf numFmtId="0" fontId="33" fillId="0" borderId="7" xfId="0" applyFont="1" applyBorder="1"/>
    <xf numFmtId="178" fontId="26" fillId="0" borderId="4" xfId="0" applyNumberFormat="1" applyFont="1" applyBorder="1" applyAlignment="1">
      <alignment vertical="center"/>
    </xf>
    <xf numFmtId="49" fontId="4" fillId="0" borderId="0" xfId="0" applyNumberFormat="1" applyFont="1"/>
    <xf numFmtId="0" fontId="34" fillId="0" borderId="0" xfId="0" applyFont="1"/>
    <xf numFmtId="0" fontId="34" fillId="0" borderId="26" xfId="0" applyFont="1" applyBorder="1"/>
    <xf numFmtId="164" fontId="1" fillId="0" borderId="31" xfId="0" applyNumberFormat="1" applyFont="1" applyBorder="1" applyAlignment="1">
      <alignment horizontal="center"/>
    </xf>
    <xf numFmtId="164" fontId="1" fillId="0" borderId="27" xfId="0" applyNumberFormat="1" applyFont="1" applyBorder="1" applyAlignment="1">
      <alignment horizontal="center"/>
    </xf>
    <xf numFmtId="0" fontId="34" fillId="0" borderId="7" xfId="0" applyFont="1" applyBorder="1"/>
    <xf numFmtId="43" fontId="1" fillId="0" borderId="0" xfId="0" applyNumberFormat="1" applyFont="1"/>
    <xf numFmtId="0" fontId="34" fillId="0" borderId="32" xfId="0" applyFont="1" applyBorder="1"/>
    <xf numFmtId="164" fontId="1" fillId="0" borderId="33" xfId="0" applyNumberFormat="1" applyFont="1" applyBorder="1" applyAlignment="1">
      <alignment horizontal="center"/>
    </xf>
    <xf numFmtId="164" fontId="1" fillId="0" borderId="34" xfId="0" applyNumberFormat="1" applyFont="1" applyBorder="1" applyAlignment="1">
      <alignment horizontal="center"/>
    </xf>
    <xf numFmtId="167" fontId="1" fillId="12" borderId="4" xfId="0" applyNumberFormat="1" applyFont="1" applyFill="1" applyBorder="1" applyAlignment="1">
      <alignment vertical="center"/>
    </xf>
    <xf numFmtId="164" fontId="1" fillId="12" borderId="4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/>
    </xf>
    <xf numFmtId="43" fontId="8" fillId="0" borderId="4" xfId="0" applyNumberFormat="1" applyFont="1" applyBorder="1" applyAlignment="1">
      <alignment vertical="center" wrapText="1"/>
    </xf>
    <xf numFmtId="175" fontId="4" fillId="0" borderId="4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2" fontId="15" fillId="0" borderId="0" xfId="0" applyNumberFormat="1" applyFont="1" applyAlignment="1">
      <alignment vertical="center"/>
    </xf>
    <xf numFmtId="175" fontId="26" fillId="0" borderId="4" xfId="0" applyNumberFormat="1" applyFont="1" applyBorder="1" applyAlignment="1">
      <alignment vertical="center"/>
    </xf>
    <xf numFmtId="167" fontId="1" fillId="0" borderId="29" xfId="0" applyNumberFormat="1" applyFont="1" applyBorder="1" applyAlignment="1">
      <alignment vertical="center" wrapText="1"/>
    </xf>
    <xf numFmtId="167" fontId="1" fillId="0" borderId="29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right"/>
    </xf>
    <xf numFmtId="165" fontId="9" fillId="0" borderId="4" xfId="0" applyNumberFormat="1" applyFont="1" applyBorder="1"/>
    <xf numFmtId="175" fontId="15" fillId="0" borderId="4" xfId="0" applyNumberFormat="1" applyFont="1" applyBorder="1"/>
    <xf numFmtId="164" fontId="9" fillId="0" borderId="0" xfId="0" applyNumberFormat="1" applyFont="1" applyAlignment="1">
      <alignment horizontal="right"/>
    </xf>
    <xf numFmtId="165" fontId="9" fillId="0" borderId="0" xfId="0" applyNumberFormat="1" applyFont="1"/>
    <xf numFmtId="175" fontId="15" fillId="0" borderId="0" xfId="0" applyNumberFormat="1" applyFont="1"/>
    <xf numFmtId="175" fontId="15" fillId="0" borderId="4" xfId="0" applyNumberFormat="1" applyFont="1" applyBorder="1" applyAlignment="1">
      <alignment vertical="center"/>
    </xf>
    <xf numFmtId="175" fontId="1" fillId="0" borderId="4" xfId="0" applyNumberFormat="1" applyFont="1" applyBorder="1"/>
    <xf numFmtId="165" fontId="1" fillId="12" borderId="4" xfId="0" applyNumberFormat="1" applyFont="1" applyFill="1" applyBorder="1"/>
    <xf numFmtId="175" fontId="1" fillId="12" borderId="4" xfId="0" applyNumberFormat="1" applyFont="1" applyFill="1" applyBorder="1"/>
    <xf numFmtId="167" fontId="1" fillId="0" borderId="4" xfId="0" applyNumberFormat="1" applyFont="1" applyBorder="1" applyAlignment="1">
      <alignment wrapText="1"/>
    </xf>
    <xf numFmtId="164" fontId="1" fillId="0" borderId="4" xfId="0" applyNumberFormat="1" applyFont="1" applyBorder="1" applyAlignment="1">
      <alignment horizontal="center" wrapText="1"/>
    </xf>
    <xf numFmtId="165" fontId="5" fillId="0" borderId="4" xfId="0" applyNumberFormat="1" applyFont="1" applyBorder="1"/>
    <xf numFmtId="165" fontId="35" fillId="0" borderId="11" xfId="0" applyNumberFormat="1" applyFont="1" applyBorder="1"/>
    <xf numFmtId="165" fontId="5" fillId="0" borderId="11" xfId="0" applyNumberFormat="1" applyFont="1" applyBorder="1"/>
    <xf numFmtId="0" fontId="9" fillId="0" borderId="0" xfId="0" applyFont="1" applyAlignment="1">
      <alignment vertical="center"/>
    </xf>
    <xf numFmtId="177" fontId="31" fillId="0" borderId="0" xfId="0" applyNumberFormat="1" applyFont="1" applyAlignment="1">
      <alignment vertical="center"/>
    </xf>
    <xf numFmtId="165" fontId="36" fillId="0" borderId="4" xfId="0" applyNumberFormat="1" applyFont="1" applyBorder="1" applyAlignment="1">
      <alignment vertical="center"/>
    </xf>
    <xf numFmtId="0" fontId="33" fillId="0" borderId="32" xfId="0" applyFont="1" applyBorder="1"/>
    <xf numFmtId="43" fontId="4" fillId="0" borderId="0" xfId="0" applyNumberFormat="1" applyFont="1"/>
    <xf numFmtId="49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4" fontId="37" fillId="0" borderId="0" xfId="0" applyNumberFormat="1" applyFont="1" applyAlignment="1">
      <alignment horizontal="center"/>
    </xf>
    <xf numFmtId="0" fontId="38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73" fontId="4" fillId="0" borderId="0" xfId="0" applyNumberFormat="1" applyFont="1"/>
    <xf numFmtId="3" fontId="38" fillId="0" borderId="0" xfId="0" applyNumberFormat="1" applyFont="1"/>
    <xf numFmtId="0" fontId="9" fillId="0" borderId="0" xfId="0" applyFont="1"/>
    <xf numFmtId="165" fontId="9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4" fillId="0" borderId="0" xfId="0" applyNumberFormat="1" applyFont="1"/>
    <xf numFmtId="10" fontId="4" fillId="0" borderId="0" xfId="0" applyNumberFormat="1" applyFont="1"/>
    <xf numFmtId="173" fontId="15" fillId="9" borderId="9" xfId="0" applyNumberFormat="1" applyFont="1" applyFill="1" applyBorder="1"/>
    <xf numFmtId="3" fontId="39" fillId="9" borderId="9" xfId="0" applyNumberFormat="1" applyFont="1" applyFill="1" applyBorder="1"/>
    <xf numFmtId="4" fontId="1" fillId="0" borderId="0" xfId="0" applyNumberFormat="1" applyFont="1" applyAlignment="1">
      <alignment horizontal="center" vertical="center"/>
    </xf>
    <xf numFmtId="17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11" borderId="9" xfId="0" applyNumberFormat="1" applyFont="1" applyFill="1" applyBorder="1" applyAlignment="1">
      <alignment horizontal="center"/>
    </xf>
    <xf numFmtId="4" fontId="1" fillId="11" borderId="9" xfId="0" applyNumberFormat="1" applyFont="1" applyFill="1" applyBorder="1"/>
    <xf numFmtId="174" fontId="1" fillId="11" borderId="9" xfId="0" applyNumberFormat="1" applyFont="1" applyFill="1" applyBorder="1"/>
    <xf numFmtId="179" fontId="4" fillId="11" borderId="9" xfId="0" applyNumberFormat="1" applyFont="1" applyFill="1" applyBorder="1"/>
    <xf numFmtId="4" fontId="27" fillId="0" borderId="0" xfId="0" applyNumberFormat="1" applyFont="1"/>
    <xf numFmtId="180" fontId="1" fillId="0" borderId="0" xfId="0" applyNumberFormat="1" applyFont="1"/>
    <xf numFmtId="17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16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38" xfId="0" applyNumberFormat="1" applyFont="1" applyBorder="1" applyAlignment="1">
      <alignment horizontal="center"/>
    </xf>
    <xf numFmtId="166" fontId="1" fillId="0" borderId="39" xfId="0" applyNumberFormat="1" applyFont="1" applyBorder="1"/>
    <xf numFmtId="167" fontId="1" fillId="0" borderId="40" xfId="0" applyNumberFormat="1" applyFont="1" applyBorder="1" applyAlignment="1"/>
    <xf numFmtId="166" fontId="1" fillId="0" borderId="41" xfId="0" applyNumberFormat="1" applyFont="1" applyBorder="1"/>
    <xf numFmtId="164" fontId="1" fillId="0" borderId="43" xfId="0" applyNumberFormat="1" applyFont="1" applyBorder="1" applyAlignment="1">
      <alignment horizontal="center"/>
    </xf>
    <xf numFmtId="166" fontId="1" fillId="0" borderId="44" xfId="0" applyNumberFormat="1" applyFont="1" applyBorder="1"/>
    <xf numFmtId="167" fontId="1" fillId="0" borderId="37" xfId="0" applyNumberFormat="1" applyFont="1" applyBorder="1"/>
    <xf numFmtId="167" fontId="1" fillId="0" borderId="40" xfId="0" applyNumberFormat="1" applyFont="1" applyBorder="1" applyAlignment="1">
      <alignment vertical="center" wrapText="1"/>
    </xf>
    <xf numFmtId="167" fontId="1" fillId="0" borderId="42" xfId="0" applyNumberFormat="1" applyFont="1" applyBorder="1"/>
    <xf numFmtId="164" fontId="1" fillId="0" borderId="45" xfId="0" applyNumberFormat="1" applyFont="1" applyBorder="1" applyAlignment="1">
      <alignment horizontal="center"/>
    </xf>
    <xf numFmtId="164" fontId="1" fillId="0" borderId="46" xfId="0" applyNumberFormat="1" applyFont="1" applyBorder="1" applyAlignment="1">
      <alignment horizontal="center"/>
    </xf>
    <xf numFmtId="164" fontId="1" fillId="0" borderId="47" xfId="0" applyNumberFormat="1" applyFont="1" applyBorder="1" applyAlignment="1">
      <alignment horizontal="center"/>
    </xf>
    <xf numFmtId="166" fontId="1" fillId="0" borderId="45" xfId="0" applyNumberFormat="1" applyFont="1" applyBorder="1"/>
    <xf numFmtId="166" fontId="1" fillId="0" borderId="46" xfId="0" applyNumberFormat="1" applyFont="1" applyBorder="1"/>
    <xf numFmtId="166" fontId="1" fillId="0" borderId="46" xfId="0" applyNumberFormat="1" applyFont="1" applyBorder="1" applyAlignment="1"/>
    <xf numFmtId="166" fontId="1" fillId="0" borderId="47" xfId="0" applyNumberFormat="1" applyFont="1" applyBorder="1"/>
    <xf numFmtId="166" fontId="40" fillId="0" borderId="5" xfId="0" applyNumberFormat="1" applyFont="1" applyBorder="1"/>
    <xf numFmtId="167" fontId="40" fillId="0" borderId="5" xfId="0" applyNumberFormat="1" applyFont="1" applyBorder="1"/>
    <xf numFmtId="164" fontId="40" fillId="0" borderId="5" xfId="0" applyNumberFormat="1" applyFont="1" applyBorder="1" applyAlignment="1">
      <alignment horizontal="center"/>
    </xf>
    <xf numFmtId="167" fontId="1" fillId="0" borderId="10" xfId="0" applyNumberFormat="1" applyFont="1" applyBorder="1"/>
    <xf numFmtId="164" fontId="1" fillId="0" borderId="10" xfId="0" applyNumberFormat="1" applyFont="1" applyBorder="1" applyAlignment="1">
      <alignment horizontal="center"/>
    </xf>
    <xf numFmtId="165" fontId="1" fillId="0" borderId="10" xfId="0" applyNumberFormat="1" applyFont="1" applyBorder="1"/>
    <xf numFmtId="164" fontId="40" fillId="13" borderId="10" xfId="0" applyNumberFormat="1" applyFont="1" applyFill="1" applyBorder="1" applyAlignment="1">
      <alignment horizontal="center"/>
    </xf>
    <xf numFmtId="167" fontId="1" fillId="13" borderId="10" xfId="0" applyNumberFormat="1" applyFont="1" applyFill="1" applyBorder="1"/>
    <xf numFmtId="164" fontId="1" fillId="13" borderId="10" xfId="0" applyNumberFormat="1" applyFont="1" applyFill="1" applyBorder="1" applyAlignment="1">
      <alignment horizontal="center"/>
    </xf>
    <xf numFmtId="166" fontId="1" fillId="13" borderId="10" xfId="0" applyNumberFormat="1" applyFont="1" applyFill="1" applyBorder="1"/>
    <xf numFmtId="167" fontId="1" fillId="0" borderId="16" xfId="0" applyNumberFormat="1" applyFont="1" applyBorder="1"/>
    <xf numFmtId="165" fontId="1" fillId="0" borderId="12" xfId="0" applyNumberFormat="1" applyFont="1" applyBorder="1"/>
    <xf numFmtId="166" fontId="1" fillId="0" borderId="10" xfId="0" applyNumberFormat="1" applyFont="1" applyBorder="1"/>
    <xf numFmtId="167" fontId="1" fillId="14" borderId="7" xfId="0" applyNumberFormat="1" applyFont="1" applyFill="1" applyBorder="1"/>
    <xf numFmtId="167" fontId="1" fillId="14" borderId="16" xfId="0" applyNumberFormat="1" applyFont="1" applyFill="1" applyBorder="1"/>
    <xf numFmtId="49" fontId="41" fillId="9" borderId="28" xfId="0" applyNumberFormat="1" applyFont="1" applyFill="1" applyBorder="1" applyAlignment="1">
      <alignment horizontal="left" vertical="center"/>
    </xf>
    <xf numFmtId="167" fontId="42" fillId="0" borderId="7" xfId="0" applyNumberFormat="1" applyFont="1" applyBorder="1"/>
    <xf numFmtId="167" fontId="43" fillId="0" borderId="7" xfId="0" applyNumberFormat="1" applyFont="1" applyBorder="1"/>
    <xf numFmtId="0" fontId="44" fillId="0" borderId="0" xfId="0" applyFont="1"/>
    <xf numFmtId="0" fontId="0" fillId="0" borderId="0" xfId="0" applyFont="1" applyAlignment="1"/>
    <xf numFmtId="166" fontId="1" fillId="14" borderId="46" xfId="0" applyNumberFormat="1" applyFont="1" applyFill="1" applyBorder="1" applyAlignment="1"/>
    <xf numFmtId="164" fontId="9" fillId="3" borderId="48" xfId="0" applyNumberFormat="1" applyFont="1" applyFill="1" applyBorder="1" applyAlignment="1">
      <alignment horizontal="center" vertical="center"/>
    </xf>
    <xf numFmtId="167" fontId="8" fillId="3" borderId="4" xfId="0" applyNumberFormat="1" applyFont="1" applyFill="1" applyBorder="1" applyAlignment="1">
      <alignment horizontal="center" vertical="center" wrapText="1"/>
    </xf>
    <xf numFmtId="164" fontId="9" fillId="0" borderId="4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165" fontId="9" fillId="0" borderId="0" xfId="0" applyNumberFormat="1" applyFont="1" applyAlignment="1">
      <alignment horizontal="left" vertical="center" wrapText="1"/>
    </xf>
    <xf numFmtId="0" fontId="29" fillId="0" borderId="8" xfId="0" applyFont="1" applyBorder="1"/>
    <xf numFmtId="164" fontId="4" fillId="0" borderId="0" xfId="0" applyNumberFormat="1" applyFont="1" applyAlignment="1">
      <alignment horizontal="center"/>
    </xf>
    <xf numFmtId="167" fontId="40" fillId="3" borderId="29" xfId="0" applyNumberFormat="1" applyFont="1" applyFill="1" applyBorder="1" applyAlignment="1">
      <alignment vertical="center" wrapText="1"/>
    </xf>
    <xf numFmtId="167" fontId="45" fillId="3" borderId="29" xfId="0" applyNumberFormat="1" applyFont="1" applyFill="1" applyBorder="1" applyAlignment="1">
      <alignment vertical="center" wrapText="1"/>
    </xf>
    <xf numFmtId="167" fontId="46" fillId="3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81200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0</xdr:row>
      <xdr:rowOff>9525</xdr:rowOff>
    </xdr:from>
    <xdr:ext cx="933450" cy="647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6EE"/>
  </sheetPr>
  <dimension ref="B1:G1000"/>
  <sheetViews>
    <sheetView workbookViewId="0">
      <selection activeCell="F13" sqref="F13"/>
    </sheetView>
  </sheetViews>
  <sheetFormatPr baseColWidth="10" defaultColWidth="12.6640625" defaultRowHeight="15" customHeight="1" x14ac:dyDescent="0.15"/>
  <cols>
    <col min="1" max="1" width="1.6640625" customWidth="1"/>
    <col min="2" max="2" width="10.83203125" hidden="1" customWidth="1"/>
    <col min="3" max="3" width="34.33203125" customWidth="1"/>
    <col min="4" max="4" width="14.1640625" customWidth="1"/>
    <col min="5" max="5" width="10.6640625" customWidth="1"/>
    <col min="6" max="6" width="13.83203125" customWidth="1"/>
    <col min="7" max="7" width="15.1640625" customWidth="1"/>
    <col min="8" max="26" width="10.6640625" customWidth="1"/>
  </cols>
  <sheetData>
    <row r="1" spans="2:7" ht="12" customHeight="1" x14ac:dyDescent="0.15">
      <c r="B1" s="434"/>
      <c r="C1" s="435"/>
      <c r="D1" s="435"/>
      <c r="E1" s="435"/>
      <c r="F1" s="435"/>
    </row>
    <row r="2" spans="2:7" ht="41.25" customHeight="1" x14ac:dyDescent="0.15">
      <c r="C2" s="2"/>
      <c r="D2" s="3"/>
      <c r="E2" s="3"/>
      <c r="F2" s="4"/>
    </row>
    <row r="3" spans="2:7" ht="12" customHeight="1" x14ac:dyDescent="0.2">
      <c r="B3" s="5" t="s">
        <v>0</v>
      </c>
      <c r="D3" s="3"/>
      <c r="E3" s="3"/>
      <c r="F3" s="4"/>
    </row>
    <row r="4" spans="2:7" ht="12" customHeight="1" x14ac:dyDescent="0.15">
      <c r="B4" s="2" t="s">
        <v>1</v>
      </c>
      <c r="D4" s="3"/>
      <c r="E4" s="3"/>
      <c r="F4" s="4"/>
    </row>
    <row r="5" spans="2:7" ht="12" customHeight="1" x14ac:dyDescent="0.15">
      <c r="C5" s="2"/>
      <c r="D5" s="3"/>
      <c r="E5" s="3"/>
      <c r="F5" s="4"/>
    </row>
    <row r="6" spans="2:7" ht="12" customHeight="1" x14ac:dyDescent="0.15">
      <c r="C6" s="6"/>
      <c r="D6" s="3"/>
      <c r="E6" s="3"/>
      <c r="F6" s="4"/>
      <c r="G6" s="7" t="s">
        <v>2</v>
      </c>
    </row>
    <row r="7" spans="2:7" ht="12" customHeight="1" x14ac:dyDescent="0.15">
      <c r="B7" s="8"/>
      <c r="C7" s="9" t="s">
        <v>3</v>
      </c>
      <c r="D7" s="10"/>
      <c r="E7" s="10"/>
      <c r="F7" s="11"/>
      <c r="G7" s="11"/>
    </row>
    <row r="8" spans="2:7" ht="12" customHeight="1" x14ac:dyDescent="0.15">
      <c r="C8" s="2"/>
      <c r="D8" s="3"/>
      <c r="E8" s="3"/>
      <c r="F8" s="4"/>
    </row>
    <row r="9" spans="2:7" ht="12" customHeight="1" x14ac:dyDescent="0.15">
      <c r="C9" s="12" t="s">
        <v>4</v>
      </c>
      <c r="D9" s="13" t="s">
        <v>5</v>
      </c>
      <c r="E9" s="13" t="s">
        <v>6</v>
      </c>
      <c r="F9" s="14" t="s">
        <v>7</v>
      </c>
      <c r="G9" s="14" t="s">
        <v>8</v>
      </c>
    </row>
    <row r="10" spans="2:7" ht="12" customHeight="1" x14ac:dyDescent="0.15">
      <c r="C10" s="15" t="s">
        <v>9</v>
      </c>
      <c r="D10" s="16">
        <v>45292</v>
      </c>
      <c r="E10" s="16" t="s">
        <v>10</v>
      </c>
      <c r="F10" s="17"/>
      <c r="G10" s="17">
        <v>80530.98</v>
      </c>
    </row>
    <row r="11" spans="2:7" ht="12" customHeight="1" x14ac:dyDescent="0.15">
      <c r="C11" s="18" t="s">
        <v>11</v>
      </c>
      <c r="D11" s="19">
        <v>45467</v>
      </c>
      <c r="E11" s="19" t="s">
        <v>10</v>
      </c>
      <c r="F11" s="20">
        <v>-24574</v>
      </c>
      <c r="G11" s="20"/>
    </row>
    <row r="12" spans="2:7" ht="12" customHeight="1" x14ac:dyDescent="0.15">
      <c r="C12" s="15" t="s">
        <v>515</v>
      </c>
      <c r="D12" s="19">
        <v>45654</v>
      </c>
      <c r="E12" s="19" t="s">
        <v>10</v>
      </c>
      <c r="F12" s="20">
        <v>-36205.11</v>
      </c>
      <c r="G12" s="20"/>
    </row>
    <row r="13" spans="2:7" ht="12" customHeight="1" x14ac:dyDescent="0.15">
      <c r="C13" s="15"/>
      <c r="D13" s="19"/>
      <c r="E13" s="19"/>
      <c r="F13" s="20"/>
      <c r="G13" s="20"/>
    </row>
    <row r="14" spans="2:7" ht="12" customHeight="1" x14ac:dyDescent="0.15">
      <c r="C14" s="15"/>
      <c r="D14" s="21"/>
      <c r="E14" s="19"/>
      <c r="F14" s="20"/>
      <c r="G14" s="22"/>
    </row>
    <row r="15" spans="2:7" ht="12" customHeight="1" x14ac:dyDescent="0.15">
      <c r="C15" s="18"/>
      <c r="D15" s="19"/>
      <c r="E15" s="19"/>
      <c r="F15" s="20"/>
      <c r="G15" s="20"/>
    </row>
    <row r="16" spans="2:7" ht="12" customHeight="1" x14ac:dyDescent="0.15">
      <c r="C16" s="15"/>
      <c r="D16" s="21"/>
      <c r="E16" s="19"/>
      <c r="F16" s="20"/>
      <c r="G16" s="22"/>
    </row>
    <row r="17" spans="3:7" ht="12" customHeight="1" x14ac:dyDescent="0.15">
      <c r="C17" s="18"/>
      <c r="D17" s="21"/>
      <c r="E17" s="19"/>
      <c r="F17" s="20"/>
      <c r="G17" s="22"/>
    </row>
    <row r="18" spans="3:7" ht="12" customHeight="1" x14ac:dyDescent="0.15">
      <c r="C18" s="15"/>
      <c r="D18" s="19"/>
      <c r="E18" s="19"/>
      <c r="F18" s="20"/>
      <c r="G18" s="20"/>
    </row>
    <row r="19" spans="3:7" ht="12" customHeight="1" x14ac:dyDescent="0.15">
      <c r="C19" s="18"/>
      <c r="D19" s="19"/>
      <c r="E19" s="19"/>
      <c r="F19" s="20"/>
      <c r="G19" s="20"/>
    </row>
    <row r="20" spans="3:7" ht="12" customHeight="1" x14ac:dyDescent="0.15">
      <c r="C20" s="15"/>
      <c r="D20" s="19"/>
      <c r="E20" s="19"/>
      <c r="F20" s="20"/>
      <c r="G20" s="20"/>
    </row>
    <row r="21" spans="3:7" ht="12" customHeight="1" x14ac:dyDescent="0.15">
      <c r="C21" s="18"/>
      <c r="D21" s="19"/>
      <c r="E21" s="19"/>
      <c r="F21" s="20"/>
      <c r="G21" s="20"/>
    </row>
    <row r="22" spans="3:7" ht="12" customHeight="1" x14ac:dyDescent="0.15">
      <c r="C22" s="18"/>
      <c r="D22" s="19"/>
      <c r="E22" s="19"/>
      <c r="F22" s="20"/>
      <c r="G22" s="20"/>
    </row>
    <row r="23" spans="3:7" ht="12" customHeight="1" x14ac:dyDescent="0.15">
      <c r="C23" s="15"/>
      <c r="D23" s="19"/>
      <c r="E23" s="19"/>
      <c r="F23" s="20"/>
      <c r="G23" s="20"/>
    </row>
    <row r="24" spans="3:7" ht="12" customHeight="1" x14ac:dyDescent="0.15">
      <c r="C24" s="18"/>
      <c r="D24" s="19"/>
      <c r="E24" s="19"/>
      <c r="F24" s="20"/>
      <c r="G24" s="20"/>
    </row>
    <row r="25" spans="3:7" ht="12" customHeight="1" x14ac:dyDescent="0.15">
      <c r="C25" s="18"/>
      <c r="D25" s="19"/>
      <c r="E25" s="19"/>
      <c r="F25" s="20"/>
      <c r="G25" s="20"/>
    </row>
    <row r="26" spans="3:7" ht="12" customHeight="1" x14ac:dyDescent="0.15">
      <c r="C26" s="18"/>
      <c r="D26" s="19"/>
      <c r="E26" s="19"/>
      <c r="F26" s="20"/>
      <c r="G26" s="20"/>
    </row>
    <row r="27" spans="3:7" ht="12" customHeight="1" x14ac:dyDescent="0.15">
      <c r="C27" s="18"/>
      <c r="D27" s="19"/>
      <c r="E27" s="19"/>
      <c r="F27" s="20"/>
      <c r="G27" s="20"/>
    </row>
    <row r="28" spans="3:7" ht="12" customHeight="1" x14ac:dyDescent="0.15">
      <c r="C28" s="15"/>
      <c r="D28" s="19"/>
      <c r="E28" s="19"/>
      <c r="F28" s="20"/>
      <c r="G28" s="20"/>
    </row>
    <row r="29" spans="3:7" ht="12" customHeight="1" x14ac:dyDescent="0.15">
      <c r="C29" s="15"/>
      <c r="D29" s="21"/>
      <c r="E29" s="19"/>
      <c r="F29" s="20"/>
      <c r="G29" s="20"/>
    </row>
    <row r="30" spans="3:7" ht="12" customHeight="1" x14ac:dyDescent="0.15">
      <c r="C30" s="18"/>
      <c r="D30" s="19"/>
      <c r="E30" s="19"/>
      <c r="F30" s="20"/>
      <c r="G30" s="20"/>
    </row>
    <row r="31" spans="3:7" ht="12" customHeight="1" x14ac:dyDescent="0.15">
      <c r="C31" s="18"/>
      <c r="D31" s="19"/>
      <c r="E31" s="19"/>
      <c r="F31" s="20"/>
      <c r="G31" s="20"/>
    </row>
    <row r="32" spans="3:7" ht="12" customHeight="1" x14ac:dyDescent="0.15">
      <c r="C32" s="18"/>
      <c r="D32" s="19"/>
      <c r="E32" s="19"/>
      <c r="F32" s="20"/>
      <c r="G32" s="20"/>
    </row>
    <row r="33" spans="3:7" ht="12" customHeight="1" x14ac:dyDescent="0.15">
      <c r="C33" s="2"/>
      <c r="D33" s="19"/>
      <c r="E33" s="19"/>
      <c r="F33" s="20"/>
      <c r="G33" s="20"/>
    </row>
    <row r="34" spans="3:7" ht="12" customHeight="1" x14ac:dyDescent="0.15">
      <c r="C34" s="18"/>
      <c r="D34" s="19"/>
      <c r="E34" s="19"/>
      <c r="F34" s="20"/>
      <c r="G34" s="20"/>
    </row>
    <row r="35" spans="3:7" ht="12" customHeight="1" x14ac:dyDescent="0.15">
      <c r="C35" s="18"/>
      <c r="D35" s="19"/>
      <c r="E35" s="19"/>
      <c r="F35" s="20"/>
      <c r="G35" s="20"/>
    </row>
    <row r="36" spans="3:7" ht="12" customHeight="1" x14ac:dyDescent="0.15">
      <c r="C36" s="2"/>
      <c r="D36" s="19"/>
      <c r="E36" s="19"/>
      <c r="F36" s="20"/>
      <c r="G36" s="20"/>
    </row>
    <row r="37" spans="3:7" ht="12" customHeight="1" x14ac:dyDescent="0.15">
      <c r="C37" s="18"/>
      <c r="D37" s="19"/>
      <c r="E37" s="19"/>
      <c r="F37" s="20"/>
      <c r="G37" s="20"/>
    </row>
    <row r="38" spans="3:7" ht="12" customHeight="1" x14ac:dyDescent="0.15">
      <c r="C38" s="2"/>
      <c r="D38" s="3"/>
      <c r="E38" s="19"/>
      <c r="F38" s="20"/>
      <c r="G38" s="20"/>
    </row>
    <row r="39" spans="3:7" ht="12" customHeight="1" x14ac:dyDescent="0.15">
      <c r="C39" s="2"/>
      <c r="D39" s="3"/>
      <c r="E39" s="19"/>
      <c r="F39" s="20"/>
      <c r="G39" s="20"/>
    </row>
    <row r="40" spans="3:7" ht="12" customHeight="1" x14ac:dyDescent="0.15">
      <c r="C40" s="2"/>
      <c r="D40" s="3"/>
      <c r="E40" s="19"/>
      <c r="F40" s="20"/>
      <c r="G40" s="20"/>
    </row>
    <row r="41" spans="3:7" ht="12" customHeight="1" x14ac:dyDescent="0.15">
      <c r="C41" s="2"/>
      <c r="D41" s="3"/>
      <c r="E41" s="19"/>
      <c r="F41" s="20"/>
      <c r="G41" s="20"/>
    </row>
    <row r="42" spans="3:7" ht="12" customHeight="1" x14ac:dyDescent="0.15">
      <c r="C42" s="18"/>
      <c r="D42" s="19"/>
      <c r="E42" s="19"/>
      <c r="F42" s="20"/>
      <c r="G42" s="20"/>
    </row>
    <row r="43" spans="3:7" ht="12" customHeight="1" x14ac:dyDescent="0.15">
      <c r="C43" s="18"/>
      <c r="D43" s="19"/>
      <c r="E43" s="19"/>
      <c r="F43" s="20"/>
      <c r="G43" s="20"/>
    </row>
    <row r="44" spans="3:7" ht="12" customHeight="1" x14ac:dyDescent="0.15">
      <c r="C44" s="2"/>
      <c r="D44" s="3"/>
      <c r="E44" s="19"/>
      <c r="F44" s="23"/>
      <c r="G44" s="20"/>
    </row>
    <row r="45" spans="3:7" ht="12" customHeight="1" x14ac:dyDescent="0.15">
      <c r="C45" s="2"/>
      <c r="D45" s="3"/>
      <c r="E45" s="19"/>
      <c r="F45" s="4"/>
      <c r="G45" s="20"/>
    </row>
    <row r="46" spans="3:7" ht="12" customHeight="1" x14ac:dyDescent="0.15">
      <c r="C46" s="2"/>
      <c r="D46" s="3"/>
      <c r="E46" s="19"/>
      <c r="F46" s="4"/>
      <c r="G46" s="20"/>
    </row>
    <row r="47" spans="3:7" ht="12" customHeight="1" x14ac:dyDescent="0.15">
      <c r="C47" s="2"/>
      <c r="D47" s="3"/>
      <c r="E47" s="3"/>
      <c r="F47" s="4"/>
      <c r="G47" s="23"/>
    </row>
    <row r="48" spans="3:7" ht="12" customHeight="1" x14ac:dyDescent="0.15">
      <c r="C48" s="2"/>
      <c r="D48" s="24"/>
      <c r="E48" s="24"/>
      <c r="F48" s="25"/>
    </row>
    <row r="49" spans="3:7" ht="12" customHeight="1" x14ac:dyDescent="0.15">
      <c r="C49" s="18"/>
      <c r="D49" s="26"/>
      <c r="E49" s="26"/>
      <c r="F49" s="20"/>
      <c r="G49" s="20"/>
    </row>
    <row r="50" spans="3:7" ht="12" customHeight="1" x14ac:dyDescent="0.15">
      <c r="C50" s="18"/>
      <c r="D50" s="19"/>
      <c r="E50" s="19"/>
      <c r="F50" s="27"/>
      <c r="G50" s="20"/>
    </row>
    <row r="51" spans="3:7" ht="12" customHeight="1" x14ac:dyDescent="0.15">
      <c r="C51" s="18"/>
      <c r="D51" s="19"/>
      <c r="E51" s="19"/>
      <c r="F51" s="27"/>
      <c r="G51" s="20"/>
    </row>
    <row r="52" spans="3:7" ht="12" customHeight="1" x14ac:dyDescent="0.15">
      <c r="C52" s="18"/>
      <c r="D52" s="19"/>
      <c r="E52" s="19"/>
      <c r="F52" s="27"/>
      <c r="G52" s="20"/>
    </row>
    <row r="53" spans="3:7" ht="12" customHeight="1" x14ac:dyDescent="0.15">
      <c r="C53" s="28"/>
      <c r="D53" s="19"/>
      <c r="E53" s="19"/>
      <c r="F53" s="27"/>
      <c r="G53" s="20"/>
    </row>
    <row r="54" spans="3:7" ht="12" customHeight="1" x14ac:dyDescent="0.15">
      <c r="C54" s="18"/>
      <c r="D54" s="19"/>
      <c r="E54" s="19"/>
      <c r="F54" s="27"/>
      <c r="G54" s="20"/>
    </row>
    <row r="55" spans="3:7" ht="12" customHeight="1" x14ac:dyDescent="0.15">
      <c r="C55" s="18"/>
      <c r="D55" s="19"/>
      <c r="E55" s="19"/>
      <c r="F55" s="20"/>
      <c r="G55" s="20"/>
    </row>
    <row r="56" spans="3:7" ht="12" customHeight="1" x14ac:dyDescent="0.15">
      <c r="C56" s="18"/>
      <c r="D56" s="19"/>
      <c r="E56" s="19"/>
      <c r="F56" s="27"/>
      <c r="G56" s="20"/>
    </row>
    <row r="57" spans="3:7" ht="12" customHeight="1" x14ac:dyDescent="0.15">
      <c r="C57" s="18"/>
      <c r="D57" s="19"/>
      <c r="E57" s="19"/>
      <c r="F57" s="27"/>
      <c r="G57" s="20"/>
    </row>
    <row r="58" spans="3:7" ht="12" customHeight="1" x14ac:dyDescent="0.15">
      <c r="C58" s="18"/>
      <c r="D58" s="19"/>
      <c r="E58" s="19"/>
      <c r="F58" s="27"/>
      <c r="G58" s="20"/>
    </row>
    <row r="59" spans="3:7" ht="12" customHeight="1" x14ac:dyDescent="0.15">
      <c r="C59" s="18"/>
      <c r="D59" s="19"/>
      <c r="E59" s="19"/>
      <c r="F59" s="27"/>
      <c r="G59" s="20"/>
    </row>
    <row r="60" spans="3:7" ht="12" customHeight="1" x14ac:dyDescent="0.15">
      <c r="C60" s="18"/>
      <c r="D60" s="19"/>
      <c r="E60" s="19"/>
      <c r="F60" s="20"/>
      <c r="G60" s="20"/>
    </row>
    <row r="61" spans="3:7" ht="12" customHeight="1" x14ac:dyDescent="0.15">
      <c r="C61" s="18"/>
      <c r="D61" s="19"/>
      <c r="E61" s="19"/>
      <c r="F61" s="20"/>
      <c r="G61" s="20"/>
    </row>
    <row r="62" spans="3:7" ht="12" customHeight="1" x14ac:dyDescent="0.15">
      <c r="C62" s="18"/>
      <c r="D62" s="19"/>
      <c r="E62" s="19"/>
      <c r="F62" s="20"/>
      <c r="G62" s="20"/>
    </row>
    <row r="63" spans="3:7" ht="12" customHeight="1" x14ac:dyDescent="0.15">
      <c r="C63" s="18"/>
      <c r="D63" s="19"/>
      <c r="E63" s="19"/>
      <c r="F63" s="20"/>
      <c r="G63" s="20"/>
    </row>
    <row r="64" spans="3:7" ht="12" customHeight="1" x14ac:dyDescent="0.15">
      <c r="C64" s="18"/>
      <c r="D64" s="19"/>
      <c r="E64" s="19"/>
      <c r="F64" s="20"/>
      <c r="G64" s="20"/>
    </row>
    <row r="65" spans="3:7" ht="12" customHeight="1" x14ac:dyDescent="0.15">
      <c r="C65" s="18"/>
      <c r="D65" s="19"/>
      <c r="E65" s="19"/>
      <c r="F65" s="20"/>
      <c r="G65" s="20"/>
    </row>
    <row r="66" spans="3:7" ht="12" customHeight="1" x14ac:dyDescent="0.15">
      <c r="C66" s="18"/>
      <c r="D66" s="19"/>
      <c r="E66" s="19"/>
      <c r="F66" s="20"/>
      <c r="G66" s="20"/>
    </row>
    <row r="67" spans="3:7" ht="12" customHeight="1" x14ac:dyDescent="0.15">
      <c r="C67" s="18"/>
      <c r="D67" s="19"/>
      <c r="E67" s="19"/>
      <c r="F67" s="20"/>
      <c r="G67" s="20"/>
    </row>
    <row r="68" spans="3:7" ht="12" customHeight="1" x14ac:dyDescent="0.15">
      <c r="C68" s="15"/>
      <c r="D68" s="19"/>
      <c r="E68" s="19"/>
      <c r="F68" s="20"/>
      <c r="G68" s="20"/>
    </row>
    <row r="69" spans="3:7" ht="12" customHeight="1" x14ac:dyDescent="0.15">
      <c r="C69" s="18"/>
      <c r="D69" s="19"/>
      <c r="E69" s="19"/>
      <c r="F69" s="20"/>
      <c r="G69" s="20"/>
    </row>
    <row r="70" spans="3:7" ht="12" customHeight="1" x14ac:dyDescent="0.15">
      <c r="C70" s="18"/>
      <c r="D70" s="19"/>
      <c r="E70" s="19"/>
      <c r="F70" s="20"/>
      <c r="G70" s="20"/>
    </row>
    <row r="71" spans="3:7" ht="12" customHeight="1" x14ac:dyDescent="0.15">
      <c r="C71" s="18"/>
      <c r="D71" s="19"/>
      <c r="E71" s="19"/>
      <c r="F71" s="20"/>
      <c r="G71" s="20"/>
    </row>
    <row r="72" spans="3:7" ht="12" customHeight="1" x14ac:dyDescent="0.15">
      <c r="C72" s="18"/>
      <c r="D72" s="19"/>
      <c r="E72" s="19"/>
      <c r="F72" s="20"/>
      <c r="G72" s="20"/>
    </row>
    <row r="73" spans="3:7" ht="12" customHeight="1" x14ac:dyDescent="0.15">
      <c r="C73" s="18"/>
      <c r="D73" s="19"/>
      <c r="E73" s="19"/>
      <c r="F73" s="20"/>
      <c r="G73" s="20"/>
    </row>
    <row r="74" spans="3:7" ht="12" customHeight="1" x14ac:dyDescent="0.15">
      <c r="C74" s="18"/>
      <c r="D74" s="19"/>
      <c r="E74" s="19"/>
      <c r="F74" s="20"/>
      <c r="G74" s="20"/>
    </row>
    <row r="75" spans="3:7" ht="12" customHeight="1" x14ac:dyDescent="0.15">
      <c r="C75" s="18"/>
      <c r="D75" s="19"/>
      <c r="E75" s="19"/>
      <c r="F75" s="20"/>
      <c r="G75" s="20"/>
    </row>
    <row r="76" spans="3:7" ht="12" customHeight="1" x14ac:dyDescent="0.15">
      <c r="C76" s="15"/>
      <c r="D76" s="19"/>
      <c r="E76" s="19"/>
      <c r="F76" s="20"/>
      <c r="G76" s="20"/>
    </row>
    <row r="77" spans="3:7" ht="12" customHeight="1" x14ac:dyDescent="0.15">
      <c r="C77" s="29"/>
      <c r="D77" s="19"/>
      <c r="E77" s="19"/>
      <c r="F77" s="20"/>
      <c r="G77" s="20"/>
    </row>
    <row r="78" spans="3:7" ht="12" customHeight="1" x14ac:dyDescent="0.15">
      <c r="C78" s="29"/>
      <c r="D78" s="19"/>
      <c r="E78" s="19"/>
      <c r="F78" s="20"/>
      <c r="G78" s="20"/>
    </row>
    <row r="79" spans="3:7" ht="12" customHeight="1" x14ac:dyDescent="0.15">
      <c r="C79" s="29"/>
      <c r="D79" s="19"/>
      <c r="E79" s="19"/>
      <c r="F79" s="20"/>
      <c r="G79" s="20"/>
    </row>
    <row r="80" spans="3:7" ht="12" customHeight="1" x14ac:dyDescent="0.15">
      <c r="C80" s="15"/>
      <c r="D80" s="19"/>
      <c r="E80" s="19"/>
      <c r="F80" s="20"/>
      <c r="G80" s="20"/>
    </row>
    <row r="81" spans="3:7" ht="12" customHeight="1" x14ac:dyDescent="0.15">
      <c r="C81" s="15"/>
      <c r="D81" s="19"/>
      <c r="E81" s="19"/>
      <c r="F81" s="30"/>
      <c r="G81" s="20"/>
    </row>
    <row r="82" spans="3:7" ht="12" customHeight="1" x14ac:dyDescent="0.15">
      <c r="C82" s="15"/>
      <c r="D82" s="19"/>
      <c r="E82" s="19"/>
      <c r="F82" s="20"/>
      <c r="G82" s="20"/>
    </row>
    <row r="83" spans="3:7" ht="12" customHeight="1" x14ac:dyDescent="0.15">
      <c r="C83" s="18"/>
      <c r="D83" s="19"/>
      <c r="E83" s="19"/>
      <c r="F83" s="20"/>
      <c r="G83" s="20"/>
    </row>
    <row r="84" spans="3:7" ht="12" customHeight="1" x14ac:dyDescent="0.15">
      <c r="C84" s="18"/>
      <c r="D84" s="19"/>
      <c r="E84" s="19"/>
      <c r="F84" s="20"/>
      <c r="G84" s="20"/>
    </row>
    <row r="85" spans="3:7" ht="12" customHeight="1" x14ac:dyDescent="0.15">
      <c r="C85" s="18"/>
      <c r="D85" s="19"/>
      <c r="E85" s="19"/>
      <c r="F85" s="20"/>
      <c r="G85" s="20"/>
    </row>
    <row r="86" spans="3:7" ht="12" customHeight="1" x14ac:dyDescent="0.15">
      <c r="C86" s="18"/>
      <c r="D86" s="19"/>
      <c r="E86" s="19"/>
      <c r="F86" s="20"/>
      <c r="G86" s="20"/>
    </row>
    <row r="87" spans="3:7" ht="12" customHeight="1" x14ac:dyDescent="0.15">
      <c r="C87" s="18"/>
      <c r="D87" s="19"/>
      <c r="E87" s="19"/>
      <c r="F87" s="20"/>
      <c r="G87" s="20"/>
    </row>
    <row r="88" spans="3:7" ht="12" customHeight="1" x14ac:dyDescent="0.15">
      <c r="C88" s="18"/>
      <c r="D88" s="19"/>
      <c r="E88" s="19"/>
      <c r="F88" s="20"/>
      <c r="G88" s="20"/>
    </row>
    <row r="89" spans="3:7" ht="12" customHeight="1" x14ac:dyDescent="0.15">
      <c r="C89" s="18"/>
      <c r="D89" s="19"/>
      <c r="E89" s="19"/>
      <c r="F89" s="20"/>
      <c r="G89" s="20"/>
    </row>
    <row r="90" spans="3:7" ht="12" customHeight="1" x14ac:dyDescent="0.15">
      <c r="C90" s="18"/>
      <c r="D90" s="19"/>
      <c r="E90" s="19"/>
      <c r="F90" s="20"/>
      <c r="G90" s="20"/>
    </row>
    <row r="91" spans="3:7" ht="12" customHeight="1" x14ac:dyDescent="0.15">
      <c r="C91" s="18"/>
      <c r="D91" s="19"/>
      <c r="E91" s="19"/>
      <c r="F91" s="20"/>
      <c r="G91" s="20"/>
    </row>
    <row r="92" spans="3:7" ht="12" customHeight="1" x14ac:dyDescent="0.15">
      <c r="C92" s="18"/>
      <c r="D92" s="19"/>
      <c r="E92" s="19"/>
      <c r="F92" s="20"/>
      <c r="G92" s="20"/>
    </row>
    <row r="93" spans="3:7" ht="12" customHeight="1" x14ac:dyDescent="0.15">
      <c r="C93" s="18"/>
      <c r="D93" s="19"/>
      <c r="E93" s="19"/>
      <c r="F93" s="20"/>
      <c r="G93" s="20"/>
    </row>
    <row r="94" spans="3:7" ht="12" customHeight="1" x14ac:dyDescent="0.15">
      <c r="C94" s="18"/>
      <c r="D94" s="19"/>
      <c r="E94" s="19"/>
      <c r="F94" s="20"/>
      <c r="G94" s="20"/>
    </row>
    <row r="95" spans="3:7" ht="12" customHeight="1" x14ac:dyDescent="0.15">
      <c r="C95" s="18"/>
      <c r="D95" s="19"/>
      <c r="E95" s="19"/>
      <c r="F95" s="20"/>
      <c r="G95" s="20"/>
    </row>
    <row r="96" spans="3:7" ht="12" customHeight="1" x14ac:dyDescent="0.15">
      <c r="C96" s="18"/>
      <c r="D96" s="19"/>
      <c r="E96" s="19"/>
      <c r="F96" s="20"/>
      <c r="G96" s="20"/>
    </row>
    <row r="97" spans="3:7" ht="12" customHeight="1" x14ac:dyDescent="0.15">
      <c r="C97" s="18"/>
      <c r="D97" s="19"/>
      <c r="E97" s="19"/>
      <c r="F97" s="20"/>
      <c r="G97" s="20"/>
    </row>
    <row r="98" spans="3:7" ht="12" customHeight="1" x14ac:dyDescent="0.15">
      <c r="C98" s="18"/>
      <c r="D98" s="19"/>
      <c r="E98" s="19"/>
      <c r="F98" s="20"/>
      <c r="G98" s="20"/>
    </row>
    <row r="99" spans="3:7" ht="12" customHeight="1" x14ac:dyDescent="0.15">
      <c r="C99" s="18"/>
      <c r="D99" s="19"/>
      <c r="E99" s="19"/>
      <c r="F99" s="20"/>
      <c r="G99" s="20"/>
    </row>
    <row r="100" spans="3:7" ht="12" customHeight="1" x14ac:dyDescent="0.15">
      <c r="C100" s="18"/>
      <c r="D100" s="19"/>
      <c r="E100" s="19"/>
      <c r="F100" s="20"/>
      <c r="G100" s="20"/>
    </row>
    <row r="101" spans="3:7" ht="12" customHeight="1" x14ac:dyDescent="0.15">
      <c r="C101" s="18"/>
      <c r="D101" s="19"/>
      <c r="E101" s="19"/>
      <c r="F101" s="20"/>
      <c r="G101" s="20"/>
    </row>
    <row r="102" spans="3:7" ht="12" customHeight="1" x14ac:dyDescent="0.15">
      <c r="C102" s="18"/>
      <c r="D102" s="19"/>
      <c r="E102" s="19"/>
      <c r="F102" s="20"/>
      <c r="G102" s="20"/>
    </row>
    <row r="103" spans="3:7" ht="12" customHeight="1" x14ac:dyDescent="0.15">
      <c r="C103" s="18"/>
      <c r="D103" s="19"/>
      <c r="E103" s="19"/>
      <c r="F103" s="20"/>
      <c r="G103" s="20"/>
    </row>
    <row r="104" spans="3:7" ht="12" customHeight="1" x14ac:dyDescent="0.15">
      <c r="C104" s="18"/>
      <c r="D104" s="19"/>
      <c r="E104" s="19"/>
      <c r="F104" s="20"/>
      <c r="G104" s="20"/>
    </row>
    <row r="105" spans="3:7" ht="12" customHeight="1" x14ac:dyDescent="0.15">
      <c r="C105" s="18"/>
      <c r="D105" s="19"/>
      <c r="E105" s="19"/>
      <c r="F105" s="20"/>
      <c r="G105" s="20"/>
    </row>
    <row r="106" spans="3:7" ht="12" customHeight="1" x14ac:dyDescent="0.15">
      <c r="C106" s="18"/>
      <c r="D106" s="19"/>
      <c r="E106" s="19"/>
      <c r="F106" s="20"/>
      <c r="G106" s="20"/>
    </row>
    <row r="107" spans="3:7" ht="12" customHeight="1" x14ac:dyDescent="0.15">
      <c r="C107" s="18"/>
      <c r="D107" s="19"/>
      <c r="E107" s="19"/>
      <c r="F107" s="20"/>
      <c r="G107" s="20"/>
    </row>
    <row r="108" spans="3:7" ht="12" customHeight="1" x14ac:dyDescent="0.15">
      <c r="C108" s="18"/>
      <c r="D108" s="19"/>
      <c r="E108" s="19"/>
      <c r="F108" s="20"/>
      <c r="G108" s="20"/>
    </row>
    <row r="109" spans="3:7" ht="12" customHeight="1" x14ac:dyDescent="0.15">
      <c r="C109" s="18"/>
      <c r="D109" s="19"/>
      <c r="E109" s="19"/>
      <c r="F109" s="20"/>
      <c r="G109" s="20"/>
    </row>
    <row r="110" spans="3:7" ht="12" customHeight="1" x14ac:dyDescent="0.15">
      <c r="C110" s="18"/>
      <c r="D110" s="19"/>
      <c r="E110" s="19"/>
      <c r="F110" s="20"/>
      <c r="G110" s="20"/>
    </row>
    <row r="111" spans="3:7" ht="12" customHeight="1" x14ac:dyDescent="0.15">
      <c r="C111" s="18"/>
      <c r="D111" s="19"/>
      <c r="E111" s="19"/>
      <c r="F111" s="20"/>
      <c r="G111" s="20"/>
    </row>
    <row r="112" spans="3:7" ht="12" customHeight="1" x14ac:dyDescent="0.15">
      <c r="C112" s="18"/>
      <c r="D112" s="19"/>
      <c r="E112" s="19"/>
      <c r="F112" s="20"/>
      <c r="G112" s="20"/>
    </row>
    <row r="113" spans="2:7" ht="12" customHeight="1" x14ac:dyDescent="0.15">
      <c r="C113" s="18"/>
      <c r="D113" s="19"/>
      <c r="E113" s="19"/>
      <c r="F113" s="20"/>
      <c r="G113" s="20"/>
    </row>
    <row r="114" spans="2:7" ht="12" customHeight="1" x14ac:dyDescent="0.15">
      <c r="C114" s="18"/>
      <c r="D114" s="19"/>
      <c r="E114" s="19"/>
      <c r="F114" s="20"/>
      <c r="G114" s="20"/>
    </row>
    <row r="115" spans="2:7" ht="12" customHeight="1" x14ac:dyDescent="0.15">
      <c r="C115" s="18"/>
      <c r="D115" s="19"/>
      <c r="E115" s="19"/>
      <c r="F115" s="20"/>
      <c r="G115" s="20"/>
    </row>
    <row r="116" spans="2:7" ht="12" customHeight="1" x14ac:dyDescent="0.15">
      <c r="C116" s="18"/>
      <c r="D116" s="19"/>
      <c r="E116" s="19"/>
      <c r="F116" s="20"/>
      <c r="G116" s="20"/>
    </row>
    <row r="117" spans="2:7" ht="12" customHeight="1" x14ac:dyDescent="0.15">
      <c r="C117" s="18"/>
      <c r="D117" s="19"/>
      <c r="E117" s="19"/>
      <c r="F117" s="20"/>
      <c r="G117" s="20"/>
    </row>
    <row r="118" spans="2:7" ht="12" customHeight="1" x14ac:dyDescent="0.15">
      <c r="C118" s="18"/>
      <c r="D118" s="19"/>
      <c r="E118" s="19"/>
      <c r="F118" s="20"/>
      <c r="G118" s="20"/>
    </row>
    <row r="119" spans="2:7" ht="12" customHeight="1" x14ac:dyDescent="0.15">
      <c r="C119" s="18"/>
      <c r="D119" s="19"/>
      <c r="E119" s="19"/>
      <c r="F119" s="20"/>
      <c r="G119" s="20"/>
    </row>
    <row r="120" spans="2:7" ht="12" customHeight="1" x14ac:dyDescent="0.15">
      <c r="C120" s="18"/>
      <c r="D120" s="19"/>
      <c r="E120" s="19"/>
      <c r="F120" s="20"/>
      <c r="G120" s="20"/>
    </row>
    <row r="121" spans="2:7" ht="12" customHeight="1" x14ac:dyDescent="0.15">
      <c r="C121" s="18"/>
      <c r="D121" s="19"/>
      <c r="E121" s="19"/>
      <c r="F121" s="20"/>
      <c r="G121" s="20"/>
    </row>
    <row r="122" spans="2:7" ht="12" customHeight="1" x14ac:dyDescent="0.15">
      <c r="C122" s="31"/>
      <c r="D122" s="32"/>
      <c r="E122" s="32"/>
      <c r="F122" s="33"/>
      <c r="G122" s="33"/>
    </row>
    <row r="123" spans="2:7" ht="12" customHeight="1" x14ac:dyDescent="0.15">
      <c r="B123" s="34"/>
      <c r="C123" s="35"/>
      <c r="D123" s="36"/>
      <c r="E123" s="37" t="s">
        <v>12</v>
      </c>
      <c r="F123" s="38">
        <f t="shared" ref="F123:G123" si="0">SUBTOTAL(109,F10:F122)</f>
        <v>-60779.11</v>
      </c>
      <c r="G123" s="38">
        <f t="shared" si="0"/>
        <v>80530.98</v>
      </c>
    </row>
    <row r="124" spans="2:7" ht="12" customHeight="1" x14ac:dyDescent="0.15">
      <c r="C124" s="2"/>
      <c r="D124" s="3"/>
      <c r="E124" s="3"/>
      <c r="F124" s="23"/>
      <c r="G124" s="23"/>
    </row>
    <row r="125" spans="2:7" ht="12" customHeight="1" x14ac:dyDescent="0.15">
      <c r="C125" s="35" t="s">
        <v>13</v>
      </c>
      <c r="D125" s="3"/>
      <c r="E125" s="3"/>
      <c r="F125" s="39">
        <f>F123</f>
        <v>-60779.11</v>
      </c>
      <c r="G125" s="23"/>
    </row>
    <row r="126" spans="2:7" ht="12" customHeight="1" x14ac:dyDescent="0.15">
      <c r="C126" s="35" t="s">
        <v>14</v>
      </c>
      <c r="D126" s="3"/>
      <c r="E126" s="3"/>
      <c r="F126" s="39"/>
      <c r="G126" s="39">
        <f>G123</f>
        <v>80530.98</v>
      </c>
    </row>
    <row r="127" spans="2:7" ht="12" customHeight="1" x14ac:dyDescent="0.15">
      <c r="C127" s="40" t="s">
        <v>15</v>
      </c>
      <c r="D127" s="41"/>
      <c r="E127" s="42"/>
      <c r="F127" s="43"/>
      <c r="G127" s="43">
        <f>G126+F125</f>
        <v>19751.869999999995</v>
      </c>
    </row>
    <row r="128" spans="2:7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</sheetData>
  <mergeCells count="1">
    <mergeCell ref="B1:F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15"/>
  <sheetViews>
    <sheetView topLeftCell="A188" workbookViewId="0">
      <selection activeCell="F198" sqref="F198"/>
    </sheetView>
  </sheetViews>
  <sheetFormatPr baseColWidth="10" defaultColWidth="12.6640625" defaultRowHeight="15" customHeight="1" x14ac:dyDescent="0.15"/>
  <cols>
    <col min="1" max="1" width="4.5" customWidth="1"/>
    <col min="2" max="2" width="66.6640625" customWidth="1"/>
    <col min="3" max="3" width="13" customWidth="1"/>
    <col min="4" max="4" width="6.5" customWidth="1"/>
    <col min="5" max="6" width="15.5" customWidth="1"/>
    <col min="8" max="8" width="4.5" customWidth="1"/>
    <col min="9" max="9" width="55.33203125" customWidth="1"/>
    <col min="10" max="10" width="13" customWidth="1"/>
    <col min="11" max="11" width="6.5" customWidth="1"/>
    <col min="12" max="13" width="15.5" customWidth="1"/>
  </cols>
  <sheetData>
    <row r="1" spans="1:26" ht="54" customHeight="1" x14ac:dyDescent="0.15">
      <c r="A1" s="434"/>
      <c r="B1" s="435"/>
      <c r="C1" s="435"/>
      <c r="D1" s="435"/>
      <c r="E1" s="435"/>
      <c r="H1" s="434"/>
      <c r="I1" s="435"/>
      <c r="J1" s="435"/>
      <c r="K1" s="435"/>
      <c r="L1" s="435"/>
    </row>
    <row r="2" spans="1:26" ht="12" customHeight="1" x14ac:dyDescent="0.15">
      <c r="B2" s="2"/>
      <c r="C2" s="3"/>
      <c r="D2" s="3"/>
      <c r="E2" s="4"/>
      <c r="I2" s="2"/>
      <c r="J2" s="3"/>
      <c r="K2" s="3"/>
      <c r="L2" s="4"/>
    </row>
    <row r="3" spans="1:26" ht="18.75" customHeight="1" x14ac:dyDescent="0.2">
      <c r="A3" s="5" t="s">
        <v>0</v>
      </c>
      <c r="C3" s="3"/>
      <c r="D3" s="3"/>
      <c r="E3" s="4"/>
      <c r="H3" s="5" t="s">
        <v>0</v>
      </c>
      <c r="J3" s="3"/>
      <c r="K3" s="3"/>
      <c r="L3" s="4"/>
    </row>
    <row r="4" spans="1:26" ht="12" customHeight="1" x14ac:dyDescent="0.15">
      <c r="A4" s="2" t="s">
        <v>1</v>
      </c>
      <c r="C4" s="3"/>
      <c r="D4" s="3"/>
      <c r="E4" s="4"/>
      <c r="H4" s="2" t="s">
        <v>1</v>
      </c>
      <c r="J4" s="3"/>
      <c r="K4" s="3"/>
      <c r="L4" s="4"/>
    </row>
    <row r="5" spans="1:26" ht="12" customHeight="1" x14ac:dyDescent="0.15">
      <c r="B5" s="2"/>
      <c r="C5" s="3"/>
      <c r="D5" s="3"/>
      <c r="E5" s="4"/>
      <c r="I5" s="2"/>
      <c r="J5" s="3"/>
      <c r="K5" s="3"/>
      <c r="L5" s="4"/>
    </row>
    <row r="6" spans="1:26" ht="12" customHeight="1" x14ac:dyDescent="0.15">
      <c r="B6" s="6"/>
      <c r="C6" s="3"/>
      <c r="D6" s="3"/>
      <c r="E6" s="4"/>
      <c r="F6" s="7" t="s">
        <v>2</v>
      </c>
      <c r="I6" s="6"/>
      <c r="J6" s="3"/>
      <c r="K6" s="3"/>
      <c r="L6" s="4"/>
      <c r="M6" s="7" t="s">
        <v>2</v>
      </c>
    </row>
    <row r="7" spans="1:26" ht="17.25" customHeight="1" x14ac:dyDescent="0.15">
      <c r="A7" s="8"/>
      <c r="B7" s="9" t="s">
        <v>16</v>
      </c>
      <c r="C7" s="10"/>
      <c r="D7" s="10"/>
      <c r="E7" s="11"/>
      <c r="F7" s="11"/>
      <c r="G7" s="8"/>
      <c r="H7" s="8"/>
      <c r="I7" s="44" t="s">
        <v>17</v>
      </c>
      <c r="J7" s="45"/>
      <c r="K7" s="45"/>
      <c r="L7" s="46"/>
      <c r="M7" s="4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" customHeight="1" x14ac:dyDescent="0.15">
      <c r="B8" s="2"/>
      <c r="C8" s="3"/>
      <c r="D8" s="3"/>
      <c r="E8" s="4"/>
      <c r="I8" s="2"/>
      <c r="J8" s="3"/>
      <c r="K8" s="3"/>
      <c r="L8" s="4"/>
    </row>
    <row r="9" spans="1:26" ht="15" customHeight="1" x14ac:dyDescent="0.15">
      <c r="B9" s="12" t="s">
        <v>4</v>
      </c>
      <c r="C9" s="13" t="s">
        <v>5</v>
      </c>
      <c r="D9" s="13" t="s">
        <v>6</v>
      </c>
      <c r="E9" s="14" t="s">
        <v>7</v>
      </c>
      <c r="F9" s="14" t="s">
        <v>8</v>
      </c>
      <c r="I9" s="12" t="s">
        <v>4</v>
      </c>
      <c r="J9" s="13" t="s">
        <v>5</v>
      </c>
      <c r="K9" s="13" t="s">
        <v>6</v>
      </c>
      <c r="L9" s="14" t="s">
        <v>7</v>
      </c>
      <c r="M9" s="14" t="s">
        <v>8</v>
      </c>
    </row>
    <row r="10" spans="1:26" ht="15" customHeight="1" x14ac:dyDescent="0.15">
      <c r="B10" s="15" t="s">
        <v>9</v>
      </c>
      <c r="C10" s="16">
        <v>45292</v>
      </c>
      <c r="D10" s="16" t="s">
        <v>18</v>
      </c>
      <c r="E10" s="17"/>
      <c r="F10" s="17">
        <v>38550.46</v>
      </c>
      <c r="I10" s="15" t="s">
        <v>9</v>
      </c>
      <c r="J10" s="19">
        <v>45292</v>
      </c>
      <c r="K10" s="19" t="s">
        <v>10</v>
      </c>
      <c r="L10" s="20"/>
      <c r="M10" s="20">
        <v>284157.42</v>
      </c>
    </row>
    <row r="11" spans="1:26" ht="15" customHeight="1" x14ac:dyDescent="0.15">
      <c r="B11" s="18" t="s">
        <v>19</v>
      </c>
      <c r="C11" s="19">
        <v>45293</v>
      </c>
      <c r="D11" s="19" t="s">
        <v>18</v>
      </c>
      <c r="E11" s="20">
        <v>-15000</v>
      </c>
      <c r="F11" s="20"/>
      <c r="I11" s="15" t="s">
        <v>20</v>
      </c>
      <c r="J11" s="19">
        <v>45296</v>
      </c>
      <c r="K11" s="19" t="s">
        <v>10</v>
      </c>
      <c r="L11" s="20">
        <v>-523.82000000000005</v>
      </c>
      <c r="M11" s="20"/>
    </row>
    <row r="12" spans="1:26" ht="15" customHeight="1" x14ac:dyDescent="0.15">
      <c r="B12" s="15" t="s">
        <v>21</v>
      </c>
      <c r="C12" s="19">
        <v>45303</v>
      </c>
      <c r="D12" s="19" t="s">
        <v>18</v>
      </c>
      <c r="E12" s="20">
        <v>-3600</v>
      </c>
      <c r="F12" s="20"/>
      <c r="I12" s="15" t="s">
        <v>22</v>
      </c>
      <c r="J12" s="19">
        <v>45296</v>
      </c>
      <c r="K12" s="19" t="s">
        <v>10</v>
      </c>
      <c r="L12" s="20">
        <v>-1500</v>
      </c>
      <c r="M12" s="47"/>
    </row>
    <row r="13" spans="1:26" ht="15" customHeight="1" x14ac:dyDescent="0.15">
      <c r="B13" s="15" t="s">
        <v>23</v>
      </c>
      <c r="C13" s="19">
        <v>45303</v>
      </c>
      <c r="D13" s="19" t="s">
        <v>18</v>
      </c>
      <c r="E13" s="20">
        <v>-100</v>
      </c>
      <c r="F13" s="20"/>
      <c r="I13" s="18" t="s">
        <v>24</v>
      </c>
      <c r="J13" s="19">
        <v>45296</v>
      </c>
      <c r="K13" s="19" t="s">
        <v>10</v>
      </c>
      <c r="L13" s="20">
        <v>-2.25</v>
      </c>
      <c r="M13" s="47"/>
    </row>
    <row r="14" spans="1:26" ht="15" customHeight="1" x14ac:dyDescent="0.15">
      <c r="B14" s="15" t="s">
        <v>25</v>
      </c>
      <c r="C14" s="21">
        <v>45310</v>
      </c>
      <c r="D14" s="19" t="s">
        <v>18</v>
      </c>
      <c r="E14" s="20">
        <v>-200</v>
      </c>
      <c r="F14" s="22"/>
      <c r="I14" s="15" t="s">
        <v>26</v>
      </c>
      <c r="J14" s="19">
        <v>45302</v>
      </c>
      <c r="K14" s="19" t="s">
        <v>10</v>
      </c>
      <c r="L14" s="20">
        <v>-2140</v>
      </c>
      <c r="M14" s="20"/>
    </row>
    <row r="15" spans="1:26" ht="15" customHeight="1" x14ac:dyDescent="0.15">
      <c r="B15" s="18" t="s">
        <v>27</v>
      </c>
      <c r="C15" s="19">
        <v>45322</v>
      </c>
      <c r="D15" s="19" t="s">
        <v>18</v>
      </c>
      <c r="E15" s="20">
        <v>-1000</v>
      </c>
      <c r="F15" s="20"/>
      <c r="I15" s="18" t="s">
        <v>24</v>
      </c>
      <c r="J15" s="19">
        <v>45302</v>
      </c>
      <c r="K15" s="19" t="s">
        <v>10</v>
      </c>
      <c r="L15" s="20">
        <v>-3.21</v>
      </c>
      <c r="M15" s="20"/>
    </row>
    <row r="16" spans="1:26" ht="15" customHeight="1" x14ac:dyDescent="0.15">
      <c r="B16" s="15" t="s">
        <v>28</v>
      </c>
      <c r="C16" s="21">
        <v>45323</v>
      </c>
      <c r="D16" s="19" t="s">
        <v>18</v>
      </c>
      <c r="E16" s="20">
        <v>-15000</v>
      </c>
      <c r="F16" s="22"/>
      <c r="I16" s="15" t="s">
        <v>29</v>
      </c>
      <c r="J16" s="19">
        <v>45310</v>
      </c>
      <c r="K16" s="19" t="s">
        <v>10</v>
      </c>
      <c r="L16" s="20">
        <v>-6538.23</v>
      </c>
      <c r="M16" s="20"/>
    </row>
    <row r="17" spans="2:13" ht="15" customHeight="1" x14ac:dyDescent="0.15">
      <c r="B17" s="18" t="s">
        <v>30</v>
      </c>
      <c r="C17" s="21">
        <v>45330</v>
      </c>
      <c r="D17" s="19" t="s">
        <v>18</v>
      </c>
      <c r="E17" s="20">
        <v>-4000</v>
      </c>
      <c r="F17" s="22"/>
      <c r="I17" s="18" t="s">
        <v>24</v>
      </c>
      <c r="J17" s="19">
        <v>45310</v>
      </c>
      <c r="K17" s="19" t="s">
        <v>10</v>
      </c>
      <c r="L17" s="20">
        <v>-9.81</v>
      </c>
      <c r="M17" s="20"/>
    </row>
    <row r="18" spans="2:13" ht="15" customHeight="1" x14ac:dyDescent="0.15">
      <c r="B18" s="15" t="s">
        <v>31</v>
      </c>
      <c r="C18" s="19">
        <v>45331</v>
      </c>
      <c r="D18" s="19" t="s">
        <v>18</v>
      </c>
      <c r="E18" s="20">
        <v>-2500</v>
      </c>
      <c r="F18" s="20"/>
      <c r="I18" s="15" t="s">
        <v>32</v>
      </c>
      <c r="J18" s="19">
        <v>45322</v>
      </c>
      <c r="K18" s="19" t="s">
        <v>10</v>
      </c>
      <c r="L18" s="20"/>
      <c r="M18" s="20">
        <v>60.02</v>
      </c>
    </row>
    <row r="19" spans="2:13" ht="15" customHeight="1" x14ac:dyDescent="0.15">
      <c r="B19" s="18" t="s">
        <v>33</v>
      </c>
      <c r="C19" s="19">
        <v>45331</v>
      </c>
      <c r="D19" s="19" t="s">
        <v>18</v>
      </c>
      <c r="E19" s="20">
        <v>-72.56</v>
      </c>
      <c r="F19" s="20"/>
      <c r="I19" s="18" t="s">
        <v>34</v>
      </c>
      <c r="J19" s="19">
        <v>45322</v>
      </c>
      <c r="K19" s="19" t="s">
        <v>10</v>
      </c>
      <c r="L19" s="20">
        <v>-6</v>
      </c>
      <c r="M19" s="20"/>
    </row>
    <row r="20" spans="2:13" ht="15" customHeight="1" x14ac:dyDescent="0.15">
      <c r="B20" s="15" t="s">
        <v>35</v>
      </c>
      <c r="C20" s="19">
        <v>45334</v>
      </c>
      <c r="D20" s="19" t="s">
        <v>18</v>
      </c>
      <c r="E20" s="20"/>
      <c r="F20" s="20">
        <v>20000</v>
      </c>
      <c r="I20" s="18" t="s">
        <v>36</v>
      </c>
      <c r="J20" s="19">
        <v>45331</v>
      </c>
      <c r="K20" s="19" t="s">
        <v>10</v>
      </c>
      <c r="L20" s="20"/>
      <c r="M20" s="20">
        <v>47793.46</v>
      </c>
    </row>
    <row r="21" spans="2:13" ht="15" customHeight="1" x14ac:dyDescent="0.15">
      <c r="B21" s="18" t="s">
        <v>37</v>
      </c>
      <c r="C21" s="19">
        <v>45336</v>
      </c>
      <c r="D21" s="19" t="s">
        <v>18</v>
      </c>
      <c r="E21" s="20"/>
      <c r="F21" s="20">
        <v>15000</v>
      </c>
      <c r="I21" s="18" t="s">
        <v>38</v>
      </c>
      <c r="J21" s="19">
        <v>45331</v>
      </c>
      <c r="K21" s="19" t="s">
        <v>10</v>
      </c>
      <c r="L21" s="20">
        <v>-710.7</v>
      </c>
      <c r="M21" s="20"/>
    </row>
    <row r="22" spans="2:13" ht="15" customHeight="1" x14ac:dyDescent="0.15">
      <c r="B22" s="18" t="s">
        <v>39</v>
      </c>
      <c r="C22" s="19">
        <v>45337</v>
      </c>
      <c r="D22" s="19" t="s">
        <v>18</v>
      </c>
      <c r="E22" s="20">
        <v>-14000</v>
      </c>
      <c r="F22" s="20"/>
      <c r="I22" s="18" t="s">
        <v>40</v>
      </c>
      <c r="J22" s="19">
        <v>45334</v>
      </c>
      <c r="K22" s="19" t="s">
        <v>10</v>
      </c>
      <c r="L22" s="20">
        <v>-20000</v>
      </c>
      <c r="M22" s="20"/>
    </row>
    <row r="23" spans="2:13" ht="15" customHeight="1" x14ac:dyDescent="0.15">
      <c r="B23" s="15" t="s">
        <v>41</v>
      </c>
      <c r="C23" s="19">
        <v>45342</v>
      </c>
      <c r="D23" s="19" t="s">
        <v>18</v>
      </c>
      <c r="E23" s="20"/>
      <c r="F23" s="20">
        <v>12230</v>
      </c>
      <c r="I23" s="18" t="s">
        <v>42</v>
      </c>
      <c r="J23" s="19">
        <v>45335</v>
      </c>
      <c r="K23" s="19" t="s">
        <v>10</v>
      </c>
      <c r="L23" s="20"/>
      <c r="M23" s="20">
        <v>24134</v>
      </c>
    </row>
    <row r="24" spans="2:13" ht="15" customHeight="1" x14ac:dyDescent="0.15">
      <c r="B24" s="18" t="s">
        <v>43</v>
      </c>
      <c r="C24" s="19">
        <v>45342</v>
      </c>
      <c r="D24" s="19" t="s">
        <v>18</v>
      </c>
      <c r="E24" s="20">
        <v>-200</v>
      </c>
      <c r="F24" s="20"/>
      <c r="I24" s="18" t="s">
        <v>44</v>
      </c>
      <c r="J24" s="19">
        <v>45334</v>
      </c>
      <c r="K24" s="19" t="s">
        <v>10</v>
      </c>
      <c r="L24" s="20"/>
      <c r="M24" s="20">
        <v>24787</v>
      </c>
    </row>
    <row r="25" spans="2:13" ht="15" customHeight="1" x14ac:dyDescent="0.15">
      <c r="B25" s="18" t="s">
        <v>45</v>
      </c>
      <c r="C25" s="19">
        <v>45342</v>
      </c>
      <c r="D25" s="19" t="s">
        <v>18</v>
      </c>
      <c r="E25" s="20">
        <v>-1000</v>
      </c>
      <c r="F25" s="20"/>
      <c r="I25" s="15" t="s">
        <v>46</v>
      </c>
      <c r="J25" s="19">
        <v>45338</v>
      </c>
      <c r="K25" s="19" t="s">
        <v>10</v>
      </c>
      <c r="L25" s="20"/>
      <c r="M25" s="20">
        <v>44170.7</v>
      </c>
    </row>
    <row r="26" spans="2:13" ht="15" customHeight="1" x14ac:dyDescent="0.15">
      <c r="B26" s="18" t="s">
        <v>47</v>
      </c>
      <c r="C26" s="48">
        <v>45343</v>
      </c>
      <c r="D26" s="19" t="s">
        <v>18</v>
      </c>
      <c r="E26" s="20">
        <v>-221.59</v>
      </c>
      <c r="F26" s="20"/>
      <c r="I26" s="18" t="s">
        <v>48</v>
      </c>
      <c r="J26" s="19">
        <v>45339</v>
      </c>
      <c r="K26" s="19" t="s">
        <v>10</v>
      </c>
      <c r="L26" s="20"/>
      <c r="M26" s="20">
        <v>35005.599999999999</v>
      </c>
    </row>
    <row r="27" spans="2:13" ht="15" customHeight="1" x14ac:dyDescent="0.15">
      <c r="B27" s="18" t="s">
        <v>49</v>
      </c>
      <c r="C27" s="48">
        <v>45348</v>
      </c>
      <c r="D27" s="19" t="s">
        <v>18</v>
      </c>
      <c r="E27" s="20"/>
      <c r="F27" s="20">
        <v>36150.69</v>
      </c>
      <c r="I27" s="18"/>
      <c r="J27" s="19"/>
      <c r="K27" s="19"/>
      <c r="L27" s="20"/>
      <c r="M27" s="20"/>
    </row>
    <row r="28" spans="2:13" ht="15" customHeight="1" x14ac:dyDescent="0.15">
      <c r="B28" s="15" t="s">
        <v>50</v>
      </c>
      <c r="C28" s="48">
        <v>45351</v>
      </c>
      <c r="D28" s="19" t="s">
        <v>18</v>
      </c>
      <c r="E28" s="20">
        <v>-1000</v>
      </c>
      <c r="F28" s="20"/>
      <c r="I28" s="15" t="s">
        <v>51</v>
      </c>
      <c r="J28" s="19">
        <v>45342</v>
      </c>
      <c r="K28" s="19" t="s">
        <v>10</v>
      </c>
      <c r="L28" s="20"/>
      <c r="M28" s="20">
        <v>38625</v>
      </c>
    </row>
    <row r="29" spans="2:13" ht="15" customHeight="1" x14ac:dyDescent="0.15">
      <c r="B29" s="15" t="s">
        <v>52</v>
      </c>
      <c r="C29" s="3">
        <v>45352</v>
      </c>
      <c r="D29" s="19" t="s">
        <v>18</v>
      </c>
      <c r="E29" s="20">
        <v>-15000</v>
      </c>
      <c r="F29" s="20"/>
      <c r="I29" s="18" t="s">
        <v>53</v>
      </c>
      <c r="J29" s="19">
        <v>45343</v>
      </c>
      <c r="K29" s="19" t="s">
        <v>10</v>
      </c>
      <c r="L29" s="20"/>
      <c r="M29" s="20">
        <v>32025.439999999999</v>
      </c>
    </row>
    <row r="30" spans="2:13" ht="15" customHeight="1" x14ac:dyDescent="0.15">
      <c r="B30" s="18" t="s">
        <v>42</v>
      </c>
      <c r="C30" s="48">
        <v>45358</v>
      </c>
      <c r="D30" s="19" t="s">
        <v>18</v>
      </c>
      <c r="E30" s="20"/>
      <c r="F30" s="20">
        <v>17600</v>
      </c>
      <c r="I30" s="18" t="s">
        <v>54</v>
      </c>
      <c r="J30" s="19">
        <v>45343</v>
      </c>
      <c r="K30" s="19" t="s">
        <v>10</v>
      </c>
      <c r="L30" s="20">
        <v>-126944.4</v>
      </c>
      <c r="M30" s="20"/>
    </row>
    <row r="31" spans="2:13" ht="15" customHeight="1" x14ac:dyDescent="0.15">
      <c r="B31" s="18" t="s">
        <v>37</v>
      </c>
      <c r="C31" s="48">
        <v>45358</v>
      </c>
      <c r="D31" s="19" t="s">
        <v>18</v>
      </c>
      <c r="E31" s="20"/>
      <c r="F31" s="20">
        <v>8900</v>
      </c>
      <c r="I31" s="18" t="s">
        <v>24</v>
      </c>
      <c r="J31" s="19">
        <v>45343</v>
      </c>
      <c r="K31" s="19" t="s">
        <v>10</v>
      </c>
      <c r="L31" s="20">
        <v>-190.42</v>
      </c>
      <c r="M31" s="20"/>
    </row>
    <row r="32" spans="2:13" ht="15" customHeight="1" x14ac:dyDescent="0.15">
      <c r="B32" s="18" t="s">
        <v>41</v>
      </c>
      <c r="C32" s="48">
        <v>45359</v>
      </c>
      <c r="D32" s="19" t="s">
        <v>18</v>
      </c>
      <c r="E32" s="20"/>
      <c r="F32" s="20">
        <v>6015</v>
      </c>
      <c r="I32" s="18" t="s">
        <v>55</v>
      </c>
      <c r="J32" s="19">
        <v>45343</v>
      </c>
      <c r="K32" s="19" t="s">
        <v>10</v>
      </c>
      <c r="L32" s="20">
        <v>-82584</v>
      </c>
      <c r="M32" s="20"/>
    </row>
    <row r="33" spans="2:13" ht="15" customHeight="1" x14ac:dyDescent="0.15">
      <c r="B33" s="15" t="s">
        <v>56</v>
      </c>
      <c r="C33" s="48">
        <v>45364</v>
      </c>
      <c r="D33" s="19" t="s">
        <v>18</v>
      </c>
      <c r="E33" s="20">
        <v>-21368.35</v>
      </c>
      <c r="F33" s="20"/>
      <c r="I33" s="18"/>
      <c r="J33" s="19"/>
      <c r="K33" s="19"/>
      <c r="L33" s="20"/>
      <c r="M33" s="20"/>
    </row>
    <row r="34" spans="2:13" ht="15" customHeight="1" x14ac:dyDescent="0.15">
      <c r="B34" s="18" t="s">
        <v>57</v>
      </c>
      <c r="C34" s="48">
        <v>45371</v>
      </c>
      <c r="D34" s="19" t="s">
        <v>18</v>
      </c>
      <c r="E34" s="20">
        <v>-2500</v>
      </c>
      <c r="F34" s="20"/>
      <c r="I34" s="18"/>
      <c r="J34" s="19"/>
      <c r="K34" s="19"/>
      <c r="L34" s="20"/>
      <c r="M34" s="20"/>
    </row>
    <row r="35" spans="2:13" ht="15" customHeight="1" x14ac:dyDescent="0.15">
      <c r="B35" s="18" t="s">
        <v>58</v>
      </c>
      <c r="C35" s="48">
        <v>45371</v>
      </c>
      <c r="D35" s="19" t="s">
        <v>18</v>
      </c>
      <c r="E35" s="20">
        <v>-500</v>
      </c>
      <c r="F35" s="20"/>
      <c r="I35" s="18"/>
      <c r="J35" s="19"/>
      <c r="K35" s="19"/>
      <c r="L35" s="20"/>
      <c r="M35" s="20"/>
    </row>
    <row r="36" spans="2:13" ht="15" customHeight="1" x14ac:dyDescent="0.15">
      <c r="B36" s="15" t="s">
        <v>56</v>
      </c>
      <c r="C36" s="48">
        <v>45371</v>
      </c>
      <c r="D36" s="19" t="s">
        <v>18</v>
      </c>
      <c r="E36" s="20">
        <v>-1351.01</v>
      </c>
      <c r="F36" s="22"/>
      <c r="I36" s="18"/>
      <c r="J36" s="19"/>
      <c r="K36" s="19"/>
      <c r="L36" s="20"/>
      <c r="M36" s="20"/>
    </row>
    <row r="37" spans="2:13" ht="15" customHeight="1" x14ac:dyDescent="0.15">
      <c r="B37" s="18" t="s">
        <v>59</v>
      </c>
      <c r="C37" s="48">
        <v>45373</v>
      </c>
      <c r="D37" s="19" t="s">
        <v>18</v>
      </c>
      <c r="E37" s="20">
        <v>-1000</v>
      </c>
      <c r="F37" s="22"/>
      <c r="I37" s="18" t="s">
        <v>24</v>
      </c>
      <c r="J37" s="19">
        <v>45343</v>
      </c>
      <c r="K37" s="19" t="s">
        <v>10</v>
      </c>
      <c r="L37" s="20">
        <v>-123.88</v>
      </c>
      <c r="M37" s="20"/>
    </row>
    <row r="38" spans="2:13" ht="15" customHeight="1" x14ac:dyDescent="0.15">
      <c r="B38" s="15" t="s">
        <v>56</v>
      </c>
      <c r="C38" s="3">
        <v>45373</v>
      </c>
      <c r="D38" s="19" t="s">
        <v>18</v>
      </c>
      <c r="E38" s="20">
        <v>-219.64</v>
      </c>
      <c r="F38" s="22"/>
      <c r="I38" s="18"/>
      <c r="J38" s="19"/>
      <c r="K38" s="19"/>
      <c r="L38" s="20"/>
      <c r="M38" s="20"/>
    </row>
    <row r="39" spans="2:13" ht="15" customHeight="1" x14ac:dyDescent="0.15">
      <c r="B39" s="15" t="s">
        <v>56</v>
      </c>
      <c r="C39" s="3">
        <v>45374</v>
      </c>
      <c r="D39" s="19" t="s">
        <v>18</v>
      </c>
      <c r="E39" s="20">
        <v>-399.02</v>
      </c>
      <c r="F39" s="22"/>
      <c r="I39" s="18"/>
      <c r="J39" s="19"/>
      <c r="K39" s="19"/>
      <c r="L39" s="20"/>
      <c r="M39" s="20"/>
    </row>
    <row r="40" spans="2:13" ht="15" customHeight="1" x14ac:dyDescent="0.15">
      <c r="B40" s="15" t="s">
        <v>60</v>
      </c>
      <c r="C40" s="19">
        <v>45376</v>
      </c>
      <c r="D40" s="19" t="s">
        <v>18</v>
      </c>
      <c r="E40" s="20">
        <v>-14000</v>
      </c>
      <c r="F40" s="22"/>
      <c r="I40" s="15" t="s">
        <v>32</v>
      </c>
      <c r="J40" s="19">
        <v>45351</v>
      </c>
      <c r="K40" s="19" t="s">
        <v>10</v>
      </c>
      <c r="L40" s="20"/>
      <c r="M40" s="20">
        <v>63.95</v>
      </c>
    </row>
    <row r="41" spans="2:13" ht="15" customHeight="1" x14ac:dyDescent="0.15">
      <c r="B41" s="15" t="s">
        <v>56</v>
      </c>
      <c r="C41" s="19">
        <v>45376</v>
      </c>
      <c r="D41" s="19" t="s">
        <v>18</v>
      </c>
      <c r="E41" s="20">
        <v>-1543.05</v>
      </c>
      <c r="F41" s="22"/>
      <c r="I41" s="15"/>
      <c r="J41" s="19"/>
      <c r="K41" s="19"/>
      <c r="L41" s="20"/>
      <c r="M41" s="20"/>
    </row>
    <row r="42" spans="2:13" ht="15" customHeight="1" x14ac:dyDescent="0.15">
      <c r="B42" s="18" t="s">
        <v>61</v>
      </c>
      <c r="C42" s="19">
        <v>45377</v>
      </c>
      <c r="D42" s="19" t="s">
        <v>18</v>
      </c>
      <c r="E42" s="20">
        <v>-2500</v>
      </c>
      <c r="F42" s="22"/>
      <c r="I42" s="18" t="s">
        <v>34</v>
      </c>
      <c r="J42" s="19">
        <v>45351</v>
      </c>
      <c r="K42" s="19" t="s">
        <v>10</v>
      </c>
      <c r="L42" s="20">
        <v>-6.4</v>
      </c>
      <c r="M42" s="20"/>
    </row>
    <row r="43" spans="2:13" ht="15" customHeight="1" x14ac:dyDescent="0.15">
      <c r="B43" s="18" t="s">
        <v>62</v>
      </c>
      <c r="C43" s="19">
        <v>45377</v>
      </c>
      <c r="D43" s="19" t="s">
        <v>18</v>
      </c>
      <c r="E43" s="20">
        <v>-3000</v>
      </c>
      <c r="F43" s="22"/>
      <c r="I43" s="18" t="s">
        <v>44</v>
      </c>
      <c r="J43" s="19">
        <v>45358</v>
      </c>
      <c r="K43" s="19" t="s">
        <v>10</v>
      </c>
      <c r="L43" s="20"/>
      <c r="M43" s="20">
        <v>18230.03</v>
      </c>
    </row>
    <row r="44" spans="2:13" ht="15" customHeight="1" x14ac:dyDescent="0.15">
      <c r="B44" s="15" t="s">
        <v>56</v>
      </c>
      <c r="C44" s="19">
        <v>45378</v>
      </c>
      <c r="D44" s="19" t="s">
        <v>18</v>
      </c>
      <c r="E44" s="20">
        <v>-702.99</v>
      </c>
      <c r="F44" s="22"/>
      <c r="I44" s="18"/>
      <c r="J44" s="19"/>
      <c r="K44" s="19"/>
      <c r="L44" s="20"/>
      <c r="M44" s="20"/>
    </row>
    <row r="45" spans="2:13" ht="15" customHeight="1" x14ac:dyDescent="0.15">
      <c r="B45" s="15" t="s">
        <v>63</v>
      </c>
      <c r="C45" s="19">
        <v>45385</v>
      </c>
      <c r="D45" s="19" t="s">
        <v>18</v>
      </c>
      <c r="E45" s="49">
        <v>-314.11</v>
      </c>
      <c r="F45" s="22"/>
      <c r="I45" s="18" t="s">
        <v>64</v>
      </c>
      <c r="J45" s="19">
        <v>45359</v>
      </c>
      <c r="K45" s="19" t="s">
        <v>10</v>
      </c>
      <c r="L45" s="20">
        <v>-912.52</v>
      </c>
      <c r="M45" s="20"/>
    </row>
    <row r="46" spans="2:13" ht="15" customHeight="1" x14ac:dyDescent="0.15">
      <c r="B46" s="15" t="s">
        <v>65</v>
      </c>
      <c r="C46" s="19">
        <v>45385</v>
      </c>
      <c r="D46" s="19" t="s">
        <v>18</v>
      </c>
      <c r="E46" s="49">
        <v>-15000</v>
      </c>
      <c r="F46" s="22"/>
      <c r="I46" s="18" t="s">
        <v>66</v>
      </c>
      <c r="J46" s="19">
        <v>45359</v>
      </c>
      <c r="K46" s="19" t="s">
        <v>10</v>
      </c>
      <c r="L46" s="20">
        <v>-3600</v>
      </c>
      <c r="M46" s="20"/>
    </row>
    <row r="47" spans="2:13" ht="15" customHeight="1" x14ac:dyDescent="0.15">
      <c r="B47" s="15" t="s">
        <v>56</v>
      </c>
      <c r="C47" s="19">
        <v>45394</v>
      </c>
      <c r="D47" s="19" t="s">
        <v>18</v>
      </c>
      <c r="E47" s="49">
        <v>-15071.96</v>
      </c>
      <c r="F47" s="22"/>
      <c r="I47" s="18"/>
      <c r="J47" s="19"/>
      <c r="K47" s="19"/>
      <c r="L47" s="20"/>
      <c r="M47" s="20"/>
    </row>
    <row r="48" spans="2:13" ht="15" customHeight="1" x14ac:dyDescent="0.15">
      <c r="B48" s="15" t="s">
        <v>67</v>
      </c>
      <c r="C48" s="26">
        <v>45396</v>
      </c>
      <c r="D48" s="26"/>
      <c r="E48" s="50">
        <v>-2500</v>
      </c>
      <c r="F48" s="51"/>
      <c r="I48" s="18" t="s">
        <v>24</v>
      </c>
      <c r="J48" s="19">
        <v>45359</v>
      </c>
      <c r="K48" s="19" t="s">
        <v>10</v>
      </c>
      <c r="L48" s="20">
        <v>-5.4</v>
      </c>
      <c r="M48" s="20"/>
    </row>
    <row r="49" spans="2:13" ht="12" customHeight="1" x14ac:dyDescent="0.15">
      <c r="B49" s="18" t="s">
        <v>37</v>
      </c>
      <c r="C49" s="26">
        <v>45404</v>
      </c>
      <c r="D49" s="26" t="s">
        <v>18</v>
      </c>
      <c r="E49" s="20"/>
      <c r="F49" s="22">
        <v>18600</v>
      </c>
      <c r="I49" s="52" t="s">
        <v>68</v>
      </c>
      <c r="J49" s="19">
        <v>45363</v>
      </c>
      <c r="K49" s="19" t="s">
        <v>10</v>
      </c>
      <c r="L49" s="20">
        <v>-13261</v>
      </c>
      <c r="M49" s="20"/>
    </row>
    <row r="50" spans="2:13" ht="15" customHeight="1" x14ac:dyDescent="0.15">
      <c r="B50" s="18" t="s">
        <v>69</v>
      </c>
      <c r="C50" s="19">
        <v>45404</v>
      </c>
      <c r="D50" s="19" t="s">
        <v>18</v>
      </c>
      <c r="E50" s="27">
        <v>-1500</v>
      </c>
      <c r="F50" s="22"/>
      <c r="I50" s="18" t="s">
        <v>24</v>
      </c>
      <c r="J50" s="19">
        <v>45363</v>
      </c>
      <c r="K50" s="19" t="s">
        <v>10</v>
      </c>
      <c r="L50" s="20">
        <v>-19.89</v>
      </c>
      <c r="M50" s="20"/>
    </row>
    <row r="51" spans="2:13" ht="15" customHeight="1" x14ac:dyDescent="0.15">
      <c r="B51" s="18" t="s">
        <v>70</v>
      </c>
      <c r="C51" s="19">
        <v>45404</v>
      </c>
      <c r="D51" s="19" t="s">
        <v>18</v>
      </c>
      <c r="E51" s="53">
        <v>-2500</v>
      </c>
      <c r="F51" s="20"/>
      <c r="I51" s="18" t="s">
        <v>71</v>
      </c>
      <c r="J51" s="19">
        <v>45367</v>
      </c>
      <c r="K51" s="19" t="s">
        <v>10</v>
      </c>
      <c r="L51" s="20">
        <v>-42314.8</v>
      </c>
      <c r="M51" s="20"/>
    </row>
    <row r="52" spans="2:13" ht="15" customHeight="1" x14ac:dyDescent="0.15">
      <c r="B52" s="18" t="s">
        <v>72</v>
      </c>
      <c r="C52" s="19">
        <v>45404</v>
      </c>
      <c r="D52" s="19" t="s">
        <v>18</v>
      </c>
      <c r="E52" s="53">
        <v>-7962.95</v>
      </c>
      <c r="F52" s="20"/>
      <c r="I52" s="18" t="s">
        <v>24</v>
      </c>
      <c r="J52" s="19">
        <v>45367</v>
      </c>
      <c r="K52" s="19" t="s">
        <v>10</v>
      </c>
      <c r="L52" s="20">
        <v>-63.47</v>
      </c>
      <c r="M52" s="20"/>
    </row>
    <row r="53" spans="2:13" ht="15" customHeight="1" x14ac:dyDescent="0.15">
      <c r="B53" s="28" t="s">
        <v>73</v>
      </c>
      <c r="C53" s="19">
        <v>45408</v>
      </c>
      <c r="D53" s="48" t="s">
        <v>18</v>
      </c>
      <c r="E53" s="27"/>
      <c r="F53" s="20">
        <v>22556.560000000001</v>
      </c>
      <c r="I53" s="18"/>
      <c r="J53" s="19"/>
      <c r="K53" s="19"/>
      <c r="L53" s="20"/>
      <c r="M53" s="20"/>
    </row>
    <row r="54" spans="2:13" ht="15" customHeight="1" x14ac:dyDescent="0.15">
      <c r="B54" s="18" t="s">
        <v>45</v>
      </c>
      <c r="C54" s="48">
        <v>45408</v>
      </c>
      <c r="D54" s="19" t="s">
        <v>18</v>
      </c>
      <c r="E54" s="27">
        <v>-1000</v>
      </c>
      <c r="F54" s="20"/>
      <c r="I54" s="18"/>
      <c r="J54" s="19"/>
      <c r="K54" s="19"/>
      <c r="L54" s="20"/>
      <c r="M54" s="20"/>
    </row>
    <row r="55" spans="2:13" ht="15" customHeight="1" x14ac:dyDescent="0.15">
      <c r="B55" s="18" t="s">
        <v>42</v>
      </c>
      <c r="C55" s="19">
        <v>45412</v>
      </c>
      <c r="D55" s="19" t="s">
        <v>18</v>
      </c>
      <c r="E55" s="20"/>
      <c r="F55" s="20">
        <v>33000</v>
      </c>
      <c r="I55" s="18" t="s">
        <v>74</v>
      </c>
      <c r="J55" s="19">
        <v>45367</v>
      </c>
      <c r="K55" s="19" t="s">
        <v>10</v>
      </c>
      <c r="L55" s="20">
        <v>-27528</v>
      </c>
      <c r="M55" s="20"/>
    </row>
    <row r="56" spans="2:13" ht="15" customHeight="1" x14ac:dyDescent="0.15">
      <c r="B56" s="18" t="s">
        <v>75</v>
      </c>
      <c r="C56" s="19">
        <v>45412</v>
      </c>
      <c r="D56" s="19" t="s">
        <v>18</v>
      </c>
      <c r="E56" s="27">
        <v>-3000</v>
      </c>
      <c r="F56" s="20"/>
      <c r="I56" s="18" t="s">
        <v>24</v>
      </c>
      <c r="J56" s="19">
        <v>45367</v>
      </c>
      <c r="K56" s="19" t="s">
        <v>10</v>
      </c>
      <c r="L56" s="20">
        <v>-41.29</v>
      </c>
      <c r="M56" s="20"/>
    </row>
    <row r="57" spans="2:13" ht="15" customHeight="1" x14ac:dyDescent="0.15">
      <c r="B57" s="18" t="s">
        <v>76</v>
      </c>
      <c r="C57" s="19">
        <v>45412</v>
      </c>
      <c r="D57" s="19" t="s">
        <v>18</v>
      </c>
      <c r="E57" s="27">
        <v>-1000</v>
      </c>
      <c r="F57" s="20"/>
      <c r="I57" s="18" t="s">
        <v>77</v>
      </c>
      <c r="J57" s="19">
        <v>45367</v>
      </c>
      <c r="K57" s="19" t="s">
        <v>10</v>
      </c>
      <c r="L57" s="20">
        <v>-3600</v>
      </c>
      <c r="M57" s="20"/>
    </row>
    <row r="58" spans="2:13" ht="15" customHeight="1" x14ac:dyDescent="0.15">
      <c r="B58" s="18" t="s">
        <v>78</v>
      </c>
      <c r="C58" s="19">
        <v>45412</v>
      </c>
      <c r="D58" s="19" t="s">
        <v>18</v>
      </c>
      <c r="E58" s="27">
        <v>-27528</v>
      </c>
      <c r="F58" s="20"/>
      <c r="I58" s="18" t="s">
        <v>24</v>
      </c>
      <c r="J58" s="19">
        <v>45367</v>
      </c>
      <c r="K58" s="19" t="s">
        <v>10</v>
      </c>
      <c r="L58" s="20">
        <v>-5.4</v>
      </c>
      <c r="M58" s="20"/>
    </row>
    <row r="59" spans="2:13" ht="15" customHeight="1" x14ac:dyDescent="0.15">
      <c r="B59" s="18" t="s">
        <v>79</v>
      </c>
      <c r="C59" s="19">
        <v>45413</v>
      </c>
      <c r="D59" s="19" t="s">
        <v>18</v>
      </c>
      <c r="E59" s="27">
        <v>-1772</v>
      </c>
      <c r="F59" s="20"/>
      <c r="I59" s="52" t="s">
        <v>80</v>
      </c>
      <c r="J59" s="19">
        <v>45372</v>
      </c>
      <c r="K59" s="19" t="s">
        <v>10</v>
      </c>
      <c r="L59" s="20">
        <v>-7000</v>
      </c>
      <c r="M59" s="20"/>
    </row>
    <row r="60" spans="2:13" ht="15" customHeight="1" x14ac:dyDescent="0.15">
      <c r="B60" s="18" t="s">
        <v>37</v>
      </c>
      <c r="C60" s="19">
        <v>45414</v>
      </c>
      <c r="D60" s="19" t="s">
        <v>18</v>
      </c>
      <c r="E60" s="20"/>
      <c r="F60" s="20">
        <v>2000</v>
      </c>
      <c r="I60" s="18" t="s">
        <v>24</v>
      </c>
      <c r="J60" s="19">
        <v>45372</v>
      </c>
      <c r="K60" s="19" t="s">
        <v>10</v>
      </c>
      <c r="L60" s="20">
        <v>-10.5</v>
      </c>
      <c r="M60" s="20"/>
    </row>
    <row r="61" spans="2:13" ht="15" hidden="1" customHeight="1" x14ac:dyDescent="0.15">
      <c r="B61" s="18"/>
      <c r="C61" s="19"/>
      <c r="D61" s="19"/>
      <c r="E61" s="20"/>
      <c r="F61" s="20"/>
      <c r="I61" s="18"/>
      <c r="J61" s="19"/>
      <c r="K61" s="19"/>
      <c r="L61" s="20"/>
      <c r="M61" s="20"/>
    </row>
    <row r="62" spans="2:13" ht="15" hidden="1" customHeight="1" x14ac:dyDescent="0.15">
      <c r="B62" s="18"/>
      <c r="C62" s="19"/>
      <c r="D62" s="19"/>
      <c r="E62" s="20"/>
      <c r="F62" s="20"/>
      <c r="I62" s="18"/>
      <c r="J62" s="19"/>
      <c r="K62" s="19"/>
      <c r="L62" s="20"/>
      <c r="M62" s="20"/>
    </row>
    <row r="63" spans="2:13" ht="15" hidden="1" customHeight="1" x14ac:dyDescent="0.15">
      <c r="B63" s="18"/>
      <c r="C63" s="19"/>
      <c r="D63" s="19"/>
      <c r="E63" s="20"/>
      <c r="F63" s="20"/>
      <c r="I63" s="18"/>
      <c r="J63" s="19"/>
      <c r="K63" s="19"/>
      <c r="L63" s="20"/>
      <c r="M63" s="20"/>
    </row>
    <row r="64" spans="2:13" ht="15" hidden="1" customHeight="1" x14ac:dyDescent="0.15">
      <c r="B64" s="18"/>
      <c r="C64" s="19"/>
      <c r="D64" s="19"/>
      <c r="E64" s="20"/>
      <c r="F64" s="20"/>
      <c r="I64" s="18"/>
      <c r="J64" s="19"/>
      <c r="K64" s="19"/>
      <c r="L64" s="20"/>
      <c r="M64" s="20"/>
    </row>
    <row r="65" spans="2:15" ht="15" hidden="1" customHeight="1" x14ac:dyDescent="0.15">
      <c r="B65" s="18"/>
      <c r="C65" s="19"/>
      <c r="D65" s="19"/>
      <c r="E65" s="20"/>
      <c r="F65" s="20"/>
      <c r="I65" s="18"/>
      <c r="J65" s="19"/>
      <c r="K65" s="19"/>
      <c r="L65" s="20"/>
      <c r="M65" s="20"/>
    </row>
    <row r="66" spans="2:15" ht="15" hidden="1" customHeight="1" x14ac:dyDescent="0.15">
      <c r="B66" s="18"/>
      <c r="C66" s="19"/>
      <c r="D66" s="19"/>
      <c r="E66" s="20"/>
      <c r="F66" s="20"/>
      <c r="I66" s="18"/>
      <c r="J66" s="19"/>
      <c r="K66" s="19"/>
      <c r="L66" s="20"/>
      <c r="M66" s="20"/>
    </row>
    <row r="67" spans="2:15" ht="15" hidden="1" customHeight="1" x14ac:dyDescent="0.15">
      <c r="B67" s="18"/>
      <c r="C67" s="19"/>
      <c r="D67" s="19"/>
      <c r="E67" s="20"/>
      <c r="F67" s="20"/>
      <c r="I67" s="18"/>
      <c r="J67" s="19"/>
      <c r="K67" s="19"/>
      <c r="L67" s="20"/>
      <c r="M67" s="20"/>
    </row>
    <row r="68" spans="2:15" ht="15" hidden="1" customHeight="1" x14ac:dyDescent="0.15">
      <c r="B68" s="15"/>
      <c r="C68" s="19"/>
      <c r="D68" s="19"/>
      <c r="E68" s="20"/>
      <c r="F68" s="20"/>
      <c r="I68" s="15"/>
      <c r="J68" s="19"/>
      <c r="K68" s="19"/>
      <c r="L68" s="20"/>
      <c r="M68" s="20"/>
    </row>
    <row r="69" spans="2:15" ht="15" hidden="1" customHeight="1" x14ac:dyDescent="0.15">
      <c r="B69" s="18"/>
      <c r="C69" s="19"/>
      <c r="D69" s="19"/>
      <c r="E69" s="20"/>
      <c r="F69" s="20"/>
      <c r="I69" s="18"/>
      <c r="J69" s="19"/>
      <c r="K69" s="19"/>
      <c r="L69" s="20"/>
      <c r="M69" s="20"/>
    </row>
    <row r="70" spans="2:15" ht="15" hidden="1" customHeight="1" x14ac:dyDescent="0.15">
      <c r="B70" s="18"/>
      <c r="C70" s="19"/>
      <c r="D70" s="19"/>
      <c r="E70" s="20"/>
      <c r="F70" s="20"/>
      <c r="I70" s="18"/>
      <c r="J70" s="19"/>
      <c r="K70" s="19"/>
      <c r="L70" s="20"/>
      <c r="M70" s="20"/>
    </row>
    <row r="71" spans="2:15" ht="15" customHeight="1" x14ac:dyDescent="0.15">
      <c r="B71" s="18" t="s">
        <v>41</v>
      </c>
      <c r="C71" s="19">
        <v>45415</v>
      </c>
      <c r="D71" s="19" t="s">
        <v>18</v>
      </c>
      <c r="E71" s="20"/>
      <c r="F71" s="20">
        <v>16750.580000000002</v>
      </c>
      <c r="I71" s="18" t="s">
        <v>81</v>
      </c>
      <c r="J71" s="19">
        <v>45384</v>
      </c>
      <c r="K71" s="19" t="s">
        <v>10</v>
      </c>
      <c r="L71" s="20">
        <v>-42314.8</v>
      </c>
      <c r="M71" s="20"/>
    </row>
    <row r="72" spans="2:15" ht="27" customHeight="1" x14ac:dyDescent="0.15">
      <c r="B72" s="54" t="s">
        <v>82</v>
      </c>
      <c r="C72" s="55">
        <v>45418</v>
      </c>
      <c r="D72" s="19"/>
      <c r="E72" s="56">
        <v>-1000</v>
      </c>
      <c r="F72" s="20"/>
      <c r="I72" s="18"/>
      <c r="J72" s="19"/>
      <c r="K72" s="19"/>
      <c r="L72" s="20"/>
      <c r="M72" s="20"/>
    </row>
    <row r="73" spans="2:15" ht="15" customHeight="1" x14ac:dyDescent="0.15">
      <c r="B73" s="18" t="s">
        <v>83</v>
      </c>
      <c r="C73" s="19">
        <v>45421</v>
      </c>
      <c r="D73" s="19" t="s">
        <v>18</v>
      </c>
      <c r="E73" s="20">
        <v>-45000</v>
      </c>
      <c r="F73" s="20"/>
      <c r="I73" s="52" t="s">
        <v>84</v>
      </c>
      <c r="J73" s="19">
        <v>45384</v>
      </c>
      <c r="K73" s="19" t="s">
        <v>10</v>
      </c>
      <c r="L73" s="20">
        <v>-23000</v>
      </c>
      <c r="M73" s="20"/>
    </row>
    <row r="74" spans="2:15" ht="15" customHeight="1" x14ac:dyDescent="0.15">
      <c r="B74" s="18" t="s">
        <v>85</v>
      </c>
      <c r="C74" s="19">
        <v>45435</v>
      </c>
      <c r="D74" s="19" t="s">
        <v>18</v>
      </c>
      <c r="E74" s="20">
        <v>-5000</v>
      </c>
      <c r="F74" s="20"/>
      <c r="I74" s="18" t="s">
        <v>86</v>
      </c>
      <c r="J74" s="19">
        <v>45384</v>
      </c>
      <c r="K74" s="19" t="s">
        <v>10</v>
      </c>
      <c r="L74" s="20">
        <v>-65</v>
      </c>
      <c r="M74" s="20"/>
    </row>
    <row r="75" spans="2:15" ht="15" customHeight="1" x14ac:dyDescent="0.15">
      <c r="B75" s="18" t="s">
        <v>87</v>
      </c>
      <c r="C75" s="19">
        <v>45437</v>
      </c>
      <c r="D75" s="19" t="s">
        <v>18</v>
      </c>
      <c r="E75" s="20">
        <v>-2500</v>
      </c>
      <c r="F75" s="20"/>
      <c r="I75" s="18" t="s">
        <v>88</v>
      </c>
      <c r="J75" s="19">
        <v>45385</v>
      </c>
      <c r="K75" s="19" t="s">
        <v>10</v>
      </c>
      <c r="L75" s="20">
        <v>-1428.3</v>
      </c>
      <c r="M75" s="20"/>
    </row>
    <row r="76" spans="2:15" ht="15" customHeight="1" x14ac:dyDescent="0.15">
      <c r="B76" s="18" t="s">
        <v>89</v>
      </c>
      <c r="C76" s="19">
        <v>45439</v>
      </c>
      <c r="D76" s="19" t="s">
        <v>18</v>
      </c>
      <c r="E76" s="20">
        <v>-2500</v>
      </c>
      <c r="F76" s="20"/>
      <c r="I76" s="18" t="s">
        <v>90</v>
      </c>
      <c r="J76" s="19">
        <v>45385</v>
      </c>
      <c r="K76" s="19" t="s">
        <v>10</v>
      </c>
      <c r="L76" s="20">
        <v>-3600</v>
      </c>
      <c r="M76" s="20"/>
    </row>
    <row r="77" spans="2:15" ht="24.75" customHeight="1" x14ac:dyDescent="0.15">
      <c r="B77" s="54" t="s">
        <v>91</v>
      </c>
      <c r="C77" s="57">
        <v>45443</v>
      </c>
      <c r="D77" s="19" t="s">
        <v>18</v>
      </c>
      <c r="E77" s="56">
        <v>-1000</v>
      </c>
      <c r="F77" s="20"/>
      <c r="I77" s="18"/>
      <c r="J77" s="19"/>
      <c r="K77" s="19"/>
      <c r="L77" s="20"/>
      <c r="M77" s="20"/>
    </row>
    <row r="78" spans="2:15" ht="15" customHeight="1" x14ac:dyDescent="0.15">
      <c r="B78" s="15" t="s">
        <v>35</v>
      </c>
      <c r="C78" s="19">
        <v>45449</v>
      </c>
      <c r="D78" s="19" t="s">
        <v>18</v>
      </c>
      <c r="E78" s="20"/>
      <c r="F78" s="20">
        <v>18773.599999999999</v>
      </c>
      <c r="I78" s="18" t="s">
        <v>92</v>
      </c>
      <c r="J78" s="19">
        <v>45387</v>
      </c>
      <c r="K78" s="19" t="s">
        <v>10</v>
      </c>
      <c r="L78" s="20">
        <v>-1000</v>
      </c>
      <c r="M78" s="20"/>
    </row>
    <row r="79" spans="2:15" ht="15" customHeight="1" x14ac:dyDescent="0.15">
      <c r="B79" s="29" t="s">
        <v>93</v>
      </c>
      <c r="C79" s="19">
        <v>45450</v>
      </c>
      <c r="D79" s="19" t="s">
        <v>18</v>
      </c>
      <c r="E79" s="20">
        <v>-10000</v>
      </c>
      <c r="F79" s="20"/>
      <c r="I79" s="18" t="s">
        <v>24</v>
      </c>
      <c r="J79" s="19">
        <v>45387</v>
      </c>
      <c r="K79" s="19" t="s">
        <v>10</v>
      </c>
      <c r="L79" s="20">
        <v>-103.37</v>
      </c>
      <c r="M79" s="20"/>
    </row>
    <row r="80" spans="2:15" ht="15" customHeight="1" x14ac:dyDescent="0.15">
      <c r="B80" s="29" t="s">
        <v>94</v>
      </c>
      <c r="C80" s="19">
        <v>45453</v>
      </c>
      <c r="D80" s="19" t="s">
        <v>18</v>
      </c>
      <c r="E80" s="20">
        <v>-3000</v>
      </c>
      <c r="F80" s="20"/>
      <c r="I80" s="18" t="s">
        <v>95</v>
      </c>
      <c r="J80" s="19">
        <v>45387</v>
      </c>
      <c r="K80" s="19" t="s">
        <v>10</v>
      </c>
      <c r="L80" s="20">
        <v>-2265</v>
      </c>
      <c r="M80" s="20"/>
      <c r="O80" s="23"/>
    </row>
    <row r="81" spans="2:13" ht="15" customHeight="1" x14ac:dyDescent="0.15">
      <c r="B81" s="29" t="s">
        <v>96</v>
      </c>
      <c r="C81" s="19">
        <v>45455</v>
      </c>
      <c r="D81" s="19" t="s">
        <v>18</v>
      </c>
      <c r="E81" s="20">
        <v>-3886</v>
      </c>
      <c r="F81" s="20"/>
      <c r="I81" s="18" t="s">
        <v>92</v>
      </c>
      <c r="J81" s="19">
        <v>45394</v>
      </c>
      <c r="K81" s="19" t="s">
        <v>10</v>
      </c>
      <c r="L81" s="20">
        <v>-1000</v>
      </c>
      <c r="M81" s="20"/>
    </row>
    <row r="82" spans="2:13" ht="15" customHeight="1" x14ac:dyDescent="0.15">
      <c r="B82" s="15" t="s">
        <v>35</v>
      </c>
      <c r="C82" s="19">
        <v>45460</v>
      </c>
      <c r="D82" s="19" t="s">
        <v>18</v>
      </c>
      <c r="E82" s="20"/>
      <c r="F82" s="20">
        <v>15000</v>
      </c>
      <c r="I82" s="18" t="s">
        <v>24</v>
      </c>
      <c r="J82" s="19">
        <v>45394</v>
      </c>
      <c r="K82" s="19" t="s">
        <v>10</v>
      </c>
      <c r="L82" s="20">
        <v>1.5</v>
      </c>
      <c r="M82" s="20"/>
    </row>
    <row r="83" spans="2:13" ht="15" customHeight="1" x14ac:dyDescent="0.15">
      <c r="B83" s="15" t="s">
        <v>97</v>
      </c>
      <c r="C83" s="19">
        <v>45469</v>
      </c>
      <c r="D83" s="19" t="s">
        <v>18</v>
      </c>
      <c r="E83" s="27">
        <v>-2000</v>
      </c>
      <c r="F83" s="20"/>
      <c r="I83" s="18"/>
      <c r="J83" s="19"/>
      <c r="K83" s="19"/>
      <c r="L83" s="20"/>
      <c r="M83" s="20"/>
    </row>
    <row r="84" spans="2:13" ht="15" customHeight="1" x14ac:dyDescent="0.15">
      <c r="B84" s="15" t="s">
        <v>35</v>
      </c>
      <c r="C84" s="19">
        <v>45467</v>
      </c>
      <c r="D84" s="19" t="s">
        <v>18</v>
      </c>
      <c r="E84" s="20"/>
      <c r="F84" s="20">
        <v>10000</v>
      </c>
      <c r="I84" s="18" t="s">
        <v>98</v>
      </c>
      <c r="J84" s="19">
        <v>45394</v>
      </c>
      <c r="K84" s="19" t="s">
        <v>10</v>
      </c>
      <c r="L84" s="20">
        <v>-8550</v>
      </c>
      <c r="M84" s="20"/>
    </row>
    <row r="85" spans="2:13" ht="15" customHeight="1" x14ac:dyDescent="0.15">
      <c r="B85" s="18" t="s">
        <v>99</v>
      </c>
      <c r="C85" s="19">
        <v>45467</v>
      </c>
      <c r="D85" s="19" t="s">
        <v>18</v>
      </c>
      <c r="E85" s="20">
        <v>-12000</v>
      </c>
      <c r="F85" s="20"/>
      <c r="I85" s="18" t="s">
        <v>100</v>
      </c>
      <c r="J85" s="19">
        <v>45397</v>
      </c>
      <c r="K85" s="19" t="s">
        <v>10</v>
      </c>
      <c r="L85" s="20">
        <v>-1000</v>
      </c>
      <c r="M85" s="20"/>
    </row>
    <row r="86" spans="2:13" ht="15" customHeight="1" x14ac:dyDescent="0.15">
      <c r="B86" s="18" t="s">
        <v>101</v>
      </c>
      <c r="C86" s="19">
        <v>45469</v>
      </c>
      <c r="D86" s="19" t="s">
        <v>18</v>
      </c>
      <c r="E86" s="20">
        <v>-1000</v>
      </c>
      <c r="F86" s="20"/>
      <c r="I86" s="18" t="s">
        <v>102</v>
      </c>
      <c r="J86" s="19">
        <v>45397</v>
      </c>
      <c r="K86" s="19" t="s">
        <v>10</v>
      </c>
      <c r="L86" s="20">
        <v>-32318</v>
      </c>
      <c r="M86" s="20"/>
    </row>
    <row r="87" spans="2:13" ht="21" customHeight="1" x14ac:dyDescent="0.15">
      <c r="B87" s="58" t="s">
        <v>103</v>
      </c>
      <c r="C87" s="59">
        <v>45473</v>
      </c>
      <c r="D87" s="26" t="s">
        <v>18</v>
      </c>
      <c r="E87" s="56">
        <v>-3000</v>
      </c>
      <c r="F87" s="27"/>
      <c r="I87" s="18" t="s">
        <v>104</v>
      </c>
      <c r="J87" s="19">
        <v>45400</v>
      </c>
      <c r="K87" s="19" t="s">
        <v>10</v>
      </c>
      <c r="L87" s="20">
        <v>-55</v>
      </c>
      <c r="M87" s="20"/>
    </row>
    <row r="88" spans="2:13" ht="15" customHeight="1" x14ac:dyDescent="0.15">
      <c r="B88" s="15" t="s">
        <v>35</v>
      </c>
      <c r="C88" s="19">
        <v>45478</v>
      </c>
      <c r="D88" s="19" t="s">
        <v>18</v>
      </c>
      <c r="E88" s="20"/>
      <c r="F88" s="20">
        <v>10000</v>
      </c>
      <c r="I88" s="18" t="s">
        <v>24</v>
      </c>
      <c r="J88" s="19">
        <v>45401</v>
      </c>
      <c r="K88" s="19" t="s">
        <v>10</v>
      </c>
      <c r="L88" s="20">
        <v>-51.48</v>
      </c>
      <c r="M88" s="20"/>
    </row>
    <row r="89" spans="2:13" ht="15" customHeight="1" x14ac:dyDescent="0.15">
      <c r="B89" s="18" t="s">
        <v>105</v>
      </c>
      <c r="C89" s="19">
        <v>45478</v>
      </c>
      <c r="D89" s="19" t="s">
        <v>18</v>
      </c>
      <c r="E89" s="20">
        <v>-9220</v>
      </c>
      <c r="F89" s="20"/>
      <c r="I89" s="18" t="s">
        <v>100</v>
      </c>
      <c r="J89" s="19">
        <v>45407</v>
      </c>
      <c r="K89" s="19" t="s">
        <v>10</v>
      </c>
      <c r="L89" s="20">
        <v>-1000</v>
      </c>
      <c r="M89" s="20"/>
    </row>
    <row r="90" spans="2:13" ht="15" customHeight="1" x14ac:dyDescent="0.15">
      <c r="B90" s="18" t="s">
        <v>106</v>
      </c>
      <c r="C90" s="19">
        <v>45481</v>
      </c>
      <c r="D90" s="19" t="s">
        <v>18</v>
      </c>
      <c r="E90" s="20">
        <f>-956-500</f>
        <v>-1456</v>
      </c>
      <c r="F90" s="20"/>
      <c r="I90" s="18" t="s">
        <v>107</v>
      </c>
      <c r="J90" s="19">
        <v>45407</v>
      </c>
      <c r="K90" s="19" t="s">
        <v>10</v>
      </c>
      <c r="L90" s="20">
        <v>-2775</v>
      </c>
      <c r="M90" s="20"/>
    </row>
    <row r="91" spans="2:13" ht="15" customHeight="1" x14ac:dyDescent="0.15">
      <c r="B91" s="18" t="s">
        <v>108</v>
      </c>
      <c r="C91" s="19">
        <v>45481</v>
      </c>
      <c r="D91" s="19" t="s">
        <v>18</v>
      </c>
      <c r="E91" s="20">
        <v>-5000</v>
      </c>
      <c r="F91" s="20"/>
      <c r="I91" s="18" t="s">
        <v>24</v>
      </c>
      <c r="J91" s="19">
        <v>45408</v>
      </c>
      <c r="K91" s="19" t="s">
        <v>10</v>
      </c>
      <c r="L91" s="27">
        <v>-5.66</v>
      </c>
      <c r="M91" s="20"/>
    </row>
    <row r="92" spans="2:13" ht="15" customHeight="1" x14ac:dyDescent="0.15">
      <c r="B92" s="18" t="s">
        <v>41</v>
      </c>
      <c r="C92" s="19">
        <v>45488</v>
      </c>
      <c r="D92" s="19" t="s">
        <v>18</v>
      </c>
      <c r="E92" s="20"/>
      <c r="F92" s="20">
        <v>10600</v>
      </c>
      <c r="I92" s="15" t="s">
        <v>46</v>
      </c>
      <c r="J92" s="19">
        <v>45411</v>
      </c>
      <c r="K92" s="19" t="s">
        <v>10</v>
      </c>
      <c r="L92" s="20"/>
      <c r="M92" s="20">
        <v>53225.89</v>
      </c>
    </row>
    <row r="93" spans="2:13" ht="15" customHeight="1" x14ac:dyDescent="0.15">
      <c r="B93" s="18" t="s">
        <v>37</v>
      </c>
      <c r="C93" s="19">
        <v>45488</v>
      </c>
      <c r="D93" s="19" t="s">
        <v>18</v>
      </c>
      <c r="E93" s="20"/>
      <c r="F93" s="20">
        <v>13025</v>
      </c>
      <c r="I93" s="18" t="s">
        <v>44</v>
      </c>
      <c r="J93" s="19">
        <v>45412</v>
      </c>
      <c r="K93" s="19" t="s">
        <v>10</v>
      </c>
      <c r="L93" s="20"/>
      <c r="M93" s="20">
        <v>33871.61</v>
      </c>
    </row>
    <row r="94" spans="2:13" ht="15" customHeight="1" x14ac:dyDescent="0.15">
      <c r="B94" s="28" t="s">
        <v>73</v>
      </c>
      <c r="C94" s="19">
        <v>45488</v>
      </c>
      <c r="D94" s="19" t="s">
        <v>18</v>
      </c>
      <c r="E94" s="20"/>
      <c r="F94" s="20">
        <v>18000</v>
      </c>
      <c r="I94" s="18" t="s">
        <v>100</v>
      </c>
      <c r="J94" s="19">
        <v>45412</v>
      </c>
      <c r="K94" s="19" t="s">
        <v>10</v>
      </c>
      <c r="L94" s="27">
        <v>-1000</v>
      </c>
      <c r="M94" s="20"/>
    </row>
    <row r="95" spans="2:13" ht="15" customHeight="1" x14ac:dyDescent="0.15">
      <c r="B95" s="18" t="s">
        <v>109</v>
      </c>
      <c r="C95" s="19">
        <v>45488</v>
      </c>
      <c r="D95" s="19" t="s">
        <v>18</v>
      </c>
      <c r="E95" s="20">
        <v>-12048</v>
      </c>
      <c r="F95" s="20"/>
      <c r="I95" s="18" t="s">
        <v>100</v>
      </c>
      <c r="J95" s="19">
        <v>45413</v>
      </c>
      <c r="K95" s="19" t="s">
        <v>10</v>
      </c>
      <c r="L95" s="27">
        <v>-1000</v>
      </c>
      <c r="M95" s="20"/>
    </row>
    <row r="96" spans="2:13" ht="15" customHeight="1" x14ac:dyDescent="0.15">
      <c r="B96" s="18" t="s">
        <v>110</v>
      </c>
      <c r="C96" s="19">
        <v>45488</v>
      </c>
      <c r="D96" s="19" t="s">
        <v>18</v>
      </c>
      <c r="E96" s="20">
        <v>-7000</v>
      </c>
      <c r="F96" s="20"/>
      <c r="I96" s="18" t="s">
        <v>111</v>
      </c>
      <c r="J96" s="19">
        <v>45413</v>
      </c>
      <c r="K96" s="19" t="s">
        <v>10</v>
      </c>
      <c r="L96" s="27">
        <v>-65</v>
      </c>
      <c r="M96" s="20"/>
    </row>
    <row r="97" spans="2:15" ht="15" customHeight="1" x14ac:dyDescent="0.15">
      <c r="B97" s="18" t="s">
        <v>112</v>
      </c>
      <c r="C97" s="19">
        <v>45489</v>
      </c>
      <c r="D97" s="19" t="s">
        <v>18</v>
      </c>
      <c r="E97" s="20">
        <v>-4500</v>
      </c>
      <c r="F97" s="20"/>
      <c r="I97" s="18" t="s">
        <v>24</v>
      </c>
      <c r="J97" s="48">
        <v>45415</v>
      </c>
      <c r="K97" s="19" t="s">
        <v>10</v>
      </c>
      <c r="L97" s="27">
        <v>-3</v>
      </c>
      <c r="M97" s="20"/>
    </row>
    <row r="98" spans="2:15" ht="15" customHeight="1" x14ac:dyDescent="0.15">
      <c r="B98" s="18" t="s">
        <v>42</v>
      </c>
      <c r="C98" s="19">
        <v>45490</v>
      </c>
      <c r="D98" s="19" t="s">
        <v>18</v>
      </c>
      <c r="E98" s="20"/>
      <c r="F98" s="20">
        <v>20900</v>
      </c>
      <c r="I98" s="18" t="s">
        <v>113</v>
      </c>
      <c r="J98" s="48">
        <v>45418</v>
      </c>
      <c r="K98" s="19" t="s">
        <v>10</v>
      </c>
      <c r="L98" s="27">
        <v>-949.9</v>
      </c>
      <c r="M98" s="20"/>
    </row>
    <row r="99" spans="2:15" ht="15" customHeight="1" x14ac:dyDescent="0.15">
      <c r="B99" s="18" t="s">
        <v>114</v>
      </c>
      <c r="C99" s="19">
        <v>45490</v>
      </c>
      <c r="D99" s="19" t="s">
        <v>18</v>
      </c>
      <c r="E99" s="20">
        <v>-1000</v>
      </c>
      <c r="F99" s="20"/>
      <c r="I99" s="18" t="s">
        <v>115</v>
      </c>
      <c r="J99" s="3">
        <v>45418</v>
      </c>
      <c r="K99" s="19" t="s">
        <v>10</v>
      </c>
      <c r="L99" s="53">
        <v>-3600</v>
      </c>
      <c r="M99" s="20"/>
    </row>
    <row r="100" spans="2:15" ht="15" customHeight="1" x14ac:dyDescent="0.15">
      <c r="B100" s="18" t="s">
        <v>116</v>
      </c>
      <c r="C100" s="19">
        <v>45491</v>
      </c>
      <c r="D100" s="19" t="s">
        <v>18</v>
      </c>
      <c r="E100" s="20">
        <v>-7500</v>
      </c>
      <c r="F100" s="20"/>
      <c r="I100" s="18" t="s">
        <v>24</v>
      </c>
      <c r="J100" s="3">
        <v>45422</v>
      </c>
      <c r="K100" s="19" t="s">
        <v>10</v>
      </c>
      <c r="L100" s="53">
        <v>-5.4</v>
      </c>
      <c r="M100" s="20"/>
    </row>
    <row r="101" spans="2:15" ht="15" customHeight="1" x14ac:dyDescent="0.15">
      <c r="B101" s="18" t="s">
        <v>117</v>
      </c>
      <c r="C101" s="19">
        <v>45492</v>
      </c>
      <c r="D101" s="19" t="s">
        <v>18</v>
      </c>
      <c r="E101" s="20">
        <v>-12298.45</v>
      </c>
      <c r="F101" s="20"/>
      <c r="I101" s="18" t="s">
        <v>24</v>
      </c>
      <c r="J101" s="3">
        <v>45433</v>
      </c>
      <c r="K101" s="19" t="s">
        <v>10</v>
      </c>
      <c r="L101" s="53">
        <v>-55</v>
      </c>
      <c r="M101" s="20"/>
      <c r="O101" s="23"/>
    </row>
    <row r="102" spans="2:15" ht="15" customHeight="1" x14ac:dyDescent="0.15">
      <c r="B102" s="29" t="s">
        <v>110</v>
      </c>
      <c r="C102" s="26">
        <v>45492</v>
      </c>
      <c r="D102" s="26" t="s">
        <v>18</v>
      </c>
      <c r="E102" s="27">
        <v>-7000</v>
      </c>
      <c r="F102" s="20"/>
      <c r="I102" s="18"/>
      <c r="J102" s="3"/>
      <c r="K102" s="19"/>
      <c r="L102" s="53"/>
      <c r="M102" s="20"/>
      <c r="O102" s="23"/>
    </row>
    <row r="103" spans="2:15" ht="15" customHeight="1" x14ac:dyDescent="0.15">
      <c r="B103" s="29" t="s">
        <v>118</v>
      </c>
      <c r="C103" s="26">
        <v>45492</v>
      </c>
      <c r="D103" s="26" t="s">
        <v>18</v>
      </c>
      <c r="E103" s="27">
        <v>-18369.23</v>
      </c>
      <c r="F103" s="20"/>
      <c r="I103" s="18"/>
      <c r="J103" s="3"/>
      <c r="K103" s="19"/>
      <c r="L103" s="53"/>
      <c r="M103" s="20"/>
      <c r="O103" s="23"/>
    </row>
    <row r="104" spans="2:15" ht="15" customHeight="1" x14ac:dyDescent="0.15">
      <c r="B104" s="18" t="s">
        <v>119</v>
      </c>
      <c r="C104" s="19">
        <v>45499</v>
      </c>
      <c r="D104" s="19" t="s">
        <v>18</v>
      </c>
      <c r="E104" s="20">
        <v>-350.98</v>
      </c>
      <c r="F104" s="20"/>
      <c r="I104" s="18" t="s">
        <v>100</v>
      </c>
      <c r="J104" s="3">
        <v>45437</v>
      </c>
      <c r="K104" s="19" t="s">
        <v>10</v>
      </c>
      <c r="L104" s="53">
        <v>-1000</v>
      </c>
      <c r="M104" s="20"/>
    </row>
    <row r="105" spans="2:15" ht="15" customHeight="1" x14ac:dyDescent="0.15">
      <c r="B105" s="18" t="s">
        <v>120</v>
      </c>
      <c r="C105" s="19">
        <v>45502</v>
      </c>
      <c r="D105" s="19" t="s">
        <v>18</v>
      </c>
      <c r="E105" s="20">
        <v>-1000</v>
      </c>
      <c r="F105" s="20"/>
      <c r="I105" s="29" t="s">
        <v>121</v>
      </c>
      <c r="J105" s="3">
        <v>45439</v>
      </c>
      <c r="K105" s="19" t="s">
        <v>10</v>
      </c>
      <c r="L105" s="60">
        <v>-16931.400000000001</v>
      </c>
      <c r="M105" s="20"/>
    </row>
    <row r="106" spans="2:15" ht="15" customHeight="1" x14ac:dyDescent="0.15">
      <c r="B106" s="61"/>
      <c r="C106" s="26"/>
      <c r="D106" s="26"/>
      <c r="E106" s="27"/>
      <c r="F106" s="27"/>
      <c r="I106" s="29" t="s">
        <v>122</v>
      </c>
      <c r="J106" s="3">
        <v>45440</v>
      </c>
      <c r="K106" s="19" t="s">
        <v>10</v>
      </c>
      <c r="L106" s="60">
        <v>-8000</v>
      </c>
      <c r="M106" s="20"/>
    </row>
    <row r="107" spans="2:15" ht="15" customHeight="1" x14ac:dyDescent="0.15">
      <c r="B107" s="61" t="s">
        <v>35</v>
      </c>
      <c r="C107" s="19">
        <v>45511</v>
      </c>
      <c r="D107" s="19" t="s">
        <v>18</v>
      </c>
      <c r="E107" s="20"/>
      <c r="F107" s="20">
        <v>20000</v>
      </c>
      <c r="I107" s="61" t="s">
        <v>24</v>
      </c>
      <c r="J107" s="3">
        <v>45443</v>
      </c>
      <c r="K107" s="19" t="s">
        <v>10</v>
      </c>
      <c r="L107" s="4">
        <v>-1.5</v>
      </c>
      <c r="M107" s="20"/>
    </row>
    <row r="108" spans="2:15" ht="15" customHeight="1" x14ac:dyDescent="0.15">
      <c r="B108" s="61" t="s">
        <v>35</v>
      </c>
      <c r="C108" s="19">
        <v>45513</v>
      </c>
      <c r="D108" s="19" t="s">
        <v>18</v>
      </c>
      <c r="E108" s="20"/>
      <c r="F108" s="20">
        <v>14000</v>
      </c>
      <c r="I108" s="15" t="s">
        <v>86</v>
      </c>
      <c r="J108" s="3">
        <v>45446</v>
      </c>
      <c r="K108" s="19" t="s">
        <v>10</v>
      </c>
      <c r="L108" s="4">
        <v>-65</v>
      </c>
      <c r="M108" s="20"/>
      <c r="O108" s="23"/>
    </row>
    <row r="109" spans="2:15" ht="15" customHeight="1" x14ac:dyDescent="0.15">
      <c r="B109" s="18" t="s">
        <v>123</v>
      </c>
      <c r="C109" s="19">
        <v>45513</v>
      </c>
      <c r="D109" s="19" t="s">
        <v>18</v>
      </c>
      <c r="E109" s="20">
        <v>-15000</v>
      </c>
      <c r="F109" s="20"/>
      <c r="I109" s="15" t="s">
        <v>124</v>
      </c>
      <c r="J109" s="3">
        <v>45449</v>
      </c>
      <c r="K109" s="19" t="s">
        <v>10</v>
      </c>
      <c r="L109" s="53">
        <v>-15000</v>
      </c>
      <c r="M109" s="20"/>
    </row>
    <row r="110" spans="2:15" ht="15" customHeight="1" x14ac:dyDescent="0.15">
      <c r="B110" s="18" t="s">
        <v>125</v>
      </c>
      <c r="C110" s="19">
        <v>45513</v>
      </c>
      <c r="D110" s="19" t="s">
        <v>18</v>
      </c>
      <c r="E110" s="20">
        <v>-7500</v>
      </c>
      <c r="F110" s="20"/>
      <c r="I110" s="18" t="s">
        <v>40</v>
      </c>
      <c r="J110" s="3">
        <v>45449</v>
      </c>
      <c r="K110" s="19" t="s">
        <v>10</v>
      </c>
      <c r="L110" s="53">
        <v>-18773.599999999999</v>
      </c>
      <c r="M110" s="20"/>
    </row>
    <row r="111" spans="2:15" ht="15" customHeight="1" x14ac:dyDescent="0.15">
      <c r="B111" s="18" t="s">
        <v>37</v>
      </c>
      <c r="C111" s="19">
        <v>45527</v>
      </c>
      <c r="D111" s="19" t="s">
        <v>18</v>
      </c>
      <c r="E111" s="20"/>
      <c r="F111" s="20">
        <v>7000</v>
      </c>
      <c r="I111" s="18" t="s">
        <v>126</v>
      </c>
      <c r="J111" s="3">
        <v>45455</v>
      </c>
      <c r="K111" s="19" t="s">
        <v>10</v>
      </c>
      <c r="L111" s="53">
        <v>-1000</v>
      </c>
      <c r="M111" s="20"/>
    </row>
    <row r="112" spans="2:15" ht="15" customHeight="1" x14ac:dyDescent="0.15">
      <c r="B112" s="28" t="s">
        <v>73</v>
      </c>
      <c r="C112" s="19">
        <v>45531</v>
      </c>
      <c r="D112" s="19" t="s">
        <v>18</v>
      </c>
      <c r="E112" s="20"/>
      <c r="F112" s="20">
        <v>12400</v>
      </c>
      <c r="I112" s="18" t="s">
        <v>127</v>
      </c>
      <c r="J112" s="3">
        <v>45455</v>
      </c>
      <c r="K112" s="19" t="s">
        <v>10</v>
      </c>
      <c r="L112" s="53">
        <v>-3600</v>
      </c>
      <c r="M112" s="20"/>
    </row>
    <row r="113" spans="2:13" ht="15" customHeight="1" x14ac:dyDescent="0.15">
      <c r="B113" s="18" t="s">
        <v>128</v>
      </c>
      <c r="C113" s="19">
        <v>45532</v>
      </c>
      <c r="D113" s="19" t="s">
        <v>18</v>
      </c>
      <c r="E113" s="27">
        <v>-2000</v>
      </c>
      <c r="F113" s="20"/>
      <c r="I113" s="18" t="s">
        <v>129</v>
      </c>
      <c r="J113" s="21">
        <v>45455</v>
      </c>
      <c r="K113" s="19" t="s">
        <v>10</v>
      </c>
      <c r="L113" s="53">
        <v>-748.07</v>
      </c>
      <c r="M113" s="20"/>
    </row>
    <row r="114" spans="2:13" ht="15" customHeight="1" x14ac:dyDescent="0.15">
      <c r="B114" s="18" t="s">
        <v>42</v>
      </c>
      <c r="C114" s="19">
        <v>45534</v>
      </c>
      <c r="D114" s="19" t="s">
        <v>18</v>
      </c>
      <c r="E114" s="20"/>
      <c r="F114" s="20">
        <v>11100</v>
      </c>
      <c r="I114" s="62" t="s">
        <v>24</v>
      </c>
      <c r="J114" s="21">
        <v>45457</v>
      </c>
      <c r="K114" s="19" t="s">
        <v>10</v>
      </c>
      <c r="L114" s="53">
        <v>-6.9</v>
      </c>
      <c r="M114" s="20"/>
    </row>
    <row r="115" spans="2:13" ht="15" customHeight="1" x14ac:dyDescent="0.15">
      <c r="B115" s="18" t="s">
        <v>41</v>
      </c>
      <c r="C115" s="19">
        <v>45534</v>
      </c>
      <c r="D115" s="19" t="s">
        <v>18</v>
      </c>
      <c r="E115" s="20"/>
      <c r="F115" s="20">
        <v>5650</v>
      </c>
      <c r="I115" s="18" t="s">
        <v>40</v>
      </c>
      <c r="J115" s="21">
        <v>45460</v>
      </c>
      <c r="K115" s="19" t="s">
        <v>10</v>
      </c>
      <c r="L115" s="53">
        <v>-15000</v>
      </c>
      <c r="M115" s="20"/>
    </row>
    <row r="116" spans="2:13" ht="15" customHeight="1" x14ac:dyDescent="0.15">
      <c r="B116" s="18" t="s">
        <v>130</v>
      </c>
      <c r="C116" s="19">
        <v>45538</v>
      </c>
      <c r="D116" s="19" t="s">
        <v>18</v>
      </c>
      <c r="E116" s="27">
        <v>-1000</v>
      </c>
      <c r="F116" s="20"/>
      <c r="I116" s="62" t="s">
        <v>24</v>
      </c>
      <c r="J116" s="19">
        <v>45461</v>
      </c>
      <c r="K116" s="19" t="s">
        <v>10</v>
      </c>
      <c r="L116" s="27">
        <v>-55</v>
      </c>
      <c r="M116" s="20"/>
    </row>
    <row r="117" spans="2:13" ht="15" customHeight="1" x14ac:dyDescent="0.15">
      <c r="B117" s="18" t="s">
        <v>131</v>
      </c>
      <c r="C117" s="19">
        <v>45539</v>
      </c>
      <c r="D117" s="19" t="s">
        <v>18</v>
      </c>
      <c r="E117" s="27">
        <v>-1500</v>
      </c>
      <c r="F117" s="20"/>
      <c r="I117" s="18" t="s">
        <v>40</v>
      </c>
      <c r="J117" s="19">
        <v>45467</v>
      </c>
      <c r="K117" s="19" t="s">
        <v>10</v>
      </c>
      <c r="L117" s="27">
        <v>-10000</v>
      </c>
      <c r="M117" s="20"/>
    </row>
    <row r="118" spans="2:13" ht="15" customHeight="1" x14ac:dyDescent="0.15">
      <c r="B118" s="18" t="s">
        <v>132</v>
      </c>
      <c r="C118" s="19">
        <v>45540</v>
      </c>
      <c r="D118" s="19" t="s">
        <v>18</v>
      </c>
      <c r="E118" s="27">
        <v>-15000</v>
      </c>
      <c r="F118" s="20"/>
      <c r="I118" s="18" t="s">
        <v>133</v>
      </c>
      <c r="J118" s="19">
        <v>45474</v>
      </c>
      <c r="K118" s="19" t="s">
        <v>10</v>
      </c>
      <c r="L118" s="27">
        <v>-1000</v>
      </c>
      <c r="M118" s="20"/>
    </row>
    <row r="119" spans="2:13" ht="15" customHeight="1" x14ac:dyDescent="0.15">
      <c r="B119" s="18" t="s">
        <v>134</v>
      </c>
      <c r="C119" s="19">
        <v>45540</v>
      </c>
      <c r="D119" s="19" t="s">
        <v>18</v>
      </c>
      <c r="E119" s="27">
        <v>-1000</v>
      </c>
      <c r="F119" s="20"/>
      <c r="I119" s="18" t="s">
        <v>111</v>
      </c>
      <c r="J119" s="19">
        <v>45475</v>
      </c>
      <c r="K119" s="19" t="s">
        <v>10</v>
      </c>
      <c r="L119" s="27">
        <v>-65</v>
      </c>
      <c r="M119" s="20"/>
    </row>
    <row r="120" spans="2:13" ht="15" customHeight="1" x14ac:dyDescent="0.15">
      <c r="B120" s="18" t="s">
        <v>135</v>
      </c>
      <c r="C120" s="19">
        <v>45542</v>
      </c>
      <c r="D120" s="19" t="s">
        <v>18</v>
      </c>
      <c r="E120" s="27">
        <v>-550</v>
      </c>
      <c r="F120" s="20"/>
      <c r="I120" s="18" t="s">
        <v>40</v>
      </c>
      <c r="J120" s="19">
        <v>45478</v>
      </c>
      <c r="K120" s="19" t="s">
        <v>10</v>
      </c>
      <c r="L120" s="27">
        <v>-10000</v>
      </c>
      <c r="M120" s="20"/>
    </row>
    <row r="121" spans="2:13" ht="15" customHeight="1" x14ac:dyDescent="0.15">
      <c r="B121" s="18" t="s">
        <v>136</v>
      </c>
      <c r="C121" s="19">
        <v>45542</v>
      </c>
      <c r="D121" s="19" t="s">
        <v>18</v>
      </c>
      <c r="E121" s="27">
        <v>-419</v>
      </c>
      <c r="F121" s="20"/>
      <c r="I121" s="62" t="s">
        <v>24</v>
      </c>
      <c r="J121" s="19">
        <v>45478</v>
      </c>
      <c r="K121" s="19" t="s">
        <v>10</v>
      </c>
      <c r="L121" s="27">
        <v>-1.5</v>
      </c>
      <c r="M121" s="20"/>
    </row>
    <row r="122" spans="2:13" ht="15" customHeight="1" x14ac:dyDescent="0.15">
      <c r="B122" s="18" t="s">
        <v>137</v>
      </c>
      <c r="C122" s="19">
        <v>45542</v>
      </c>
      <c r="D122" s="19" t="s">
        <v>18</v>
      </c>
      <c r="E122" s="27">
        <v>-2000</v>
      </c>
      <c r="F122" s="20"/>
      <c r="I122" s="18" t="s">
        <v>44</v>
      </c>
      <c r="J122" s="19">
        <v>45484</v>
      </c>
      <c r="K122" s="19" t="s">
        <v>10</v>
      </c>
      <c r="L122" s="27"/>
      <c r="M122" s="27">
        <v>21445.21</v>
      </c>
    </row>
    <row r="123" spans="2:13" ht="15" customHeight="1" x14ac:dyDescent="0.15">
      <c r="B123" s="18" t="s">
        <v>138</v>
      </c>
      <c r="C123" s="19">
        <v>45546</v>
      </c>
      <c r="D123" s="19" t="s">
        <v>18</v>
      </c>
      <c r="E123" s="27">
        <v>-3630</v>
      </c>
      <c r="F123" s="20"/>
      <c r="I123" s="15" t="s">
        <v>139</v>
      </c>
      <c r="J123" s="19">
        <v>45485</v>
      </c>
      <c r="K123" s="19" t="s">
        <v>10</v>
      </c>
      <c r="L123" s="27">
        <v>-15000</v>
      </c>
      <c r="M123" s="27"/>
    </row>
    <row r="124" spans="2:13" ht="15" customHeight="1" x14ac:dyDescent="0.15">
      <c r="B124" s="18" t="s">
        <v>140</v>
      </c>
      <c r="C124" s="19">
        <v>45548</v>
      </c>
      <c r="D124" s="19" t="s">
        <v>18</v>
      </c>
      <c r="E124" s="27">
        <v>-2100</v>
      </c>
      <c r="F124" s="20"/>
      <c r="I124" s="18" t="s">
        <v>40</v>
      </c>
      <c r="J124" s="19">
        <v>45485</v>
      </c>
      <c r="K124" s="19" t="s">
        <v>10</v>
      </c>
      <c r="L124" s="27">
        <v>-10000</v>
      </c>
      <c r="M124" s="20"/>
    </row>
    <row r="125" spans="2:13" ht="15" customHeight="1" x14ac:dyDescent="0.15">
      <c r="B125" s="18" t="s">
        <v>141</v>
      </c>
      <c r="C125" s="19">
        <v>45548</v>
      </c>
      <c r="D125" s="19" t="s">
        <v>18</v>
      </c>
      <c r="E125" s="63">
        <v>-1000</v>
      </c>
      <c r="F125" s="20"/>
      <c r="I125" s="15" t="s">
        <v>46</v>
      </c>
      <c r="J125" s="19">
        <v>45488</v>
      </c>
      <c r="K125" s="19" t="s">
        <v>10</v>
      </c>
      <c r="L125" s="27"/>
      <c r="M125" s="20">
        <v>33699.03</v>
      </c>
    </row>
    <row r="126" spans="2:13" ht="15" customHeight="1" x14ac:dyDescent="0.15">
      <c r="B126" s="18" t="s">
        <v>142</v>
      </c>
      <c r="C126" s="19">
        <v>45560</v>
      </c>
      <c r="D126" s="19" t="s">
        <v>18</v>
      </c>
      <c r="E126" s="20">
        <v>-4399</v>
      </c>
      <c r="F126" s="20"/>
      <c r="I126" s="15" t="s">
        <v>143</v>
      </c>
      <c r="J126" s="19">
        <v>45491</v>
      </c>
      <c r="K126" s="19" t="s">
        <v>10</v>
      </c>
      <c r="L126" s="27">
        <v>-65</v>
      </c>
      <c r="M126" s="20"/>
    </row>
    <row r="127" spans="2:13" ht="15" customHeight="1" x14ac:dyDescent="0.15">
      <c r="B127" s="18" t="s">
        <v>144</v>
      </c>
      <c r="C127" s="19">
        <v>45562</v>
      </c>
      <c r="D127" s="19" t="s">
        <v>18</v>
      </c>
      <c r="E127" s="20">
        <v>-3676</v>
      </c>
      <c r="F127" s="20"/>
      <c r="I127" s="18" t="s">
        <v>145</v>
      </c>
      <c r="J127" s="19">
        <v>45504</v>
      </c>
      <c r="K127" s="19" t="s">
        <v>10</v>
      </c>
      <c r="L127" s="27">
        <v>-643.41999999999996</v>
      </c>
      <c r="M127" s="20"/>
    </row>
    <row r="128" spans="2:13" ht="15" customHeight="1" x14ac:dyDescent="0.15">
      <c r="B128" s="18" t="s">
        <v>35</v>
      </c>
      <c r="C128" s="19">
        <v>45565</v>
      </c>
      <c r="D128" s="19" t="s">
        <v>18</v>
      </c>
      <c r="E128" s="20"/>
      <c r="F128" s="20">
        <v>25000</v>
      </c>
      <c r="I128" s="18" t="s">
        <v>133</v>
      </c>
      <c r="J128" s="19">
        <v>45504</v>
      </c>
      <c r="K128" s="19" t="s">
        <v>10</v>
      </c>
      <c r="L128" s="27">
        <v>-1000</v>
      </c>
      <c r="M128" s="20"/>
    </row>
    <row r="129" spans="2:13" ht="15" customHeight="1" x14ac:dyDescent="0.15">
      <c r="B129" s="18" t="s">
        <v>146</v>
      </c>
      <c r="C129" s="19">
        <v>45565</v>
      </c>
      <c r="D129" s="19" t="s">
        <v>18</v>
      </c>
      <c r="E129" s="20">
        <v>-15000</v>
      </c>
      <c r="F129" s="20"/>
      <c r="I129" s="18" t="s">
        <v>147</v>
      </c>
      <c r="J129" s="19">
        <v>45504</v>
      </c>
      <c r="K129" s="19" t="s">
        <v>10</v>
      </c>
      <c r="L129" s="27">
        <v>-3600</v>
      </c>
      <c r="M129" s="20"/>
    </row>
    <row r="130" spans="2:13" ht="15" customHeight="1" x14ac:dyDescent="0.15">
      <c r="B130" s="18" t="s">
        <v>42</v>
      </c>
      <c r="C130" s="19">
        <v>45570</v>
      </c>
      <c r="D130" s="19" t="s">
        <v>18</v>
      </c>
      <c r="E130" s="20"/>
      <c r="F130" s="20">
        <v>21000</v>
      </c>
      <c r="I130" s="18" t="s">
        <v>111</v>
      </c>
      <c r="J130" s="19">
        <v>45505</v>
      </c>
      <c r="K130" s="19" t="s">
        <v>10</v>
      </c>
      <c r="L130" s="27">
        <v>-65</v>
      </c>
      <c r="M130" s="20"/>
    </row>
    <row r="131" spans="2:13" ht="15" customHeight="1" x14ac:dyDescent="0.15">
      <c r="B131" s="18" t="s">
        <v>37</v>
      </c>
      <c r="C131" s="19">
        <v>45576</v>
      </c>
      <c r="D131" s="19" t="s">
        <v>18</v>
      </c>
      <c r="E131" s="20"/>
      <c r="F131" s="20">
        <v>13000</v>
      </c>
      <c r="I131" s="62" t="s">
        <v>24</v>
      </c>
      <c r="J131" s="19">
        <v>45506</v>
      </c>
      <c r="K131" s="19" t="s">
        <v>10</v>
      </c>
      <c r="L131" s="27">
        <v>-6.9</v>
      </c>
      <c r="M131" s="20"/>
    </row>
    <row r="132" spans="2:13" ht="15" customHeight="1" x14ac:dyDescent="0.15">
      <c r="B132" s="28" t="s">
        <v>73</v>
      </c>
      <c r="C132" s="19">
        <v>45581</v>
      </c>
      <c r="D132" s="19" t="s">
        <v>18</v>
      </c>
      <c r="E132" s="20"/>
      <c r="F132" s="20">
        <v>18025</v>
      </c>
      <c r="I132" s="18" t="s">
        <v>148</v>
      </c>
      <c r="J132" s="19">
        <v>45510</v>
      </c>
      <c r="K132" s="19" t="s">
        <v>10</v>
      </c>
      <c r="L132" s="27">
        <v>-2000</v>
      </c>
      <c r="M132" s="20"/>
    </row>
    <row r="133" spans="2:13" ht="15" customHeight="1" x14ac:dyDescent="0.15">
      <c r="B133" s="18" t="s">
        <v>149</v>
      </c>
      <c r="C133" s="19">
        <v>45582</v>
      </c>
      <c r="D133" s="19" t="s">
        <v>18</v>
      </c>
      <c r="E133" s="20">
        <v>-1720</v>
      </c>
      <c r="F133" s="20"/>
      <c r="I133" s="18" t="s">
        <v>48</v>
      </c>
      <c r="J133" s="19">
        <v>45510</v>
      </c>
      <c r="K133" s="19" t="s">
        <v>10</v>
      </c>
      <c r="L133" s="27"/>
      <c r="M133" s="20">
        <v>17400</v>
      </c>
    </row>
    <row r="134" spans="2:13" ht="15" customHeight="1" x14ac:dyDescent="0.15">
      <c r="B134" s="18" t="s">
        <v>41</v>
      </c>
      <c r="C134" s="19">
        <v>45586</v>
      </c>
      <c r="D134" s="19" t="s">
        <v>18</v>
      </c>
      <c r="E134" s="20"/>
      <c r="F134" s="20">
        <v>10600</v>
      </c>
      <c r="I134" s="18" t="s">
        <v>40</v>
      </c>
      <c r="J134" s="19">
        <v>45511</v>
      </c>
      <c r="K134" s="19" t="s">
        <v>10</v>
      </c>
      <c r="L134" s="27">
        <v>-20000</v>
      </c>
      <c r="M134" s="20"/>
    </row>
    <row r="135" spans="2:13" ht="15" customHeight="1" x14ac:dyDescent="0.15">
      <c r="B135" s="18" t="s">
        <v>150</v>
      </c>
      <c r="C135" s="19">
        <v>45591</v>
      </c>
      <c r="D135" s="19" t="s">
        <v>18</v>
      </c>
      <c r="E135" s="410">
        <v>-1000</v>
      </c>
      <c r="F135" s="20"/>
      <c r="I135" s="18"/>
      <c r="J135" s="19"/>
      <c r="K135" s="19"/>
      <c r="L135" s="27"/>
      <c r="M135" s="20"/>
    </row>
    <row r="136" spans="2:13" ht="15" customHeight="1" x14ac:dyDescent="0.15">
      <c r="B136" s="411" t="s">
        <v>151</v>
      </c>
      <c r="C136" s="412">
        <v>45591</v>
      </c>
      <c r="D136" s="412" t="s">
        <v>18</v>
      </c>
      <c r="E136" s="410">
        <v>-1000</v>
      </c>
      <c r="F136" s="20"/>
      <c r="I136" s="18"/>
      <c r="J136" s="19"/>
      <c r="K136" s="19"/>
      <c r="L136" s="27"/>
      <c r="M136" s="20"/>
    </row>
    <row r="137" spans="2:13" ht="15" customHeight="1" x14ac:dyDescent="0.15">
      <c r="B137" s="411" t="s">
        <v>486</v>
      </c>
      <c r="C137" s="412">
        <v>45596</v>
      </c>
      <c r="D137" s="412" t="s">
        <v>18</v>
      </c>
      <c r="E137" s="410">
        <v>-500</v>
      </c>
      <c r="F137" s="20"/>
      <c r="I137" s="18"/>
      <c r="J137" s="19"/>
      <c r="K137" s="19"/>
      <c r="L137" s="27"/>
      <c r="M137" s="20"/>
    </row>
    <row r="138" spans="2:13" ht="15" customHeight="1" x14ac:dyDescent="0.15">
      <c r="B138" s="411" t="s">
        <v>152</v>
      </c>
      <c r="C138" s="412">
        <v>45601</v>
      </c>
      <c r="D138" s="412" t="s">
        <v>18</v>
      </c>
      <c r="E138" s="410">
        <v>-15000</v>
      </c>
      <c r="F138" s="20"/>
      <c r="I138" s="18"/>
      <c r="J138" s="19"/>
      <c r="K138" s="19"/>
      <c r="L138" s="27"/>
      <c r="M138" s="20"/>
    </row>
    <row r="139" spans="2:13" ht="15" customHeight="1" x14ac:dyDescent="0.15">
      <c r="B139" s="18" t="s">
        <v>153</v>
      </c>
      <c r="C139" s="416">
        <v>45604</v>
      </c>
      <c r="D139" s="412" t="s">
        <v>18</v>
      </c>
      <c r="E139" s="410">
        <v>-2000</v>
      </c>
      <c r="F139" s="20"/>
      <c r="I139" s="18"/>
      <c r="J139" s="19"/>
      <c r="K139" s="19"/>
      <c r="L139" s="27"/>
      <c r="M139" s="20"/>
    </row>
    <row r="140" spans="2:13" ht="15" customHeight="1" x14ac:dyDescent="0.15">
      <c r="B140" s="18" t="s">
        <v>154</v>
      </c>
      <c r="C140" s="19">
        <v>45604</v>
      </c>
      <c r="D140" s="19" t="s">
        <v>18</v>
      </c>
      <c r="E140" s="410">
        <v>-1000</v>
      </c>
      <c r="F140" s="20"/>
      <c r="I140" s="18"/>
      <c r="J140" s="19"/>
      <c r="K140" s="19"/>
      <c r="L140" s="27"/>
      <c r="M140" s="20"/>
    </row>
    <row r="141" spans="2:13" ht="15" customHeight="1" x14ac:dyDescent="0.15">
      <c r="B141" s="29" t="s">
        <v>155</v>
      </c>
      <c r="C141" s="26">
        <v>45604</v>
      </c>
      <c r="D141" s="26" t="s">
        <v>18</v>
      </c>
      <c r="E141" s="27">
        <v>-1000</v>
      </c>
      <c r="F141" s="20"/>
      <c r="I141" s="18"/>
      <c r="J141" s="19"/>
      <c r="K141" s="19"/>
      <c r="L141" s="27"/>
      <c r="M141" s="20"/>
    </row>
    <row r="142" spans="2:13" ht="15" customHeight="1" x14ac:dyDescent="0.15">
      <c r="B142" s="18" t="s">
        <v>156</v>
      </c>
      <c r="C142" s="19">
        <v>45608</v>
      </c>
      <c r="D142" s="19" t="s">
        <v>18</v>
      </c>
      <c r="E142" s="20">
        <v>-7375</v>
      </c>
      <c r="F142" s="20"/>
      <c r="I142" s="18" t="s">
        <v>40</v>
      </c>
      <c r="J142" s="19">
        <v>45513</v>
      </c>
      <c r="K142" s="19" t="s">
        <v>10</v>
      </c>
      <c r="L142" s="27">
        <v>-14000</v>
      </c>
      <c r="M142" s="20"/>
    </row>
    <row r="143" spans="2:13" ht="15" customHeight="1" x14ac:dyDescent="0.15">
      <c r="B143" s="18" t="s">
        <v>157</v>
      </c>
      <c r="C143" s="19">
        <v>45608</v>
      </c>
      <c r="D143" s="19" t="s">
        <v>18</v>
      </c>
      <c r="E143" s="20">
        <v>2848</v>
      </c>
      <c r="F143" s="20"/>
      <c r="I143" s="64"/>
      <c r="J143" s="19"/>
      <c r="K143" s="19"/>
      <c r="L143" s="27"/>
      <c r="M143" s="20"/>
    </row>
    <row r="144" spans="2:13" ht="15" customHeight="1" x14ac:dyDescent="0.15">
      <c r="B144" s="417" t="s">
        <v>158</v>
      </c>
      <c r="C144" s="418">
        <v>45611</v>
      </c>
      <c r="D144" s="418" t="s">
        <v>18</v>
      </c>
      <c r="E144" s="419">
        <v>-3500</v>
      </c>
      <c r="F144" s="20"/>
      <c r="I144" s="64"/>
      <c r="J144" s="19"/>
      <c r="K144" s="19"/>
      <c r="L144" s="27"/>
      <c r="M144" s="20"/>
    </row>
    <row r="145" spans="2:13" ht="15" customHeight="1" x14ac:dyDescent="0.15">
      <c r="B145" s="400" t="s">
        <v>159</v>
      </c>
      <c r="C145" s="403">
        <v>45611</v>
      </c>
      <c r="D145" s="394" t="s">
        <v>18</v>
      </c>
      <c r="E145" s="406">
        <v>-3000</v>
      </c>
      <c r="F145" s="395"/>
      <c r="I145" s="64"/>
      <c r="J145" s="19"/>
      <c r="K145" s="19"/>
      <c r="L145" s="27"/>
      <c r="M145" s="20"/>
    </row>
    <row r="146" spans="2:13" ht="15" customHeight="1" x14ac:dyDescent="0.15">
      <c r="B146" s="401" t="s">
        <v>160</v>
      </c>
      <c r="C146" s="404">
        <v>45621</v>
      </c>
      <c r="D146" s="392" t="s">
        <v>18</v>
      </c>
      <c r="E146" s="407"/>
      <c r="F146" s="397">
        <v>10000</v>
      </c>
      <c r="I146" s="64"/>
      <c r="J146" s="19"/>
      <c r="K146" s="19"/>
      <c r="L146" s="27"/>
      <c r="M146" s="20"/>
    </row>
    <row r="147" spans="2:13" ht="15" customHeight="1" x14ac:dyDescent="0.15">
      <c r="B147" s="396" t="s">
        <v>161</v>
      </c>
      <c r="C147" s="404">
        <v>45623</v>
      </c>
      <c r="D147" s="393" t="s">
        <v>18</v>
      </c>
      <c r="E147" s="408">
        <v>-9000</v>
      </c>
      <c r="F147" s="397"/>
      <c r="I147" s="62" t="s">
        <v>24</v>
      </c>
      <c r="J147" s="19">
        <v>45513</v>
      </c>
      <c r="K147" s="19" t="s">
        <v>10</v>
      </c>
      <c r="L147" s="27">
        <v>-3</v>
      </c>
      <c r="M147" s="20"/>
    </row>
    <row r="148" spans="2:13" ht="15" customHeight="1" x14ac:dyDescent="0.15">
      <c r="B148" s="396" t="s">
        <v>494</v>
      </c>
      <c r="C148" s="404">
        <v>45650</v>
      </c>
      <c r="D148" s="393" t="s">
        <v>18</v>
      </c>
      <c r="E148" s="408">
        <v>-1500</v>
      </c>
      <c r="F148" s="397"/>
      <c r="I148" s="62" t="s">
        <v>143</v>
      </c>
      <c r="J148" s="19">
        <v>45524</v>
      </c>
      <c r="K148" s="19" t="s">
        <v>10</v>
      </c>
      <c r="L148" s="27">
        <v>-65</v>
      </c>
      <c r="M148" s="20"/>
    </row>
    <row r="149" spans="2:13" ht="15" customHeight="1" x14ac:dyDescent="0.15">
      <c r="B149" s="396" t="s">
        <v>497</v>
      </c>
      <c r="C149" s="404">
        <v>45650</v>
      </c>
      <c r="D149" s="393" t="s">
        <v>18</v>
      </c>
      <c r="E149" s="408">
        <v>-9000</v>
      </c>
      <c r="F149" s="397"/>
      <c r="I149" s="15" t="s">
        <v>46</v>
      </c>
      <c r="J149" s="19">
        <v>45528</v>
      </c>
      <c r="K149" s="19" t="s">
        <v>10</v>
      </c>
      <c r="L149" s="27"/>
      <c r="M149" s="20">
        <v>17921</v>
      </c>
    </row>
    <row r="150" spans="2:13" ht="15" customHeight="1" x14ac:dyDescent="0.15">
      <c r="B150" s="396" t="s">
        <v>508</v>
      </c>
      <c r="C150" s="404">
        <v>45660</v>
      </c>
      <c r="D150" s="393" t="s">
        <v>18</v>
      </c>
      <c r="E150" s="408">
        <v>-6700</v>
      </c>
      <c r="F150" s="397"/>
      <c r="I150" s="18" t="s">
        <v>44</v>
      </c>
      <c r="J150" s="19">
        <v>45530</v>
      </c>
      <c r="K150" s="19" t="s">
        <v>10</v>
      </c>
      <c r="L150" s="27"/>
      <c r="M150" s="20">
        <v>11404.47</v>
      </c>
    </row>
    <row r="151" spans="2:13" ht="15" customHeight="1" x14ac:dyDescent="0.15">
      <c r="B151" s="396" t="s">
        <v>509</v>
      </c>
      <c r="C151" s="404">
        <v>45660</v>
      </c>
      <c r="D151" s="393" t="s">
        <v>18</v>
      </c>
      <c r="E151" s="430">
        <v>-1150</v>
      </c>
      <c r="F151" s="397"/>
      <c r="I151" s="18" t="s">
        <v>162</v>
      </c>
      <c r="J151" s="19">
        <v>45531</v>
      </c>
      <c r="K151" s="19" t="s">
        <v>10</v>
      </c>
      <c r="L151" s="27">
        <v>-800.4</v>
      </c>
      <c r="M151" s="20"/>
    </row>
    <row r="152" spans="2:13" ht="15" customHeight="1" x14ac:dyDescent="0.15">
      <c r="B152" s="396"/>
      <c r="C152" s="404"/>
      <c r="D152" s="393" t="s">
        <v>18</v>
      </c>
      <c r="E152" s="408"/>
      <c r="F152" s="397"/>
      <c r="I152" s="18" t="s">
        <v>163</v>
      </c>
      <c r="J152" s="19">
        <v>45531</v>
      </c>
      <c r="K152" s="19" t="s">
        <v>10</v>
      </c>
      <c r="L152" s="27">
        <v>-1000</v>
      </c>
      <c r="M152" s="20"/>
    </row>
    <row r="153" spans="2:13" ht="15" customHeight="1" x14ac:dyDescent="0.15">
      <c r="B153" s="396"/>
      <c r="C153" s="404"/>
      <c r="D153" s="393" t="s">
        <v>18</v>
      </c>
      <c r="E153" s="408"/>
      <c r="F153" s="397"/>
      <c r="I153" s="18" t="s">
        <v>164</v>
      </c>
      <c r="J153" s="19">
        <v>45531</v>
      </c>
      <c r="K153" s="19" t="s">
        <v>10</v>
      </c>
      <c r="L153" s="27">
        <v>-3600</v>
      </c>
      <c r="M153" s="20"/>
    </row>
    <row r="154" spans="2:13" ht="15" customHeight="1" x14ac:dyDescent="0.15">
      <c r="B154" s="396"/>
      <c r="C154" s="404"/>
      <c r="D154" s="393" t="s">
        <v>18</v>
      </c>
      <c r="E154" s="408"/>
      <c r="F154" s="397"/>
      <c r="I154" s="18" t="s">
        <v>165</v>
      </c>
      <c r="J154" s="19">
        <v>45533</v>
      </c>
      <c r="K154" s="19" t="s">
        <v>10</v>
      </c>
      <c r="L154" s="27">
        <v>-2000</v>
      </c>
      <c r="M154" s="20"/>
    </row>
    <row r="155" spans="2:13" ht="15" customHeight="1" x14ac:dyDescent="0.15">
      <c r="B155" s="396"/>
      <c r="C155" s="404"/>
      <c r="D155" s="393" t="s">
        <v>18</v>
      </c>
      <c r="E155" s="408"/>
      <c r="F155" s="397"/>
      <c r="I155" s="62" t="s">
        <v>24</v>
      </c>
      <c r="J155" s="19">
        <v>45531</v>
      </c>
      <c r="K155" s="19" t="s">
        <v>10</v>
      </c>
      <c r="L155" s="27">
        <v>-9.9</v>
      </c>
      <c r="M155" s="20"/>
    </row>
    <row r="156" spans="2:13" ht="15" customHeight="1" x14ac:dyDescent="0.15">
      <c r="B156" s="396"/>
      <c r="C156" s="404"/>
      <c r="D156" s="393" t="s">
        <v>18</v>
      </c>
      <c r="E156" s="408"/>
      <c r="F156" s="397"/>
      <c r="I156" s="18" t="s">
        <v>111</v>
      </c>
      <c r="J156" s="19">
        <v>45531</v>
      </c>
      <c r="K156" s="19" t="s">
        <v>10</v>
      </c>
      <c r="L156" s="27">
        <v>-65</v>
      </c>
      <c r="M156" s="20"/>
    </row>
    <row r="157" spans="2:13" ht="15" customHeight="1" x14ac:dyDescent="0.15">
      <c r="B157" s="396"/>
      <c r="C157" s="404"/>
      <c r="D157" s="393" t="s">
        <v>18</v>
      </c>
      <c r="E157" s="408"/>
      <c r="F157" s="397"/>
      <c r="I157" s="18" t="s">
        <v>166</v>
      </c>
      <c r="J157" s="19">
        <v>45552</v>
      </c>
      <c r="K157" s="19" t="s">
        <v>10</v>
      </c>
      <c r="L157" s="27">
        <v>-837.77</v>
      </c>
      <c r="M157" s="20"/>
    </row>
    <row r="158" spans="2:13" ht="15" customHeight="1" x14ac:dyDescent="0.15">
      <c r="B158" s="396"/>
      <c r="C158" s="404"/>
      <c r="D158" s="393" t="s">
        <v>18</v>
      </c>
      <c r="E158" s="408"/>
      <c r="F158" s="397"/>
      <c r="I158" s="18" t="s">
        <v>167</v>
      </c>
      <c r="J158" s="19">
        <v>45552</v>
      </c>
      <c r="K158" s="19" t="s">
        <v>10</v>
      </c>
      <c r="L158" s="27">
        <v>-1000</v>
      </c>
      <c r="M158" s="20"/>
    </row>
    <row r="159" spans="2:13" ht="15" customHeight="1" x14ac:dyDescent="0.15">
      <c r="B159" s="402"/>
      <c r="C159" s="405"/>
      <c r="D159" s="398"/>
      <c r="E159" s="409"/>
      <c r="F159" s="399"/>
      <c r="I159" s="64" t="s">
        <v>143</v>
      </c>
      <c r="J159" s="19">
        <v>45553</v>
      </c>
      <c r="K159" s="19" t="s">
        <v>10</v>
      </c>
      <c r="L159" s="27">
        <v>-65</v>
      </c>
      <c r="M159" s="20"/>
    </row>
    <row r="160" spans="2:13" ht="15" customHeight="1" x14ac:dyDescent="0.15">
      <c r="B160" s="65"/>
      <c r="C160" s="3"/>
      <c r="D160" s="3"/>
      <c r="E160" s="23"/>
      <c r="F160" s="23"/>
      <c r="I160" s="64" t="s">
        <v>24</v>
      </c>
      <c r="J160" s="19">
        <v>45555</v>
      </c>
      <c r="K160" s="19" t="s">
        <v>10</v>
      </c>
      <c r="L160" s="27">
        <v>-1.5</v>
      </c>
      <c r="M160" s="20"/>
    </row>
    <row r="161" spans="2:13" ht="15" customHeight="1" x14ac:dyDescent="0.15">
      <c r="B161" s="65"/>
      <c r="C161" s="3"/>
      <c r="D161" s="3"/>
      <c r="E161" s="23"/>
      <c r="F161" s="23"/>
      <c r="I161" s="62" t="s">
        <v>40</v>
      </c>
      <c r="J161" s="19">
        <v>45565</v>
      </c>
      <c r="K161" s="19" t="s">
        <v>10</v>
      </c>
      <c r="L161" s="27">
        <v>-25000</v>
      </c>
      <c r="M161" s="20"/>
    </row>
    <row r="162" spans="2:13" ht="15" customHeight="1" x14ac:dyDescent="0.15">
      <c r="B162" s="65"/>
      <c r="C162" s="3"/>
      <c r="D162" s="3"/>
      <c r="E162" s="23"/>
      <c r="F162" s="23"/>
      <c r="I162" s="18" t="s">
        <v>111</v>
      </c>
      <c r="J162" s="19">
        <v>45567</v>
      </c>
      <c r="K162" s="19" t="s">
        <v>10</v>
      </c>
      <c r="L162" s="27">
        <v>-65</v>
      </c>
      <c r="M162" s="20"/>
    </row>
    <row r="163" spans="2:13" ht="15" customHeight="1" x14ac:dyDescent="0.15">
      <c r="B163" s="65"/>
      <c r="C163" s="3"/>
      <c r="D163" s="3"/>
      <c r="E163" s="23"/>
      <c r="F163" s="23"/>
      <c r="I163" s="15" t="s">
        <v>46</v>
      </c>
      <c r="J163" s="19">
        <v>45570</v>
      </c>
      <c r="K163" s="19" t="s">
        <v>10</v>
      </c>
      <c r="L163" s="27"/>
      <c r="M163" s="20">
        <v>33699.019999999997</v>
      </c>
    </row>
    <row r="164" spans="2:13" ht="15" customHeight="1" x14ac:dyDescent="0.15">
      <c r="B164" s="65"/>
      <c r="C164" s="3"/>
      <c r="D164" s="3"/>
      <c r="E164" s="23"/>
      <c r="F164" s="23"/>
      <c r="I164" s="18" t="s">
        <v>48</v>
      </c>
      <c r="J164" s="19">
        <v>45572</v>
      </c>
      <c r="K164" s="19" t="s">
        <v>10</v>
      </c>
      <c r="L164" s="27"/>
      <c r="M164" s="20">
        <v>16108.65</v>
      </c>
    </row>
    <row r="165" spans="2:13" ht="15" customHeight="1" x14ac:dyDescent="0.15">
      <c r="B165" s="65"/>
      <c r="C165" s="3"/>
      <c r="D165" s="3"/>
      <c r="E165" s="23"/>
      <c r="F165" s="23"/>
      <c r="I165" s="18" t="s">
        <v>44</v>
      </c>
      <c r="J165" s="19">
        <v>45579</v>
      </c>
      <c r="K165" s="19" t="s">
        <v>10</v>
      </c>
      <c r="L165" s="27"/>
      <c r="M165" s="20">
        <v>21455.21</v>
      </c>
    </row>
    <row r="166" spans="2:13" ht="15" customHeight="1" x14ac:dyDescent="0.15">
      <c r="B166" s="65"/>
      <c r="C166" s="3"/>
      <c r="D166" s="3"/>
      <c r="E166" s="23"/>
      <c r="F166" s="23"/>
      <c r="I166" s="64" t="s">
        <v>143</v>
      </c>
      <c r="J166" s="19">
        <v>45587</v>
      </c>
      <c r="K166" s="19" t="s">
        <v>10</v>
      </c>
      <c r="L166" s="27">
        <v>-65</v>
      </c>
      <c r="M166" s="20"/>
    </row>
    <row r="167" spans="2:13" ht="15" customHeight="1" x14ac:dyDescent="0.15">
      <c r="B167" s="65"/>
      <c r="C167" s="3"/>
      <c r="D167" s="3"/>
      <c r="E167" s="23"/>
      <c r="F167" s="23"/>
      <c r="I167" s="64" t="s">
        <v>165</v>
      </c>
      <c r="J167" s="19">
        <v>45589</v>
      </c>
      <c r="K167" s="19" t="s">
        <v>10</v>
      </c>
      <c r="L167" s="27">
        <v>-2000</v>
      </c>
      <c r="M167" s="20"/>
    </row>
    <row r="168" spans="2:13" ht="15" customHeight="1" x14ac:dyDescent="0.15">
      <c r="B168" s="65"/>
      <c r="C168" s="3"/>
      <c r="D168" s="3"/>
      <c r="E168" s="23"/>
      <c r="F168" s="23"/>
      <c r="I168" s="64" t="s">
        <v>24</v>
      </c>
      <c r="J168" s="19">
        <v>45590</v>
      </c>
      <c r="K168" s="19" t="s">
        <v>10</v>
      </c>
      <c r="L168" s="27">
        <v>-3</v>
      </c>
      <c r="M168" s="20"/>
    </row>
    <row r="169" spans="2:13" ht="15" customHeight="1" x14ac:dyDescent="0.15">
      <c r="B169" s="65"/>
      <c r="C169" s="3"/>
      <c r="D169" s="3"/>
      <c r="E169" s="23"/>
      <c r="F169" s="23"/>
      <c r="I169" s="64" t="s">
        <v>168</v>
      </c>
      <c r="J169" s="19">
        <v>45593</v>
      </c>
      <c r="K169" s="19" t="s">
        <v>10</v>
      </c>
      <c r="L169" s="27">
        <v>-7200</v>
      </c>
      <c r="M169" s="20"/>
    </row>
    <row r="170" spans="2:13" ht="15" customHeight="1" x14ac:dyDescent="0.15">
      <c r="B170" s="65"/>
      <c r="C170" s="3"/>
      <c r="D170" s="3"/>
      <c r="E170" s="23"/>
      <c r="F170" s="23"/>
      <c r="I170" s="64" t="s">
        <v>169</v>
      </c>
      <c r="J170" s="19">
        <v>45593</v>
      </c>
      <c r="K170" s="19" t="s">
        <v>10</v>
      </c>
      <c r="L170" s="27">
        <v>-643.41999999999996</v>
      </c>
      <c r="M170" s="20"/>
    </row>
    <row r="171" spans="2:13" ht="15" customHeight="1" x14ac:dyDescent="0.15">
      <c r="B171" s="65"/>
      <c r="C171" s="3"/>
      <c r="D171" s="3"/>
      <c r="E171" s="23"/>
      <c r="F171" s="23"/>
      <c r="I171" s="18" t="s">
        <v>170</v>
      </c>
      <c r="J171" s="19">
        <v>45593</v>
      </c>
      <c r="K171" s="19" t="s">
        <v>10</v>
      </c>
      <c r="L171" s="27">
        <v>-1000</v>
      </c>
      <c r="M171" s="20"/>
    </row>
    <row r="172" spans="2:13" ht="15" customHeight="1" x14ac:dyDescent="0.15">
      <c r="B172" s="65"/>
      <c r="C172" s="3"/>
      <c r="D172" s="3"/>
      <c r="E172" s="23"/>
      <c r="F172" s="23"/>
      <c r="I172" s="64" t="s">
        <v>165</v>
      </c>
      <c r="J172" s="19">
        <v>45595</v>
      </c>
      <c r="K172" s="19" t="s">
        <v>10</v>
      </c>
      <c r="L172" s="27">
        <v>-2000</v>
      </c>
      <c r="M172" s="20"/>
    </row>
    <row r="173" spans="2:13" ht="15" customHeight="1" x14ac:dyDescent="0.15">
      <c r="B173" s="65"/>
      <c r="C173" s="3"/>
      <c r="D173" s="3"/>
      <c r="E173" s="23"/>
      <c r="F173" s="23"/>
      <c r="I173" s="64" t="s">
        <v>171</v>
      </c>
      <c r="J173" s="19">
        <v>45597</v>
      </c>
      <c r="K173" s="19" t="s">
        <v>10</v>
      </c>
      <c r="L173" s="27">
        <v>-3000</v>
      </c>
      <c r="M173" s="20"/>
    </row>
    <row r="174" spans="2:13" ht="15" customHeight="1" x14ac:dyDescent="0.15">
      <c r="B174" s="65"/>
      <c r="C174" s="3"/>
      <c r="D174" s="3"/>
      <c r="E174" s="23"/>
      <c r="F174" s="23"/>
      <c r="I174" s="64" t="s">
        <v>24</v>
      </c>
      <c r="J174" s="19">
        <v>45597</v>
      </c>
      <c r="K174" s="19" t="s">
        <v>10</v>
      </c>
      <c r="L174" s="27">
        <v>-15.3</v>
      </c>
      <c r="M174" s="20"/>
    </row>
    <row r="175" spans="2:13" ht="15" customHeight="1" x14ac:dyDescent="0.15">
      <c r="B175" s="65"/>
      <c r="C175" s="3"/>
      <c r="D175" s="3"/>
      <c r="E175" s="23"/>
      <c r="F175" s="23"/>
      <c r="I175" s="18" t="s">
        <v>111</v>
      </c>
      <c r="J175" s="19">
        <v>45597</v>
      </c>
      <c r="K175" s="19" t="s">
        <v>10</v>
      </c>
      <c r="L175" s="27">
        <v>-65</v>
      </c>
      <c r="M175" s="20"/>
    </row>
    <row r="176" spans="2:13" ht="15" customHeight="1" x14ac:dyDescent="0.15">
      <c r="B176" s="65"/>
      <c r="C176" s="3"/>
      <c r="D176" s="3"/>
      <c r="E176" s="23"/>
      <c r="F176" s="23"/>
      <c r="I176" s="66" t="s">
        <v>165</v>
      </c>
      <c r="J176" s="26">
        <v>45600</v>
      </c>
      <c r="K176" s="26" t="s">
        <v>10</v>
      </c>
      <c r="L176" s="27">
        <v>-2000</v>
      </c>
      <c r="M176" s="20"/>
    </row>
    <row r="177" spans="2:13" ht="15" customHeight="1" x14ac:dyDescent="0.15">
      <c r="B177" s="65"/>
      <c r="C177" s="3"/>
      <c r="D177" s="3"/>
      <c r="E177" s="23"/>
      <c r="F177" s="23"/>
      <c r="I177" s="66" t="s">
        <v>24</v>
      </c>
      <c r="J177" s="26">
        <v>45604</v>
      </c>
      <c r="K177" s="19" t="s">
        <v>10</v>
      </c>
      <c r="L177" s="27">
        <v>-7.5</v>
      </c>
      <c r="M177" s="20"/>
    </row>
    <row r="178" spans="2:13" ht="15" customHeight="1" x14ac:dyDescent="0.15">
      <c r="B178" s="65"/>
      <c r="C178" s="3"/>
      <c r="D178" s="3"/>
      <c r="E178" s="23"/>
      <c r="F178" s="23"/>
      <c r="I178" s="64" t="s">
        <v>165</v>
      </c>
      <c r="J178" s="19">
        <v>45608</v>
      </c>
      <c r="K178" s="19" t="s">
        <v>10</v>
      </c>
      <c r="L178" s="27">
        <v>-2000</v>
      </c>
      <c r="M178" s="20"/>
    </row>
    <row r="179" spans="2:13" ht="15" customHeight="1" x14ac:dyDescent="0.15">
      <c r="B179" s="65"/>
      <c r="C179" s="3"/>
      <c r="D179" s="3"/>
      <c r="E179" s="23"/>
      <c r="F179" s="23"/>
      <c r="I179" s="64" t="s">
        <v>24</v>
      </c>
      <c r="J179" s="19">
        <v>45611</v>
      </c>
      <c r="K179" s="19" t="s">
        <v>10</v>
      </c>
      <c r="L179" s="27">
        <v>-3</v>
      </c>
      <c r="M179" s="20"/>
    </row>
    <row r="180" spans="2:13" ht="15" customHeight="1" x14ac:dyDescent="0.15">
      <c r="B180" s="65"/>
      <c r="C180" s="3"/>
      <c r="D180" s="3"/>
      <c r="E180" s="23"/>
      <c r="F180" s="23"/>
      <c r="I180" s="64" t="s">
        <v>100</v>
      </c>
      <c r="J180" s="19">
        <v>45612</v>
      </c>
      <c r="K180" s="19" t="s">
        <v>10</v>
      </c>
      <c r="L180" s="27">
        <v>-1000</v>
      </c>
      <c r="M180" s="20"/>
    </row>
    <row r="181" spans="2:13" ht="15" customHeight="1" x14ac:dyDescent="0.15">
      <c r="B181" s="65"/>
      <c r="C181" s="3"/>
      <c r="D181" s="3"/>
      <c r="E181" s="23"/>
      <c r="F181" s="23"/>
      <c r="I181" s="64" t="s">
        <v>172</v>
      </c>
      <c r="J181" s="19">
        <v>45612</v>
      </c>
      <c r="K181" s="19" t="s">
        <v>10</v>
      </c>
      <c r="L181" s="27">
        <v>-40933.71</v>
      </c>
      <c r="M181" s="20"/>
    </row>
    <row r="182" spans="2:13" ht="15" customHeight="1" x14ac:dyDescent="0.15">
      <c r="B182" s="65"/>
      <c r="C182" s="3"/>
      <c r="D182" s="3"/>
      <c r="E182" s="23"/>
      <c r="F182" s="23"/>
      <c r="I182" s="64" t="s">
        <v>173</v>
      </c>
      <c r="J182" s="19">
        <v>45615</v>
      </c>
      <c r="K182" s="19" t="s">
        <v>10</v>
      </c>
      <c r="L182" s="27">
        <v>-3000</v>
      </c>
      <c r="M182" s="20"/>
    </row>
    <row r="183" spans="2:13" ht="15" customHeight="1" x14ac:dyDescent="0.15">
      <c r="B183" s="65"/>
      <c r="C183" s="3"/>
      <c r="D183" s="3"/>
      <c r="E183" s="23"/>
      <c r="F183" s="23"/>
      <c r="I183" s="18" t="s">
        <v>111</v>
      </c>
      <c r="J183" s="19">
        <v>45615</v>
      </c>
      <c r="K183" s="19" t="s">
        <v>10</v>
      </c>
      <c r="L183" s="27">
        <v>-65</v>
      </c>
      <c r="M183" s="20"/>
    </row>
    <row r="184" spans="2:13" ht="15" customHeight="1" x14ac:dyDescent="0.15">
      <c r="B184" s="65"/>
      <c r="C184" s="3"/>
      <c r="D184" s="3"/>
      <c r="E184" s="23"/>
      <c r="F184" s="23"/>
      <c r="I184" s="64" t="s">
        <v>24</v>
      </c>
      <c r="J184" s="19">
        <v>45618</v>
      </c>
      <c r="K184" s="19" t="s">
        <v>10</v>
      </c>
      <c r="L184" s="27">
        <v>-67.400000000000006</v>
      </c>
      <c r="M184" s="20"/>
    </row>
    <row r="185" spans="2:13" ht="15" customHeight="1" x14ac:dyDescent="0.15">
      <c r="B185" s="65"/>
      <c r="C185" s="3"/>
      <c r="D185" s="3"/>
      <c r="E185" s="23"/>
      <c r="F185" s="23"/>
      <c r="I185" s="64" t="s">
        <v>174</v>
      </c>
      <c r="J185" s="19">
        <v>45623</v>
      </c>
      <c r="K185" s="19" t="s">
        <v>10</v>
      </c>
      <c r="L185" s="27">
        <v>-2000</v>
      </c>
      <c r="M185" s="20"/>
    </row>
    <row r="186" spans="2:13" ht="15" customHeight="1" x14ac:dyDescent="0.15">
      <c r="B186" s="65"/>
      <c r="C186" s="3"/>
      <c r="D186" s="3"/>
      <c r="E186" s="23"/>
      <c r="F186" s="23"/>
      <c r="I186" s="64" t="s">
        <v>175</v>
      </c>
      <c r="J186" s="19">
        <v>45623</v>
      </c>
      <c r="K186" s="19" t="s">
        <v>10</v>
      </c>
      <c r="L186" s="27">
        <v>-591.1</v>
      </c>
      <c r="M186" s="20"/>
    </row>
    <row r="187" spans="2:13" ht="15" customHeight="1" x14ac:dyDescent="0.15">
      <c r="B187" s="65"/>
      <c r="C187" s="3"/>
      <c r="D187" s="3"/>
      <c r="E187" s="23"/>
      <c r="F187" s="23"/>
      <c r="I187" s="64" t="s">
        <v>176</v>
      </c>
      <c r="J187" s="19">
        <v>45623</v>
      </c>
      <c r="K187" s="19" t="s">
        <v>10</v>
      </c>
      <c r="L187" s="67">
        <v>-6000</v>
      </c>
      <c r="M187" s="20"/>
    </row>
    <row r="188" spans="2:13" ht="15" customHeight="1" x14ac:dyDescent="0.15">
      <c r="B188" s="65"/>
      <c r="C188" s="3"/>
      <c r="D188" s="3"/>
      <c r="E188" s="23"/>
      <c r="F188" s="23"/>
      <c r="I188" s="64" t="s">
        <v>24</v>
      </c>
      <c r="J188" s="414">
        <v>45625</v>
      </c>
      <c r="K188" s="414" t="s">
        <v>10</v>
      </c>
      <c r="L188" s="67">
        <v>-3</v>
      </c>
      <c r="M188" s="422"/>
    </row>
    <row r="189" spans="2:13" ht="15" customHeight="1" x14ac:dyDescent="0.15">
      <c r="B189" s="65"/>
      <c r="C189" s="3"/>
      <c r="D189" s="3"/>
      <c r="E189" s="23"/>
      <c r="F189" s="23"/>
      <c r="I189" s="68" t="s">
        <v>177</v>
      </c>
      <c r="J189" s="69">
        <v>45626</v>
      </c>
      <c r="K189" s="70" t="s">
        <v>10</v>
      </c>
      <c r="L189" s="67">
        <v>-3600</v>
      </c>
      <c r="M189" s="20"/>
    </row>
    <row r="190" spans="2:13" ht="15" customHeight="1" x14ac:dyDescent="0.15">
      <c r="B190" s="65"/>
      <c r="C190" s="3"/>
      <c r="D190" s="3"/>
      <c r="E190" s="23"/>
      <c r="F190" s="23"/>
      <c r="I190" s="68" t="s">
        <v>178</v>
      </c>
      <c r="J190" s="69">
        <v>45626</v>
      </c>
      <c r="K190" s="70" t="s">
        <v>10</v>
      </c>
      <c r="L190" s="67">
        <v>-1000</v>
      </c>
      <c r="M190" s="20"/>
    </row>
    <row r="191" spans="2:13" ht="15" customHeight="1" x14ac:dyDescent="0.15">
      <c r="B191" s="65"/>
      <c r="C191" s="3"/>
      <c r="D191" s="3"/>
      <c r="E191" s="23"/>
      <c r="F191" s="23"/>
      <c r="I191" s="18" t="s">
        <v>111</v>
      </c>
      <c r="J191" s="19">
        <v>45629</v>
      </c>
      <c r="K191" s="19" t="s">
        <v>10</v>
      </c>
      <c r="L191" s="27">
        <v>-65</v>
      </c>
      <c r="M191" s="20"/>
    </row>
    <row r="192" spans="2:13" ht="15" customHeight="1" x14ac:dyDescent="0.15">
      <c r="B192" s="65"/>
      <c r="C192" s="3"/>
      <c r="D192" s="3"/>
      <c r="E192" s="23"/>
      <c r="F192" s="23"/>
      <c r="I192" s="64" t="s">
        <v>489</v>
      </c>
      <c r="J192" s="19">
        <v>45638</v>
      </c>
      <c r="K192" s="19" t="s">
        <v>10</v>
      </c>
      <c r="L192" s="27">
        <v>-897.57</v>
      </c>
      <c r="M192" s="20"/>
    </row>
    <row r="193" spans="1:26" s="391" customFormat="1" ht="15" customHeight="1" x14ac:dyDescent="0.15">
      <c r="B193" s="65"/>
      <c r="C193" s="3"/>
      <c r="D193" s="3"/>
      <c r="E193" s="23"/>
      <c r="F193" s="23"/>
      <c r="I193" s="423" t="s">
        <v>100</v>
      </c>
      <c r="J193" s="414">
        <v>45644</v>
      </c>
      <c r="K193" s="414" t="s">
        <v>10</v>
      </c>
      <c r="L193" s="27">
        <v>-1000</v>
      </c>
      <c r="M193" s="422"/>
    </row>
    <row r="194" spans="1:26" s="391" customFormat="1" ht="15" customHeight="1" x14ac:dyDescent="0.15">
      <c r="B194" s="65"/>
      <c r="C194" s="3"/>
      <c r="D194" s="3"/>
      <c r="E194" s="23"/>
      <c r="F194" s="23"/>
      <c r="I194" s="423" t="s">
        <v>491</v>
      </c>
      <c r="J194" s="414">
        <v>45645</v>
      </c>
      <c r="K194" s="414" t="s">
        <v>10</v>
      </c>
      <c r="L194" s="27">
        <v>-1000</v>
      </c>
      <c r="M194" s="422"/>
    </row>
    <row r="195" spans="1:26" s="391" customFormat="1" ht="15" customHeight="1" x14ac:dyDescent="0.15">
      <c r="B195" s="65"/>
      <c r="C195" s="3"/>
      <c r="D195" s="3"/>
      <c r="E195" s="23"/>
      <c r="F195" s="23"/>
      <c r="I195" s="423" t="s">
        <v>491</v>
      </c>
      <c r="J195" s="414">
        <v>45647</v>
      </c>
      <c r="K195" s="414" t="s">
        <v>10</v>
      </c>
      <c r="L195" s="27">
        <v>-1000</v>
      </c>
      <c r="M195" s="422"/>
    </row>
    <row r="196" spans="1:26" s="391" customFormat="1" ht="15" customHeight="1" x14ac:dyDescent="0.15">
      <c r="B196" s="65"/>
      <c r="C196" s="3"/>
      <c r="D196" s="3"/>
      <c r="E196" s="23"/>
      <c r="F196" s="23"/>
      <c r="I196" s="423" t="s">
        <v>100</v>
      </c>
      <c r="J196" s="414">
        <v>45649</v>
      </c>
      <c r="K196" s="414" t="s">
        <v>10</v>
      </c>
      <c r="L196" s="27">
        <v>-1000</v>
      </c>
      <c r="M196" s="422"/>
    </row>
    <row r="197" spans="1:26" s="391" customFormat="1" ht="15" customHeight="1" x14ac:dyDescent="0.15">
      <c r="B197" s="65"/>
      <c r="C197" s="3"/>
      <c r="D197" s="3"/>
      <c r="E197" s="23"/>
      <c r="F197" s="23"/>
      <c r="I197" s="424" t="s">
        <v>493</v>
      </c>
      <c r="J197" s="414">
        <v>45649</v>
      </c>
      <c r="K197" s="414" t="s">
        <v>10</v>
      </c>
      <c r="L197" s="27">
        <v>-4500</v>
      </c>
      <c r="M197" s="422"/>
    </row>
    <row r="198" spans="1:26" s="391" customFormat="1" ht="15" customHeight="1" x14ac:dyDescent="0.15">
      <c r="B198" s="65"/>
      <c r="C198" s="3"/>
      <c r="D198" s="3"/>
      <c r="E198" s="23"/>
      <c r="F198" s="23"/>
      <c r="I198" s="424" t="s">
        <v>495</v>
      </c>
      <c r="J198" s="414">
        <v>45650</v>
      </c>
      <c r="K198" s="414" t="s">
        <v>10</v>
      </c>
      <c r="L198" s="27">
        <v>-6000</v>
      </c>
      <c r="M198" s="422"/>
    </row>
    <row r="199" spans="1:26" s="391" customFormat="1" ht="15" customHeight="1" x14ac:dyDescent="0.15">
      <c r="B199" s="65"/>
      <c r="C199" s="3"/>
      <c r="D199" s="3"/>
      <c r="E199" s="23"/>
      <c r="F199" s="23"/>
      <c r="I199" s="423" t="s">
        <v>496</v>
      </c>
      <c r="J199" s="414">
        <v>45652</v>
      </c>
      <c r="K199" s="414" t="s">
        <v>10</v>
      </c>
      <c r="L199" s="27">
        <v>-2000</v>
      </c>
      <c r="M199" s="422"/>
    </row>
    <row r="200" spans="1:26" s="391" customFormat="1" ht="15" customHeight="1" x14ac:dyDescent="0.15">
      <c r="B200" s="65"/>
      <c r="C200" s="3"/>
      <c r="D200" s="3"/>
      <c r="E200" s="23"/>
      <c r="F200" s="23"/>
      <c r="I200" s="423" t="s">
        <v>496</v>
      </c>
      <c r="J200" s="414">
        <v>45652</v>
      </c>
      <c r="K200" s="414" t="s">
        <v>10</v>
      </c>
      <c r="L200" s="27">
        <v>-2000</v>
      </c>
      <c r="M200" s="422"/>
    </row>
    <row r="201" spans="1:26" s="391" customFormat="1" ht="15" customHeight="1" x14ac:dyDescent="0.15">
      <c r="B201" s="65"/>
      <c r="C201" s="3"/>
      <c r="D201" s="3"/>
      <c r="E201" s="23"/>
      <c r="F201" s="23"/>
      <c r="I201" s="420" t="s">
        <v>516</v>
      </c>
      <c r="J201" s="414">
        <v>45654</v>
      </c>
      <c r="K201" s="414" t="s">
        <v>10</v>
      </c>
      <c r="L201" s="27">
        <v>-36205.11</v>
      </c>
      <c r="M201" s="422"/>
    </row>
    <row r="202" spans="1:26" ht="15" customHeight="1" x14ac:dyDescent="0.15">
      <c r="B202" s="65"/>
      <c r="C202" s="3"/>
      <c r="D202" s="3"/>
      <c r="E202" s="23"/>
      <c r="F202" s="23"/>
      <c r="I202" s="64"/>
      <c r="J202" s="19"/>
      <c r="K202" s="19"/>
      <c r="L202" s="27"/>
      <c r="M202" s="20"/>
    </row>
    <row r="203" spans="1:26" ht="15" customHeight="1" x14ac:dyDescent="0.15">
      <c r="B203" s="65"/>
      <c r="C203" s="3"/>
      <c r="D203" s="3"/>
      <c r="E203" s="23"/>
      <c r="F203" s="23"/>
      <c r="I203" s="64"/>
      <c r="J203" s="19"/>
      <c r="K203" s="19"/>
      <c r="L203" s="27"/>
      <c r="M203" s="20"/>
    </row>
    <row r="204" spans="1:26" ht="15" customHeight="1" x14ac:dyDescent="0.15">
      <c r="A204" s="34"/>
      <c r="B204" s="35"/>
      <c r="C204" s="36"/>
      <c r="D204" s="37" t="s">
        <v>12</v>
      </c>
      <c r="E204" s="38">
        <f>SUBTOTAL(109,E10:E159)</f>
        <v>-517126.88999999996</v>
      </c>
      <c r="F204" s="38">
        <f>SUBTOTAL(109,F10:F159)</f>
        <v>531426.8899999999</v>
      </c>
      <c r="G204" s="34"/>
      <c r="H204" s="34"/>
      <c r="I204" s="35"/>
      <c r="J204" s="36"/>
      <c r="K204" s="37" t="s">
        <v>12</v>
      </c>
      <c r="L204" s="38">
        <f>SUM(L10:L201)</f>
        <v>-802924.77</v>
      </c>
      <c r="M204" s="38">
        <f>SUM(M10:M171)</f>
        <v>809282.71</v>
      </c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5" customHeight="1" x14ac:dyDescent="0.15">
      <c r="B205" s="2"/>
      <c r="C205" s="3"/>
      <c r="D205" s="3"/>
      <c r="E205" s="23"/>
      <c r="F205" s="23"/>
      <c r="I205" s="2"/>
      <c r="J205" s="3"/>
      <c r="K205" s="3"/>
      <c r="L205" s="23"/>
      <c r="M205" s="23"/>
    </row>
    <row r="206" spans="1:26" ht="15" customHeight="1" x14ac:dyDescent="0.15">
      <c r="B206" s="35" t="s">
        <v>13</v>
      </c>
      <c r="C206" s="3"/>
      <c r="D206" s="3"/>
      <c r="E206" s="39">
        <f>E204</f>
        <v>-517126.88999999996</v>
      </c>
      <c r="F206" s="23"/>
      <c r="I206" s="35" t="s">
        <v>13</v>
      </c>
      <c r="J206" s="3"/>
      <c r="K206" s="3"/>
      <c r="L206" s="39">
        <f>L204</f>
        <v>-802924.77</v>
      </c>
      <c r="M206" s="23"/>
    </row>
    <row r="207" spans="1:26" ht="15" customHeight="1" x14ac:dyDescent="0.15">
      <c r="B207" s="35" t="s">
        <v>14</v>
      </c>
      <c r="C207" s="3"/>
      <c r="D207" s="3"/>
      <c r="E207" s="39"/>
      <c r="F207" s="39">
        <f>F204</f>
        <v>531426.8899999999</v>
      </c>
      <c r="I207" s="35" t="s">
        <v>14</v>
      </c>
      <c r="J207" s="3"/>
      <c r="K207" s="3"/>
      <c r="L207" s="39"/>
      <c r="M207" s="39">
        <f>M204</f>
        <v>809282.71</v>
      </c>
    </row>
    <row r="208" spans="1:26" ht="12" customHeight="1" x14ac:dyDescent="0.15">
      <c r="B208" s="40" t="s">
        <v>15</v>
      </c>
      <c r="C208" s="41"/>
      <c r="D208" s="42"/>
      <c r="E208" s="43"/>
      <c r="F208" s="43">
        <f>F207+E206</f>
        <v>14299.999999999942</v>
      </c>
      <c r="I208" s="71" t="s">
        <v>15</v>
      </c>
      <c r="J208" s="72"/>
      <c r="K208" s="73"/>
      <c r="L208" s="74"/>
      <c r="M208" s="74">
        <f>M207+L206</f>
        <v>6357.9399999999441</v>
      </c>
    </row>
    <row r="209" spans="2:13" ht="12" customHeight="1" x14ac:dyDescent="0.15">
      <c r="B209" s="35"/>
      <c r="C209" s="3"/>
      <c r="D209" s="3"/>
      <c r="E209" s="75"/>
      <c r="F209" s="75"/>
      <c r="I209" s="35"/>
      <c r="J209" s="3"/>
      <c r="K209" s="3"/>
      <c r="L209" s="75"/>
      <c r="M209" s="75"/>
    </row>
    <row r="210" spans="2:13" ht="12" customHeight="1" x14ac:dyDescent="0.15">
      <c r="B210" s="76" t="s">
        <v>179</v>
      </c>
      <c r="C210" s="77">
        <v>45657</v>
      </c>
      <c r="D210" s="77"/>
      <c r="E210" s="78"/>
      <c r="F210" s="79">
        <f>M208</f>
        <v>6357.9399999999441</v>
      </c>
      <c r="I210" s="35"/>
      <c r="J210" s="3"/>
      <c r="K210" s="3"/>
      <c r="L210" s="75"/>
      <c r="M210" s="75"/>
    </row>
    <row r="211" spans="2:13" ht="12" customHeight="1" x14ac:dyDescent="0.15">
      <c r="B211" s="80" t="s">
        <v>180</v>
      </c>
      <c r="C211" s="3">
        <v>45660</v>
      </c>
      <c r="D211" s="3"/>
      <c r="E211" s="75"/>
      <c r="F211" s="81">
        <f>F208</f>
        <v>14299.999999999942</v>
      </c>
      <c r="G211" s="82"/>
      <c r="I211" s="35"/>
      <c r="J211" s="3"/>
      <c r="K211" s="3"/>
      <c r="L211" s="75"/>
      <c r="M211" s="75"/>
    </row>
    <row r="212" spans="2:13" ht="12" customHeight="1" x14ac:dyDescent="0.15">
      <c r="B212" s="83"/>
      <c r="C212" s="84" t="s">
        <v>181</v>
      </c>
      <c r="D212" s="85"/>
      <c r="E212" s="86"/>
      <c r="F212" s="87">
        <f>SUM(F210:F211)</f>
        <v>20657.939999999886</v>
      </c>
      <c r="I212" s="35"/>
      <c r="J212" s="88"/>
      <c r="K212" s="89"/>
      <c r="L212" s="75"/>
      <c r="M212" s="90"/>
    </row>
    <row r="213" spans="2:13" ht="12" customHeight="1" x14ac:dyDescent="0.15">
      <c r="B213" s="35"/>
      <c r="C213" s="3"/>
      <c r="D213" s="3"/>
      <c r="E213" s="91" t="s">
        <v>182</v>
      </c>
      <c r="F213" s="92">
        <f>'Fondo de reservas'!G127</f>
        <v>19751.869999999995</v>
      </c>
      <c r="I213" s="35"/>
      <c r="J213" s="3"/>
      <c r="K213" s="3"/>
      <c r="L213" s="93"/>
      <c r="M213" s="94"/>
    </row>
    <row r="214" spans="2:13" ht="12" customHeight="1" x14ac:dyDescent="0.2">
      <c r="B214" s="35"/>
      <c r="C214" s="3"/>
      <c r="D214" s="3"/>
      <c r="E214" s="95" t="s">
        <v>183</v>
      </c>
      <c r="F214" s="96">
        <f>F212-F213</f>
        <v>906.06999999989057</v>
      </c>
      <c r="I214" s="35"/>
      <c r="J214" s="3"/>
      <c r="K214" s="3"/>
      <c r="L214" s="95"/>
      <c r="M214" s="96"/>
    </row>
    <row r="215" spans="2:13" ht="12" customHeight="1" x14ac:dyDescent="0.15">
      <c r="B215" s="2"/>
      <c r="C215" s="3"/>
      <c r="D215" s="3"/>
      <c r="E215" s="4"/>
      <c r="I215" s="2"/>
      <c r="J215" s="3"/>
      <c r="K215" s="3"/>
      <c r="L215" s="4"/>
    </row>
    <row r="216" spans="2:13" ht="12" customHeight="1" x14ac:dyDescent="0.15">
      <c r="B216" s="97"/>
      <c r="C216" s="98"/>
      <c r="D216" s="99" t="s">
        <v>184</v>
      </c>
      <c r="E216" s="100" t="s">
        <v>185</v>
      </c>
      <c r="F216" s="101">
        <f>'A1'!F82</f>
        <v>-91882.757834200718</v>
      </c>
      <c r="G216" s="102" t="s">
        <v>186</v>
      </c>
      <c r="I216" s="103"/>
      <c r="J216" s="3"/>
      <c r="K216" s="3"/>
      <c r="L216" s="4"/>
    </row>
    <row r="217" spans="2:13" ht="12" customHeight="1" x14ac:dyDescent="0.15">
      <c r="B217" s="104"/>
      <c r="C217" s="105"/>
      <c r="D217" s="99" t="s">
        <v>187</v>
      </c>
      <c r="E217" s="100" t="s">
        <v>188</v>
      </c>
      <c r="F217" s="101">
        <f>'A2'!F45</f>
        <v>-16185.916451046272</v>
      </c>
      <c r="G217" s="102" t="s">
        <v>186</v>
      </c>
      <c r="J217" s="106"/>
      <c r="K217" s="107"/>
      <c r="L217" s="3"/>
      <c r="M217" s="108"/>
    </row>
    <row r="218" spans="2:13" ht="12" customHeight="1" x14ac:dyDescent="0.15">
      <c r="B218" s="104"/>
      <c r="C218" s="105"/>
      <c r="D218" s="99" t="s">
        <v>189</v>
      </c>
      <c r="E218" s="100" t="s">
        <v>190</v>
      </c>
      <c r="F218" s="101">
        <f>'A3'!F46</f>
        <v>-34504.983726319449</v>
      </c>
      <c r="G218" s="102" t="s">
        <v>186</v>
      </c>
      <c r="I218" s="109"/>
      <c r="J218" s="106"/>
      <c r="K218" s="107"/>
      <c r="L218" s="3"/>
      <c r="M218" s="108"/>
    </row>
    <row r="219" spans="2:13" ht="12" customHeight="1" x14ac:dyDescent="0.15">
      <c r="B219" s="104"/>
      <c r="C219" s="105"/>
      <c r="D219" s="99" t="s">
        <v>191</v>
      </c>
      <c r="E219" s="100" t="s">
        <v>192</v>
      </c>
      <c r="F219" s="101">
        <f>'A4'!F40</f>
        <v>-15862.336656531435</v>
      </c>
      <c r="G219" s="102" t="s">
        <v>186</v>
      </c>
      <c r="I219" s="109"/>
      <c r="J219" s="106"/>
      <c r="K219" s="107"/>
      <c r="L219" s="3"/>
      <c r="M219" s="108"/>
    </row>
    <row r="220" spans="2:13" ht="12" customHeight="1" x14ac:dyDescent="0.15">
      <c r="B220" s="110"/>
      <c r="C220" s="105"/>
      <c r="D220" s="99" t="s">
        <v>193</v>
      </c>
      <c r="E220" s="100" t="s">
        <v>194</v>
      </c>
      <c r="F220" s="101">
        <f>'A5'!F41</f>
        <v>-19471.40343361831</v>
      </c>
      <c r="G220" s="102" t="s">
        <v>186</v>
      </c>
      <c r="I220" s="111"/>
      <c r="J220" s="106"/>
      <c r="K220" s="108"/>
      <c r="L220" s="3"/>
      <c r="M220" s="108"/>
    </row>
    <row r="221" spans="2:13" ht="12" customHeight="1" x14ac:dyDescent="0.15">
      <c r="B221" s="110"/>
      <c r="C221" s="105"/>
      <c r="D221" s="99" t="s">
        <v>195</v>
      </c>
      <c r="E221" s="100" t="s">
        <v>196</v>
      </c>
      <c r="F221" s="101">
        <f>'A6'!F40</f>
        <v>-31999.572280531283</v>
      </c>
      <c r="G221" s="102" t="s">
        <v>186</v>
      </c>
      <c r="I221" s="111"/>
      <c r="J221" s="106"/>
      <c r="K221" s="108"/>
      <c r="L221" s="3"/>
      <c r="M221" s="108"/>
    </row>
    <row r="222" spans="2:13" ht="12" customHeight="1" x14ac:dyDescent="0.15">
      <c r="B222" s="110"/>
      <c r="C222" s="105"/>
      <c r="D222" s="99" t="s">
        <v>197</v>
      </c>
      <c r="E222" s="100" t="s">
        <v>198</v>
      </c>
      <c r="F222" s="101">
        <f>'A7'!F46</f>
        <v>-53299.886435843364</v>
      </c>
      <c r="G222" s="102" t="s">
        <v>186</v>
      </c>
      <c r="I222" s="111"/>
      <c r="J222" s="106"/>
      <c r="K222" s="108"/>
      <c r="L222" s="3"/>
      <c r="M222" s="108"/>
    </row>
    <row r="223" spans="2:13" ht="12" customHeight="1" x14ac:dyDescent="0.15">
      <c r="B223" s="112"/>
      <c r="C223" s="98"/>
      <c r="D223" s="98"/>
      <c r="E223" s="113" t="s">
        <v>199</v>
      </c>
      <c r="F223" s="114">
        <f>SUM(F216:F222)</f>
        <v>-263206.85681809083</v>
      </c>
      <c r="G223" s="115" t="s">
        <v>200</v>
      </c>
      <c r="I223" s="2"/>
      <c r="J223" s="3"/>
      <c r="K223" s="3"/>
      <c r="L223" s="4"/>
    </row>
    <row r="224" spans="2:13" ht="12" customHeight="1" x14ac:dyDescent="0.15">
      <c r="B224" s="2"/>
      <c r="C224" s="3"/>
      <c r="D224" s="3"/>
      <c r="E224" s="4"/>
      <c r="F224" s="116"/>
      <c r="I224" s="2"/>
      <c r="J224" s="3"/>
      <c r="K224" s="3"/>
      <c r="L224" s="4"/>
    </row>
    <row r="225" spans="2:12" ht="12" customHeight="1" x14ac:dyDescent="0.15">
      <c r="B225" s="2"/>
      <c r="C225" s="3"/>
      <c r="D225" s="3"/>
      <c r="E225" s="4"/>
      <c r="G225" s="4"/>
      <c r="I225" s="2"/>
      <c r="J225" s="3"/>
      <c r="K225" s="3"/>
      <c r="L225" s="4"/>
    </row>
    <row r="226" spans="2:12" ht="12" customHeight="1" x14ac:dyDescent="0.15">
      <c r="B226" s="2"/>
      <c r="C226" s="3"/>
      <c r="D226" s="3"/>
      <c r="E226" s="4"/>
      <c r="I226" s="2"/>
      <c r="J226" s="3"/>
      <c r="K226" s="3"/>
      <c r="L226" s="4"/>
    </row>
    <row r="227" spans="2:12" ht="12" customHeight="1" x14ac:dyDescent="0.15">
      <c r="B227" s="2"/>
      <c r="C227" s="3"/>
      <c r="D227" s="3"/>
      <c r="E227" s="4"/>
      <c r="I227" s="2"/>
      <c r="J227" s="3"/>
      <c r="K227" s="3"/>
      <c r="L227" s="4"/>
    </row>
    <row r="228" spans="2:12" ht="12" customHeight="1" x14ac:dyDescent="0.15">
      <c r="B228" s="2"/>
      <c r="C228" s="3"/>
      <c r="D228" s="3"/>
      <c r="E228" s="4"/>
      <c r="I228" s="2"/>
      <c r="J228" s="3"/>
      <c r="K228" s="3"/>
      <c r="L228" s="4"/>
    </row>
    <row r="229" spans="2:12" ht="12" customHeight="1" x14ac:dyDescent="0.2">
      <c r="B229" s="117"/>
      <c r="C229" s="118"/>
      <c r="D229" s="118"/>
      <c r="E229" s="119"/>
      <c r="F229" s="120"/>
      <c r="I229" s="2"/>
      <c r="J229" s="3"/>
      <c r="K229" s="3"/>
      <c r="L229" s="4"/>
    </row>
    <row r="230" spans="2:12" ht="12" customHeight="1" x14ac:dyDescent="0.2">
      <c r="B230" s="121"/>
      <c r="C230" s="118"/>
      <c r="D230" s="118"/>
      <c r="E230" s="119"/>
      <c r="F230" s="120"/>
      <c r="I230" s="2"/>
      <c r="J230" s="3"/>
      <c r="K230" s="3"/>
      <c r="L230" s="4"/>
    </row>
    <row r="231" spans="2:12" ht="12" customHeight="1" x14ac:dyDescent="0.2">
      <c r="B231" s="121"/>
      <c r="C231" s="118"/>
      <c r="D231" s="118"/>
      <c r="E231" s="119"/>
      <c r="F231" s="122"/>
      <c r="I231" s="2"/>
      <c r="J231" s="3"/>
      <c r="K231" s="3"/>
      <c r="L231" s="4"/>
    </row>
    <row r="232" spans="2:12" ht="12" customHeight="1" x14ac:dyDescent="0.2">
      <c r="B232" s="121"/>
      <c r="C232" s="118"/>
      <c r="D232" s="118"/>
      <c r="E232" s="123"/>
      <c r="F232" s="120"/>
      <c r="I232" s="2"/>
      <c r="J232" s="3"/>
      <c r="K232" s="3"/>
      <c r="L232" s="4"/>
    </row>
    <row r="233" spans="2:12" ht="12" customHeight="1" x14ac:dyDescent="0.2">
      <c r="B233" s="121"/>
      <c r="C233" s="118"/>
      <c r="D233" s="118"/>
      <c r="E233" s="124"/>
      <c r="F233" s="120"/>
      <c r="I233" s="2"/>
      <c r="J233" s="3"/>
      <c r="K233" s="3"/>
      <c r="L233" s="4"/>
    </row>
    <row r="234" spans="2:12" ht="12" customHeight="1" x14ac:dyDescent="0.15">
      <c r="B234" s="2"/>
      <c r="C234" s="3"/>
      <c r="D234" s="3"/>
      <c r="E234" s="4"/>
      <c r="I234" s="2"/>
      <c r="J234" s="3"/>
      <c r="K234" s="3"/>
      <c r="L234" s="4"/>
    </row>
    <row r="235" spans="2:12" ht="12" customHeight="1" x14ac:dyDescent="0.15">
      <c r="B235" s="2"/>
      <c r="C235" s="3"/>
      <c r="D235" s="3"/>
      <c r="E235" s="4"/>
      <c r="I235" s="2"/>
      <c r="J235" s="3"/>
      <c r="K235" s="3"/>
      <c r="L235" s="4"/>
    </row>
    <row r="236" spans="2:12" ht="12" customHeight="1" x14ac:dyDescent="0.15">
      <c r="B236" s="2"/>
      <c r="C236" s="3"/>
      <c r="D236" s="3"/>
      <c r="E236" s="4"/>
      <c r="I236" s="2"/>
      <c r="J236" s="3"/>
      <c r="K236" s="3"/>
      <c r="L236" s="4"/>
    </row>
    <row r="237" spans="2:12" ht="12" customHeight="1" x14ac:dyDescent="0.15">
      <c r="B237" s="2"/>
      <c r="C237" s="3"/>
      <c r="D237" s="3"/>
      <c r="E237" s="4"/>
      <c r="I237" s="2"/>
      <c r="J237" s="3"/>
      <c r="K237" s="3"/>
      <c r="L237" s="4"/>
    </row>
    <row r="238" spans="2:12" ht="12" customHeight="1" x14ac:dyDescent="0.15">
      <c r="B238" s="2"/>
      <c r="C238" s="3"/>
      <c r="D238" s="3"/>
      <c r="E238" s="4"/>
      <c r="I238" s="2"/>
      <c r="J238" s="3"/>
      <c r="K238" s="3"/>
      <c r="L238" s="4"/>
    </row>
    <row r="239" spans="2:12" ht="12" customHeight="1" x14ac:dyDescent="0.15">
      <c r="B239" s="2"/>
      <c r="C239" s="3"/>
      <c r="D239" s="3"/>
      <c r="E239" s="4"/>
      <c r="I239" s="2"/>
      <c r="J239" s="3"/>
      <c r="K239" s="3"/>
      <c r="L239" s="4"/>
    </row>
    <row r="240" spans="2:12" ht="12" customHeight="1" x14ac:dyDescent="0.15">
      <c r="B240" s="2"/>
      <c r="C240" s="3"/>
      <c r="D240" s="3"/>
      <c r="E240" s="4"/>
      <c r="I240" s="2"/>
      <c r="J240" s="3"/>
      <c r="K240" s="3"/>
      <c r="L240" s="4"/>
    </row>
    <row r="241" spans="2:12" ht="12" customHeight="1" x14ac:dyDescent="0.15">
      <c r="B241" s="2"/>
      <c r="C241" s="3"/>
      <c r="D241" s="3"/>
      <c r="E241" s="4"/>
      <c r="I241" s="2"/>
      <c r="J241" s="3"/>
      <c r="K241" s="3"/>
      <c r="L241" s="4"/>
    </row>
    <row r="242" spans="2:12" ht="12" customHeight="1" x14ac:dyDescent="0.15">
      <c r="B242" s="2"/>
      <c r="C242" s="3"/>
      <c r="D242" s="3"/>
      <c r="E242" s="4"/>
      <c r="I242" s="2"/>
      <c r="J242" s="3"/>
      <c r="K242" s="3"/>
      <c r="L242" s="4"/>
    </row>
    <row r="243" spans="2:12" ht="12" customHeight="1" x14ac:dyDescent="0.15">
      <c r="B243" s="2"/>
      <c r="C243" s="3"/>
      <c r="D243" s="3"/>
      <c r="E243" s="4"/>
      <c r="I243" s="2"/>
      <c r="J243" s="3"/>
      <c r="K243" s="3"/>
      <c r="L243" s="4"/>
    </row>
    <row r="244" spans="2:12" ht="12" customHeight="1" x14ac:dyDescent="0.15">
      <c r="B244" s="2"/>
      <c r="C244" s="3"/>
      <c r="D244" s="3"/>
      <c r="E244" s="4"/>
      <c r="I244" s="2"/>
      <c r="J244" s="3"/>
      <c r="K244" s="3"/>
      <c r="L244" s="4"/>
    </row>
    <row r="245" spans="2:12" ht="12" customHeight="1" x14ac:dyDescent="0.15">
      <c r="B245" s="2"/>
      <c r="C245" s="3"/>
      <c r="D245" s="3"/>
      <c r="E245" s="4"/>
      <c r="I245" s="2"/>
      <c r="J245" s="3"/>
      <c r="K245" s="3"/>
      <c r="L245" s="4"/>
    </row>
    <row r="246" spans="2:12" ht="12" customHeight="1" x14ac:dyDescent="0.15">
      <c r="B246" s="2"/>
      <c r="C246" s="3"/>
      <c r="D246" s="3"/>
      <c r="E246" s="4"/>
      <c r="I246" s="2"/>
      <c r="J246" s="3"/>
      <c r="K246" s="3"/>
      <c r="L246" s="4"/>
    </row>
    <row r="247" spans="2:12" ht="12" customHeight="1" x14ac:dyDescent="0.15">
      <c r="B247" s="2"/>
      <c r="C247" s="3"/>
      <c r="D247" s="3"/>
      <c r="E247" s="4"/>
      <c r="I247" s="2"/>
      <c r="J247" s="3"/>
      <c r="K247" s="3"/>
      <c r="L247" s="4"/>
    </row>
    <row r="248" spans="2:12" ht="12" customHeight="1" x14ac:dyDescent="0.15">
      <c r="B248" s="2"/>
      <c r="C248" s="3"/>
      <c r="D248" s="3"/>
      <c r="E248" s="4"/>
      <c r="I248" s="2"/>
      <c r="J248" s="3"/>
      <c r="K248" s="3"/>
      <c r="L248" s="4"/>
    </row>
    <row r="249" spans="2:12" ht="12" customHeight="1" x14ac:dyDescent="0.15">
      <c r="B249" s="2"/>
      <c r="C249" s="3"/>
      <c r="D249" s="3"/>
      <c r="E249" s="4"/>
      <c r="I249" s="2"/>
      <c r="J249" s="3"/>
      <c r="K249" s="3"/>
      <c r="L249" s="4"/>
    </row>
    <row r="250" spans="2:12" ht="12" customHeight="1" x14ac:dyDescent="0.15">
      <c r="B250" s="2"/>
      <c r="C250" s="3"/>
      <c r="D250" s="3"/>
      <c r="E250" s="4"/>
      <c r="I250" s="2"/>
      <c r="J250" s="3"/>
      <c r="K250" s="3"/>
      <c r="L250" s="4"/>
    </row>
    <row r="251" spans="2:12" ht="12" customHeight="1" x14ac:dyDescent="0.15">
      <c r="B251" s="2"/>
      <c r="C251" s="3"/>
      <c r="D251" s="3"/>
      <c r="E251" s="4"/>
      <c r="I251" s="2"/>
      <c r="J251" s="3"/>
      <c r="K251" s="3"/>
      <c r="L251" s="4"/>
    </row>
    <row r="252" spans="2:12" ht="12" customHeight="1" x14ac:dyDescent="0.15">
      <c r="B252" s="2"/>
      <c r="C252" s="3"/>
      <c r="D252" s="3"/>
      <c r="E252" s="4"/>
      <c r="I252" s="2"/>
      <c r="J252" s="3"/>
      <c r="K252" s="3"/>
      <c r="L252" s="4"/>
    </row>
    <row r="253" spans="2:12" ht="12" customHeight="1" x14ac:dyDescent="0.15">
      <c r="B253" s="2"/>
      <c r="C253" s="3"/>
      <c r="D253" s="3"/>
      <c r="E253" s="4"/>
      <c r="I253" s="2"/>
      <c r="J253" s="3"/>
      <c r="K253" s="3"/>
      <c r="L253" s="4"/>
    </row>
    <row r="254" spans="2:12" ht="12" customHeight="1" x14ac:dyDescent="0.15">
      <c r="B254" s="2"/>
      <c r="C254" s="3"/>
      <c r="D254" s="3"/>
      <c r="E254" s="4"/>
      <c r="I254" s="2"/>
      <c r="J254" s="3"/>
      <c r="K254" s="3"/>
      <c r="L254" s="4"/>
    </row>
    <row r="255" spans="2:12" ht="12" customHeight="1" x14ac:dyDescent="0.15">
      <c r="B255" s="2"/>
      <c r="C255" s="3"/>
      <c r="D255" s="3"/>
      <c r="E255" s="4"/>
      <c r="I255" s="2"/>
      <c r="J255" s="3"/>
      <c r="K255" s="3"/>
      <c r="L255" s="4"/>
    </row>
    <row r="256" spans="2:12" ht="12" customHeight="1" x14ac:dyDescent="0.15">
      <c r="B256" s="2"/>
      <c r="C256" s="3"/>
      <c r="D256" s="3"/>
      <c r="E256" s="4"/>
      <c r="I256" s="2"/>
      <c r="J256" s="3"/>
      <c r="K256" s="3"/>
      <c r="L256" s="4"/>
    </row>
    <row r="257" spans="2:12" ht="12" customHeight="1" x14ac:dyDescent="0.15">
      <c r="B257" s="2"/>
      <c r="C257" s="3"/>
      <c r="D257" s="3"/>
      <c r="E257" s="4"/>
      <c r="I257" s="2"/>
      <c r="J257" s="3"/>
      <c r="K257" s="3"/>
      <c r="L257" s="4"/>
    </row>
    <row r="258" spans="2:12" ht="12" customHeight="1" x14ac:dyDescent="0.15">
      <c r="B258" s="2"/>
      <c r="C258" s="3"/>
      <c r="D258" s="3"/>
      <c r="E258" s="4"/>
      <c r="I258" s="2"/>
      <c r="J258" s="3"/>
      <c r="K258" s="3"/>
      <c r="L258" s="4"/>
    </row>
    <row r="259" spans="2:12" ht="12" customHeight="1" x14ac:dyDescent="0.15">
      <c r="B259" s="2"/>
      <c r="C259" s="3"/>
      <c r="D259" s="3"/>
      <c r="E259" s="4"/>
      <c r="I259" s="2"/>
      <c r="J259" s="3"/>
      <c r="K259" s="3"/>
      <c r="L259" s="4"/>
    </row>
    <row r="260" spans="2:12" ht="12" customHeight="1" x14ac:dyDescent="0.15">
      <c r="B260" s="2"/>
      <c r="C260" s="3"/>
      <c r="D260" s="3"/>
      <c r="E260" s="4"/>
      <c r="I260" s="2"/>
      <c r="J260" s="3"/>
      <c r="K260" s="3"/>
      <c r="L260" s="4"/>
    </row>
    <row r="261" spans="2:12" ht="12" customHeight="1" x14ac:dyDescent="0.15">
      <c r="B261" s="2"/>
      <c r="C261" s="3"/>
      <c r="D261" s="3"/>
      <c r="E261" s="4"/>
      <c r="I261" s="2"/>
      <c r="J261" s="3"/>
      <c r="K261" s="3"/>
      <c r="L261" s="4"/>
    </row>
    <row r="262" spans="2:12" ht="12" customHeight="1" x14ac:dyDescent="0.15">
      <c r="B262" s="2"/>
      <c r="C262" s="3"/>
      <c r="D262" s="3"/>
      <c r="E262" s="4"/>
      <c r="I262" s="2"/>
      <c r="J262" s="3"/>
      <c r="K262" s="3"/>
      <c r="L262" s="4"/>
    </row>
    <row r="263" spans="2:12" ht="12" customHeight="1" x14ac:dyDescent="0.15">
      <c r="B263" s="2"/>
      <c r="C263" s="3"/>
      <c r="D263" s="3"/>
      <c r="E263" s="4"/>
      <c r="I263" s="2"/>
      <c r="J263" s="3"/>
      <c r="K263" s="3"/>
      <c r="L263" s="4"/>
    </row>
    <row r="264" spans="2:12" ht="12" customHeight="1" x14ac:dyDescent="0.15">
      <c r="B264" s="2"/>
      <c r="C264" s="3"/>
      <c r="D264" s="3"/>
      <c r="E264" s="4"/>
      <c r="I264" s="2"/>
      <c r="J264" s="3"/>
      <c r="K264" s="3"/>
      <c r="L264" s="4"/>
    </row>
    <row r="265" spans="2:12" ht="12" customHeight="1" x14ac:dyDescent="0.15">
      <c r="B265" s="2"/>
      <c r="C265" s="3"/>
      <c r="D265" s="3"/>
      <c r="E265" s="4"/>
      <c r="I265" s="2"/>
      <c r="J265" s="3"/>
      <c r="K265" s="3"/>
      <c r="L265" s="4"/>
    </row>
    <row r="266" spans="2:12" ht="12" customHeight="1" x14ac:dyDescent="0.15">
      <c r="B266" s="2"/>
      <c r="C266" s="3"/>
      <c r="D266" s="3"/>
      <c r="E266" s="4"/>
      <c r="I266" s="2"/>
      <c r="J266" s="3"/>
      <c r="K266" s="3"/>
      <c r="L266" s="4"/>
    </row>
    <row r="267" spans="2:12" ht="12" customHeight="1" x14ac:dyDescent="0.15">
      <c r="B267" s="2"/>
      <c r="C267" s="3"/>
      <c r="D267" s="3"/>
      <c r="E267" s="4"/>
      <c r="I267" s="2"/>
      <c r="J267" s="3"/>
      <c r="K267" s="3"/>
      <c r="L267" s="4"/>
    </row>
    <row r="268" spans="2:12" ht="12" customHeight="1" x14ac:dyDescent="0.15">
      <c r="B268" s="2"/>
      <c r="C268" s="3"/>
      <c r="D268" s="3"/>
      <c r="E268" s="4"/>
      <c r="I268" s="2"/>
      <c r="J268" s="3"/>
      <c r="K268" s="3"/>
      <c r="L268" s="4"/>
    </row>
    <row r="269" spans="2:12" ht="12" customHeight="1" x14ac:dyDescent="0.15">
      <c r="B269" s="2"/>
      <c r="C269" s="3"/>
      <c r="D269" s="3"/>
      <c r="E269" s="4"/>
      <c r="I269" s="2"/>
      <c r="J269" s="3"/>
      <c r="K269" s="3"/>
      <c r="L269" s="4"/>
    </row>
    <row r="270" spans="2:12" ht="12" customHeight="1" x14ac:dyDescent="0.15">
      <c r="B270" s="2"/>
      <c r="C270" s="3"/>
      <c r="D270" s="3"/>
      <c r="E270" s="4"/>
      <c r="I270" s="2"/>
      <c r="J270" s="3"/>
      <c r="K270" s="3"/>
      <c r="L270" s="4"/>
    </row>
    <row r="271" spans="2:12" ht="12" customHeight="1" x14ac:dyDescent="0.15">
      <c r="B271" s="2"/>
      <c r="C271" s="3"/>
      <c r="D271" s="3"/>
      <c r="E271" s="4"/>
      <c r="I271" s="2"/>
      <c r="J271" s="3"/>
      <c r="K271" s="3"/>
      <c r="L271" s="4"/>
    </row>
    <row r="272" spans="2:12" ht="12" customHeight="1" x14ac:dyDescent="0.15">
      <c r="B272" s="2"/>
      <c r="C272" s="3"/>
      <c r="D272" s="3"/>
      <c r="E272" s="4"/>
      <c r="I272" s="2"/>
      <c r="J272" s="3"/>
      <c r="K272" s="3"/>
      <c r="L272" s="4"/>
    </row>
    <row r="273" spans="2:12" ht="12" customHeight="1" x14ac:dyDescent="0.15">
      <c r="B273" s="2"/>
      <c r="C273" s="3"/>
      <c r="D273" s="3"/>
      <c r="E273" s="4"/>
      <c r="I273" s="2"/>
      <c r="J273" s="3"/>
      <c r="K273" s="3"/>
      <c r="L273" s="4"/>
    </row>
    <row r="274" spans="2:12" ht="12" customHeight="1" x14ac:dyDescent="0.15">
      <c r="B274" s="2"/>
      <c r="C274" s="3"/>
      <c r="D274" s="3"/>
      <c r="E274" s="4"/>
      <c r="I274" s="2"/>
      <c r="J274" s="3"/>
      <c r="K274" s="3"/>
      <c r="L274" s="4"/>
    </row>
    <row r="275" spans="2:12" ht="12" customHeight="1" x14ac:dyDescent="0.15">
      <c r="B275" s="2"/>
      <c r="C275" s="3"/>
      <c r="D275" s="3"/>
      <c r="E275" s="4"/>
      <c r="I275" s="2"/>
      <c r="J275" s="3"/>
      <c r="K275" s="3"/>
      <c r="L275" s="4"/>
    </row>
    <row r="276" spans="2:12" ht="12" customHeight="1" x14ac:dyDescent="0.15">
      <c r="B276" s="2"/>
      <c r="C276" s="3"/>
      <c r="D276" s="3"/>
      <c r="E276" s="4"/>
      <c r="I276" s="2"/>
      <c r="J276" s="3"/>
      <c r="K276" s="3"/>
      <c r="L276" s="4"/>
    </row>
    <row r="277" spans="2:12" ht="12" customHeight="1" x14ac:dyDescent="0.15">
      <c r="B277" s="2"/>
      <c r="C277" s="3"/>
      <c r="D277" s="3"/>
      <c r="E277" s="4"/>
      <c r="I277" s="2"/>
      <c r="J277" s="3"/>
      <c r="K277" s="3"/>
      <c r="L277" s="4"/>
    </row>
    <row r="278" spans="2:12" ht="12" customHeight="1" x14ac:dyDescent="0.15">
      <c r="B278" s="2"/>
      <c r="C278" s="3"/>
      <c r="D278" s="3"/>
      <c r="E278" s="4"/>
      <c r="I278" s="2"/>
      <c r="J278" s="3"/>
      <c r="K278" s="3"/>
      <c r="L278" s="4"/>
    </row>
    <row r="279" spans="2:12" ht="12" customHeight="1" x14ac:dyDescent="0.15">
      <c r="B279" s="2"/>
      <c r="C279" s="3"/>
      <c r="D279" s="3"/>
      <c r="E279" s="4"/>
      <c r="I279" s="2"/>
      <c r="J279" s="3"/>
      <c r="K279" s="3"/>
      <c r="L279" s="4"/>
    </row>
    <row r="280" spans="2:12" ht="12" customHeight="1" x14ac:dyDescent="0.15">
      <c r="B280" s="2"/>
      <c r="C280" s="3"/>
      <c r="D280" s="3"/>
      <c r="E280" s="4"/>
      <c r="I280" s="2"/>
      <c r="J280" s="3"/>
      <c r="K280" s="3"/>
      <c r="L280" s="4"/>
    </row>
    <row r="281" spans="2:12" ht="12" customHeight="1" x14ac:dyDescent="0.15">
      <c r="B281" s="2"/>
      <c r="C281" s="3"/>
      <c r="D281" s="3"/>
      <c r="E281" s="4"/>
      <c r="I281" s="2"/>
      <c r="J281" s="3"/>
      <c r="K281" s="3"/>
      <c r="L281" s="4"/>
    </row>
    <row r="282" spans="2:12" ht="12" customHeight="1" x14ac:dyDescent="0.15">
      <c r="B282" s="2"/>
      <c r="C282" s="3"/>
      <c r="D282" s="3"/>
      <c r="E282" s="4"/>
      <c r="I282" s="2"/>
      <c r="J282" s="3"/>
      <c r="K282" s="3"/>
      <c r="L282" s="4"/>
    </row>
    <row r="283" spans="2:12" ht="12" customHeight="1" x14ac:dyDescent="0.15">
      <c r="B283" s="2"/>
      <c r="C283" s="3"/>
      <c r="D283" s="3"/>
      <c r="E283" s="4"/>
      <c r="I283" s="2"/>
      <c r="J283" s="3"/>
      <c r="K283" s="3"/>
      <c r="L283" s="4"/>
    </row>
    <row r="284" spans="2:12" ht="12" customHeight="1" x14ac:dyDescent="0.15">
      <c r="B284" s="2"/>
      <c r="C284" s="3"/>
      <c r="D284" s="3"/>
      <c r="E284" s="4"/>
      <c r="I284" s="2"/>
      <c r="J284" s="3"/>
      <c r="K284" s="3"/>
      <c r="L284" s="4"/>
    </row>
    <row r="285" spans="2:12" ht="12" customHeight="1" x14ac:dyDescent="0.15">
      <c r="B285" s="2"/>
      <c r="C285" s="3"/>
      <c r="D285" s="3"/>
      <c r="E285" s="4"/>
      <c r="I285" s="2"/>
      <c r="J285" s="3"/>
      <c r="K285" s="3"/>
      <c r="L285" s="4"/>
    </row>
    <row r="286" spans="2:12" ht="12" customHeight="1" x14ac:dyDescent="0.15">
      <c r="B286" s="2"/>
      <c r="C286" s="3"/>
      <c r="D286" s="3"/>
      <c r="E286" s="4"/>
      <c r="I286" s="2"/>
      <c r="J286" s="3"/>
      <c r="K286" s="3"/>
      <c r="L286" s="4"/>
    </row>
    <row r="287" spans="2:12" ht="12" customHeight="1" x14ac:dyDescent="0.15">
      <c r="B287" s="2"/>
      <c r="C287" s="3"/>
      <c r="D287" s="3"/>
      <c r="E287" s="4"/>
      <c r="I287" s="2"/>
      <c r="J287" s="3"/>
      <c r="K287" s="3"/>
      <c r="L287" s="4"/>
    </row>
    <row r="288" spans="2:12" ht="12" customHeight="1" x14ac:dyDescent="0.15">
      <c r="B288" s="2"/>
      <c r="C288" s="3"/>
      <c r="D288" s="3"/>
      <c r="E288" s="4"/>
      <c r="I288" s="2"/>
      <c r="J288" s="3"/>
      <c r="K288" s="3"/>
      <c r="L288" s="4"/>
    </row>
    <row r="289" spans="2:12" ht="12" customHeight="1" x14ac:dyDescent="0.15">
      <c r="B289" s="2"/>
      <c r="C289" s="3"/>
      <c r="D289" s="3"/>
      <c r="E289" s="4"/>
      <c r="I289" s="2"/>
      <c r="J289" s="3"/>
      <c r="K289" s="3"/>
      <c r="L289" s="4"/>
    </row>
    <row r="290" spans="2:12" ht="12" customHeight="1" x14ac:dyDescent="0.15">
      <c r="B290" s="2"/>
      <c r="C290" s="3"/>
      <c r="D290" s="3"/>
      <c r="E290" s="4"/>
      <c r="I290" s="2"/>
      <c r="J290" s="3"/>
      <c r="K290" s="3"/>
      <c r="L290" s="4"/>
    </row>
    <row r="291" spans="2:12" ht="12" customHeight="1" x14ac:dyDescent="0.15">
      <c r="B291" s="2"/>
      <c r="C291" s="3"/>
      <c r="D291" s="3"/>
      <c r="E291" s="4"/>
      <c r="I291" s="2"/>
      <c r="J291" s="3"/>
      <c r="K291" s="3"/>
      <c r="L291" s="4"/>
    </row>
    <row r="292" spans="2:12" ht="12" customHeight="1" x14ac:dyDescent="0.15">
      <c r="B292" s="2"/>
      <c r="C292" s="3"/>
      <c r="D292" s="3"/>
      <c r="E292" s="4"/>
      <c r="I292" s="2"/>
      <c r="J292" s="3"/>
      <c r="K292" s="3"/>
      <c r="L292" s="4"/>
    </row>
    <row r="293" spans="2:12" ht="12" customHeight="1" x14ac:dyDescent="0.15">
      <c r="B293" s="2"/>
      <c r="C293" s="3"/>
      <c r="D293" s="3"/>
      <c r="E293" s="4"/>
      <c r="I293" s="2"/>
      <c r="J293" s="3"/>
      <c r="K293" s="3"/>
      <c r="L293" s="4"/>
    </row>
    <row r="294" spans="2:12" ht="12" customHeight="1" x14ac:dyDescent="0.15">
      <c r="B294" s="2"/>
      <c r="C294" s="3"/>
      <c r="D294" s="3"/>
      <c r="E294" s="4"/>
      <c r="I294" s="2"/>
      <c r="J294" s="3"/>
      <c r="K294" s="3"/>
      <c r="L294" s="4"/>
    </row>
    <row r="295" spans="2:12" ht="12" customHeight="1" x14ac:dyDescent="0.15">
      <c r="B295" s="2"/>
      <c r="C295" s="3"/>
      <c r="D295" s="3"/>
      <c r="E295" s="4"/>
      <c r="I295" s="2"/>
      <c r="J295" s="3"/>
      <c r="K295" s="3"/>
      <c r="L295" s="4"/>
    </row>
    <row r="296" spans="2:12" ht="12" customHeight="1" x14ac:dyDescent="0.15">
      <c r="B296" s="2"/>
      <c r="C296" s="3"/>
      <c r="D296" s="3"/>
      <c r="E296" s="4"/>
      <c r="I296" s="2"/>
      <c r="J296" s="3"/>
      <c r="K296" s="3"/>
      <c r="L296" s="4"/>
    </row>
    <row r="297" spans="2:12" ht="12" customHeight="1" x14ac:dyDescent="0.15">
      <c r="B297" s="2"/>
      <c r="C297" s="3"/>
      <c r="D297" s="3"/>
      <c r="E297" s="4"/>
      <c r="I297" s="2"/>
      <c r="J297" s="3"/>
      <c r="K297" s="3"/>
      <c r="L297" s="4"/>
    </row>
    <row r="298" spans="2:12" ht="12" customHeight="1" x14ac:dyDescent="0.15">
      <c r="B298" s="2"/>
      <c r="C298" s="3"/>
      <c r="D298" s="3"/>
      <c r="E298" s="4"/>
      <c r="I298" s="2"/>
      <c r="J298" s="3"/>
      <c r="K298" s="3"/>
      <c r="L298" s="4"/>
    </row>
    <row r="299" spans="2:12" ht="12" customHeight="1" x14ac:dyDescent="0.15">
      <c r="B299" s="2"/>
      <c r="C299" s="3"/>
      <c r="D299" s="3"/>
      <c r="E299" s="4"/>
      <c r="I299" s="2"/>
      <c r="J299" s="3"/>
      <c r="K299" s="3"/>
      <c r="L299" s="4"/>
    </row>
    <row r="300" spans="2:12" ht="12" customHeight="1" x14ac:dyDescent="0.15">
      <c r="B300" s="2"/>
      <c r="C300" s="3"/>
      <c r="D300" s="3"/>
      <c r="E300" s="4"/>
      <c r="I300" s="2"/>
      <c r="J300" s="3"/>
      <c r="K300" s="3"/>
      <c r="L300" s="4"/>
    </row>
    <row r="301" spans="2:12" ht="12" customHeight="1" x14ac:dyDescent="0.15">
      <c r="B301" s="2"/>
      <c r="C301" s="3"/>
      <c r="D301" s="3"/>
      <c r="E301" s="4"/>
      <c r="I301" s="2"/>
      <c r="J301" s="3"/>
      <c r="K301" s="3"/>
      <c r="L301" s="4"/>
    </row>
    <row r="302" spans="2:12" ht="12" customHeight="1" x14ac:dyDescent="0.15">
      <c r="B302" s="2"/>
      <c r="C302" s="3"/>
      <c r="D302" s="3"/>
      <c r="E302" s="4"/>
      <c r="I302" s="2"/>
      <c r="J302" s="3"/>
      <c r="K302" s="3"/>
      <c r="L302" s="4"/>
    </row>
    <row r="303" spans="2:12" ht="12" customHeight="1" x14ac:dyDescent="0.15">
      <c r="B303" s="2"/>
      <c r="C303" s="3"/>
      <c r="D303" s="3"/>
      <c r="E303" s="4"/>
      <c r="I303" s="2"/>
      <c r="J303" s="3"/>
      <c r="K303" s="3"/>
      <c r="L303" s="4"/>
    </row>
    <row r="304" spans="2:12" ht="12" customHeight="1" x14ac:dyDescent="0.15">
      <c r="B304" s="2"/>
      <c r="C304" s="3"/>
      <c r="D304" s="3"/>
      <c r="E304" s="4"/>
      <c r="I304" s="2"/>
      <c r="J304" s="3"/>
      <c r="K304" s="3"/>
      <c r="L304" s="4"/>
    </row>
    <row r="305" spans="2:12" ht="12" customHeight="1" x14ac:dyDescent="0.15">
      <c r="B305" s="2"/>
      <c r="C305" s="3"/>
      <c r="D305" s="3"/>
      <c r="E305" s="4"/>
      <c r="I305" s="2"/>
      <c r="J305" s="3"/>
      <c r="K305" s="3"/>
      <c r="L305" s="4"/>
    </row>
    <row r="306" spans="2:12" ht="12" customHeight="1" x14ac:dyDescent="0.15">
      <c r="B306" s="2"/>
      <c r="C306" s="3"/>
      <c r="D306" s="3"/>
      <c r="E306" s="4"/>
      <c r="I306" s="2"/>
      <c r="J306" s="3"/>
      <c r="K306" s="3"/>
      <c r="L306" s="4"/>
    </row>
    <row r="307" spans="2:12" ht="12" customHeight="1" x14ac:dyDescent="0.15">
      <c r="B307" s="2"/>
      <c r="C307" s="3"/>
      <c r="D307" s="3"/>
      <c r="E307" s="4"/>
      <c r="I307" s="2"/>
      <c r="J307" s="3"/>
      <c r="K307" s="3"/>
      <c r="L307" s="4"/>
    </row>
    <row r="308" spans="2:12" ht="12" customHeight="1" x14ac:dyDescent="0.15">
      <c r="B308" s="2"/>
      <c r="C308" s="3"/>
      <c r="D308" s="3"/>
      <c r="E308" s="4"/>
      <c r="I308" s="2"/>
      <c r="J308" s="3"/>
      <c r="K308" s="3"/>
      <c r="L308" s="4"/>
    </row>
    <row r="309" spans="2:12" ht="12" customHeight="1" x14ac:dyDescent="0.15">
      <c r="B309" s="2"/>
      <c r="C309" s="3"/>
      <c r="D309" s="3"/>
      <c r="E309" s="4"/>
      <c r="I309" s="2"/>
      <c r="J309" s="3"/>
      <c r="K309" s="3"/>
      <c r="L309" s="4"/>
    </row>
    <row r="310" spans="2:12" ht="12" customHeight="1" x14ac:dyDescent="0.15">
      <c r="B310" s="2"/>
      <c r="C310" s="3"/>
      <c r="D310" s="3"/>
      <c r="E310" s="4"/>
      <c r="I310" s="2"/>
      <c r="J310" s="3"/>
      <c r="K310" s="3"/>
      <c r="L310" s="4"/>
    </row>
    <row r="311" spans="2:12" ht="12" customHeight="1" x14ac:dyDescent="0.15">
      <c r="B311" s="2"/>
      <c r="C311" s="3"/>
      <c r="D311" s="3"/>
      <c r="E311" s="4"/>
      <c r="I311" s="2"/>
      <c r="J311" s="3"/>
      <c r="K311" s="3"/>
      <c r="L311" s="4"/>
    </row>
    <row r="312" spans="2:12" ht="12" customHeight="1" x14ac:dyDescent="0.15">
      <c r="B312" s="2"/>
      <c r="C312" s="3"/>
      <c r="D312" s="3"/>
      <c r="E312" s="4"/>
      <c r="I312" s="2"/>
      <c r="J312" s="3"/>
      <c r="K312" s="3"/>
      <c r="L312" s="4"/>
    </row>
    <row r="313" spans="2:12" ht="12" customHeight="1" x14ac:dyDescent="0.15">
      <c r="B313" s="2"/>
      <c r="C313" s="3"/>
      <c r="D313" s="3"/>
      <c r="E313" s="4"/>
      <c r="I313" s="2"/>
      <c r="J313" s="3"/>
      <c r="K313" s="3"/>
      <c r="L313" s="4"/>
    </row>
    <row r="314" spans="2:12" ht="12" customHeight="1" x14ac:dyDescent="0.15">
      <c r="B314" s="2"/>
      <c r="C314" s="3"/>
      <c r="D314" s="3"/>
      <c r="E314" s="4"/>
      <c r="I314" s="2"/>
      <c r="J314" s="3"/>
      <c r="K314" s="3"/>
      <c r="L314" s="4"/>
    </row>
    <row r="315" spans="2:12" ht="12" customHeight="1" x14ac:dyDescent="0.15">
      <c r="B315" s="2"/>
      <c r="C315" s="3"/>
      <c r="D315" s="3"/>
      <c r="E315" s="4"/>
      <c r="I315" s="2"/>
      <c r="J315" s="3"/>
      <c r="K315" s="3"/>
      <c r="L315" s="4"/>
    </row>
    <row r="316" spans="2:12" ht="12" customHeight="1" x14ac:dyDescent="0.15">
      <c r="B316" s="2"/>
      <c r="C316" s="3"/>
      <c r="D316" s="3"/>
      <c r="E316" s="4"/>
      <c r="I316" s="2"/>
      <c r="J316" s="3"/>
      <c r="K316" s="3"/>
      <c r="L316" s="4"/>
    </row>
    <row r="317" spans="2:12" ht="12" customHeight="1" x14ac:dyDescent="0.15">
      <c r="B317" s="2"/>
      <c r="C317" s="3"/>
      <c r="D317" s="3"/>
      <c r="E317" s="4"/>
      <c r="I317" s="2"/>
      <c r="J317" s="3"/>
      <c r="K317" s="3"/>
      <c r="L317" s="4"/>
    </row>
    <row r="318" spans="2:12" ht="12" customHeight="1" x14ac:dyDescent="0.15">
      <c r="B318" s="2"/>
      <c r="C318" s="3"/>
      <c r="D318" s="3"/>
      <c r="E318" s="4"/>
      <c r="I318" s="2"/>
      <c r="J318" s="3"/>
      <c r="K318" s="3"/>
      <c r="L318" s="4"/>
    </row>
    <row r="319" spans="2:12" ht="12" customHeight="1" x14ac:dyDescent="0.15">
      <c r="B319" s="2"/>
      <c r="C319" s="3"/>
      <c r="D319" s="3"/>
      <c r="E319" s="4"/>
      <c r="I319" s="2"/>
      <c r="J319" s="3"/>
      <c r="K319" s="3"/>
      <c r="L319" s="4"/>
    </row>
    <row r="320" spans="2:12" ht="12" customHeight="1" x14ac:dyDescent="0.15">
      <c r="B320" s="2"/>
      <c r="C320" s="3"/>
      <c r="D320" s="3"/>
      <c r="E320" s="4"/>
      <c r="I320" s="2"/>
      <c r="J320" s="3"/>
      <c r="K320" s="3"/>
      <c r="L320" s="4"/>
    </row>
    <row r="321" spans="2:12" ht="12" customHeight="1" x14ac:dyDescent="0.15">
      <c r="B321" s="2"/>
      <c r="C321" s="3"/>
      <c r="D321" s="3"/>
      <c r="E321" s="4"/>
      <c r="I321" s="2"/>
      <c r="J321" s="3"/>
      <c r="K321" s="3"/>
      <c r="L321" s="4"/>
    </row>
    <row r="322" spans="2:12" ht="12" customHeight="1" x14ac:dyDescent="0.15">
      <c r="B322" s="2"/>
      <c r="C322" s="3"/>
      <c r="D322" s="3"/>
      <c r="E322" s="4"/>
      <c r="I322" s="2"/>
      <c r="J322" s="3"/>
      <c r="K322" s="3"/>
      <c r="L322" s="4"/>
    </row>
    <row r="323" spans="2:12" ht="12" customHeight="1" x14ac:dyDescent="0.15">
      <c r="B323" s="2"/>
      <c r="C323" s="3"/>
      <c r="D323" s="3"/>
      <c r="E323" s="4"/>
      <c r="I323" s="2"/>
      <c r="J323" s="3"/>
      <c r="K323" s="3"/>
      <c r="L323" s="4"/>
    </row>
    <row r="324" spans="2:12" ht="12" customHeight="1" x14ac:dyDescent="0.15">
      <c r="B324" s="2"/>
      <c r="C324" s="3"/>
      <c r="D324" s="3"/>
      <c r="E324" s="4"/>
      <c r="I324" s="2"/>
      <c r="J324" s="3"/>
      <c r="K324" s="3"/>
      <c r="L324" s="4"/>
    </row>
    <row r="325" spans="2:12" ht="12" customHeight="1" x14ac:dyDescent="0.15">
      <c r="B325" s="2"/>
      <c r="C325" s="3"/>
      <c r="D325" s="3"/>
      <c r="E325" s="4"/>
      <c r="I325" s="2"/>
      <c r="J325" s="3"/>
      <c r="K325" s="3"/>
      <c r="L325" s="4"/>
    </row>
    <row r="326" spans="2:12" ht="12" customHeight="1" x14ac:dyDescent="0.15">
      <c r="B326" s="2"/>
      <c r="C326" s="3"/>
      <c r="D326" s="3"/>
      <c r="E326" s="4"/>
      <c r="I326" s="2"/>
      <c r="J326" s="3"/>
      <c r="K326" s="3"/>
      <c r="L326" s="4"/>
    </row>
    <row r="327" spans="2:12" ht="12" customHeight="1" x14ac:dyDescent="0.15">
      <c r="B327" s="2"/>
      <c r="C327" s="3"/>
      <c r="D327" s="3"/>
      <c r="E327" s="4"/>
      <c r="I327" s="2"/>
      <c r="J327" s="3"/>
      <c r="K327" s="3"/>
      <c r="L327" s="4"/>
    </row>
    <row r="328" spans="2:12" ht="12" customHeight="1" x14ac:dyDescent="0.15">
      <c r="B328" s="2"/>
      <c r="C328" s="3"/>
      <c r="D328" s="3"/>
      <c r="E328" s="4"/>
      <c r="I328" s="2"/>
      <c r="J328" s="3"/>
      <c r="K328" s="3"/>
      <c r="L328" s="4"/>
    </row>
    <row r="329" spans="2:12" ht="12" customHeight="1" x14ac:dyDescent="0.15">
      <c r="B329" s="2"/>
      <c r="C329" s="3"/>
      <c r="D329" s="3"/>
      <c r="E329" s="4"/>
      <c r="I329" s="2"/>
      <c r="J329" s="3"/>
      <c r="K329" s="3"/>
      <c r="L329" s="4"/>
    </row>
    <row r="330" spans="2:12" ht="12" customHeight="1" x14ac:dyDescent="0.15">
      <c r="B330" s="2"/>
      <c r="C330" s="3"/>
      <c r="D330" s="3"/>
      <c r="E330" s="4"/>
      <c r="I330" s="2"/>
      <c r="J330" s="3"/>
      <c r="K330" s="3"/>
      <c r="L330" s="4"/>
    </row>
    <row r="331" spans="2:12" ht="12" customHeight="1" x14ac:dyDescent="0.15">
      <c r="B331" s="2"/>
      <c r="C331" s="3"/>
      <c r="D331" s="3"/>
      <c r="E331" s="4"/>
      <c r="I331" s="2"/>
      <c r="J331" s="3"/>
      <c r="K331" s="3"/>
      <c r="L331" s="4"/>
    </row>
    <row r="332" spans="2:12" ht="12" customHeight="1" x14ac:dyDescent="0.15">
      <c r="B332" s="2"/>
      <c r="C332" s="3"/>
      <c r="D332" s="3"/>
      <c r="E332" s="4"/>
      <c r="I332" s="2"/>
      <c r="J332" s="3"/>
      <c r="K332" s="3"/>
      <c r="L332" s="4"/>
    </row>
    <row r="333" spans="2:12" ht="12" customHeight="1" x14ac:dyDescent="0.15">
      <c r="B333" s="2"/>
      <c r="C333" s="3"/>
      <c r="D333" s="3"/>
      <c r="E333" s="4"/>
      <c r="I333" s="2"/>
      <c r="J333" s="3"/>
      <c r="K333" s="3"/>
      <c r="L333" s="4"/>
    </row>
    <row r="334" spans="2:12" ht="12" customHeight="1" x14ac:dyDescent="0.15">
      <c r="B334" s="2"/>
      <c r="C334" s="3"/>
      <c r="D334" s="3"/>
      <c r="E334" s="4"/>
      <c r="I334" s="2"/>
      <c r="J334" s="3"/>
      <c r="K334" s="3"/>
      <c r="L334" s="4"/>
    </row>
    <row r="335" spans="2:12" ht="12" customHeight="1" x14ac:dyDescent="0.15">
      <c r="B335" s="2"/>
      <c r="C335" s="3"/>
      <c r="D335" s="3"/>
      <c r="E335" s="4"/>
      <c r="I335" s="2"/>
      <c r="J335" s="3"/>
      <c r="K335" s="3"/>
      <c r="L335" s="4"/>
    </row>
    <row r="336" spans="2:12" ht="12" customHeight="1" x14ac:dyDescent="0.15">
      <c r="B336" s="2"/>
      <c r="C336" s="3"/>
      <c r="D336" s="3"/>
      <c r="E336" s="4"/>
      <c r="I336" s="2"/>
      <c r="J336" s="3"/>
      <c r="K336" s="3"/>
      <c r="L336" s="4"/>
    </row>
    <row r="337" spans="2:12" ht="12" customHeight="1" x14ac:dyDescent="0.15">
      <c r="B337" s="2"/>
      <c r="C337" s="3"/>
      <c r="D337" s="3"/>
      <c r="E337" s="4"/>
      <c r="I337" s="2"/>
      <c r="J337" s="3"/>
      <c r="K337" s="3"/>
      <c r="L337" s="4"/>
    </row>
    <row r="338" spans="2:12" ht="12" customHeight="1" x14ac:dyDescent="0.15">
      <c r="B338" s="2"/>
      <c r="C338" s="3"/>
      <c r="D338" s="3"/>
      <c r="E338" s="4"/>
      <c r="I338" s="2"/>
      <c r="J338" s="3"/>
      <c r="K338" s="3"/>
      <c r="L338" s="4"/>
    </row>
    <row r="339" spans="2:12" ht="12" customHeight="1" x14ac:dyDescent="0.15">
      <c r="B339" s="2"/>
      <c r="C339" s="3"/>
      <c r="D339" s="3"/>
      <c r="E339" s="4"/>
      <c r="I339" s="2"/>
      <c r="J339" s="3"/>
      <c r="K339" s="3"/>
      <c r="L339" s="4"/>
    </row>
    <row r="340" spans="2:12" ht="12" customHeight="1" x14ac:dyDescent="0.15">
      <c r="B340" s="2"/>
      <c r="C340" s="3"/>
      <c r="D340" s="3"/>
      <c r="E340" s="4"/>
      <c r="I340" s="2"/>
      <c r="J340" s="3"/>
      <c r="K340" s="3"/>
      <c r="L340" s="4"/>
    </row>
    <row r="341" spans="2:12" ht="12" customHeight="1" x14ac:dyDescent="0.15">
      <c r="B341" s="2"/>
      <c r="C341" s="3"/>
      <c r="D341" s="3"/>
      <c r="E341" s="4"/>
      <c r="I341" s="2"/>
      <c r="J341" s="3"/>
      <c r="K341" s="3"/>
      <c r="L341" s="4"/>
    </row>
    <row r="342" spans="2:12" ht="12" customHeight="1" x14ac:dyDescent="0.15">
      <c r="B342" s="2"/>
      <c r="C342" s="3"/>
      <c r="D342" s="3"/>
      <c r="E342" s="4"/>
      <c r="I342" s="2"/>
      <c r="J342" s="3"/>
      <c r="K342" s="3"/>
      <c r="L342" s="4"/>
    </row>
    <row r="343" spans="2:12" ht="12" customHeight="1" x14ac:dyDescent="0.15">
      <c r="B343" s="2"/>
      <c r="C343" s="3"/>
      <c r="D343" s="3"/>
      <c r="E343" s="4"/>
      <c r="I343" s="2"/>
      <c r="J343" s="3"/>
      <c r="K343" s="3"/>
      <c r="L343" s="4"/>
    </row>
    <row r="344" spans="2:12" ht="12" customHeight="1" x14ac:dyDescent="0.15">
      <c r="B344" s="2"/>
      <c r="C344" s="3"/>
      <c r="D344" s="3"/>
      <c r="E344" s="4"/>
      <c r="I344" s="2"/>
      <c r="J344" s="3"/>
      <c r="K344" s="3"/>
      <c r="L344" s="4"/>
    </row>
    <row r="345" spans="2:12" ht="12" customHeight="1" x14ac:dyDescent="0.15">
      <c r="B345" s="2"/>
      <c r="C345" s="3"/>
      <c r="D345" s="3"/>
      <c r="E345" s="4"/>
      <c r="I345" s="2"/>
      <c r="J345" s="3"/>
      <c r="K345" s="3"/>
      <c r="L345" s="4"/>
    </row>
    <row r="346" spans="2:12" ht="12" customHeight="1" x14ac:dyDescent="0.15">
      <c r="B346" s="2"/>
      <c r="C346" s="3"/>
      <c r="D346" s="3"/>
      <c r="E346" s="4"/>
      <c r="I346" s="2"/>
      <c r="J346" s="3"/>
      <c r="K346" s="3"/>
      <c r="L346" s="4"/>
    </row>
    <row r="347" spans="2:12" ht="12" customHeight="1" x14ac:dyDescent="0.15">
      <c r="B347" s="2"/>
      <c r="C347" s="3"/>
      <c r="D347" s="3"/>
      <c r="E347" s="4"/>
      <c r="I347" s="2"/>
      <c r="J347" s="3"/>
      <c r="K347" s="3"/>
      <c r="L347" s="4"/>
    </row>
    <row r="348" spans="2:12" ht="12" customHeight="1" x14ac:dyDescent="0.15">
      <c r="B348" s="2"/>
      <c r="C348" s="3"/>
      <c r="D348" s="3"/>
      <c r="E348" s="4"/>
      <c r="I348" s="2"/>
      <c r="J348" s="3"/>
      <c r="K348" s="3"/>
      <c r="L348" s="4"/>
    </row>
    <row r="349" spans="2:12" ht="12" customHeight="1" x14ac:dyDescent="0.15">
      <c r="B349" s="2"/>
      <c r="C349" s="3"/>
      <c r="D349" s="3"/>
      <c r="E349" s="4"/>
      <c r="I349" s="2"/>
      <c r="J349" s="3"/>
      <c r="K349" s="3"/>
      <c r="L349" s="4"/>
    </row>
    <row r="350" spans="2:12" ht="12" customHeight="1" x14ac:dyDescent="0.15">
      <c r="B350" s="2"/>
      <c r="C350" s="3"/>
      <c r="D350" s="3"/>
      <c r="E350" s="4"/>
      <c r="I350" s="2"/>
      <c r="J350" s="3"/>
      <c r="K350" s="3"/>
      <c r="L350" s="4"/>
    </row>
    <row r="351" spans="2:12" ht="12" customHeight="1" x14ac:dyDescent="0.15">
      <c r="B351" s="2"/>
      <c r="C351" s="3"/>
      <c r="D351" s="3"/>
      <c r="E351" s="4"/>
      <c r="I351" s="2"/>
      <c r="J351" s="3"/>
      <c r="K351" s="3"/>
      <c r="L351" s="4"/>
    </row>
    <row r="352" spans="2:12" ht="12" customHeight="1" x14ac:dyDescent="0.15">
      <c r="B352" s="2"/>
      <c r="C352" s="3"/>
      <c r="D352" s="3"/>
      <c r="E352" s="4"/>
      <c r="I352" s="2"/>
      <c r="J352" s="3"/>
      <c r="K352" s="3"/>
      <c r="L352" s="4"/>
    </row>
    <row r="353" spans="2:12" ht="12" customHeight="1" x14ac:dyDescent="0.15">
      <c r="B353" s="2"/>
      <c r="C353" s="3"/>
      <c r="D353" s="3"/>
      <c r="E353" s="4"/>
      <c r="I353" s="2"/>
      <c r="J353" s="3"/>
      <c r="K353" s="3"/>
      <c r="L353" s="4"/>
    </row>
    <row r="354" spans="2:12" ht="12" customHeight="1" x14ac:dyDescent="0.15">
      <c r="B354" s="2"/>
      <c r="C354" s="3"/>
      <c r="D354" s="3"/>
      <c r="E354" s="4"/>
      <c r="I354" s="2"/>
      <c r="J354" s="3"/>
      <c r="K354" s="3"/>
      <c r="L354" s="4"/>
    </row>
    <row r="355" spans="2:12" ht="12" customHeight="1" x14ac:dyDescent="0.15">
      <c r="B355" s="2"/>
      <c r="C355" s="3"/>
      <c r="D355" s="3"/>
      <c r="E355" s="4"/>
      <c r="I355" s="2"/>
      <c r="J355" s="3"/>
      <c r="K355" s="3"/>
      <c r="L355" s="4"/>
    </row>
    <row r="356" spans="2:12" ht="12" customHeight="1" x14ac:dyDescent="0.15">
      <c r="B356" s="2"/>
      <c r="C356" s="3"/>
      <c r="D356" s="3"/>
      <c r="E356" s="4"/>
      <c r="I356" s="2"/>
      <c r="J356" s="3"/>
      <c r="K356" s="3"/>
      <c r="L356" s="4"/>
    </row>
    <row r="357" spans="2:12" ht="12" customHeight="1" x14ac:dyDescent="0.15">
      <c r="B357" s="2"/>
      <c r="C357" s="3"/>
      <c r="D357" s="3"/>
      <c r="E357" s="4"/>
      <c r="I357" s="2"/>
      <c r="J357" s="3"/>
      <c r="K357" s="3"/>
      <c r="L357" s="4"/>
    </row>
    <row r="358" spans="2:12" ht="12" customHeight="1" x14ac:dyDescent="0.15">
      <c r="B358" s="2"/>
      <c r="C358" s="3"/>
      <c r="D358" s="3"/>
      <c r="E358" s="4"/>
      <c r="I358" s="2"/>
      <c r="J358" s="3"/>
      <c r="K358" s="3"/>
      <c r="L358" s="4"/>
    </row>
    <row r="359" spans="2:12" ht="12" customHeight="1" x14ac:dyDescent="0.15">
      <c r="B359" s="2"/>
      <c r="C359" s="3"/>
      <c r="D359" s="3"/>
      <c r="E359" s="4"/>
      <c r="I359" s="2"/>
      <c r="J359" s="3"/>
      <c r="K359" s="3"/>
      <c r="L359" s="4"/>
    </row>
    <row r="360" spans="2:12" ht="12" customHeight="1" x14ac:dyDescent="0.15">
      <c r="B360" s="2"/>
      <c r="C360" s="3"/>
      <c r="D360" s="3"/>
      <c r="E360" s="4"/>
      <c r="I360" s="2"/>
      <c r="J360" s="3"/>
      <c r="K360" s="3"/>
      <c r="L360" s="4"/>
    </row>
    <row r="361" spans="2:12" ht="12" customHeight="1" x14ac:dyDescent="0.15">
      <c r="B361" s="2"/>
      <c r="C361" s="3"/>
      <c r="D361" s="3"/>
      <c r="E361" s="4"/>
      <c r="I361" s="2"/>
      <c r="J361" s="3"/>
      <c r="K361" s="3"/>
      <c r="L361" s="4"/>
    </row>
    <row r="362" spans="2:12" ht="12" customHeight="1" x14ac:dyDescent="0.15">
      <c r="B362" s="2"/>
      <c r="C362" s="3"/>
      <c r="D362" s="3"/>
      <c r="E362" s="4"/>
      <c r="I362" s="2"/>
      <c r="J362" s="3"/>
      <c r="K362" s="3"/>
      <c r="L362" s="4"/>
    </row>
    <row r="363" spans="2:12" ht="12" customHeight="1" x14ac:dyDescent="0.15">
      <c r="B363" s="2"/>
      <c r="C363" s="3"/>
      <c r="D363" s="3"/>
      <c r="E363" s="4"/>
      <c r="I363" s="2"/>
      <c r="J363" s="3"/>
      <c r="K363" s="3"/>
      <c r="L363" s="4"/>
    </row>
    <row r="364" spans="2:12" ht="12" customHeight="1" x14ac:dyDescent="0.15">
      <c r="B364" s="2"/>
      <c r="C364" s="3"/>
      <c r="D364" s="3"/>
      <c r="E364" s="4"/>
      <c r="I364" s="2"/>
      <c r="J364" s="3"/>
      <c r="K364" s="3"/>
      <c r="L364" s="4"/>
    </row>
    <row r="365" spans="2:12" ht="12" customHeight="1" x14ac:dyDescent="0.15">
      <c r="B365" s="2"/>
      <c r="C365" s="3"/>
      <c r="D365" s="3"/>
      <c r="E365" s="4"/>
      <c r="I365" s="2"/>
      <c r="J365" s="3"/>
      <c r="K365" s="3"/>
      <c r="L365" s="4"/>
    </row>
    <row r="366" spans="2:12" ht="12" customHeight="1" x14ac:dyDescent="0.15">
      <c r="B366" s="2"/>
      <c r="C366" s="3"/>
      <c r="D366" s="3"/>
      <c r="E366" s="4"/>
      <c r="I366" s="2"/>
      <c r="J366" s="3"/>
      <c r="K366" s="3"/>
      <c r="L366" s="4"/>
    </row>
    <row r="367" spans="2:12" ht="12" customHeight="1" x14ac:dyDescent="0.15">
      <c r="B367" s="2"/>
      <c r="C367" s="3"/>
      <c r="D367" s="3"/>
      <c r="E367" s="4"/>
      <c r="I367" s="2"/>
      <c r="J367" s="3"/>
      <c r="K367" s="3"/>
      <c r="L367" s="4"/>
    </row>
    <row r="368" spans="2:12" ht="12" customHeight="1" x14ac:dyDescent="0.15">
      <c r="B368" s="2"/>
      <c r="C368" s="3"/>
      <c r="D368" s="3"/>
      <c r="E368" s="4"/>
      <c r="I368" s="2"/>
      <c r="J368" s="3"/>
      <c r="K368" s="3"/>
      <c r="L368" s="4"/>
    </row>
    <row r="369" spans="2:12" ht="12" customHeight="1" x14ac:dyDescent="0.15">
      <c r="B369" s="2"/>
      <c r="C369" s="3"/>
      <c r="D369" s="3"/>
      <c r="E369" s="4"/>
      <c r="I369" s="2"/>
      <c r="J369" s="3"/>
      <c r="K369" s="3"/>
      <c r="L369" s="4"/>
    </row>
    <row r="370" spans="2:12" ht="12" customHeight="1" x14ac:dyDescent="0.15">
      <c r="B370" s="2"/>
      <c r="C370" s="3"/>
      <c r="D370" s="3"/>
      <c r="E370" s="4"/>
      <c r="I370" s="2"/>
      <c r="J370" s="3"/>
      <c r="K370" s="3"/>
      <c r="L370" s="4"/>
    </row>
    <row r="371" spans="2:12" ht="12" customHeight="1" x14ac:dyDescent="0.15">
      <c r="B371" s="2"/>
      <c r="C371" s="3"/>
      <c r="D371" s="3"/>
      <c r="E371" s="4"/>
      <c r="I371" s="2"/>
      <c r="J371" s="3"/>
      <c r="K371" s="3"/>
      <c r="L371" s="4"/>
    </row>
    <row r="372" spans="2:12" ht="12" customHeight="1" x14ac:dyDescent="0.15">
      <c r="B372" s="2"/>
      <c r="C372" s="3"/>
      <c r="D372" s="3"/>
      <c r="E372" s="4"/>
      <c r="I372" s="2"/>
      <c r="J372" s="3"/>
      <c r="K372" s="3"/>
      <c r="L372" s="4"/>
    </row>
    <row r="373" spans="2:12" ht="12" customHeight="1" x14ac:dyDescent="0.15">
      <c r="B373" s="2"/>
      <c r="C373" s="3"/>
      <c r="D373" s="3"/>
      <c r="E373" s="4"/>
      <c r="I373" s="2"/>
      <c r="J373" s="3"/>
      <c r="K373" s="3"/>
      <c r="L373" s="4"/>
    </row>
    <row r="374" spans="2:12" ht="12" customHeight="1" x14ac:dyDescent="0.15">
      <c r="B374" s="2"/>
      <c r="C374" s="3"/>
      <c r="D374" s="3"/>
      <c r="E374" s="4"/>
      <c r="I374" s="2"/>
      <c r="J374" s="3"/>
      <c r="K374" s="3"/>
      <c r="L374" s="4"/>
    </row>
    <row r="375" spans="2:12" ht="12" customHeight="1" x14ac:dyDescent="0.15">
      <c r="B375" s="2"/>
      <c r="C375" s="3"/>
      <c r="D375" s="3"/>
      <c r="E375" s="4"/>
      <c r="I375" s="2"/>
      <c r="J375" s="3"/>
      <c r="K375" s="3"/>
      <c r="L375" s="4"/>
    </row>
    <row r="376" spans="2:12" ht="12" customHeight="1" x14ac:dyDescent="0.15">
      <c r="B376" s="2"/>
      <c r="C376" s="3"/>
      <c r="D376" s="3"/>
      <c r="E376" s="4"/>
      <c r="I376" s="2"/>
      <c r="J376" s="3"/>
      <c r="K376" s="3"/>
      <c r="L376" s="4"/>
    </row>
    <row r="377" spans="2:12" ht="12" customHeight="1" x14ac:dyDescent="0.15">
      <c r="B377" s="2"/>
      <c r="C377" s="3"/>
      <c r="D377" s="3"/>
      <c r="E377" s="4"/>
      <c r="I377" s="2"/>
      <c r="J377" s="3"/>
      <c r="K377" s="3"/>
      <c r="L377" s="4"/>
    </row>
    <row r="378" spans="2:12" ht="12" customHeight="1" x14ac:dyDescent="0.15">
      <c r="B378" s="2"/>
      <c r="C378" s="3"/>
      <c r="D378" s="3"/>
      <c r="E378" s="4"/>
      <c r="I378" s="2"/>
      <c r="J378" s="3"/>
      <c r="K378" s="3"/>
      <c r="L378" s="4"/>
    </row>
    <row r="379" spans="2:12" ht="12" customHeight="1" x14ac:dyDescent="0.15">
      <c r="B379" s="2"/>
      <c r="C379" s="3"/>
      <c r="D379" s="3"/>
      <c r="E379" s="4"/>
      <c r="I379" s="2"/>
      <c r="J379" s="3"/>
      <c r="K379" s="3"/>
      <c r="L379" s="4"/>
    </row>
    <row r="380" spans="2:12" ht="12" customHeight="1" x14ac:dyDescent="0.15">
      <c r="B380" s="2"/>
      <c r="C380" s="3"/>
      <c r="D380" s="3"/>
      <c r="E380" s="4"/>
      <c r="I380" s="2"/>
      <c r="J380" s="3"/>
      <c r="K380" s="3"/>
      <c r="L380" s="4"/>
    </row>
    <row r="381" spans="2:12" ht="12" customHeight="1" x14ac:dyDescent="0.15">
      <c r="B381" s="2"/>
      <c r="C381" s="3"/>
      <c r="D381" s="3"/>
      <c r="E381" s="4"/>
      <c r="I381" s="2"/>
      <c r="J381" s="3"/>
      <c r="K381" s="3"/>
      <c r="L381" s="4"/>
    </row>
    <row r="382" spans="2:12" ht="12" customHeight="1" x14ac:dyDescent="0.15">
      <c r="B382" s="2"/>
      <c r="C382" s="3"/>
      <c r="D382" s="3"/>
      <c r="E382" s="4"/>
      <c r="I382" s="2"/>
      <c r="J382" s="3"/>
      <c r="K382" s="3"/>
      <c r="L382" s="4"/>
    </row>
    <row r="383" spans="2:12" ht="12" customHeight="1" x14ac:dyDescent="0.15">
      <c r="B383" s="2"/>
      <c r="C383" s="3"/>
      <c r="D383" s="3"/>
      <c r="E383" s="4"/>
      <c r="I383" s="2"/>
      <c r="J383" s="3"/>
      <c r="K383" s="3"/>
      <c r="L383" s="4"/>
    </row>
    <row r="384" spans="2:12" ht="12" customHeight="1" x14ac:dyDescent="0.15">
      <c r="B384" s="2"/>
      <c r="C384" s="3"/>
      <c r="D384" s="3"/>
      <c r="E384" s="4"/>
      <c r="I384" s="2"/>
      <c r="J384" s="3"/>
      <c r="K384" s="3"/>
      <c r="L384" s="4"/>
    </row>
    <row r="385" spans="2:12" ht="12" customHeight="1" x14ac:dyDescent="0.15">
      <c r="B385" s="2"/>
      <c r="C385" s="3"/>
      <c r="D385" s="3"/>
      <c r="E385" s="4"/>
      <c r="I385" s="2"/>
      <c r="J385" s="3"/>
      <c r="K385" s="3"/>
      <c r="L385" s="4"/>
    </row>
    <row r="386" spans="2:12" ht="12" customHeight="1" x14ac:dyDescent="0.15">
      <c r="B386" s="2"/>
      <c r="C386" s="3"/>
      <c r="D386" s="3"/>
      <c r="E386" s="4"/>
      <c r="I386" s="2"/>
      <c r="J386" s="3"/>
      <c r="K386" s="3"/>
      <c r="L386" s="4"/>
    </row>
    <row r="387" spans="2:12" ht="12" customHeight="1" x14ac:dyDescent="0.15">
      <c r="B387" s="2"/>
      <c r="C387" s="3"/>
      <c r="D387" s="3"/>
      <c r="E387" s="4"/>
      <c r="I387" s="2"/>
      <c r="J387" s="3"/>
      <c r="K387" s="3"/>
      <c r="L387" s="4"/>
    </row>
    <row r="388" spans="2:12" ht="12" customHeight="1" x14ac:dyDescent="0.15">
      <c r="B388" s="2"/>
      <c r="C388" s="3"/>
      <c r="D388" s="3"/>
      <c r="E388" s="4"/>
      <c r="I388" s="2"/>
      <c r="J388" s="3"/>
      <c r="K388" s="3"/>
      <c r="L388" s="4"/>
    </row>
    <row r="389" spans="2:12" ht="12" customHeight="1" x14ac:dyDescent="0.15">
      <c r="B389" s="2"/>
      <c r="C389" s="3"/>
      <c r="D389" s="3"/>
      <c r="E389" s="4"/>
      <c r="I389" s="2"/>
      <c r="J389" s="3"/>
      <c r="K389" s="3"/>
      <c r="L389" s="4"/>
    </row>
    <row r="390" spans="2:12" ht="12" customHeight="1" x14ac:dyDescent="0.15">
      <c r="B390" s="2"/>
      <c r="C390" s="3"/>
      <c r="D390" s="3"/>
      <c r="E390" s="4"/>
      <c r="I390" s="2"/>
      <c r="J390" s="3"/>
      <c r="K390" s="3"/>
      <c r="L390" s="4"/>
    </row>
    <row r="391" spans="2:12" ht="12" customHeight="1" x14ac:dyDescent="0.15">
      <c r="B391" s="2"/>
      <c r="C391" s="3"/>
      <c r="D391" s="3"/>
      <c r="E391" s="4"/>
      <c r="I391" s="2"/>
      <c r="J391" s="3"/>
      <c r="K391" s="3"/>
      <c r="L391" s="4"/>
    </row>
    <row r="392" spans="2:12" ht="12" customHeight="1" x14ac:dyDescent="0.15">
      <c r="B392" s="2"/>
      <c r="C392" s="3"/>
      <c r="D392" s="3"/>
      <c r="E392" s="4"/>
      <c r="I392" s="2"/>
      <c r="J392" s="3"/>
      <c r="K392" s="3"/>
      <c r="L392" s="4"/>
    </row>
    <row r="393" spans="2:12" ht="12" customHeight="1" x14ac:dyDescent="0.15">
      <c r="B393" s="2"/>
      <c r="C393" s="3"/>
      <c r="D393" s="3"/>
      <c r="E393" s="4"/>
      <c r="I393" s="2"/>
      <c r="J393" s="3"/>
      <c r="K393" s="3"/>
      <c r="L393" s="4"/>
    </row>
    <row r="394" spans="2:12" ht="12" customHeight="1" x14ac:dyDescent="0.15">
      <c r="B394" s="2"/>
      <c r="C394" s="3"/>
      <c r="D394" s="3"/>
      <c r="E394" s="4"/>
      <c r="I394" s="2"/>
      <c r="J394" s="3"/>
      <c r="K394" s="3"/>
      <c r="L394" s="4"/>
    </row>
    <row r="395" spans="2:12" ht="12" customHeight="1" x14ac:dyDescent="0.15">
      <c r="B395" s="2"/>
      <c r="C395" s="3"/>
      <c r="D395" s="3"/>
      <c r="E395" s="4"/>
      <c r="I395" s="2"/>
      <c r="J395" s="3"/>
      <c r="K395" s="3"/>
      <c r="L395" s="4"/>
    </row>
    <row r="396" spans="2:12" ht="12" customHeight="1" x14ac:dyDescent="0.15">
      <c r="B396" s="2"/>
      <c r="C396" s="3"/>
      <c r="D396" s="3"/>
      <c r="E396" s="4"/>
      <c r="I396" s="2"/>
      <c r="J396" s="3"/>
      <c r="K396" s="3"/>
      <c r="L396" s="4"/>
    </row>
    <row r="397" spans="2:12" ht="12" customHeight="1" x14ac:dyDescent="0.15">
      <c r="B397" s="2"/>
      <c r="C397" s="3"/>
      <c r="D397" s="3"/>
      <c r="E397" s="4"/>
      <c r="I397" s="2"/>
      <c r="J397" s="3"/>
      <c r="K397" s="3"/>
      <c r="L397" s="4"/>
    </row>
    <row r="398" spans="2:12" ht="12" customHeight="1" x14ac:dyDescent="0.15">
      <c r="B398" s="2"/>
      <c r="C398" s="3"/>
      <c r="D398" s="3"/>
      <c r="E398" s="4"/>
      <c r="I398" s="2"/>
      <c r="J398" s="3"/>
      <c r="K398" s="3"/>
      <c r="L398" s="4"/>
    </row>
    <row r="399" spans="2:12" ht="12" customHeight="1" x14ac:dyDescent="0.15">
      <c r="B399" s="2"/>
      <c r="C399" s="3"/>
      <c r="D399" s="3"/>
      <c r="E399" s="4"/>
      <c r="I399" s="2"/>
      <c r="J399" s="3"/>
      <c r="K399" s="3"/>
      <c r="L399" s="4"/>
    </row>
    <row r="400" spans="2:12" ht="12" customHeight="1" x14ac:dyDescent="0.15">
      <c r="B400" s="2"/>
      <c r="C400" s="3"/>
      <c r="D400" s="3"/>
      <c r="E400" s="4"/>
      <c r="I400" s="2"/>
      <c r="J400" s="3"/>
      <c r="K400" s="3"/>
      <c r="L400" s="4"/>
    </row>
    <row r="401" spans="2:12" ht="12" customHeight="1" x14ac:dyDescent="0.15">
      <c r="B401" s="2"/>
      <c r="C401" s="3"/>
      <c r="D401" s="3"/>
      <c r="E401" s="4"/>
      <c r="I401" s="2"/>
      <c r="J401" s="3"/>
      <c r="K401" s="3"/>
      <c r="L401" s="4"/>
    </row>
    <row r="402" spans="2:12" ht="12" customHeight="1" x14ac:dyDescent="0.15">
      <c r="B402" s="2"/>
      <c r="C402" s="3"/>
      <c r="D402" s="3"/>
      <c r="E402" s="4"/>
      <c r="I402" s="2"/>
      <c r="J402" s="3"/>
      <c r="K402" s="3"/>
      <c r="L402" s="4"/>
    </row>
    <row r="403" spans="2:12" ht="12" customHeight="1" x14ac:dyDescent="0.15">
      <c r="B403" s="2"/>
      <c r="C403" s="3"/>
      <c r="D403" s="3"/>
      <c r="E403" s="4"/>
      <c r="I403" s="2"/>
      <c r="J403" s="3"/>
      <c r="K403" s="3"/>
      <c r="L403" s="4"/>
    </row>
    <row r="404" spans="2:12" ht="12" customHeight="1" x14ac:dyDescent="0.15">
      <c r="B404" s="2"/>
      <c r="C404" s="3"/>
      <c r="D404" s="3"/>
      <c r="E404" s="4"/>
      <c r="I404" s="2"/>
      <c r="J404" s="3"/>
      <c r="K404" s="3"/>
      <c r="L404" s="4"/>
    </row>
    <row r="405" spans="2:12" ht="12" customHeight="1" x14ac:dyDescent="0.15">
      <c r="B405" s="2"/>
      <c r="C405" s="3"/>
      <c r="D405" s="3"/>
      <c r="E405" s="4"/>
      <c r="I405" s="2"/>
      <c r="J405" s="3"/>
      <c r="K405" s="3"/>
      <c r="L405" s="4"/>
    </row>
    <row r="406" spans="2:12" ht="12" customHeight="1" x14ac:dyDescent="0.15">
      <c r="B406" s="2"/>
      <c r="C406" s="3"/>
      <c r="D406" s="3"/>
      <c r="E406" s="4"/>
      <c r="I406" s="2"/>
      <c r="J406" s="3"/>
      <c r="K406" s="3"/>
      <c r="L406" s="4"/>
    </row>
    <row r="407" spans="2:12" ht="12" customHeight="1" x14ac:dyDescent="0.15">
      <c r="B407" s="2"/>
      <c r="C407" s="3"/>
      <c r="D407" s="3"/>
      <c r="E407" s="4"/>
      <c r="I407" s="2"/>
      <c r="J407" s="3"/>
      <c r="K407" s="3"/>
      <c r="L407" s="4"/>
    </row>
    <row r="408" spans="2:12" ht="12" customHeight="1" x14ac:dyDescent="0.15">
      <c r="B408" s="2"/>
      <c r="C408" s="3"/>
      <c r="D408" s="3"/>
      <c r="E408" s="4"/>
      <c r="I408" s="2"/>
      <c r="J408" s="3"/>
      <c r="K408" s="3"/>
      <c r="L408" s="4"/>
    </row>
    <row r="409" spans="2:12" ht="12" customHeight="1" x14ac:dyDescent="0.15">
      <c r="B409" s="2"/>
      <c r="C409" s="3"/>
      <c r="D409" s="3"/>
      <c r="E409" s="4"/>
      <c r="I409" s="2"/>
      <c r="J409" s="3"/>
      <c r="K409" s="3"/>
      <c r="L409" s="4"/>
    </row>
    <row r="410" spans="2:12" ht="12" customHeight="1" x14ac:dyDescent="0.15">
      <c r="B410" s="2"/>
      <c r="C410" s="3"/>
      <c r="D410" s="3"/>
      <c r="E410" s="4"/>
      <c r="I410" s="2"/>
      <c r="J410" s="3"/>
      <c r="K410" s="3"/>
      <c r="L410" s="4"/>
    </row>
    <row r="411" spans="2:12" ht="12" customHeight="1" x14ac:dyDescent="0.15">
      <c r="B411" s="2"/>
      <c r="C411" s="3"/>
      <c r="D411" s="3"/>
      <c r="E411" s="4"/>
      <c r="I411" s="2"/>
      <c r="J411" s="3"/>
      <c r="K411" s="3"/>
      <c r="L411" s="4"/>
    </row>
    <row r="412" spans="2:12" ht="12" customHeight="1" x14ac:dyDescent="0.15">
      <c r="B412" s="2"/>
      <c r="C412" s="3"/>
      <c r="D412" s="3"/>
      <c r="E412" s="4"/>
      <c r="I412" s="2"/>
      <c r="J412" s="3"/>
      <c r="K412" s="3"/>
      <c r="L412" s="4"/>
    </row>
    <row r="413" spans="2:12" ht="12" customHeight="1" x14ac:dyDescent="0.15">
      <c r="B413" s="2"/>
      <c r="C413" s="3"/>
      <c r="D413" s="3"/>
      <c r="E413" s="4"/>
      <c r="I413" s="2"/>
      <c r="J413" s="3"/>
      <c r="K413" s="3"/>
      <c r="L413" s="4"/>
    </row>
    <row r="414" spans="2:12" ht="12" customHeight="1" x14ac:dyDescent="0.15">
      <c r="B414" s="2"/>
      <c r="C414" s="3"/>
      <c r="D414" s="3"/>
      <c r="E414" s="4"/>
      <c r="I414" s="2"/>
      <c r="J414" s="3"/>
      <c r="K414" s="3"/>
      <c r="L414" s="4"/>
    </row>
    <row r="415" spans="2:12" ht="12" customHeight="1" x14ac:dyDescent="0.15">
      <c r="B415" s="2"/>
      <c r="C415" s="3"/>
      <c r="D415" s="3"/>
      <c r="E415" s="4"/>
      <c r="I415" s="2"/>
      <c r="J415" s="3"/>
      <c r="K415" s="3"/>
      <c r="L415" s="4"/>
    </row>
    <row r="416" spans="2:12" ht="12" customHeight="1" x14ac:dyDescent="0.15">
      <c r="B416" s="2"/>
      <c r="C416" s="3"/>
      <c r="D416" s="3"/>
      <c r="E416" s="4"/>
      <c r="I416" s="2"/>
      <c r="J416" s="3"/>
      <c r="K416" s="3"/>
      <c r="L416" s="4"/>
    </row>
    <row r="417" spans="2:12" ht="12" customHeight="1" x14ac:dyDescent="0.15">
      <c r="B417" s="2"/>
      <c r="C417" s="3"/>
      <c r="D417" s="3"/>
      <c r="E417" s="4"/>
      <c r="I417" s="2"/>
      <c r="J417" s="3"/>
      <c r="K417" s="3"/>
      <c r="L417" s="4"/>
    </row>
    <row r="418" spans="2:12" ht="12" customHeight="1" x14ac:dyDescent="0.15">
      <c r="B418" s="2"/>
      <c r="C418" s="3"/>
      <c r="D418" s="3"/>
      <c r="E418" s="4"/>
      <c r="I418" s="2"/>
      <c r="J418" s="3"/>
      <c r="K418" s="3"/>
      <c r="L418" s="4"/>
    </row>
    <row r="419" spans="2:12" ht="12" customHeight="1" x14ac:dyDescent="0.15">
      <c r="B419" s="2"/>
      <c r="C419" s="3"/>
      <c r="D419" s="3"/>
      <c r="E419" s="4"/>
      <c r="I419" s="2"/>
      <c r="J419" s="3"/>
      <c r="K419" s="3"/>
      <c r="L419" s="4"/>
    </row>
    <row r="420" spans="2:12" ht="12" customHeight="1" x14ac:dyDescent="0.15">
      <c r="B420" s="2"/>
      <c r="C420" s="3"/>
      <c r="D420" s="3"/>
      <c r="E420" s="4"/>
      <c r="I420" s="2"/>
      <c r="J420" s="3"/>
      <c r="K420" s="3"/>
      <c r="L420" s="4"/>
    </row>
    <row r="421" spans="2:12" ht="12" customHeight="1" x14ac:dyDescent="0.15">
      <c r="B421" s="2"/>
      <c r="C421" s="3"/>
      <c r="D421" s="3"/>
      <c r="E421" s="4"/>
      <c r="I421" s="2"/>
      <c r="J421" s="3"/>
      <c r="K421" s="3"/>
      <c r="L421" s="4"/>
    </row>
    <row r="422" spans="2:12" ht="12" customHeight="1" x14ac:dyDescent="0.15">
      <c r="B422" s="2"/>
      <c r="C422" s="3"/>
      <c r="D422" s="3"/>
      <c r="E422" s="4"/>
      <c r="I422" s="2"/>
      <c r="J422" s="3"/>
      <c r="K422" s="3"/>
      <c r="L422" s="4"/>
    </row>
    <row r="423" spans="2:12" ht="12" customHeight="1" x14ac:dyDescent="0.15">
      <c r="B423" s="2"/>
      <c r="C423" s="3"/>
      <c r="D423" s="3"/>
      <c r="E423" s="4"/>
      <c r="I423" s="2"/>
      <c r="J423" s="3"/>
      <c r="K423" s="3"/>
      <c r="L423" s="4"/>
    </row>
    <row r="424" spans="2:12" ht="12" customHeight="1" x14ac:dyDescent="0.15">
      <c r="B424" s="2"/>
      <c r="C424" s="3"/>
      <c r="D424" s="3"/>
      <c r="E424" s="4"/>
      <c r="I424" s="2"/>
      <c r="J424" s="3"/>
      <c r="K424" s="3"/>
      <c r="L424" s="4"/>
    </row>
    <row r="425" spans="2:12" ht="12" customHeight="1" x14ac:dyDescent="0.15">
      <c r="B425" s="2"/>
      <c r="C425" s="3"/>
      <c r="D425" s="3"/>
      <c r="E425" s="4"/>
      <c r="I425" s="2"/>
      <c r="J425" s="3"/>
      <c r="K425" s="3"/>
      <c r="L425" s="4"/>
    </row>
    <row r="426" spans="2:12" ht="12" customHeight="1" x14ac:dyDescent="0.15">
      <c r="B426" s="2"/>
      <c r="C426" s="3"/>
      <c r="D426" s="3"/>
      <c r="E426" s="4"/>
      <c r="I426" s="2"/>
      <c r="J426" s="3"/>
      <c r="K426" s="3"/>
      <c r="L426" s="4"/>
    </row>
    <row r="427" spans="2:12" ht="12" customHeight="1" x14ac:dyDescent="0.15">
      <c r="B427" s="2"/>
      <c r="C427" s="3"/>
      <c r="D427" s="3"/>
      <c r="E427" s="4"/>
      <c r="I427" s="2"/>
      <c r="J427" s="3"/>
      <c r="K427" s="3"/>
      <c r="L427" s="4"/>
    </row>
    <row r="428" spans="2:12" ht="12" customHeight="1" x14ac:dyDescent="0.15">
      <c r="B428" s="2"/>
      <c r="C428" s="3"/>
      <c r="D428" s="3"/>
      <c r="E428" s="4"/>
      <c r="I428" s="2"/>
      <c r="J428" s="3"/>
      <c r="K428" s="3"/>
      <c r="L428" s="4"/>
    </row>
    <row r="429" spans="2:12" ht="12" customHeight="1" x14ac:dyDescent="0.15">
      <c r="B429" s="2"/>
      <c r="C429" s="3"/>
      <c r="D429" s="3"/>
      <c r="E429" s="4"/>
      <c r="I429" s="2"/>
      <c r="J429" s="3"/>
      <c r="K429" s="3"/>
      <c r="L429" s="4"/>
    </row>
    <row r="430" spans="2:12" ht="12" customHeight="1" x14ac:dyDescent="0.15">
      <c r="B430" s="2"/>
      <c r="C430" s="3"/>
      <c r="D430" s="3"/>
      <c r="E430" s="4"/>
      <c r="I430" s="2"/>
      <c r="J430" s="3"/>
      <c r="K430" s="3"/>
      <c r="L430" s="4"/>
    </row>
    <row r="431" spans="2:12" ht="12" customHeight="1" x14ac:dyDescent="0.15">
      <c r="B431" s="2"/>
      <c r="C431" s="3"/>
      <c r="D431" s="3"/>
      <c r="E431" s="4"/>
      <c r="I431" s="2"/>
      <c r="J431" s="3"/>
      <c r="K431" s="3"/>
      <c r="L431" s="4"/>
    </row>
    <row r="432" spans="2:12" ht="12" customHeight="1" x14ac:dyDescent="0.15">
      <c r="B432" s="2"/>
      <c r="C432" s="3"/>
      <c r="D432" s="3"/>
      <c r="E432" s="4"/>
      <c r="I432" s="2"/>
      <c r="J432" s="3"/>
      <c r="K432" s="3"/>
      <c r="L432" s="4"/>
    </row>
    <row r="433" spans="2:12" ht="12" customHeight="1" x14ac:dyDescent="0.15">
      <c r="B433" s="2"/>
      <c r="C433" s="3"/>
      <c r="D433" s="3"/>
      <c r="E433" s="4"/>
      <c r="I433" s="2"/>
      <c r="J433" s="3"/>
      <c r="K433" s="3"/>
      <c r="L433" s="4"/>
    </row>
    <row r="434" spans="2:12" ht="12" customHeight="1" x14ac:dyDescent="0.15">
      <c r="B434" s="2"/>
      <c r="C434" s="3"/>
      <c r="D434" s="3"/>
      <c r="E434" s="4"/>
      <c r="I434" s="2"/>
      <c r="J434" s="3"/>
      <c r="K434" s="3"/>
      <c r="L434" s="4"/>
    </row>
    <row r="435" spans="2:12" ht="12" customHeight="1" x14ac:dyDescent="0.15">
      <c r="B435" s="2"/>
      <c r="C435" s="3"/>
      <c r="D435" s="3"/>
      <c r="E435" s="4"/>
      <c r="I435" s="2"/>
      <c r="J435" s="3"/>
      <c r="K435" s="3"/>
      <c r="L435" s="4"/>
    </row>
    <row r="436" spans="2:12" ht="12" customHeight="1" x14ac:dyDescent="0.15">
      <c r="B436" s="2"/>
      <c r="C436" s="3"/>
      <c r="D436" s="3"/>
      <c r="E436" s="4"/>
      <c r="I436" s="2"/>
      <c r="J436" s="3"/>
      <c r="K436" s="3"/>
      <c r="L436" s="4"/>
    </row>
    <row r="437" spans="2:12" ht="12" customHeight="1" x14ac:dyDescent="0.15">
      <c r="B437" s="2"/>
      <c r="C437" s="3"/>
      <c r="D437" s="3"/>
      <c r="E437" s="4"/>
      <c r="I437" s="2"/>
      <c r="J437" s="3"/>
      <c r="K437" s="3"/>
      <c r="L437" s="4"/>
    </row>
    <row r="438" spans="2:12" ht="12" customHeight="1" x14ac:dyDescent="0.15">
      <c r="B438" s="2"/>
      <c r="C438" s="3"/>
      <c r="D438" s="3"/>
      <c r="E438" s="4"/>
      <c r="I438" s="2"/>
      <c r="J438" s="3"/>
      <c r="K438" s="3"/>
      <c r="L438" s="4"/>
    </row>
    <row r="439" spans="2:12" ht="12" customHeight="1" x14ac:dyDescent="0.15">
      <c r="B439" s="2"/>
      <c r="C439" s="3"/>
      <c r="D439" s="3"/>
      <c r="E439" s="4"/>
      <c r="I439" s="2"/>
      <c r="J439" s="3"/>
      <c r="K439" s="3"/>
      <c r="L439" s="4"/>
    </row>
    <row r="440" spans="2:12" ht="12" customHeight="1" x14ac:dyDescent="0.15">
      <c r="B440" s="2"/>
      <c r="C440" s="3"/>
      <c r="D440" s="3"/>
      <c r="E440" s="4"/>
      <c r="I440" s="2"/>
      <c r="J440" s="3"/>
      <c r="K440" s="3"/>
      <c r="L440" s="4"/>
    </row>
    <row r="441" spans="2:12" ht="12" customHeight="1" x14ac:dyDescent="0.15">
      <c r="B441" s="2"/>
      <c r="C441" s="3"/>
      <c r="D441" s="3"/>
      <c r="E441" s="4"/>
      <c r="I441" s="2"/>
      <c r="J441" s="3"/>
      <c r="K441" s="3"/>
      <c r="L441" s="4"/>
    </row>
    <row r="442" spans="2:12" ht="12" customHeight="1" x14ac:dyDescent="0.15">
      <c r="B442" s="2"/>
      <c r="C442" s="3"/>
      <c r="D442" s="3"/>
      <c r="E442" s="4"/>
      <c r="I442" s="2"/>
      <c r="J442" s="3"/>
      <c r="K442" s="3"/>
      <c r="L442" s="4"/>
    </row>
    <row r="443" spans="2:12" ht="12" customHeight="1" x14ac:dyDescent="0.15">
      <c r="B443" s="2"/>
      <c r="C443" s="3"/>
      <c r="D443" s="3"/>
      <c r="E443" s="4"/>
      <c r="I443" s="2"/>
      <c r="J443" s="3"/>
      <c r="K443" s="3"/>
      <c r="L443" s="4"/>
    </row>
    <row r="444" spans="2:12" ht="12" customHeight="1" x14ac:dyDescent="0.15">
      <c r="B444" s="2"/>
      <c r="C444" s="3"/>
      <c r="D444" s="3"/>
      <c r="E444" s="4"/>
      <c r="I444" s="2"/>
      <c r="J444" s="3"/>
      <c r="K444" s="3"/>
      <c r="L444" s="4"/>
    </row>
    <row r="445" spans="2:12" ht="12" customHeight="1" x14ac:dyDescent="0.15">
      <c r="B445" s="2"/>
      <c r="C445" s="3"/>
      <c r="D445" s="3"/>
      <c r="E445" s="4"/>
      <c r="I445" s="2"/>
      <c r="J445" s="3"/>
      <c r="K445" s="3"/>
      <c r="L445" s="4"/>
    </row>
    <row r="446" spans="2:12" ht="12" customHeight="1" x14ac:dyDescent="0.15">
      <c r="B446" s="2"/>
      <c r="C446" s="3"/>
      <c r="D446" s="3"/>
      <c r="E446" s="4"/>
      <c r="I446" s="2"/>
      <c r="J446" s="3"/>
      <c r="K446" s="3"/>
      <c r="L446" s="4"/>
    </row>
    <row r="447" spans="2:12" ht="12" customHeight="1" x14ac:dyDescent="0.15">
      <c r="B447" s="2"/>
      <c r="C447" s="3"/>
      <c r="D447" s="3"/>
      <c r="E447" s="4"/>
      <c r="I447" s="2"/>
      <c r="J447" s="3"/>
      <c r="K447" s="3"/>
      <c r="L447" s="4"/>
    </row>
    <row r="448" spans="2:12" ht="12" customHeight="1" x14ac:dyDescent="0.15">
      <c r="B448" s="2"/>
      <c r="C448" s="3"/>
      <c r="D448" s="3"/>
      <c r="E448" s="4"/>
      <c r="I448" s="2"/>
      <c r="J448" s="3"/>
      <c r="K448" s="3"/>
      <c r="L448" s="4"/>
    </row>
    <row r="449" spans="2:12" ht="12" customHeight="1" x14ac:dyDescent="0.15">
      <c r="B449" s="2"/>
      <c r="C449" s="3"/>
      <c r="D449" s="3"/>
      <c r="E449" s="4"/>
      <c r="I449" s="2"/>
      <c r="J449" s="3"/>
      <c r="K449" s="3"/>
      <c r="L449" s="4"/>
    </row>
    <row r="450" spans="2:12" ht="12" customHeight="1" x14ac:dyDescent="0.15">
      <c r="B450" s="2"/>
      <c r="C450" s="3"/>
      <c r="D450" s="3"/>
      <c r="E450" s="4"/>
      <c r="I450" s="2"/>
      <c r="J450" s="3"/>
      <c r="K450" s="3"/>
      <c r="L450" s="4"/>
    </row>
    <row r="451" spans="2:12" ht="12" customHeight="1" x14ac:dyDescent="0.15">
      <c r="B451" s="2"/>
      <c r="C451" s="3"/>
      <c r="D451" s="3"/>
      <c r="E451" s="4"/>
      <c r="I451" s="2"/>
      <c r="J451" s="3"/>
      <c r="K451" s="3"/>
      <c r="L451" s="4"/>
    </row>
    <row r="452" spans="2:12" ht="12" customHeight="1" x14ac:dyDescent="0.15">
      <c r="B452" s="2"/>
      <c r="C452" s="3"/>
      <c r="D452" s="3"/>
      <c r="E452" s="4"/>
      <c r="I452" s="2"/>
      <c r="J452" s="3"/>
      <c r="K452" s="3"/>
      <c r="L452" s="4"/>
    </row>
    <row r="453" spans="2:12" ht="12" customHeight="1" x14ac:dyDescent="0.15">
      <c r="B453" s="2"/>
      <c r="C453" s="3"/>
      <c r="D453" s="3"/>
      <c r="E453" s="4"/>
      <c r="I453" s="2"/>
      <c r="J453" s="3"/>
      <c r="K453" s="3"/>
      <c r="L453" s="4"/>
    </row>
    <row r="454" spans="2:12" ht="12" customHeight="1" x14ac:dyDescent="0.15">
      <c r="B454" s="2"/>
      <c r="C454" s="3"/>
      <c r="D454" s="3"/>
      <c r="E454" s="4"/>
      <c r="I454" s="2"/>
      <c r="J454" s="3"/>
      <c r="K454" s="3"/>
      <c r="L454" s="4"/>
    </row>
    <row r="455" spans="2:12" ht="12" customHeight="1" x14ac:dyDescent="0.15">
      <c r="B455" s="2"/>
      <c r="C455" s="3"/>
      <c r="D455" s="3"/>
      <c r="E455" s="4"/>
      <c r="I455" s="2"/>
      <c r="J455" s="3"/>
      <c r="K455" s="3"/>
      <c r="L455" s="4"/>
    </row>
    <row r="456" spans="2:12" ht="12" customHeight="1" x14ac:dyDescent="0.15">
      <c r="B456" s="2"/>
      <c r="C456" s="3"/>
      <c r="D456" s="3"/>
      <c r="E456" s="4"/>
      <c r="I456" s="2"/>
      <c r="J456" s="3"/>
      <c r="K456" s="3"/>
      <c r="L456" s="4"/>
    </row>
    <row r="457" spans="2:12" ht="12" customHeight="1" x14ac:dyDescent="0.15">
      <c r="B457" s="2"/>
      <c r="C457" s="3"/>
      <c r="D457" s="3"/>
      <c r="E457" s="4"/>
      <c r="I457" s="2"/>
      <c r="J457" s="3"/>
      <c r="K457" s="3"/>
      <c r="L457" s="4"/>
    </row>
    <row r="458" spans="2:12" ht="12" customHeight="1" x14ac:dyDescent="0.15">
      <c r="B458" s="2"/>
      <c r="C458" s="3"/>
      <c r="D458" s="3"/>
      <c r="E458" s="4"/>
      <c r="I458" s="2"/>
      <c r="J458" s="3"/>
      <c r="K458" s="3"/>
      <c r="L458" s="4"/>
    </row>
    <row r="459" spans="2:12" ht="12" customHeight="1" x14ac:dyDescent="0.15">
      <c r="B459" s="2"/>
      <c r="C459" s="3"/>
      <c r="D459" s="3"/>
      <c r="E459" s="4"/>
      <c r="I459" s="2"/>
      <c r="J459" s="3"/>
      <c r="K459" s="3"/>
      <c r="L459" s="4"/>
    </row>
    <row r="460" spans="2:12" ht="12" customHeight="1" x14ac:dyDescent="0.15">
      <c r="B460" s="2"/>
      <c r="C460" s="3"/>
      <c r="D460" s="3"/>
      <c r="E460" s="4"/>
      <c r="I460" s="2"/>
      <c r="J460" s="3"/>
      <c r="K460" s="3"/>
      <c r="L460" s="4"/>
    </row>
    <row r="461" spans="2:12" ht="12" customHeight="1" x14ac:dyDescent="0.15">
      <c r="B461" s="2"/>
      <c r="C461" s="3"/>
      <c r="D461" s="3"/>
      <c r="E461" s="4"/>
      <c r="I461" s="2"/>
      <c r="J461" s="3"/>
      <c r="K461" s="3"/>
      <c r="L461" s="4"/>
    </row>
    <row r="462" spans="2:12" ht="12" customHeight="1" x14ac:dyDescent="0.15">
      <c r="B462" s="2"/>
      <c r="C462" s="3"/>
      <c r="D462" s="3"/>
      <c r="E462" s="4"/>
      <c r="I462" s="2"/>
      <c r="J462" s="3"/>
      <c r="K462" s="3"/>
      <c r="L462" s="4"/>
    </row>
    <row r="463" spans="2:12" ht="12" customHeight="1" x14ac:dyDescent="0.15">
      <c r="B463" s="2"/>
      <c r="C463" s="3"/>
      <c r="D463" s="3"/>
      <c r="E463" s="4"/>
      <c r="I463" s="2"/>
      <c r="J463" s="3"/>
      <c r="K463" s="3"/>
      <c r="L463" s="4"/>
    </row>
    <row r="464" spans="2:12" ht="12" customHeight="1" x14ac:dyDescent="0.15">
      <c r="B464" s="2"/>
      <c r="C464" s="3"/>
      <c r="D464" s="3"/>
      <c r="E464" s="4"/>
      <c r="I464" s="2"/>
      <c r="J464" s="3"/>
      <c r="K464" s="3"/>
      <c r="L464" s="4"/>
    </row>
    <row r="465" spans="2:12" ht="12" customHeight="1" x14ac:dyDescent="0.15">
      <c r="B465" s="2"/>
      <c r="C465" s="3"/>
      <c r="D465" s="3"/>
      <c r="E465" s="4"/>
      <c r="I465" s="2"/>
      <c r="J465" s="3"/>
      <c r="K465" s="3"/>
      <c r="L465" s="4"/>
    </row>
    <row r="466" spans="2:12" ht="12" customHeight="1" x14ac:dyDescent="0.15">
      <c r="B466" s="2"/>
      <c r="C466" s="3"/>
      <c r="D466" s="3"/>
      <c r="E466" s="4"/>
      <c r="I466" s="2"/>
      <c r="J466" s="3"/>
      <c r="K466" s="3"/>
      <c r="L466" s="4"/>
    </row>
    <row r="467" spans="2:12" ht="12" customHeight="1" x14ac:dyDescent="0.15">
      <c r="B467" s="2"/>
      <c r="C467" s="3"/>
      <c r="D467" s="3"/>
      <c r="E467" s="4"/>
      <c r="I467" s="2"/>
      <c r="J467" s="3"/>
      <c r="K467" s="3"/>
      <c r="L467" s="4"/>
    </row>
    <row r="468" spans="2:12" ht="12" customHeight="1" x14ac:dyDescent="0.15">
      <c r="B468" s="2"/>
      <c r="C468" s="3"/>
      <c r="D468" s="3"/>
      <c r="E468" s="4"/>
      <c r="I468" s="2"/>
      <c r="J468" s="3"/>
      <c r="K468" s="3"/>
      <c r="L468" s="4"/>
    </row>
    <row r="469" spans="2:12" ht="12" customHeight="1" x14ac:dyDescent="0.15">
      <c r="B469" s="2"/>
      <c r="C469" s="3"/>
      <c r="D469" s="3"/>
      <c r="E469" s="4"/>
      <c r="I469" s="2"/>
      <c r="J469" s="3"/>
      <c r="K469" s="3"/>
      <c r="L469" s="4"/>
    </row>
    <row r="470" spans="2:12" ht="12" customHeight="1" x14ac:dyDescent="0.15">
      <c r="B470" s="2"/>
      <c r="C470" s="3"/>
      <c r="D470" s="3"/>
      <c r="E470" s="4"/>
      <c r="I470" s="2"/>
      <c r="J470" s="3"/>
      <c r="K470" s="3"/>
      <c r="L470" s="4"/>
    </row>
    <row r="471" spans="2:12" ht="12" customHeight="1" x14ac:dyDescent="0.15">
      <c r="B471" s="2"/>
      <c r="C471" s="3"/>
      <c r="D471" s="3"/>
      <c r="E471" s="4"/>
      <c r="I471" s="2"/>
      <c r="J471" s="3"/>
      <c r="K471" s="3"/>
      <c r="L471" s="4"/>
    </row>
    <row r="472" spans="2:12" ht="12" customHeight="1" x14ac:dyDescent="0.15">
      <c r="B472" s="2"/>
      <c r="C472" s="3"/>
      <c r="D472" s="3"/>
      <c r="E472" s="4"/>
      <c r="I472" s="2"/>
      <c r="J472" s="3"/>
      <c r="K472" s="3"/>
      <c r="L472" s="4"/>
    </row>
    <row r="473" spans="2:12" ht="12" customHeight="1" x14ac:dyDescent="0.15">
      <c r="B473" s="2"/>
      <c r="C473" s="3"/>
      <c r="D473" s="3"/>
      <c r="E473" s="4"/>
      <c r="I473" s="2"/>
      <c r="J473" s="3"/>
      <c r="K473" s="3"/>
      <c r="L473" s="4"/>
    </row>
    <row r="474" spans="2:12" ht="12" customHeight="1" x14ac:dyDescent="0.15">
      <c r="B474" s="2"/>
      <c r="C474" s="3"/>
      <c r="D474" s="3"/>
      <c r="E474" s="4"/>
      <c r="I474" s="2"/>
      <c r="J474" s="3"/>
      <c r="K474" s="3"/>
      <c r="L474" s="4"/>
    </row>
    <row r="475" spans="2:12" ht="12" customHeight="1" x14ac:dyDescent="0.15">
      <c r="B475" s="2"/>
      <c r="C475" s="3"/>
      <c r="D475" s="3"/>
      <c r="E475" s="4"/>
      <c r="I475" s="2"/>
      <c r="J475" s="3"/>
      <c r="K475" s="3"/>
      <c r="L475" s="4"/>
    </row>
    <row r="476" spans="2:12" ht="12" customHeight="1" x14ac:dyDescent="0.15">
      <c r="B476" s="2"/>
      <c r="C476" s="3"/>
      <c r="D476" s="3"/>
      <c r="E476" s="4"/>
      <c r="I476" s="2"/>
      <c r="J476" s="3"/>
      <c r="K476" s="3"/>
      <c r="L476" s="4"/>
    </row>
    <row r="477" spans="2:12" ht="12" customHeight="1" x14ac:dyDescent="0.15">
      <c r="B477" s="2"/>
      <c r="C477" s="3"/>
      <c r="D477" s="3"/>
      <c r="E477" s="4"/>
      <c r="I477" s="2"/>
      <c r="J477" s="3"/>
      <c r="K477" s="3"/>
      <c r="L477" s="4"/>
    </row>
    <row r="478" spans="2:12" ht="12" customHeight="1" x14ac:dyDescent="0.15">
      <c r="B478" s="2"/>
      <c r="C478" s="3"/>
      <c r="D478" s="3"/>
      <c r="E478" s="4"/>
      <c r="I478" s="2"/>
      <c r="J478" s="3"/>
      <c r="K478" s="3"/>
      <c r="L478" s="4"/>
    </row>
    <row r="479" spans="2:12" ht="12" customHeight="1" x14ac:dyDescent="0.15">
      <c r="B479" s="2"/>
      <c r="C479" s="3"/>
      <c r="D479" s="3"/>
      <c r="E479" s="4"/>
      <c r="I479" s="2"/>
      <c r="J479" s="3"/>
      <c r="K479" s="3"/>
      <c r="L479" s="4"/>
    </row>
    <row r="480" spans="2:12" ht="12" customHeight="1" x14ac:dyDescent="0.15">
      <c r="B480" s="2"/>
      <c r="C480" s="3"/>
      <c r="D480" s="3"/>
      <c r="E480" s="4"/>
      <c r="I480" s="2"/>
      <c r="J480" s="3"/>
      <c r="K480" s="3"/>
      <c r="L480" s="4"/>
    </row>
    <row r="481" spans="2:12" ht="12" customHeight="1" x14ac:dyDescent="0.15">
      <c r="B481" s="2"/>
      <c r="C481" s="3"/>
      <c r="D481" s="3"/>
      <c r="E481" s="4"/>
      <c r="I481" s="2"/>
      <c r="J481" s="3"/>
      <c r="K481" s="3"/>
      <c r="L481" s="4"/>
    </row>
    <row r="482" spans="2:12" ht="12" customHeight="1" x14ac:dyDescent="0.15">
      <c r="B482" s="2"/>
      <c r="C482" s="3"/>
      <c r="D482" s="3"/>
      <c r="E482" s="4"/>
      <c r="I482" s="2"/>
      <c r="J482" s="3"/>
      <c r="K482" s="3"/>
      <c r="L482" s="4"/>
    </row>
    <row r="483" spans="2:12" ht="12" customHeight="1" x14ac:dyDescent="0.15">
      <c r="B483" s="2"/>
      <c r="C483" s="3"/>
      <c r="D483" s="3"/>
      <c r="E483" s="4"/>
      <c r="I483" s="2"/>
      <c r="J483" s="3"/>
      <c r="K483" s="3"/>
      <c r="L483" s="4"/>
    </row>
    <row r="484" spans="2:12" ht="12" customHeight="1" x14ac:dyDescent="0.15">
      <c r="B484" s="2"/>
      <c r="C484" s="3"/>
      <c r="D484" s="3"/>
      <c r="E484" s="4"/>
      <c r="I484" s="2"/>
      <c r="J484" s="3"/>
      <c r="K484" s="3"/>
      <c r="L484" s="4"/>
    </row>
    <row r="485" spans="2:12" ht="12" customHeight="1" x14ac:dyDescent="0.15">
      <c r="B485" s="2"/>
      <c r="C485" s="3"/>
      <c r="D485" s="3"/>
      <c r="E485" s="4"/>
      <c r="I485" s="2"/>
      <c r="J485" s="3"/>
      <c r="K485" s="3"/>
      <c r="L485" s="4"/>
    </row>
    <row r="486" spans="2:12" ht="12" customHeight="1" x14ac:dyDescent="0.15">
      <c r="B486" s="2"/>
      <c r="C486" s="3"/>
      <c r="D486" s="3"/>
      <c r="E486" s="4"/>
      <c r="I486" s="2"/>
      <c r="J486" s="3"/>
      <c r="K486" s="3"/>
      <c r="L486" s="4"/>
    </row>
    <row r="487" spans="2:12" ht="12" customHeight="1" x14ac:dyDescent="0.15">
      <c r="B487" s="2"/>
      <c r="C487" s="3"/>
      <c r="D487" s="3"/>
      <c r="E487" s="4"/>
      <c r="I487" s="2"/>
      <c r="J487" s="3"/>
      <c r="K487" s="3"/>
      <c r="L487" s="4"/>
    </row>
    <row r="488" spans="2:12" ht="12" customHeight="1" x14ac:dyDescent="0.15">
      <c r="B488" s="2"/>
      <c r="C488" s="3"/>
      <c r="D488" s="3"/>
      <c r="E488" s="4"/>
      <c r="I488" s="2"/>
      <c r="J488" s="3"/>
      <c r="K488" s="3"/>
      <c r="L488" s="4"/>
    </row>
    <row r="489" spans="2:12" ht="12" customHeight="1" x14ac:dyDescent="0.15">
      <c r="B489" s="2"/>
      <c r="C489" s="3"/>
      <c r="D489" s="3"/>
      <c r="E489" s="4"/>
      <c r="I489" s="2"/>
      <c r="J489" s="3"/>
      <c r="K489" s="3"/>
      <c r="L489" s="4"/>
    </row>
    <row r="490" spans="2:12" ht="12" customHeight="1" x14ac:dyDescent="0.15">
      <c r="B490" s="2"/>
      <c r="C490" s="3"/>
      <c r="D490" s="3"/>
      <c r="E490" s="4"/>
      <c r="I490" s="2"/>
      <c r="J490" s="3"/>
      <c r="K490" s="3"/>
      <c r="L490" s="4"/>
    </row>
    <row r="491" spans="2:12" ht="12" customHeight="1" x14ac:dyDescent="0.15">
      <c r="B491" s="2"/>
      <c r="C491" s="3"/>
      <c r="D491" s="3"/>
      <c r="E491" s="4"/>
      <c r="I491" s="2"/>
      <c r="J491" s="3"/>
      <c r="K491" s="3"/>
      <c r="L491" s="4"/>
    </row>
    <row r="492" spans="2:12" ht="12" customHeight="1" x14ac:dyDescent="0.15">
      <c r="B492" s="2"/>
      <c r="C492" s="3"/>
      <c r="D492" s="3"/>
      <c r="E492" s="4"/>
      <c r="I492" s="2"/>
      <c r="J492" s="3"/>
      <c r="K492" s="3"/>
      <c r="L492" s="4"/>
    </row>
    <row r="493" spans="2:12" ht="12" customHeight="1" x14ac:dyDescent="0.15">
      <c r="B493" s="2"/>
      <c r="C493" s="3"/>
      <c r="D493" s="3"/>
      <c r="E493" s="4"/>
      <c r="I493" s="2"/>
      <c r="J493" s="3"/>
      <c r="K493" s="3"/>
      <c r="L493" s="4"/>
    </row>
    <row r="494" spans="2:12" ht="12" customHeight="1" x14ac:dyDescent="0.15">
      <c r="B494" s="2"/>
      <c r="C494" s="3"/>
      <c r="D494" s="3"/>
      <c r="E494" s="4"/>
      <c r="I494" s="2"/>
      <c r="J494" s="3"/>
      <c r="K494" s="3"/>
      <c r="L494" s="4"/>
    </row>
    <row r="495" spans="2:12" ht="12" customHeight="1" x14ac:dyDescent="0.15">
      <c r="B495" s="2"/>
      <c r="C495" s="3"/>
      <c r="D495" s="3"/>
      <c r="E495" s="4"/>
      <c r="I495" s="2"/>
      <c r="J495" s="3"/>
      <c r="K495" s="3"/>
      <c r="L495" s="4"/>
    </row>
    <row r="496" spans="2:12" ht="12" customHeight="1" x14ac:dyDescent="0.15">
      <c r="B496" s="2"/>
      <c r="C496" s="3"/>
      <c r="D496" s="3"/>
      <c r="E496" s="4"/>
      <c r="I496" s="2"/>
      <c r="J496" s="3"/>
      <c r="K496" s="3"/>
      <c r="L496" s="4"/>
    </row>
    <row r="497" spans="2:12" ht="12" customHeight="1" x14ac:dyDescent="0.15">
      <c r="B497" s="2"/>
      <c r="C497" s="3"/>
      <c r="D497" s="3"/>
      <c r="E497" s="4"/>
      <c r="I497" s="2"/>
      <c r="J497" s="3"/>
      <c r="K497" s="3"/>
      <c r="L497" s="4"/>
    </row>
    <row r="498" spans="2:12" ht="12" customHeight="1" x14ac:dyDescent="0.15">
      <c r="B498" s="2"/>
      <c r="C498" s="3"/>
      <c r="D498" s="3"/>
      <c r="E498" s="4"/>
      <c r="I498" s="2"/>
      <c r="J498" s="3"/>
      <c r="K498" s="3"/>
      <c r="L498" s="4"/>
    </row>
    <row r="499" spans="2:12" ht="12" customHeight="1" x14ac:dyDescent="0.15">
      <c r="B499" s="2"/>
      <c r="C499" s="3"/>
      <c r="D499" s="3"/>
      <c r="E499" s="4"/>
      <c r="I499" s="2"/>
      <c r="J499" s="3"/>
      <c r="K499" s="3"/>
      <c r="L499" s="4"/>
    </row>
    <row r="500" spans="2:12" ht="12" customHeight="1" x14ac:dyDescent="0.15">
      <c r="B500" s="2"/>
      <c r="C500" s="3"/>
      <c r="D500" s="3"/>
      <c r="E500" s="4"/>
      <c r="I500" s="2"/>
      <c r="J500" s="3"/>
      <c r="K500" s="3"/>
      <c r="L500" s="4"/>
    </row>
    <row r="501" spans="2:12" ht="12" customHeight="1" x14ac:dyDescent="0.15">
      <c r="B501" s="2"/>
      <c r="C501" s="3"/>
      <c r="D501" s="3"/>
      <c r="E501" s="4"/>
      <c r="I501" s="2"/>
      <c r="J501" s="3"/>
      <c r="K501" s="3"/>
      <c r="L501" s="4"/>
    </row>
    <row r="502" spans="2:12" ht="12" customHeight="1" x14ac:dyDescent="0.15">
      <c r="B502" s="2"/>
      <c r="C502" s="3"/>
      <c r="D502" s="3"/>
      <c r="E502" s="4"/>
      <c r="I502" s="2"/>
      <c r="J502" s="3"/>
      <c r="K502" s="3"/>
      <c r="L502" s="4"/>
    </row>
    <row r="503" spans="2:12" ht="12" customHeight="1" x14ac:dyDescent="0.15">
      <c r="B503" s="2"/>
      <c r="C503" s="3"/>
      <c r="D503" s="3"/>
      <c r="E503" s="4"/>
      <c r="I503" s="2"/>
      <c r="J503" s="3"/>
      <c r="K503" s="3"/>
      <c r="L503" s="4"/>
    </row>
    <row r="504" spans="2:12" ht="12" customHeight="1" x14ac:dyDescent="0.15">
      <c r="B504" s="2"/>
      <c r="C504" s="3"/>
      <c r="D504" s="3"/>
      <c r="E504" s="4"/>
      <c r="I504" s="2"/>
      <c r="J504" s="3"/>
      <c r="K504" s="3"/>
      <c r="L504" s="4"/>
    </row>
    <row r="505" spans="2:12" ht="12" customHeight="1" x14ac:dyDescent="0.15">
      <c r="B505" s="2"/>
      <c r="C505" s="3"/>
      <c r="D505" s="3"/>
      <c r="E505" s="4"/>
      <c r="I505" s="2"/>
      <c r="J505" s="3"/>
      <c r="K505" s="3"/>
      <c r="L505" s="4"/>
    </row>
    <row r="506" spans="2:12" ht="12" customHeight="1" x14ac:dyDescent="0.15">
      <c r="B506" s="2"/>
      <c r="C506" s="3"/>
      <c r="D506" s="3"/>
      <c r="E506" s="4"/>
      <c r="I506" s="2"/>
      <c r="J506" s="3"/>
      <c r="K506" s="3"/>
      <c r="L506" s="4"/>
    </row>
    <row r="507" spans="2:12" ht="12" customHeight="1" x14ac:dyDescent="0.15">
      <c r="B507" s="2"/>
      <c r="C507" s="3"/>
      <c r="D507" s="3"/>
      <c r="E507" s="4"/>
      <c r="I507" s="2"/>
      <c r="J507" s="3"/>
      <c r="K507" s="3"/>
      <c r="L507" s="4"/>
    </row>
    <row r="508" spans="2:12" ht="12" customHeight="1" x14ac:dyDescent="0.15">
      <c r="B508" s="2"/>
      <c r="C508" s="3"/>
      <c r="D508" s="3"/>
      <c r="E508" s="4"/>
      <c r="I508" s="2"/>
      <c r="J508" s="3"/>
      <c r="K508" s="3"/>
      <c r="L508" s="4"/>
    </row>
    <row r="509" spans="2:12" ht="12" customHeight="1" x14ac:dyDescent="0.15">
      <c r="B509" s="2"/>
      <c r="C509" s="3"/>
      <c r="D509" s="3"/>
      <c r="E509" s="4"/>
      <c r="I509" s="2"/>
      <c r="J509" s="3"/>
      <c r="K509" s="3"/>
      <c r="L509" s="4"/>
    </row>
    <row r="510" spans="2:12" ht="12" customHeight="1" x14ac:dyDescent="0.15">
      <c r="B510" s="2"/>
      <c r="C510" s="3"/>
      <c r="D510" s="3"/>
      <c r="E510" s="4"/>
      <c r="I510" s="2"/>
      <c r="J510" s="3"/>
      <c r="K510" s="3"/>
      <c r="L510" s="4"/>
    </row>
    <row r="511" spans="2:12" ht="12" customHeight="1" x14ac:dyDescent="0.15">
      <c r="B511" s="2"/>
      <c r="C511" s="3"/>
      <c r="D511" s="3"/>
      <c r="E511" s="4"/>
      <c r="I511" s="2"/>
      <c r="J511" s="3"/>
      <c r="K511" s="3"/>
      <c r="L511" s="4"/>
    </row>
    <row r="512" spans="2:12" ht="12" customHeight="1" x14ac:dyDescent="0.15">
      <c r="B512" s="2"/>
      <c r="C512" s="3"/>
      <c r="D512" s="3"/>
      <c r="E512" s="4"/>
      <c r="I512" s="2"/>
      <c r="J512" s="3"/>
      <c r="K512" s="3"/>
      <c r="L512" s="4"/>
    </row>
    <row r="513" spans="2:12" ht="12" customHeight="1" x14ac:dyDescent="0.15">
      <c r="B513" s="2"/>
      <c r="C513" s="3"/>
      <c r="D513" s="3"/>
      <c r="E513" s="4"/>
      <c r="I513" s="2"/>
      <c r="J513" s="3"/>
      <c r="K513" s="3"/>
      <c r="L513" s="4"/>
    </row>
    <row r="514" spans="2:12" ht="12" customHeight="1" x14ac:dyDescent="0.15">
      <c r="B514" s="2"/>
      <c r="C514" s="3"/>
      <c r="D514" s="3"/>
      <c r="E514" s="4"/>
      <c r="I514" s="2"/>
      <c r="J514" s="3"/>
      <c r="K514" s="3"/>
      <c r="L514" s="4"/>
    </row>
    <row r="515" spans="2:12" ht="12" customHeight="1" x14ac:dyDescent="0.15">
      <c r="B515" s="2"/>
      <c r="C515" s="3"/>
      <c r="D515" s="3"/>
      <c r="E515" s="4"/>
      <c r="I515" s="2"/>
      <c r="J515" s="3"/>
      <c r="K515" s="3"/>
      <c r="L515" s="4"/>
    </row>
    <row r="516" spans="2:12" ht="12" customHeight="1" x14ac:dyDescent="0.15">
      <c r="B516" s="2"/>
      <c r="C516" s="3"/>
      <c r="D516" s="3"/>
      <c r="E516" s="4"/>
      <c r="I516" s="2"/>
      <c r="J516" s="3"/>
      <c r="K516" s="3"/>
      <c r="L516" s="4"/>
    </row>
    <row r="517" spans="2:12" ht="12" customHeight="1" x14ac:dyDescent="0.15">
      <c r="B517" s="2"/>
      <c r="C517" s="3"/>
      <c r="D517" s="3"/>
      <c r="E517" s="4"/>
      <c r="I517" s="2"/>
      <c r="J517" s="3"/>
      <c r="K517" s="3"/>
      <c r="L517" s="4"/>
    </row>
    <row r="518" spans="2:12" ht="12" customHeight="1" x14ac:dyDescent="0.15">
      <c r="B518" s="2"/>
      <c r="C518" s="3"/>
      <c r="D518" s="3"/>
      <c r="E518" s="4"/>
      <c r="I518" s="2"/>
      <c r="J518" s="3"/>
      <c r="K518" s="3"/>
      <c r="L518" s="4"/>
    </row>
    <row r="519" spans="2:12" ht="12" customHeight="1" x14ac:dyDescent="0.15">
      <c r="B519" s="2"/>
      <c r="C519" s="3"/>
      <c r="D519" s="3"/>
      <c r="E519" s="4"/>
      <c r="I519" s="2"/>
      <c r="J519" s="3"/>
      <c r="K519" s="3"/>
      <c r="L519" s="4"/>
    </row>
    <row r="520" spans="2:12" ht="12" customHeight="1" x14ac:dyDescent="0.15">
      <c r="B520" s="2"/>
      <c r="C520" s="3"/>
      <c r="D520" s="3"/>
      <c r="E520" s="4"/>
      <c r="I520" s="2"/>
      <c r="J520" s="3"/>
      <c r="K520" s="3"/>
      <c r="L520" s="4"/>
    </row>
    <row r="521" spans="2:12" ht="12" customHeight="1" x14ac:dyDescent="0.15">
      <c r="B521" s="2"/>
      <c r="C521" s="3"/>
      <c r="D521" s="3"/>
      <c r="E521" s="4"/>
      <c r="I521" s="2"/>
      <c r="J521" s="3"/>
      <c r="K521" s="3"/>
      <c r="L521" s="4"/>
    </row>
    <row r="522" spans="2:12" ht="12" customHeight="1" x14ac:dyDescent="0.15">
      <c r="B522" s="2"/>
      <c r="C522" s="3"/>
      <c r="D522" s="3"/>
      <c r="E522" s="4"/>
      <c r="I522" s="2"/>
      <c r="J522" s="3"/>
      <c r="K522" s="3"/>
      <c r="L522" s="4"/>
    </row>
    <row r="523" spans="2:12" ht="12" customHeight="1" x14ac:dyDescent="0.15">
      <c r="B523" s="2"/>
      <c r="C523" s="3"/>
      <c r="D523" s="3"/>
      <c r="E523" s="4"/>
      <c r="I523" s="2"/>
      <c r="J523" s="3"/>
      <c r="K523" s="3"/>
      <c r="L523" s="4"/>
    </row>
    <row r="524" spans="2:12" ht="12" customHeight="1" x14ac:dyDescent="0.15">
      <c r="B524" s="2"/>
      <c r="C524" s="3"/>
      <c r="D524" s="3"/>
      <c r="E524" s="4"/>
      <c r="I524" s="2"/>
      <c r="J524" s="3"/>
      <c r="K524" s="3"/>
      <c r="L524" s="4"/>
    </row>
    <row r="525" spans="2:12" ht="12" customHeight="1" x14ac:dyDescent="0.15">
      <c r="B525" s="2"/>
      <c r="C525" s="3"/>
      <c r="D525" s="3"/>
      <c r="E525" s="4"/>
      <c r="I525" s="2"/>
      <c r="J525" s="3"/>
      <c r="K525" s="3"/>
      <c r="L525" s="4"/>
    </row>
    <row r="526" spans="2:12" ht="12" customHeight="1" x14ac:dyDescent="0.15">
      <c r="B526" s="2"/>
      <c r="C526" s="3"/>
      <c r="D526" s="3"/>
      <c r="E526" s="4"/>
      <c r="I526" s="2"/>
      <c r="J526" s="3"/>
      <c r="K526" s="3"/>
      <c r="L526" s="4"/>
    </row>
    <row r="527" spans="2:12" ht="12" customHeight="1" x14ac:dyDescent="0.15">
      <c r="B527" s="2"/>
      <c r="C527" s="3"/>
      <c r="D527" s="3"/>
      <c r="E527" s="4"/>
      <c r="I527" s="2"/>
      <c r="J527" s="3"/>
      <c r="K527" s="3"/>
      <c r="L527" s="4"/>
    </row>
    <row r="528" spans="2:12" ht="12" customHeight="1" x14ac:dyDescent="0.15">
      <c r="B528" s="2"/>
      <c r="C528" s="3"/>
      <c r="D528" s="3"/>
      <c r="E528" s="4"/>
      <c r="I528" s="2"/>
      <c r="J528" s="3"/>
      <c r="K528" s="3"/>
      <c r="L528" s="4"/>
    </row>
    <row r="529" spans="2:12" ht="12" customHeight="1" x14ac:dyDescent="0.15">
      <c r="B529" s="2"/>
      <c r="C529" s="3"/>
      <c r="D529" s="3"/>
      <c r="E529" s="4"/>
      <c r="I529" s="2"/>
      <c r="J529" s="3"/>
      <c r="K529" s="3"/>
      <c r="L529" s="4"/>
    </row>
    <row r="530" spans="2:12" ht="12" customHeight="1" x14ac:dyDescent="0.15">
      <c r="B530" s="2"/>
      <c r="C530" s="3"/>
      <c r="D530" s="3"/>
      <c r="E530" s="4"/>
      <c r="I530" s="2"/>
      <c r="J530" s="3"/>
      <c r="K530" s="3"/>
      <c r="L530" s="4"/>
    </row>
    <row r="531" spans="2:12" ht="12" customHeight="1" x14ac:dyDescent="0.15">
      <c r="B531" s="2"/>
      <c r="C531" s="3"/>
      <c r="D531" s="3"/>
      <c r="E531" s="4"/>
      <c r="I531" s="2"/>
      <c r="J531" s="3"/>
      <c r="K531" s="3"/>
      <c r="L531" s="4"/>
    </row>
    <row r="532" spans="2:12" ht="12" customHeight="1" x14ac:dyDescent="0.15">
      <c r="B532" s="2"/>
      <c r="C532" s="3"/>
      <c r="D532" s="3"/>
      <c r="E532" s="4"/>
      <c r="I532" s="2"/>
      <c r="J532" s="3"/>
      <c r="K532" s="3"/>
      <c r="L532" s="4"/>
    </row>
    <row r="533" spans="2:12" ht="12" customHeight="1" x14ac:dyDescent="0.15">
      <c r="B533" s="2"/>
      <c r="C533" s="3"/>
      <c r="D533" s="3"/>
      <c r="E533" s="4"/>
      <c r="I533" s="2"/>
      <c r="J533" s="3"/>
      <c r="K533" s="3"/>
      <c r="L533" s="4"/>
    </row>
    <row r="534" spans="2:12" ht="12" customHeight="1" x14ac:dyDescent="0.15">
      <c r="B534" s="2"/>
      <c r="C534" s="3"/>
      <c r="D534" s="3"/>
      <c r="E534" s="4"/>
      <c r="I534" s="2"/>
      <c r="J534" s="3"/>
      <c r="K534" s="3"/>
      <c r="L534" s="4"/>
    </row>
    <row r="535" spans="2:12" ht="12" customHeight="1" x14ac:dyDescent="0.15">
      <c r="B535" s="2"/>
      <c r="C535" s="3"/>
      <c r="D535" s="3"/>
      <c r="E535" s="4"/>
      <c r="I535" s="2"/>
      <c r="J535" s="3"/>
      <c r="K535" s="3"/>
      <c r="L535" s="4"/>
    </row>
    <row r="536" spans="2:12" ht="12" customHeight="1" x14ac:dyDescent="0.15">
      <c r="B536" s="2"/>
      <c r="C536" s="3"/>
      <c r="D536" s="3"/>
      <c r="E536" s="4"/>
      <c r="I536" s="2"/>
      <c r="J536" s="3"/>
      <c r="K536" s="3"/>
      <c r="L536" s="4"/>
    </row>
    <row r="537" spans="2:12" ht="12" customHeight="1" x14ac:dyDescent="0.15">
      <c r="B537" s="2"/>
      <c r="C537" s="3"/>
      <c r="D537" s="3"/>
      <c r="E537" s="4"/>
      <c r="I537" s="2"/>
      <c r="J537" s="3"/>
      <c r="K537" s="3"/>
      <c r="L537" s="4"/>
    </row>
    <row r="538" spans="2:12" ht="12" customHeight="1" x14ac:dyDescent="0.15">
      <c r="B538" s="2"/>
      <c r="C538" s="3"/>
      <c r="D538" s="3"/>
      <c r="E538" s="4"/>
      <c r="I538" s="2"/>
      <c r="J538" s="3"/>
      <c r="K538" s="3"/>
      <c r="L538" s="4"/>
    </row>
    <row r="539" spans="2:12" ht="12" customHeight="1" x14ac:dyDescent="0.15">
      <c r="B539" s="2"/>
      <c r="C539" s="3"/>
      <c r="D539" s="3"/>
      <c r="E539" s="4"/>
      <c r="I539" s="2"/>
      <c r="J539" s="3"/>
      <c r="K539" s="3"/>
      <c r="L539" s="4"/>
    </row>
    <row r="540" spans="2:12" ht="12" customHeight="1" x14ac:dyDescent="0.15">
      <c r="B540" s="2"/>
      <c r="C540" s="3"/>
      <c r="D540" s="3"/>
      <c r="E540" s="4"/>
      <c r="I540" s="2"/>
      <c r="J540" s="3"/>
      <c r="K540" s="3"/>
      <c r="L540" s="4"/>
    </row>
    <row r="541" spans="2:12" ht="12" customHeight="1" x14ac:dyDescent="0.15">
      <c r="B541" s="2"/>
      <c r="C541" s="3"/>
      <c r="D541" s="3"/>
      <c r="E541" s="4"/>
      <c r="I541" s="2"/>
      <c r="J541" s="3"/>
      <c r="K541" s="3"/>
      <c r="L541" s="4"/>
    </row>
    <row r="542" spans="2:12" ht="12" customHeight="1" x14ac:dyDescent="0.15">
      <c r="B542" s="2"/>
      <c r="C542" s="3"/>
      <c r="D542" s="3"/>
      <c r="E542" s="4"/>
      <c r="I542" s="2"/>
      <c r="J542" s="3"/>
      <c r="K542" s="3"/>
      <c r="L542" s="4"/>
    </row>
    <row r="543" spans="2:12" ht="12" customHeight="1" x14ac:dyDescent="0.15">
      <c r="B543" s="2"/>
      <c r="C543" s="3"/>
      <c r="D543" s="3"/>
      <c r="E543" s="4"/>
      <c r="I543" s="2"/>
      <c r="J543" s="3"/>
      <c r="K543" s="3"/>
      <c r="L543" s="4"/>
    </row>
    <row r="544" spans="2:12" ht="12" customHeight="1" x14ac:dyDescent="0.15">
      <c r="B544" s="2"/>
      <c r="C544" s="3"/>
      <c r="D544" s="3"/>
      <c r="E544" s="4"/>
      <c r="I544" s="2"/>
      <c r="J544" s="3"/>
      <c r="K544" s="3"/>
      <c r="L544" s="4"/>
    </row>
    <row r="545" spans="2:12" ht="12" customHeight="1" x14ac:dyDescent="0.15">
      <c r="B545" s="2"/>
      <c r="C545" s="3"/>
      <c r="D545" s="3"/>
      <c r="E545" s="4"/>
      <c r="I545" s="2"/>
      <c r="J545" s="3"/>
      <c r="K545" s="3"/>
      <c r="L545" s="4"/>
    </row>
    <row r="546" spans="2:12" ht="12" customHeight="1" x14ac:dyDescent="0.15">
      <c r="B546" s="2"/>
      <c r="C546" s="3"/>
      <c r="D546" s="3"/>
      <c r="E546" s="4"/>
      <c r="I546" s="2"/>
      <c r="J546" s="3"/>
      <c r="K546" s="3"/>
      <c r="L546" s="4"/>
    </row>
    <row r="547" spans="2:12" ht="12" customHeight="1" x14ac:dyDescent="0.15">
      <c r="B547" s="2"/>
      <c r="C547" s="3"/>
      <c r="D547" s="3"/>
      <c r="E547" s="4"/>
      <c r="I547" s="2"/>
      <c r="J547" s="3"/>
      <c r="K547" s="3"/>
      <c r="L547" s="4"/>
    </row>
    <row r="548" spans="2:12" ht="12" customHeight="1" x14ac:dyDescent="0.15">
      <c r="B548" s="2"/>
      <c r="C548" s="3"/>
      <c r="D548" s="3"/>
      <c r="E548" s="4"/>
      <c r="I548" s="2"/>
      <c r="J548" s="3"/>
      <c r="K548" s="3"/>
      <c r="L548" s="4"/>
    </row>
    <row r="549" spans="2:12" ht="12" customHeight="1" x14ac:dyDescent="0.15">
      <c r="B549" s="2"/>
      <c r="C549" s="3"/>
      <c r="D549" s="3"/>
      <c r="E549" s="4"/>
      <c r="I549" s="2"/>
      <c r="J549" s="3"/>
      <c r="K549" s="3"/>
      <c r="L549" s="4"/>
    </row>
    <row r="550" spans="2:12" ht="12" customHeight="1" x14ac:dyDescent="0.15">
      <c r="B550" s="2"/>
      <c r="C550" s="3"/>
      <c r="D550" s="3"/>
      <c r="E550" s="4"/>
      <c r="I550" s="2"/>
      <c r="J550" s="3"/>
      <c r="K550" s="3"/>
      <c r="L550" s="4"/>
    </row>
    <row r="551" spans="2:12" ht="12" customHeight="1" x14ac:dyDescent="0.15">
      <c r="B551" s="2"/>
      <c r="C551" s="3"/>
      <c r="D551" s="3"/>
      <c r="E551" s="4"/>
      <c r="I551" s="2"/>
      <c r="J551" s="3"/>
      <c r="K551" s="3"/>
      <c r="L551" s="4"/>
    </row>
    <row r="552" spans="2:12" ht="12" customHeight="1" x14ac:dyDescent="0.15">
      <c r="B552" s="2"/>
      <c r="C552" s="3"/>
      <c r="D552" s="3"/>
      <c r="E552" s="4"/>
      <c r="I552" s="2"/>
      <c r="J552" s="3"/>
      <c r="K552" s="3"/>
      <c r="L552" s="4"/>
    </row>
    <row r="553" spans="2:12" ht="12" customHeight="1" x14ac:dyDescent="0.15">
      <c r="B553" s="2"/>
      <c r="C553" s="3"/>
      <c r="D553" s="3"/>
      <c r="E553" s="4"/>
      <c r="I553" s="2"/>
      <c r="J553" s="3"/>
      <c r="K553" s="3"/>
      <c r="L553" s="4"/>
    </row>
    <row r="554" spans="2:12" ht="12" customHeight="1" x14ac:dyDescent="0.15">
      <c r="B554" s="2"/>
      <c r="C554" s="3"/>
      <c r="D554" s="3"/>
      <c r="E554" s="4"/>
      <c r="I554" s="2"/>
      <c r="J554" s="3"/>
      <c r="K554" s="3"/>
      <c r="L554" s="4"/>
    </row>
    <row r="555" spans="2:12" ht="12" customHeight="1" x14ac:dyDescent="0.15">
      <c r="B555" s="2"/>
      <c r="C555" s="3"/>
      <c r="D555" s="3"/>
      <c r="E555" s="4"/>
      <c r="I555" s="2"/>
      <c r="J555" s="3"/>
      <c r="K555" s="3"/>
      <c r="L555" s="4"/>
    </row>
    <row r="556" spans="2:12" ht="12" customHeight="1" x14ac:dyDescent="0.15">
      <c r="B556" s="2"/>
      <c r="C556" s="3"/>
      <c r="D556" s="3"/>
      <c r="E556" s="4"/>
      <c r="I556" s="2"/>
      <c r="J556" s="3"/>
      <c r="K556" s="3"/>
      <c r="L556" s="4"/>
    </row>
    <row r="557" spans="2:12" ht="12" customHeight="1" x14ac:dyDescent="0.15">
      <c r="B557" s="2"/>
      <c r="C557" s="3"/>
      <c r="D557" s="3"/>
      <c r="E557" s="4"/>
      <c r="I557" s="2"/>
      <c r="J557" s="3"/>
      <c r="K557" s="3"/>
      <c r="L557" s="4"/>
    </row>
    <row r="558" spans="2:12" ht="12" customHeight="1" x14ac:dyDescent="0.15">
      <c r="B558" s="2"/>
      <c r="C558" s="3"/>
      <c r="D558" s="3"/>
      <c r="E558" s="4"/>
      <c r="I558" s="2"/>
      <c r="J558" s="3"/>
      <c r="K558" s="3"/>
      <c r="L558" s="4"/>
    </row>
    <row r="559" spans="2:12" ht="12" customHeight="1" x14ac:dyDescent="0.15">
      <c r="B559" s="2"/>
      <c r="C559" s="3"/>
      <c r="D559" s="3"/>
      <c r="E559" s="4"/>
      <c r="I559" s="2"/>
      <c r="J559" s="3"/>
      <c r="K559" s="3"/>
      <c r="L559" s="4"/>
    </row>
    <row r="560" spans="2:12" ht="12" customHeight="1" x14ac:dyDescent="0.15">
      <c r="B560" s="2"/>
      <c r="C560" s="3"/>
      <c r="D560" s="3"/>
      <c r="E560" s="4"/>
      <c r="I560" s="2"/>
      <c r="J560" s="3"/>
      <c r="K560" s="3"/>
      <c r="L560" s="4"/>
    </row>
    <row r="561" spans="2:12" ht="12" customHeight="1" x14ac:dyDescent="0.15">
      <c r="B561" s="2"/>
      <c r="C561" s="3"/>
      <c r="D561" s="3"/>
      <c r="E561" s="4"/>
      <c r="I561" s="2"/>
      <c r="J561" s="3"/>
      <c r="K561" s="3"/>
      <c r="L561" s="4"/>
    </row>
    <row r="562" spans="2:12" ht="12" customHeight="1" x14ac:dyDescent="0.15">
      <c r="B562" s="2"/>
      <c r="C562" s="3"/>
      <c r="D562" s="3"/>
      <c r="E562" s="4"/>
      <c r="I562" s="2"/>
      <c r="J562" s="3"/>
      <c r="K562" s="3"/>
      <c r="L562" s="4"/>
    </row>
    <row r="563" spans="2:12" ht="12" customHeight="1" x14ac:dyDescent="0.15">
      <c r="B563" s="2"/>
      <c r="C563" s="3"/>
      <c r="D563" s="3"/>
      <c r="E563" s="4"/>
      <c r="I563" s="2"/>
      <c r="J563" s="3"/>
      <c r="K563" s="3"/>
      <c r="L563" s="4"/>
    </row>
    <row r="564" spans="2:12" ht="12" customHeight="1" x14ac:dyDescent="0.15">
      <c r="B564" s="2"/>
      <c r="C564" s="3"/>
      <c r="D564" s="3"/>
      <c r="E564" s="4"/>
      <c r="I564" s="2"/>
      <c r="J564" s="3"/>
      <c r="K564" s="3"/>
      <c r="L564" s="4"/>
    </row>
    <row r="565" spans="2:12" ht="12" customHeight="1" x14ac:dyDescent="0.15">
      <c r="B565" s="2"/>
      <c r="C565" s="3"/>
      <c r="D565" s="3"/>
      <c r="E565" s="4"/>
      <c r="I565" s="2"/>
      <c r="J565" s="3"/>
      <c r="K565" s="3"/>
      <c r="L565" s="4"/>
    </row>
    <row r="566" spans="2:12" ht="12" customHeight="1" x14ac:dyDescent="0.15">
      <c r="B566" s="2"/>
      <c r="C566" s="3"/>
      <c r="D566" s="3"/>
      <c r="E566" s="4"/>
      <c r="I566" s="2"/>
      <c r="J566" s="3"/>
      <c r="K566" s="3"/>
      <c r="L566" s="4"/>
    </row>
    <row r="567" spans="2:12" ht="12" customHeight="1" x14ac:dyDescent="0.15">
      <c r="B567" s="2"/>
      <c r="C567" s="3"/>
      <c r="D567" s="3"/>
      <c r="E567" s="4"/>
      <c r="I567" s="2"/>
      <c r="J567" s="3"/>
      <c r="K567" s="3"/>
      <c r="L567" s="4"/>
    </row>
    <row r="568" spans="2:12" ht="12" customHeight="1" x14ac:dyDescent="0.15">
      <c r="B568" s="2"/>
      <c r="C568" s="3"/>
      <c r="D568" s="3"/>
      <c r="E568" s="4"/>
      <c r="I568" s="2"/>
      <c r="J568" s="3"/>
      <c r="K568" s="3"/>
      <c r="L568" s="4"/>
    </row>
    <row r="569" spans="2:12" ht="12" customHeight="1" x14ac:dyDescent="0.15">
      <c r="B569" s="2"/>
      <c r="C569" s="3"/>
      <c r="D569" s="3"/>
      <c r="E569" s="4"/>
      <c r="I569" s="2"/>
      <c r="J569" s="3"/>
      <c r="K569" s="3"/>
      <c r="L569" s="4"/>
    </row>
    <row r="570" spans="2:12" ht="12" customHeight="1" x14ac:dyDescent="0.15">
      <c r="B570" s="2"/>
      <c r="C570" s="3"/>
      <c r="D570" s="3"/>
      <c r="E570" s="4"/>
      <c r="I570" s="2"/>
      <c r="J570" s="3"/>
      <c r="K570" s="3"/>
      <c r="L570" s="4"/>
    </row>
    <row r="571" spans="2:12" ht="12" customHeight="1" x14ac:dyDescent="0.15">
      <c r="B571" s="2"/>
      <c r="C571" s="3"/>
      <c r="D571" s="3"/>
      <c r="E571" s="4"/>
      <c r="I571" s="2"/>
      <c r="J571" s="3"/>
      <c r="K571" s="3"/>
      <c r="L571" s="4"/>
    </row>
    <row r="572" spans="2:12" ht="12" customHeight="1" x14ac:dyDescent="0.15">
      <c r="B572" s="2"/>
      <c r="C572" s="3"/>
      <c r="D572" s="3"/>
      <c r="E572" s="4"/>
      <c r="I572" s="2"/>
      <c r="J572" s="3"/>
      <c r="K572" s="3"/>
      <c r="L572" s="4"/>
    </row>
    <row r="573" spans="2:12" ht="12" customHeight="1" x14ac:dyDescent="0.15">
      <c r="B573" s="2"/>
      <c r="C573" s="3"/>
      <c r="D573" s="3"/>
      <c r="E573" s="4"/>
      <c r="I573" s="2"/>
      <c r="J573" s="3"/>
      <c r="K573" s="3"/>
      <c r="L573" s="4"/>
    </row>
    <row r="574" spans="2:12" ht="12" customHeight="1" x14ac:dyDescent="0.15">
      <c r="B574" s="2"/>
      <c r="C574" s="3"/>
      <c r="D574" s="3"/>
      <c r="E574" s="4"/>
      <c r="I574" s="2"/>
      <c r="J574" s="3"/>
      <c r="K574" s="3"/>
      <c r="L574" s="4"/>
    </row>
    <row r="575" spans="2:12" ht="12" customHeight="1" x14ac:dyDescent="0.15">
      <c r="B575" s="2"/>
      <c r="C575" s="3"/>
      <c r="D575" s="3"/>
      <c r="E575" s="4"/>
      <c r="I575" s="2"/>
      <c r="J575" s="3"/>
      <c r="K575" s="3"/>
      <c r="L575" s="4"/>
    </row>
    <row r="576" spans="2:12" ht="12" customHeight="1" x14ac:dyDescent="0.15">
      <c r="B576" s="2"/>
      <c r="C576" s="3"/>
      <c r="D576" s="3"/>
      <c r="E576" s="4"/>
      <c r="I576" s="2"/>
      <c r="J576" s="3"/>
      <c r="K576" s="3"/>
      <c r="L576" s="4"/>
    </row>
    <row r="577" spans="2:12" ht="12" customHeight="1" x14ac:dyDescent="0.15">
      <c r="B577" s="2"/>
      <c r="C577" s="3"/>
      <c r="D577" s="3"/>
      <c r="E577" s="4"/>
      <c r="I577" s="2"/>
      <c r="J577" s="3"/>
      <c r="K577" s="3"/>
      <c r="L577" s="4"/>
    </row>
    <row r="578" spans="2:12" ht="12" customHeight="1" x14ac:dyDescent="0.15">
      <c r="B578" s="2"/>
      <c r="C578" s="3"/>
      <c r="D578" s="3"/>
      <c r="E578" s="4"/>
      <c r="I578" s="2"/>
      <c r="J578" s="3"/>
      <c r="K578" s="3"/>
      <c r="L578" s="4"/>
    </row>
    <row r="579" spans="2:12" ht="12" customHeight="1" x14ac:dyDescent="0.15">
      <c r="B579" s="2"/>
      <c r="C579" s="3"/>
      <c r="D579" s="3"/>
      <c r="E579" s="4"/>
      <c r="I579" s="2"/>
      <c r="J579" s="3"/>
      <c r="K579" s="3"/>
      <c r="L579" s="4"/>
    </row>
    <row r="580" spans="2:12" ht="12" customHeight="1" x14ac:dyDescent="0.15">
      <c r="B580" s="2"/>
      <c r="C580" s="3"/>
      <c r="D580" s="3"/>
      <c r="E580" s="4"/>
      <c r="I580" s="2"/>
      <c r="J580" s="3"/>
      <c r="K580" s="3"/>
      <c r="L580" s="4"/>
    </row>
    <row r="581" spans="2:12" ht="12" customHeight="1" x14ac:dyDescent="0.15">
      <c r="B581" s="2"/>
      <c r="C581" s="3"/>
      <c r="D581" s="3"/>
      <c r="E581" s="4"/>
      <c r="I581" s="2"/>
      <c r="J581" s="3"/>
      <c r="K581" s="3"/>
      <c r="L581" s="4"/>
    </row>
    <row r="582" spans="2:12" ht="12" customHeight="1" x14ac:dyDescent="0.15">
      <c r="B582" s="2"/>
      <c r="C582" s="3"/>
      <c r="D582" s="3"/>
      <c r="E582" s="4"/>
      <c r="I582" s="2"/>
      <c r="J582" s="3"/>
      <c r="K582" s="3"/>
      <c r="L582" s="4"/>
    </row>
    <row r="583" spans="2:12" ht="12" customHeight="1" x14ac:dyDescent="0.15">
      <c r="B583" s="2"/>
      <c r="C583" s="3"/>
      <c r="D583" s="3"/>
      <c r="E583" s="4"/>
      <c r="I583" s="2"/>
      <c r="J583" s="3"/>
      <c r="K583" s="3"/>
      <c r="L583" s="4"/>
    </row>
    <row r="584" spans="2:12" ht="12" customHeight="1" x14ac:dyDescent="0.15">
      <c r="B584" s="2"/>
      <c r="C584" s="3"/>
      <c r="D584" s="3"/>
      <c r="E584" s="4"/>
      <c r="I584" s="2"/>
      <c r="J584" s="3"/>
      <c r="K584" s="3"/>
      <c r="L584" s="4"/>
    </row>
    <row r="585" spans="2:12" ht="12" customHeight="1" x14ac:dyDescent="0.15">
      <c r="B585" s="2"/>
      <c r="C585" s="3"/>
      <c r="D585" s="3"/>
      <c r="E585" s="4"/>
      <c r="I585" s="2"/>
      <c r="J585" s="3"/>
      <c r="K585" s="3"/>
      <c r="L585" s="4"/>
    </row>
    <row r="586" spans="2:12" ht="12" customHeight="1" x14ac:dyDescent="0.15">
      <c r="B586" s="2"/>
      <c r="C586" s="3"/>
      <c r="D586" s="3"/>
      <c r="E586" s="4"/>
      <c r="I586" s="2"/>
      <c r="J586" s="3"/>
      <c r="K586" s="3"/>
      <c r="L586" s="4"/>
    </row>
    <row r="587" spans="2:12" ht="12" customHeight="1" x14ac:dyDescent="0.15">
      <c r="B587" s="2"/>
      <c r="C587" s="3"/>
      <c r="D587" s="3"/>
      <c r="E587" s="4"/>
      <c r="I587" s="2"/>
      <c r="J587" s="3"/>
      <c r="K587" s="3"/>
      <c r="L587" s="4"/>
    </row>
    <row r="588" spans="2:12" ht="12" customHeight="1" x14ac:dyDescent="0.15">
      <c r="B588" s="2"/>
      <c r="C588" s="3"/>
      <c r="D588" s="3"/>
      <c r="E588" s="4"/>
      <c r="I588" s="2"/>
      <c r="J588" s="3"/>
      <c r="K588" s="3"/>
      <c r="L588" s="4"/>
    </row>
    <row r="589" spans="2:12" ht="12" customHeight="1" x14ac:dyDescent="0.15">
      <c r="B589" s="2"/>
      <c r="C589" s="3"/>
      <c r="D589" s="3"/>
      <c r="E589" s="4"/>
      <c r="I589" s="2"/>
      <c r="J589" s="3"/>
      <c r="K589" s="3"/>
      <c r="L589" s="4"/>
    </row>
    <row r="590" spans="2:12" ht="12" customHeight="1" x14ac:dyDescent="0.15">
      <c r="B590" s="2"/>
      <c r="C590" s="3"/>
      <c r="D590" s="3"/>
      <c r="E590" s="4"/>
      <c r="I590" s="2"/>
      <c r="J590" s="3"/>
      <c r="K590" s="3"/>
      <c r="L590" s="4"/>
    </row>
    <row r="591" spans="2:12" ht="12" customHeight="1" x14ac:dyDescent="0.15">
      <c r="B591" s="2"/>
      <c r="C591" s="3"/>
      <c r="D591" s="3"/>
      <c r="E591" s="4"/>
      <c r="I591" s="2"/>
      <c r="J591" s="3"/>
      <c r="K591" s="3"/>
      <c r="L591" s="4"/>
    </row>
    <row r="592" spans="2:12" ht="12" customHeight="1" x14ac:dyDescent="0.15">
      <c r="B592" s="2"/>
      <c r="C592" s="3"/>
      <c r="D592" s="3"/>
      <c r="E592" s="4"/>
      <c r="I592" s="2"/>
      <c r="J592" s="3"/>
      <c r="K592" s="3"/>
      <c r="L592" s="4"/>
    </row>
    <row r="593" spans="2:12" ht="12" customHeight="1" x14ac:dyDescent="0.15">
      <c r="B593" s="2"/>
      <c r="C593" s="3"/>
      <c r="D593" s="3"/>
      <c r="E593" s="4"/>
      <c r="I593" s="2"/>
      <c r="J593" s="3"/>
      <c r="K593" s="3"/>
      <c r="L593" s="4"/>
    </row>
    <row r="594" spans="2:12" ht="12" customHeight="1" x14ac:dyDescent="0.15">
      <c r="B594" s="2"/>
      <c r="C594" s="3"/>
      <c r="D594" s="3"/>
      <c r="E594" s="4"/>
      <c r="I594" s="2"/>
      <c r="J594" s="3"/>
      <c r="K594" s="3"/>
      <c r="L594" s="4"/>
    </row>
    <row r="595" spans="2:12" ht="12" customHeight="1" x14ac:dyDescent="0.15">
      <c r="B595" s="2"/>
      <c r="C595" s="3"/>
      <c r="D595" s="3"/>
      <c r="E595" s="4"/>
      <c r="I595" s="2"/>
      <c r="J595" s="3"/>
      <c r="K595" s="3"/>
      <c r="L595" s="4"/>
    </row>
    <row r="596" spans="2:12" ht="12" customHeight="1" x14ac:dyDescent="0.15">
      <c r="B596" s="2"/>
      <c r="C596" s="3"/>
      <c r="D596" s="3"/>
      <c r="E596" s="4"/>
      <c r="I596" s="2"/>
      <c r="J596" s="3"/>
      <c r="K596" s="3"/>
      <c r="L596" s="4"/>
    </row>
    <row r="597" spans="2:12" ht="12" customHeight="1" x14ac:dyDescent="0.15">
      <c r="B597" s="2"/>
      <c r="C597" s="3"/>
      <c r="D597" s="3"/>
      <c r="E597" s="4"/>
      <c r="I597" s="2"/>
      <c r="J597" s="3"/>
      <c r="K597" s="3"/>
      <c r="L597" s="4"/>
    </row>
    <row r="598" spans="2:12" ht="12" customHeight="1" x14ac:dyDescent="0.15">
      <c r="B598" s="2"/>
      <c r="C598" s="3"/>
      <c r="D598" s="3"/>
      <c r="E598" s="4"/>
      <c r="I598" s="2"/>
      <c r="J598" s="3"/>
      <c r="K598" s="3"/>
      <c r="L598" s="4"/>
    </row>
    <row r="599" spans="2:12" ht="12" customHeight="1" x14ac:dyDescent="0.15">
      <c r="B599" s="2"/>
      <c r="C599" s="3"/>
      <c r="D599" s="3"/>
      <c r="E599" s="4"/>
      <c r="I599" s="2"/>
      <c r="J599" s="3"/>
      <c r="K599" s="3"/>
      <c r="L599" s="4"/>
    </row>
    <row r="600" spans="2:12" ht="12" customHeight="1" x14ac:dyDescent="0.15">
      <c r="B600" s="2"/>
      <c r="C600" s="3"/>
      <c r="D600" s="3"/>
      <c r="E600" s="4"/>
      <c r="I600" s="2"/>
      <c r="J600" s="3"/>
      <c r="K600" s="3"/>
      <c r="L600" s="4"/>
    </row>
    <row r="601" spans="2:12" ht="12" customHeight="1" x14ac:dyDescent="0.15">
      <c r="B601" s="2"/>
      <c r="C601" s="3"/>
      <c r="D601" s="3"/>
      <c r="E601" s="4"/>
      <c r="I601" s="2"/>
      <c r="J601" s="3"/>
      <c r="K601" s="3"/>
      <c r="L601" s="4"/>
    </row>
    <row r="602" spans="2:12" ht="12" customHeight="1" x14ac:dyDescent="0.15">
      <c r="B602" s="2"/>
      <c r="C602" s="3"/>
      <c r="D602" s="3"/>
      <c r="E602" s="4"/>
      <c r="I602" s="2"/>
      <c r="J602" s="3"/>
      <c r="K602" s="3"/>
      <c r="L602" s="4"/>
    </row>
    <row r="603" spans="2:12" ht="12" customHeight="1" x14ac:dyDescent="0.15">
      <c r="B603" s="2"/>
      <c r="C603" s="3"/>
      <c r="D603" s="3"/>
      <c r="E603" s="4"/>
      <c r="I603" s="2"/>
      <c r="J603" s="3"/>
      <c r="K603" s="3"/>
      <c r="L603" s="4"/>
    </row>
    <row r="604" spans="2:12" ht="12" customHeight="1" x14ac:dyDescent="0.15">
      <c r="B604" s="2"/>
      <c r="C604" s="3"/>
      <c r="D604" s="3"/>
      <c r="E604" s="4"/>
      <c r="I604" s="2"/>
      <c r="J604" s="3"/>
      <c r="K604" s="3"/>
      <c r="L604" s="4"/>
    </row>
    <row r="605" spans="2:12" ht="12" customHeight="1" x14ac:dyDescent="0.15">
      <c r="B605" s="2"/>
      <c r="C605" s="3"/>
      <c r="D605" s="3"/>
      <c r="E605" s="4"/>
      <c r="I605" s="2"/>
      <c r="J605" s="3"/>
      <c r="K605" s="3"/>
      <c r="L605" s="4"/>
    </row>
    <row r="606" spans="2:12" ht="12" customHeight="1" x14ac:dyDescent="0.15">
      <c r="B606" s="2"/>
      <c r="C606" s="3"/>
      <c r="D606" s="3"/>
      <c r="E606" s="4"/>
      <c r="I606" s="2"/>
      <c r="J606" s="3"/>
      <c r="K606" s="3"/>
      <c r="L606" s="4"/>
    </row>
    <row r="607" spans="2:12" ht="12" customHeight="1" x14ac:dyDescent="0.15">
      <c r="B607" s="2"/>
      <c r="C607" s="3"/>
      <c r="D607" s="3"/>
      <c r="E607" s="4"/>
      <c r="I607" s="2"/>
      <c r="J607" s="3"/>
      <c r="K607" s="3"/>
      <c r="L607" s="4"/>
    </row>
    <row r="608" spans="2:12" ht="12" customHeight="1" x14ac:dyDescent="0.15">
      <c r="B608" s="2"/>
      <c r="C608" s="3"/>
      <c r="D608" s="3"/>
      <c r="E608" s="4"/>
      <c r="I608" s="2"/>
      <c r="J608" s="3"/>
      <c r="K608" s="3"/>
      <c r="L608" s="4"/>
    </row>
    <row r="609" spans="2:12" ht="12" customHeight="1" x14ac:dyDescent="0.15">
      <c r="B609" s="2"/>
      <c r="C609" s="3"/>
      <c r="D609" s="3"/>
      <c r="E609" s="4"/>
      <c r="I609" s="2"/>
      <c r="J609" s="3"/>
      <c r="K609" s="3"/>
      <c r="L609" s="4"/>
    </row>
    <row r="610" spans="2:12" ht="12" customHeight="1" x14ac:dyDescent="0.15">
      <c r="B610" s="2"/>
      <c r="C610" s="3"/>
      <c r="D610" s="3"/>
      <c r="E610" s="4"/>
      <c r="I610" s="2"/>
      <c r="J610" s="3"/>
      <c r="K610" s="3"/>
      <c r="L610" s="4"/>
    </row>
    <row r="611" spans="2:12" ht="12" customHeight="1" x14ac:dyDescent="0.15">
      <c r="B611" s="2"/>
      <c r="C611" s="3"/>
      <c r="D611" s="3"/>
      <c r="E611" s="4"/>
      <c r="I611" s="2"/>
      <c r="J611" s="3"/>
      <c r="K611" s="3"/>
      <c r="L611" s="4"/>
    </row>
    <row r="612" spans="2:12" ht="12" customHeight="1" x14ac:dyDescent="0.15">
      <c r="B612" s="2"/>
      <c r="C612" s="3"/>
      <c r="D612" s="3"/>
      <c r="E612" s="4"/>
      <c r="I612" s="2"/>
      <c r="J612" s="3"/>
      <c r="K612" s="3"/>
      <c r="L612" s="4"/>
    </row>
    <row r="613" spans="2:12" ht="12" customHeight="1" x14ac:dyDescent="0.15">
      <c r="B613" s="2"/>
      <c r="C613" s="3"/>
      <c r="D613" s="3"/>
      <c r="E613" s="4"/>
      <c r="I613" s="2"/>
      <c r="J613" s="3"/>
      <c r="K613" s="3"/>
      <c r="L613" s="4"/>
    </row>
    <row r="614" spans="2:12" ht="12" customHeight="1" x14ac:dyDescent="0.15">
      <c r="B614" s="2"/>
      <c r="C614" s="3"/>
      <c r="D614" s="3"/>
      <c r="E614" s="4"/>
      <c r="I614" s="2"/>
      <c r="J614" s="3"/>
      <c r="K614" s="3"/>
      <c r="L614" s="4"/>
    </row>
    <row r="615" spans="2:12" ht="12" customHeight="1" x14ac:dyDescent="0.15">
      <c r="B615" s="2"/>
      <c r="C615" s="3"/>
      <c r="D615" s="3"/>
      <c r="E615" s="4"/>
      <c r="I615" s="2"/>
      <c r="J615" s="3"/>
      <c r="K615" s="3"/>
      <c r="L615" s="4"/>
    </row>
    <row r="616" spans="2:12" ht="12" customHeight="1" x14ac:dyDescent="0.15">
      <c r="B616" s="2"/>
      <c r="C616" s="3"/>
      <c r="D616" s="3"/>
      <c r="E616" s="4"/>
      <c r="I616" s="2"/>
      <c r="J616" s="3"/>
      <c r="K616" s="3"/>
      <c r="L616" s="4"/>
    </row>
    <row r="617" spans="2:12" ht="12" customHeight="1" x14ac:dyDescent="0.15">
      <c r="B617" s="2"/>
      <c r="C617" s="3"/>
      <c r="D617" s="3"/>
      <c r="E617" s="4"/>
      <c r="I617" s="2"/>
      <c r="J617" s="3"/>
      <c r="K617" s="3"/>
      <c r="L617" s="4"/>
    </row>
    <row r="618" spans="2:12" ht="12" customHeight="1" x14ac:dyDescent="0.15">
      <c r="B618" s="2"/>
      <c r="C618" s="3"/>
      <c r="D618" s="3"/>
      <c r="E618" s="4"/>
      <c r="I618" s="2"/>
      <c r="J618" s="3"/>
      <c r="K618" s="3"/>
      <c r="L618" s="4"/>
    </row>
    <row r="619" spans="2:12" ht="12" customHeight="1" x14ac:dyDescent="0.15">
      <c r="B619" s="2"/>
      <c r="C619" s="3"/>
      <c r="D619" s="3"/>
      <c r="E619" s="4"/>
      <c r="I619" s="2"/>
      <c r="J619" s="3"/>
      <c r="K619" s="3"/>
      <c r="L619" s="4"/>
    </row>
    <row r="620" spans="2:12" ht="12" customHeight="1" x14ac:dyDescent="0.15">
      <c r="B620" s="2"/>
      <c r="C620" s="3"/>
      <c r="D620" s="3"/>
      <c r="E620" s="4"/>
      <c r="I620" s="2"/>
      <c r="J620" s="3"/>
      <c r="K620" s="3"/>
      <c r="L620" s="4"/>
    </row>
    <row r="621" spans="2:12" ht="12" customHeight="1" x14ac:dyDescent="0.15">
      <c r="B621" s="2"/>
      <c r="C621" s="3"/>
      <c r="D621" s="3"/>
      <c r="E621" s="4"/>
      <c r="I621" s="2"/>
      <c r="J621" s="3"/>
      <c r="K621" s="3"/>
      <c r="L621" s="4"/>
    </row>
    <row r="622" spans="2:12" ht="12" customHeight="1" x14ac:dyDescent="0.15">
      <c r="B622" s="2"/>
      <c r="C622" s="3"/>
      <c r="D622" s="3"/>
      <c r="E622" s="4"/>
      <c r="I622" s="2"/>
      <c r="J622" s="3"/>
      <c r="K622" s="3"/>
      <c r="L622" s="4"/>
    </row>
    <row r="623" spans="2:12" ht="12" customHeight="1" x14ac:dyDescent="0.15">
      <c r="B623" s="2"/>
      <c r="C623" s="3"/>
      <c r="D623" s="3"/>
      <c r="E623" s="4"/>
      <c r="I623" s="2"/>
      <c r="J623" s="3"/>
      <c r="K623" s="3"/>
      <c r="L623" s="4"/>
    </row>
    <row r="624" spans="2:12" ht="12" customHeight="1" x14ac:dyDescent="0.15">
      <c r="B624" s="2"/>
      <c r="C624" s="3"/>
      <c r="D624" s="3"/>
      <c r="E624" s="4"/>
      <c r="I624" s="2"/>
      <c r="J624" s="3"/>
      <c r="K624" s="3"/>
      <c r="L624" s="4"/>
    </row>
    <row r="625" spans="2:12" ht="12" customHeight="1" x14ac:dyDescent="0.15">
      <c r="B625" s="2"/>
      <c r="C625" s="3"/>
      <c r="D625" s="3"/>
      <c r="E625" s="4"/>
      <c r="I625" s="2"/>
      <c r="J625" s="3"/>
      <c r="K625" s="3"/>
      <c r="L625" s="4"/>
    </row>
    <row r="626" spans="2:12" ht="12" customHeight="1" x14ac:dyDescent="0.15">
      <c r="B626" s="2"/>
      <c r="C626" s="3"/>
      <c r="D626" s="3"/>
      <c r="E626" s="4"/>
      <c r="I626" s="2"/>
      <c r="J626" s="3"/>
      <c r="K626" s="3"/>
      <c r="L626" s="4"/>
    </row>
    <row r="627" spans="2:12" ht="12" customHeight="1" x14ac:dyDescent="0.15">
      <c r="B627" s="2"/>
      <c r="C627" s="3"/>
      <c r="D627" s="3"/>
      <c r="E627" s="4"/>
      <c r="I627" s="2"/>
      <c r="J627" s="3"/>
      <c r="K627" s="3"/>
      <c r="L627" s="4"/>
    </row>
    <row r="628" spans="2:12" ht="12" customHeight="1" x14ac:dyDescent="0.15">
      <c r="B628" s="2"/>
      <c r="C628" s="3"/>
      <c r="D628" s="3"/>
      <c r="E628" s="4"/>
      <c r="I628" s="2"/>
      <c r="J628" s="3"/>
      <c r="K628" s="3"/>
      <c r="L628" s="4"/>
    </row>
    <row r="629" spans="2:12" ht="12" customHeight="1" x14ac:dyDescent="0.15">
      <c r="B629" s="2"/>
      <c r="C629" s="3"/>
      <c r="D629" s="3"/>
      <c r="E629" s="4"/>
      <c r="I629" s="2"/>
      <c r="J629" s="3"/>
      <c r="K629" s="3"/>
      <c r="L629" s="4"/>
    </row>
    <row r="630" spans="2:12" ht="12" customHeight="1" x14ac:dyDescent="0.15">
      <c r="B630" s="2"/>
      <c r="C630" s="3"/>
      <c r="D630" s="3"/>
      <c r="E630" s="4"/>
      <c r="I630" s="2"/>
      <c r="J630" s="3"/>
      <c r="K630" s="3"/>
      <c r="L630" s="4"/>
    </row>
    <row r="631" spans="2:12" ht="12" customHeight="1" x14ac:dyDescent="0.15">
      <c r="B631" s="2"/>
      <c r="C631" s="3"/>
      <c r="D631" s="3"/>
      <c r="E631" s="4"/>
      <c r="I631" s="2"/>
      <c r="J631" s="3"/>
      <c r="K631" s="3"/>
      <c r="L631" s="4"/>
    </row>
    <row r="632" spans="2:12" ht="12" customHeight="1" x14ac:dyDescent="0.15">
      <c r="B632" s="2"/>
      <c r="C632" s="3"/>
      <c r="D632" s="3"/>
      <c r="E632" s="4"/>
      <c r="I632" s="2"/>
      <c r="J632" s="3"/>
      <c r="K632" s="3"/>
      <c r="L632" s="4"/>
    </row>
    <row r="633" spans="2:12" ht="12" customHeight="1" x14ac:dyDescent="0.15">
      <c r="B633" s="2"/>
      <c r="C633" s="3"/>
      <c r="D633" s="3"/>
      <c r="E633" s="4"/>
      <c r="I633" s="2"/>
      <c r="J633" s="3"/>
      <c r="K633" s="3"/>
      <c r="L633" s="4"/>
    </row>
    <row r="634" spans="2:12" ht="12" customHeight="1" x14ac:dyDescent="0.15">
      <c r="B634" s="2"/>
      <c r="C634" s="3"/>
      <c r="D634" s="3"/>
      <c r="E634" s="4"/>
      <c r="I634" s="2"/>
      <c r="J634" s="3"/>
      <c r="K634" s="3"/>
      <c r="L634" s="4"/>
    </row>
    <row r="635" spans="2:12" ht="12" customHeight="1" x14ac:dyDescent="0.15">
      <c r="B635" s="2"/>
      <c r="C635" s="3"/>
      <c r="D635" s="3"/>
      <c r="E635" s="4"/>
      <c r="I635" s="2"/>
      <c r="J635" s="3"/>
      <c r="K635" s="3"/>
      <c r="L635" s="4"/>
    </row>
    <row r="636" spans="2:12" ht="12" customHeight="1" x14ac:dyDescent="0.15">
      <c r="B636" s="2"/>
      <c r="C636" s="3"/>
      <c r="D636" s="3"/>
      <c r="E636" s="4"/>
      <c r="I636" s="2"/>
      <c r="J636" s="3"/>
      <c r="K636" s="3"/>
      <c r="L636" s="4"/>
    </row>
    <row r="637" spans="2:12" ht="12" customHeight="1" x14ac:dyDescent="0.15">
      <c r="B637" s="2"/>
      <c r="C637" s="3"/>
      <c r="D637" s="3"/>
      <c r="E637" s="4"/>
      <c r="I637" s="2"/>
      <c r="J637" s="3"/>
      <c r="K637" s="3"/>
      <c r="L637" s="4"/>
    </row>
    <row r="638" spans="2:12" ht="12" customHeight="1" x14ac:dyDescent="0.15">
      <c r="B638" s="2"/>
      <c r="C638" s="3"/>
      <c r="D638" s="3"/>
      <c r="E638" s="4"/>
      <c r="I638" s="2"/>
      <c r="J638" s="3"/>
      <c r="K638" s="3"/>
      <c r="L638" s="4"/>
    </row>
    <row r="639" spans="2:12" ht="12" customHeight="1" x14ac:dyDescent="0.15">
      <c r="B639" s="2"/>
      <c r="C639" s="3"/>
      <c r="D639" s="3"/>
      <c r="E639" s="4"/>
      <c r="I639" s="2"/>
      <c r="J639" s="3"/>
      <c r="K639" s="3"/>
      <c r="L639" s="4"/>
    </row>
    <row r="640" spans="2:12" ht="12" customHeight="1" x14ac:dyDescent="0.15">
      <c r="B640" s="2"/>
      <c r="C640" s="3"/>
      <c r="D640" s="3"/>
      <c r="E640" s="4"/>
      <c r="I640" s="2"/>
      <c r="J640" s="3"/>
      <c r="K640" s="3"/>
      <c r="L640" s="4"/>
    </row>
    <row r="641" spans="2:12" ht="12" customHeight="1" x14ac:dyDescent="0.15">
      <c r="B641" s="2"/>
      <c r="C641" s="3"/>
      <c r="D641" s="3"/>
      <c r="E641" s="4"/>
      <c r="I641" s="2"/>
      <c r="J641" s="3"/>
      <c r="K641" s="3"/>
      <c r="L641" s="4"/>
    </row>
    <row r="642" spans="2:12" ht="12" customHeight="1" x14ac:dyDescent="0.15">
      <c r="B642" s="2"/>
      <c r="C642" s="3"/>
      <c r="D642" s="3"/>
      <c r="E642" s="4"/>
      <c r="I642" s="2"/>
      <c r="J642" s="3"/>
      <c r="K642" s="3"/>
      <c r="L642" s="4"/>
    </row>
    <row r="643" spans="2:12" ht="12" customHeight="1" x14ac:dyDescent="0.15">
      <c r="B643" s="2"/>
      <c r="C643" s="3"/>
      <c r="D643" s="3"/>
      <c r="E643" s="4"/>
      <c r="I643" s="2"/>
      <c r="J643" s="3"/>
      <c r="K643" s="3"/>
      <c r="L643" s="4"/>
    </row>
    <row r="644" spans="2:12" ht="12" customHeight="1" x14ac:dyDescent="0.15">
      <c r="B644" s="2"/>
      <c r="C644" s="3"/>
      <c r="D644" s="3"/>
      <c r="E644" s="4"/>
      <c r="I644" s="2"/>
      <c r="J644" s="3"/>
      <c r="K644" s="3"/>
      <c r="L644" s="4"/>
    </row>
    <row r="645" spans="2:12" ht="12" customHeight="1" x14ac:dyDescent="0.15">
      <c r="B645" s="2"/>
      <c r="C645" s="3"/>
      <c r="D645" s="3"/>
      <c r="E645" s="4"/>
      <c r="I645" s="2"/>
      <c r="J645" s="3"/>
      <c r="K645" s="3"/>
      <c r="L645" s="4"/>
    </row>
    <row r="646" spans="2:12" ht="12" customHeight="1" x14ac:dyDescent="0.15">
      <c r="B646" s="2"/>
      <c r="C646" s="3"/>
      <c r="D646" s="3"/>
      <c r="E646" s="4"/>
      <c r="I646" s="2"/>
      <c r="J646" s="3"/>
      <c r="K646" s="3"/>
      <c r="L646" s="4"/>
    </row>
    <row r="647" spans="2:12" ht="12" customHeight="1" x14ac:dyDescent="0.15">
      <c r="B647" s="2"/>
      <c r="C647" s="3"/>
      <c r="D647" s="3"/>
      <c r="E647" s="4"/>
      <c r="I647" s="2"/>
      <c r="J647" s="3"/>
      <c r="K647" s="3"/>
      <c r="L647" s="4"/>
    </row>
    <row r="648" spans="2:12" ht="12" customHeight="1" x14ac:dyDescent="0.15">
      <c r="B648" s="2"/>
      <c r="C648" s="3"/>
      <c r="D648" s="3"/>
      <c r="E648" s="4"/>
      <c r="I648" s="2"/>
      <c r="J648" s="3"/>
      <c r="K648" s="3"/>
      <c r="L648" s="4"/>
    </row>
    <row r="649" spans="2:12" ht="12" customHeight="1" x14ac:dyDescent="0.15">
      <c r="B649" s="2"/>
      <c r="C649" s="3"/>
      <c r="D649" s="3"/>
      <c r="E649" s="4"/>
      <c r="I649" s="2"/>
      <c r="J649" s="3"/>
      <c r="K649" s="3"/>
      <c r="L649" s="4"/>
    </row>
    <row r="650" spans="2:12" ht="12" customHeight="1" x14ac:dyDescent="0.15">
      <c r="B650" s="2"/>
      <c r="C650" s="3"/>
      <c r="D650" s="3"/>
      <c r="E650" s="4"/>
      <c r="I650" s="2"/>
      <c r="J650" s="3"/>
      <c r="K650" s="3"/>
      <c r="L650" s="4"/>
    </row>
    <row r="651" spans="2:12" ht="12" customHeight="1" x14ac:dyDescent="0.15">
      <c r="B651" s="2"/>
      <c r="C651" s="3"/>
      <c r="D651" s="3"/>
      <c r="E651" s="4"/>
      <c r="I651" s="2"/>
      <c r="J651" s="3"/>
      <c r="K651" s="3"/>
      <c r="L651" s="4"/>
    </row>
    <row r="652" spans="2:12" ht="12" customHeight="1" x14ac:dyDescent="0.15">
      <c r="B652" s="2"/>
      <c r="C652" s="3"/>
      <c r="D652" s="3"/>
      <c r="E652" s="4"/>
      <c r="I652" s="2"/>
      <c r="J652" s="3"/>
      <c r="K652" s="3"/>
      <c r="L652" s="4"/>
    </row>
    <row r="653" spans="2:12" ht="12" customHeight="1" x14ac:dyDescent="0.15">
      <c r="B653" s="2"/>
      <c r="C653" s="3"/>
      <c r="D653" s="3"/>
      <c r="E653" s="4"/>
      <c r="I653" s="2"/>
      <c r="J653" s="3"/>
      <c r="K653" s="3"/>
      <c r="L653" s="4"/>
    </row>
    <row r="654" spans="2:12" ht="12" customHeight="1" x14ac:dyDescent="0.15">
      <c r="B654" s="2"/>
      <c r="C654" s="3"/>
      <c r="D654" s="3"/>
      <c r="E654" s="4"/>
      <c r="I654" s="2"/>
      <c r="J654" s="3"/>
      <c r="K654" s="3"/>
      <c r="L654" s="4"/>
    </row>
    <row r="655" spans="2:12" ht="12" customHeight="1" x14ac:dyDescent="0.15">
      <c r="B655" s="2"/>
      <c r="C655" s="3"/>
      <c r="D655" s="3"/>
      <c r="E655" s="4"/>
      <c r="I655" s="2"/>
      <c r="J655" s="3"/>
      <c r="K655" s="3"/>
      <c r="L655" s="4"/>
    </row>
    <row r="656" spans="2:12" ht="12" customHeight="1" x14ac:dyDescent="0.15">
      <c r="B656" s="2"/>
      <c r="C656" s="3"/>
      <c r="D656" s="3"/>
      <c r="E656" s="4"/>
      <c r="I656" s="2"/>
      <c r="J656" s="3"/>
      <c r="K656" s="3"/>
      <c r="L656" s="4"/>
    </row>
    <row r="657" spans="2:12" ht="12" customHeight="1" x14ac:dyDescent="0.15">
      <c r="B657" s="2"/>
      <c r="C657" s="3"/>
      <c r="D657" s="3"/>
      <c r="E657" s="4"/>
      <c r="I657" s="2"/>
      <c r="J657" s="3"/>
      <c r="K657" s="3"/>
      <c r="L657" s="4"/>
    </row>
    <row r="658" spans="2:12" ht="12" customHeight="1" x14ac:dyDescent="0.15">
      <c r="B658" s="2"/>
      <c r="C658" s="3"/>
      <c r="D658" s="3"/>
      <c r="E658" s="4"/>
      <c r="I658" s="2"/>
      <c r="J658" s="3"/>
      <c r="K658" s="3"/>
      <c r="L658" s="4"/>
    </row>
    <row r="659" spans="2:12" ht="12" customHeight="1" x14ac:dyDescent="0.15">
      <c r="B659" s="2"/>
      <c r="C659" s="3"/>
      <c r="D659" s="3"/>
      <c r="E659" s="4"/>
      <c r="I659" s="2"/>
      <c r="J659" s="3"/>
      <c r="K659" s="3"/>
      <c r="L659" s="4"/>
    </row>
    <row r="660" spans="2:12" ht="12" customHeight="1" x14ac:dyDescent="0.15">
      <c r="B660" s="2"/>
      <c r="C660" s="3"/>
      <c r="D660" s="3"/>
      <c r="E660" s="4"/>
      <c r="I660" s="2"/>
      <c r="J660" s="3"/>
      <c r="K660" s="3"/>
      <c r="L660" s="4"/>
    </row>
    <row r="661" spans="2:12" ht="12" customHeight="1" x14ac:dyDescent="0.15">
      <c r="B661" s="2"/>
      <c r="C661" s="3"/>
      <c r="D661" s="3"/>
      <c r="E661" s="4"/>
      <c r="I661" s="2"/>
      <c r="J661" s="3"/>
      <c r="K661" s="3"/>
      <c r="L661" s="4"/>
    </row>
    <row r="662" spans="2:12" ht="12" customHeight="1" x14ac:dyDescent="0.15">
      <c r="B662" s="2"/>
      <c r="C662" s="3"/>
      <c r="D662" s="3"/>
      <c r="E662" s="4"/>
      <c r="I662" s="2"/>
      <c r="J662" s="3"/>
      <c r="K662" s="3"/>
      <c r="L662" s="4"/>
    </row>
    <row r="663" spans="2:12" ht="12" customHeight="1" x14ac:dyDescent="0.15">
      <c r="B663" s="2"/>
      <c r="C663" s="3"/>
      <c r="D663" s="3"/>
      <c r="E663" s="4"/>
      <c r="I663" s="2"/>
      <c r="J663" s="3"/>
      <c r="K663" s="3"/>
      <c r="L663" s="4"/>
    </row>
    <row r="664" spans="2:12" ht="12" customHeight="1" x14ac:dyDescent="0.15">
      <c r="B664" s="2"/>
      <c r="C664" s="3"/>
      <c r="D664" s="3"/>
      <c r="E664" s="4"/>
      <c r="I664" s="2"/>
      <c r="J664" s="3"/>
      <c r="K664" s="3"/>
      <c r="L664" s="4"/>
    </row>
    <row r="665" spans="2:12" ht="12" customHeight="1" x14ac:dyDescent="0.15">
      <c r="B665" s="2"/>
      <c r="C665" s="3"/>
      <c r="D665" s="3"/>
      <c r="E665" s="4"/>
      <c r="I665" s="2"/>
      <c r="J665" s="3"/>
      <c r="K665" s="3"/>
      <c r="L665" s="4"/>
    </row>
    <row r="666" spans="2:12" ht="12" customHeight="1" x14ac:dyDescent="0.15">
      <c r="B666" s="2"/>
      <c r="C666" s="3"/>
      <c r="D666" s="3"/>
      <c r="E666" s="4"/>
      <c r="I666" s="2"/>
      <c r="J666" s="3"/>
      <c r="K666" s="3"/>
      <c r="L666" s="4"/>
    </row>
    <row r="667" spans="2:12" ht="12" customHeight="1" x14ac:dyDescent="0.15">
      <c r="B667" s="2"/>
      <c r="C667" s="3"/>
      <c r="D667" s="3"/>
      <c r="E667" s="4"/>
      <c r="I667" s="2"/>
      <c r="J667" s="3"/>
      <c r="K667" s="3"/>
      <c r="L667" s="4"/>
    </row>
    <row r="668" spans="2:12" ht="12" customHeight="1" x14ac:dyDescent="0.15">
      <c r="B668" s="2"/>
      <c r="C668" s="3"/>
      <c r="D668" s="3"/>
      <c r="E668" s="4"/>
      <c r="I668" s="2"/>
      <c r="J668" s="3"/>
      <c r="K668" s="3"/>
      <c r="L668" s="4"/>
    </row>
    <row r="669" spans="2:12" ht="12" customHeight="1" x14ac:dyDescent="0.15">
      <c r="B669" s="2"/>
      <c r="C669" s="3"/>
      <c r="D669" s="3"/>
      <c r="E669" s="4"/>
      <c r="I669" s="2"/>
      <c r="J669" s="3"/>
      <c r="K669" s="3"/>
      <c r="L669" s="4"/>
    </row>
    <row r="670" spans="2:12" ht="12" customHeight="1" x14ac:dyDescent="0.15">
      <c r="B670" s="2"/>
      <c r="C670" s="3"/>
      <c r="D670" s="3"/>
      <c r="E670" s="4"/>
      <c r="I670" s="2"/>
      <c r="J670" s="3"/>
      <c r="K670" s="3"/>
      <c r="L670" s="4"/>
    </row>
    <row r="671" spans="2:12" ht="12" customHeight="1" x14ac:dyDescent="0.15">
      <c r="B671" s="2"/>
      <c r="C671" s="3"/>
      <c r="D671" s="3"/>
      <c r="E671" s="4"/>
      <c r="I671" s="2"/>
      <c r="J671" s="3"/>
      <c r="K671" s="3"/>
      <c r="L671" s="4"/>
    </row>
    <row r="672" spans="2:12" ht="12" customHeight="1" x14ac:dyDescent="0.15">
      <c r="B672" s="2"/>
      <c r="C672" s="3"/>
      <c r="D672" s="3"/>
      <c r="E672" s="4"/>
      <c r="I672" s="2"/>
      <c r="J672" s="3"/>
      <c r="K672" s="3"/>
      <c r="L672" s="4"/>
    </row>
    <row r="673" spans="2:12" ht="12" customHeight="1" x14ac:dyDescent="0.15">
      <c r="B673" s="2"/>
      <c r="C673" s="3"/>
      <c r="D673" s="3"/>
      <c r="E673" s="4"/>
      <c r="I673" s="2"/>
      <c r="J673" s="3"/>
      <c r="K673" s="3"/>
      <c r="L673" s="4"/>
    </row>
    <row r="674" spans="2:12" ht="12" customHeight="1" x14ac:dyDescent="0.15">
      <c r="B674" s="2"/>
      <c r="C674" s="3"/>
      <c r="D674" s="3"/>
      <c r="E674" s="4"/>
      <c r="I674" s="2"/>
      <c r="J674" s="3"/>
      <c r="K674" s="3"/>
      <c r="L674" s="4"/>
    </row>
    <row r="675" spans="2:12" ht="12" customHeight="1" x14ac:dyDescent="0.15">
      <c r="B675" s="2"/>
      <c r="C675" s="3"/>
      <c r="D675" s="3"/>
      <c r="E675" s="4"/>
      <c r="I675" s="2"/>
      <c r="J675" s="3"/>
      <c r="K675" s="3"/>
      <c r="L675" s="4"/>
    </row>
    <row r="676" spans="2:12" ht="12" customHeight="1" x14ac:dyDescent="0.15">
      <c r="B676" s="2"/>
      <c r="C676" s="3"/>
      <c r="D676" s="3"/>
      <c r="E676" s="4"/>
      <c r="I676" s="2"/>
      <c r="J676" s="3"/>
      <c r="K676" s="3"/>
      <c r="L676" s="4"/>
    </row>
    <row r="677" spans="2:12" ht="12" customHeight="1" x14ac:dyDescent="0.15">
      <c r="B677" s="2"/>
      <c r="C677" s="3"/>
      <c r="D677" s="3"/>
      <c r="E677" s="4"/>
      <c r="I677" s="2"/>
      <c r="J677" s="3"/>
      <c r="K677" s="3"/>
      <c r="L677" s="4"/>
    </row>
    <row r="678" spans="2:12" ht="12" customHeight="1" x14ac:dyDescent="0.15">
      <c r="B678" s="2"/>
      <c r="C678" s="3"/>
      <c r="D678" s="3"/>
      <c r="E678" s="4"/>
      <c r="I678" s="2"/>
      <c r="J678" s="3"/>
      <c r="K678" s="3"/>
      <c r="L678" s="4"/>
    </row>
    <row r="679" spans="2:12" ht="12" customHeight="1" x14ac:dyDescent="0.15">
      <c r="B679" s="2"/>
      <c r="C679" s="3"/>
      <c r="D679" s="3"/>
      <c r="E679" s="4"/>
      <c r="I679" s="2"/>
      <c r="J679" s="3"/>
      <c r="K679" s="3"/>
      <c r="L679" s="4"/>
    </row>
    <row r="680" spans="2:12" ht="12" customHeight="1" x14ac:dyDescent="0.15">
      <c r="B680" s="2"/>
      <c r="C680" s="3"/>
      <c r="D680" s="3"/>
      <c r="E680" s="4"/>
      <c r="I680" s="2"/>
      <c r="J680" s="3"/>
      <c r="K680" s="3"/>
      <c r="L680" s="4"/>
    </row>
    <row r="681" spans="2:12" ht="12" customHeight="1" x14ac:dyDescent="0.15">
      <c r="B681" s="2"/>
      <c r="C681" s="3"/>
      <c r="D681" s="3"/>
      <c r="E681" s="4"/>
      <c r="I681" s="2"/>
      <c r="J681" s="3"/>
      <c r="K681" s="3"/>
      <c r="L681" s="4"/>
    </row>
    <row r="682" spans="2:12" ht="12" customHeight="1" x14ac:dyDescent="0.15">
      <c r="B682" s="2"/>
      <c r="C682" s="3"/>
      <c r="D682" s="3"/>
      <c r="E682" s="4"/>
      <c r="I682" s="2"/>
      <c r="J682" s="3"/>
      <c r="K682" s="3"/>
      <c r="L682" s="4"/>
    </row>
    <row r="683" spans="2:12" ht="12" customHeight="1" x14ac:dyDescent="0.15">
      <c r="B683" s="2"/>
      <c r="C683" s="3"/>
      <c r="D683" s="3"/>
      <c r="E683" s="4"/>
      <c r="I683" s="2"/>
      <c r="J683" s="3"/>
      <c r="K683" s="3"/>
      <c r="L683" s="4"/>
    </row>
    <row r="684" spans="2:12" ht="12" customHeight="1" x14ac:dyDescent="0.15">
      <c r="B684" s="2"/>
      <c r="C684" s="3"/>
      <c r="D684" s="3"/>
      <c r="E684" s="4"/>
      <c r="I684" s="2"/>
      <c r="J684" s="3"/>
      <c r="K684" s="3"/>
      <c r="L684" s="4"/>
    </row>
    <row r="685" spans="2:12" ht="12" customHeight="1" x14ac:dyDescent="0.15">
      <c r="B685" s="2"/>
      <c r="C685" s="3"/>
      <c r="D685" s="3"/>
      <c r="E685" s="4"/>
      <c r="I685" s="2"/>
      <c r="J685" s="3"/>
      <c r="K685" s="3"/>
      <c r="L685" s="4"/>
    </row>
    <row r="686" spans="2:12" ht="12" customHeight="1" x14ac:dyDescent="0.15">
      <c r="B686" s="2"/>
      <c r="C686" s="3"/>
      <c r="D686" s="3"/>
      <c r="E686" s="4"/>
      <c r="I686" s="2"/>
      <c r="J686" s="3"/>
      <c r="K686" s="3"/>
      <c r="L686" s="4"/>
    </row>
    <row r="687" spans="2:12" ht="12" customHeight="1" x14ac:dyDescent="0.15">
      <c r="B687" s="2"/>
      <c r="C687" s="3"/>
      <c r="D687" s="3"/>
      <c r="E687" s="4"/>
      <c r="I687" s="2"/>
      <c r="J687" s="3"/>
      <c r="K687" s="3"/>
      <c r="L687" s="4"/>
    </row>
    <row r="688" spans="2:12" ht="12" customHeight="1" x14ac:dyDescent="0.15">
      <c r="B688" s="2"/>
      <c r="C688" s="3"/>
      <c r="D688" s="3"/>
      <c r="E688" s="4"/>
      <c r="I688" s="2"/>
      <c r="J688" s="3"/>
      <c r="K688" s="3"/>
      <c r="L688" s="4"/>
    </row>
    <row r="689" spans="2:12" ht="12" customHeight="1" x14ac:dyDescent="0.15">
      <c r="B689" s="2"/>
      <c r="C689" s="3"/>
      <c r="D689" s="3"/>
      <c r="E689" s="4"/>
      <c r="I689" s="2"/>
      <c r="J689" s="3"/>
      <c r="K689" s="3"/>
      <c r="L689" s="4"/>
    </row>
    <row r="690" spans="2:12" ht="12" customHeight="1" x14ac:dyDescent="0.15">
      <c r="B690" s="2"/>
      <c r="C690" s="3"/>
      <c r="D690" s="3"/>
      <c r="E690" s="4"/>
      <c r="I690" s="2"/>
      <c r="J690" s="3"/>
      <c r="K690" s="3"/>
      <c r="L690" s="4"/>
    </row>
    <row r="691" spans="2:12" ht="12" customHeight="1" x14ac:dyDescent="0.15">
      <c r="B691" s="2"/>
      <c r="C691" s="3"/>
      <c r="D691" s="3"/>
      <c r="E691" s="4"/>
      <c r="I691" s="2"/>
      <c r="J691" s="3"/>
      <c r="K691" s="3"/>
      <c r="L691" s="4"/>
    </row>
    <row r="692" spans="2:12" ht="12" customHeight="1" x14ac:dyDescent="0.15">
      <c r="B692" s="2"/>
      <c r="C692" s="3"/>
      <c r="D692" s="3"/>
      <c r="E692" s="4"/>
      <c r="I692" s="2"/>
      <c r="J692" s="3"/>
      <c r="K692" s="3"/>
      <c r="L692" s="4"/>
    </row>
    <row r="693" spans="2:12" ht="12" customHeight="1" x14ac:dyDescent="0.15">
      <c r="B693" s="2"/>
      <c r="C693" s="3"/>
      <c r="D693" s="3"/>
      <c r="E693" s="4"/>
      <c r="I693" s="2"/>
      <c r="J693" s="3"/>
      <c r="K693" s="3"/>
      <c r="L693" s="4"/>
    </row>
    <row r="694" spans="2:12" ht="12" customHeight="1" x14ac:dyDescent="0.15">
      <c r="B694" s="2"/>
      <c r="C694" s="3"/>
      <c r="D694" s="3"/>
      <c r="E694" s="4"/>
      <c r="I694" s="2"/>
      <c r="J694" s="3"/>
      <c r="K694" s="3"/>
      <c r="L694" s="4"/>
    </row>
    <row r="695" spans="2:12" ht="12" customHeight="1" x14ac:dyDescent="0.15">
      <c r="B695" s="2"/>
      <c r="C695" s="3"/>
      <c r="D695" s="3"/>
      <c r="E695" s="4"/>
      <c r="I695" s="2"/>
      <c r="J695" s="3"/>
      <c r="K695" s="3"/>
      <c r="L695" s="4"/>
    </row>
    <row r="696" spans="2:12" ht="12" customHeight="1" x14ac:dyDescent="0.15">
      <c r="B696" s="2"/>
      <c r="C696" s="3"/>
      <c r="D696" s="3"/>
      <c r="E696" s="4"/>
      <c r="I696" s="2"/>
      <c r="J696" s="3"/>
      <c r="K696" s="3"/>
      <c r="L696" s="4"/>
    </row>
    <row r="697" spans="2:12" ht="12" customHeight="1" x14ac:dyDescent="0.15">
      <c r="B697" s="2"/>
      <c r="C697" s="3"/>
      <c r="D697" s="3"/>
      <c r="E697" s="4"/>
      <c r="I697" s="2"/>
      <c r="J697" s="3"/>
      <c r="K697" s="3"/>
      <c r="L697" s="4"/>
    </row>
    <row r="698" spans="2:12" ht="12" customHeight="1" x14ac:dyDescent="0.15">
      <c r="B698" s="2"/>
      <c r="C698" s="3"/>
      <c r="D698" s="3"/>
      <c r="E698" s="4"/>
      <c r="I698" s="2"/>
      <c r="J698" s="3"/>
      <c r="K698" s="3"/>
      <c r="L698" s="4"/>
    </row>
    <row r="699" spans="2:12" ht="12" customHeight="1" x14ac:dyDescent="0.15">
      <c r="B699" s="2"/>
      <c r="C699" s="3"/>
      <c r="D699" s="3"/>
      <c r="E699" s="4"/>
      <c r="I699" s="2"/>
      <c r="J699" s="3"/>
      <c r="K699" s="3"/>
      <c r="L699" s="4"/>
    </row>
    <row r="700" spans="2:12" ht="12" customHeight="1" x14ac:dyDescent="0.15">
      <c r="B700" s="2"/>
      <c r="C700" s="3"/>
      <c r="D700" s="3"/>
      <c r="E700" s="4"/>
      <c r="I700" s="2"/>
      <c r="J700" s="3"/>
      <c r="K700" s="3"/>
      <c r="L700" s="4"/>
    </row>
    <row r="701" spans="2:12" ht="12" customHeight="1" x14ac:dyDescent="0.15">
      <c r="B701" s="2"/>
      <c r="C701" s="3"/>
      <c r="D701" s="3"/>
      <c r="E701" s="4"/>
      <c r="I701" s="2"/>
      <c r="J701" s="3"/>
      <c r="K701" s="3"/>
      <c r="L701" s="4"/>
    </row>
    <row r="702" spans="2:12" ht="12" customHeight="1" x14ac:dyDescent="0.15">
      <c r="B702" s="2"/>
      <c r="C702" s="3"/>
      <c r="D702" s="3"/>
      <c r="E702" s="4"/>
      <c r="I702" s="2"/>
      <c r="J702" s="3"/>
      <c r="K702" s="3"/>
      <c r="L702" s="4"/>
    </row>
    <row r="703" spans="2:12" ht="12" customHeight="1" x14ac:dyDescent="0.15">
      <c r="B703" s="2"/>
      <c r="C703" s="3"/>
      <c r="D703" s="3"/>
      <c r="E703" s="4"/>
      <c r="I703" s="2"/>
      <c r="J703" s="3"/>
      <c r="K703" s="3"/>
      <c r="L703" s="4"/>
    </row>
    <row r="704" spans="2:12" ht="12" customHeight="1" x14ac:dyDescent="0.15">
      <c r="B704" s="2"/>
      <c r="C704" s="3"/>
      <c r="D704" s="3"/>
      <c r="E704" s="4"/>
      <c r="I704" s="2"/>
      <c r="J704" s="3"/>
      <c r="K704" s="3"/>
      <c r="L704" s="4"/>
    </row>
    <row r="705" spans="2:12" ht="12" customHeight="1" x14ac:dyDescent="0.15">
      <c r="B705" s="2"/>
      <c r="C705" s="3"/>
      <c r="D705" s="3"/>
      <c r="E705" s="4"/>
      <c r="I705" s="2"/>
      <c r="J705" s="3"/>
      <c r="K705" s="3"/>
      <c r="L705" s="4"/>
    </row>
    <row r="706" spans="2:12" ht="12" customHeight="1" x14ac:dyDescent="0.15">
      <c r="B706" s="2"/>
      <c r="C706" s="3"/>
      <c r="D706" s="3"/>
      <c r="E706" s="4"/>
      <c r="I706" s="2"/>
      <c r="J706" s="3"/>
      <c r="K706" s="3"/>
      <c r="L706" s="4"/>
    </row>
    <row r="707" spans="2:12" ht="12" customHeight="1" x14ac:dyDescent="0.15">
      <c r="B707" s="2"/>
      <c r="C707" s="3"/>
      <c r="D707" s="3"/>
      <c r="E707" s="4"/>
      <c r="I707" s="2"/>
      <c r="J707" s="3"/>
      <c r="K707" s="3"/>
      <c r="L707" s="4"/>
    </row>
    <row r="708" spans="2:12" ht="12" customHeight="1" x14ac:dyDescent="0.15">
      <c r="B708" s="2"/>
      <c r="C708" s="3"/>
      <c r="D708" s="3"/>
      <c r="E708" s="4"/>
      <c r="I708" s="2"/>
      <c r="J708" s="3"/>
      <c r="K708" s="3"/>
      <c r="L708" s="4"/>
    </row>
    <row r="709" spans="2:12" ht="12" customHeight="1" x14ac:dyDescent="0.15">
      <c r="B709" s="2"/>
      <c r="C709" s="3"/>
      <c r="D709" s="3"/>
      <c r="E709" s="4"/>
      <c r="I709" s="2"/>
      <c r="J709" s="3"/>
      <c r="K709" s="3"/>
      <c r="L709" s="4"/>
    </row>
    <row r="710" spans="2:12" ht="12" customHeight="1" x14ac:dyDescent="0.15">
      <c r="B710" s="2"/>
      <c r="C710" s="3"/>
      <c r="D710" s="3"/>
      <c r="E710" s="4"/>
      <c r="I710" s="2"/>
      <c r="J710" s="3"/>
      <c r="K710" s="3"/>
      <c r="L710" s="4"/>
    </row>
    <row r="711" spans="2:12" ht="12" customHeight="1" x14ac:dyDescent="0.15">
      <c r="B711" s="2"/>
      <c r="C711" s="3"/>
      <c r="D711" s="3"/>
      <c r="E711" s="4"/>
      <c r="I711" s="2"/>
      <c r="J711" s="3"/>
      <c r="K711" s="3"/>
      <c r="L711" s="4"/>
    </row>
    <row r="712" spans="2:12" ht="12" customHeight="1" x14ac:dyDescent="0.15">
      <c r="B712" s="2"/>
      <c r="C712" s="3"/>
      <c r="D712" s="3"/>
      <c r="E712" s="4"/>
      <c r="I712" s="2"/>
      <c r="J712" s="3"/>
      <c r="K712" s="3"/>
      <c r="L712" s="4"/>
    </row>
    <row r="713" spans="2:12" ht="12" customHeight="1" x14ac:dyDescent="0.15">
      <c r="B713" s="2"/>
      <c r="C713" s="3"/>
      <c r="D713" s="3"/>
      <c r="E713" s="4"/>
      <c r="I713" s="2"/>
      <c r="J713" s="3"/>
      <c r="K713" s="3"/>
      <c r="L713" s="4"/>
    </row>
    <row r="714" spans="2:12" ht="12" customHeight="1" x14ac:dyDescent="0.15">
      <c r="B714" s="2"/>
      <c r="C714" s="3"/>
      <c r="D714" s="3"/>
      <c r="E714" s="4"/>
      <c r="I714" s="2"/>
      <c r="J714" s="3"/>
      <c r="K714" s="3"/>
      <c r="L714" s="4"/>
    </row>
    <row r="715" spans="2:12" ht="12" customHeight="1" x14ac:dyDescent="0.15">
      <c r="B715" s="2"/>
      <c r="C715" s="3"/>
      <c r="D715" s="3"/>
      <c r="E715" s="4"/>
      <c r="I715" s="2"/>
      <c r="J715" s="3"/>
      <c r="K715" s="3"/>
      <c r="L715" s="4"/>
    </row>
    <row r="716" spans="2:12" ht="12" customHeight="1" x14ac:dyDescent="0.15">
      <c r="B716" s="2"/>
      <c r="C716" s="3"/>
      <c r="D716" s="3"/>
      <c r="E716" s="4"/>
      <c r="I716" s="2"/>
      <c r="J716" s="3"/>
      <c r="K716" s="3"/>
      <c r="L716" s="4"/>
    </row>
    <row r="717" spans="2:12" ht="12" customHeight="1" x14ac:dyDescent="0.15">
      <c r="B717" s="2"/>
      <c r="C717" s="3"/>
      <c r="D717" s="3"/>
      <c r="E717" s="4"/>
      <c r="I717" s="2"/>
      <c r="J717" s="3"/>
      <c r="K717" s="3"/>
      <c r="L717" s="4"/>
    </row>
    <row r="718" spans="2:12" ht="12" customHeight="1" x14ac:dyDescent="0.15">
      <c r="B718" s="2"/>
      <c r="C718" s="3"/>
      <c r="D718" s="3"/>
      <c r="E718" s="4"/>
      <c r="I718" s="2"/>
      <c r="J718" s="3"/>
      <c r="K718" s="3"/>
      <c r="L718" s="4"/>
    </row>
    <row r="719" spans="2:12" ht="12" customHeight="1" x14ac:dyDescent="0.15">
      <c r="B719" s="2"/>
      <c r="C719" s="3"/>
      <c r="D719" s="3"/>
      <c r="E719" s="4"/>
      <c r="I719" s="2"/>
      <c r="J719" s="3"/>
      <c r="K719" s="3"/>
      <c r="L719" s="4"/>
    </row>
    <row r="720" spans="2:12" ht="12" customHeight="1" x14ac:dyDescent="0.15">
      <c r="B720" s="2"/>
      <c r="C720" s="3"/>
      <c r="D720" s="3"/>
      <c r="E720" s="4"/>
      <c r="I720" s="2"/>
      <c r="J720" s="3"/>
      <c r="K720" s="3"/>
      <c r="L720" s="4"/>
    </row>
    <row r="721" spans="2:12" ht="12" customHeight="1" x14ac:dyDescent="0.15">
      <c r="B721" s="2"/>
      <c r="C721" s="3"/>
      <c r="D721" s="3"/>
      <c r="E721" s="4"/>
      <c r="I721" s="2"/>
      <c r="J721" s="3"/>
      <c r="K721" s="3"/>
      <c r="L721" s="4"/>
    </row>
    <row r="722" spans="2:12" ht="12" customHeight="1" x14ac:dyDescent="0.15">
      <c r="B722" s="2"/>
      <c r="C722" s="3"/>
      <c r="D722" s="3"/>
      <c r="E722" s="4"/>
      <c r="I722" s="2"/>
      <c r="J722" s="3"/>
      <c r="K722" s="3"/>
      <c r="L722" s="4"/>
    </row>
    <row r="723" spans="2:12" ht="12" customHeight="1" x14ac:dyDescent="0.15">
      <c r="B723" s="2"/>
      <c r="C723" s="3"/>
      <c r="D723" s="3"/>
      <c r="E723" s="4"/>
      <c r="I723" s="2"/>
      <c r="J723" s="3"/>
      <c r="K723" s="3"/>
      <c r="L723" s="4"/>
    </row>
    <row r="724" spans="2:12" ht="12" customHeight="1" x14ac:dyDescent="0.15">
      <c r="B724" s="2"/>
      <c r="C724" s="3"/>
      <c r="D724" s="3"/>
      <c r="E724" s="4"/>
      <c r="I724" s="2"/>
      <c r="J724" s="3"/>
      <c r="K724" s="3"/>
      <c r="L724" s="4"/>
    </row>
    <row r="725" spans="2:12" ht="12" customHeight="1" x14ac:dyDescent="0.15">
      <c r="B725" s="2"/>
      <c r="C725" s="3"/>
      <c r="D725" s="3"/>
      <c r="E725" s="4"/>
      <c r="I725" s="2"/>
      <c r="J725" s="3"/>
      <c r="K725" s="3"/>
      <c r="L725" s="4"/>
    </row>
    <row r="726" spans="2:12" ht="12" customHeight="1" x14ac:dyDescent="0.15">
      <c r="B726" s="2"/>
      <c r="C726" s="3"/>
      <c r="D726" s="3"/>
      <c r="E726" s="4"/>
      <c r="I726" s="2"/>
      <c r="J726" s="3"/>
      <c r="K726" s="3"/>
      <c r="L726" s="4"/>
    </row>
    <row r="727" spans="2:12" ht="12" customHeight="1" x14ac:dyDescent="0.15">
      <c r="B727" s="2"/>
      <c r="C727" s="3"/>
      <c r="D727" s="3"/>
      <c r="E727" s="4"/>
      <c r="I727" s="2"/>
      <c r="J727" s="3"/>
      <c r="K727" s="3"/>
      <c r="L727" s="4"/>
    </row>
    <row r="728" spans="2:12" ht="12" customHeight="1" x14ac:dyDescent="0.15">
      <c r="B728" s="2"/>
      <c r="C728" s="3"/>
      <c r="D728" s="3"/>
      <c r="E728" s="4"/>
      <c r="I728" s="2"/>
      <c r="J728" s="3"/>
      <c r="K728" s="3"/>
      <c r="L728" s="4"/>
    </row>
    <row r="729" spans="2:12" ht="12" customHeight="1" x14ac:dyDescent="0.15">
      <c r="B729" s="2"/>
      <c r="C729" s="3"/>
      <c r="D729" s="3"/>
      <c r="E729" s="4"/>
      <c r="I729" s="2"/>
      <c r="J729" s="3"/>
      <c r="K729" s="3"/>
      <c r="L729" s="4"/>
    </row>
    <row r="730" spans="2:12" ht="12" customHeight="1" x14ac:dyDescent="0.15">
      <c r="B730" s="2"/>
      <c r="C730" s="3"/>
      <c r="D730" s="3"/>
      <c r="E730" s="4"/>
      <c r="I730" s="2"/>
      <c r="J730" s="3"/>
      <c r="K730" s="3"/>
      <c r="L730" s="4"/>
    </row>
    <row r="731" spans="2:12" ht="12" customHeight="1" x14ac:dyDescent="0.15">
      <c r="B731" s="2"/>
      <c r="C731" s="3"/>
      <c r="D731" s="3"/>
      <c r="E731" s="4"/>
      <c r="I731" s="2"/>
      <c r="J731" s="3"/>
      <c r="K731" s="3"/>
      <c r="L731" s="4"/>
    </row>
    <row r="732" spans="2:12" ht="12" customHeight="1" x14ac:dyDescent="0.15">
      <c r="B732" s="2"/>
      <c r="C732" s="3"/>
      <c r="D732" s="3"/>
      <c r="E732" s="4"/>
      <c r="I732" s="2"/>
      <c r="J732" s="3"/>
      <c r="K732" s="3"/>
      <c r="L732" s="4"/>
    </row>
    <row r="733" spans="2:12" ht="12" customHeight="1" x14ac:dyDescent="0.15">
      <c r="B733" s="2"/>
      <c r="C733" s="3"/>
      <c r="D733" s="3"/>
      <c r="E733" s="4"/>
      <c r="I733" s="2"/>
      <c r="J733" s="3"/>
      <c r="K733" s="3"/>
      <c r="L733" s="4"/>
    </row>
    <row r="734" spans="2:12" ht="12" customHeight="1" x14ac:dyDescent="0.15">
      <c r="B734" s="2"/>
      <c r="C734" s="3"/>
      <c r="D734" s="3"/>
      <c r="E734" s="4"/>
      <c r="I734" s="2"/>
      <c r="J734" s="3"/>
      <c r="K734" s="3"/>
      <c r="L734" s="4"/>
    </row>
    <row r="735" spans="2:12" ht="12" customHeight="1" x14ac:dyDescent="0.15">
      <c r="B735" s="2"/>
      <c r="C735" s="3"/>
      <c r="D735" s="3"/>
      <c r="E735" s="4"/>
      <c r="I735" s="2"/>
      <c r="J735" s="3"/>
      <c r="K735" s="3"/>
      <c r="L735" s="4"/>
    </row>
    <row r="736" spans="2:12" ht="12" customHeight="1" x14ac:dyDescent="0.15">
      <c r="B736" s="2"/>
      <c r="C736" s="3"/>
      <c r="D736" s="3"/>
      <c r="E736" s="4"/>
      <c r="I736" s="2"/>
      <c r="J736" s="3"/>
      <c r="K736" s="3"/>
      <c r="L736" s="4"/>
    </row>
    <row r="737" spans="2:12" ht="12" customHeight="1" x14ac:dyDescent="0.15">
      <c r="B737" s="2"/>
      <c r="C737" s="3"/>
      <c r="D737" s="3"/>
      <c r="E737" s="4"/>
      <c r="I737" s="2"/>
      <c r="J737" s="3"/>
      <c r="K737" s="3"/>
      <c r="L737" s="4"/>
    </row>
    <row r="738" spans="2:12" ht="12" customHeight="1" x14ac:dyDescent="0.15">
      <c r="B738" s="2"/>
      <c r="C738" s="3"/>
      <c r="D738" s="3"/>
      <c r="E738" s="4"/>
      <c r="I738" s="2"/>
      <c r="J738" s="3"/>
      <c r="K738" s="3"/>
      <c r="L738" s="4"/>
    </row>
    <row r="739" spans="2:12" ht="12" customHeight="1" x14ac:dyDescent="0.15">
      <c r="B739" s="2"/>
      <c r="C739" s="3"/>
      <c r="D739" s="3"/>
      <c r="E739" s="4"/>
      <c r="I739" s="2"/>
      <c r="J739" s="3"/>
      <c r="K739" s="3"/>
      <c r="L739" s="4"/>
    </row>
    <row r="740" spans="2:12" ht="12" customHeight="1" x14ac:dyDescent="0.15">
      <c r="B740" s="2"/>
      <c r="C740" s="3"/>
      <c r="D740" s="3"/>
      <c r="E740" s="4"/>
      <c r="I740" s="2"/>
      <c r="J740" s="3"/>
      <c r="K740" s="3"/>
      <c r="L740" s="4"/>
    </row>
    <row r="741" spans="2:12" ht="12" customHeight="1" x14ac:dyDescent="0.15">
      <c r="B741" s="2"/>
      <c r="C741" s="3"/>
      <c r="D741" s="3"/>
      <c r="E741" s="4"/>
      <c r="I741" s="2"/>
      <c r="J741" s="3"/>
      <c r="K741" s="3"/>
      <c r="L741" s="4"/>
    </row>
    <row r="742" spans="2:12" ht="12" customHeight="1" x14ac:dyDescent="0.15">
      <c r="B742" s="2"/>
      <c r="C742" s="3"/>
      <c r="D742" s="3"/>
      <c r="E742" s="4"/>
      <c r="I742" s="2"/>
      <c r="J742" s="3"/>
      <c r="K742" s="3"/>
      <c r="L742" s="4"/>
    </row>
    <row r="743" spans="2:12" ht="12" customHeight="1" x14ac:dyDescent="0.15">
      <c r="B743" s="2"/>
      <c r="C743" s="3"/>
      <c r="D743" s="3"/>
      <c r="E743" s="4"/>
      <c r="I743" s="2"/>
      <c r="J743" s="3"/>
      <c r="K743" s="3"/>
      <c r="L743" s="4"/>
    </row>
    <row r="744" spans="2:12" ht="12" customHeight="1" x14ac:dyDescent="0.15">
      <c r="B744" s="2"/>
      <c r="C744" s="3"/>
      <c r="D744" s="3"/>
      <c r="E744" s="4"/>
      <c r="I744" s="2"/>
      <c r="J744" s="3"/>
      <c r="K744" s="3"/>
      <c r="L744" s="4"/>
    </row>
    <row r="745" spans="2:12" ht="12" customHeight="1" x14ac:dyDescent="0.15">
      <c r="B745" s="2"/>
      <c r="C745" s="3"/>
      <c r="D745" s="3"/>
      <c r="E745" s="4"/>
      <c r="I745" s="2"/>
      <c r="J745" s="3"/>
      <c r="K745" s="3"/>
      <c r="L745" s="4"/>
    </row>
    <row r="746" spans="2:12" ht="12" customHeight="1" x14ac:dyDescent="0.15">
      <c r="B746" s="2"/>
      <c r="C746" s="3"/>
      <c r="D746" s="3"/>
      <c r="E746" s="4"/>
      <c r="I746" s="2"/>
      <c r="J746" s="3"/>
      <c r="K746" s="3"/>
      <c r="L746" s="4"/>
    </row>
    <row r="747" spans="2:12" ht="12" customHeight="1" x14ac:dyDescent="0.15">
      <c r="B747" s="2"/>
      <c r="C747" s="3"/>
      <c r="D747" s="3"/>
      <c r="E747" s="4"/>
      <c r="I747" s="2"/>
      <c r="J747" s="3"/>
      <c r="K747" s="3"/>
      <c r="L747" s="4"/>
    </row>
    <row r="748" spans="2:12" ht="12" customHeight="1" x14ac:dyDescent="0.15">
      <c r="B748" s="2"/>
      <c r="C748" s="3"/>
      <c r="D748" s="3"/>
      <c r="E748" s="4"/>
      <c r="I748" s="2"/>
      <c r="J748" s="3"/>
      <c r="K748" s="3"/>
      <c r="L748" s="4"/>
    </row>
    <row r="749" spans="2:12" ht="12" customHeight="1" x14ac:dyDescent="0.15">
      <c r="B749" s="2"/>
      <c r="C749" s="3"/>
      <c r="D749" s="3"/>
      <c r="E749" s="4"/>
      <c r="I749" s="2"/>
      <c r="J749" s="3"/>
      <c r="K749" s="3"/>
      <c r="L749" s="4"/>
    </row>
    <row r="750" spans="2:12" ht="12" customHeight="1" x14ac:dyDescent="0.15">
      <c r="B750" s="2"/>
      <c r="C750" s="3"/>
      <c r="D750" s="3"/>
      <c r="E750" s="4"/>
      <c r="I750" s="2"/>
      <c r="J750" s="3"/>
      <c r="K750" s="3"/>
      <c r="L750" s="4"/>
    </row>
    <row r="751" spans="2:12" ht="12" customHeight="1" x14ac:dyDescent="0.15">
      <c r="B751" s="2"/>
      <c r="C751" s="3"/>
      <c r="D751" s="3"/>
      <c r="E751" s="4"/>
      <c r="I751" s="2"/>
      <c r="J751" s="3"/>
      <c r="K751" s="3"/>
      <c r="L751" s="4"/>
    </row>
    <row r="752" spans="2:12" ht="12" customHeight="1" x14ac:dyDescent="0.15">
      <c r="B752" s="2"/>
      <c r="C752" s="3"/>
      <c r="D752" s="3"/>
      <c r="E752" s="4"/>
      <c r="I752" s="2"/>
      <c r="J752" s="3"/>
      <c r="K752" s="3"/>
      <c r="L752" s="4"/>
    </row>
    <row r="753" spans="2:12" ht="12" customHeight="1" x14ac:dyDescent="0.15">
      <c r="B753" s="2"/>
      <c r="C753" s="3"/>
      <c r="D753" s="3"/>
      <c r="E753" s="4"/>
      <c r="I753" s="2"/>
      <c r="J753" s="3"/>
      <c r="K753" s="3"/>
      <c r="L753" s="4"/>
    </row>
    <row r="754" spans="2:12" ht="12" customHeight="1" x14ac:dyDescent="0.15">
      <c r="B754" s="2"/>
      <c r="C754" s="3"/>
      <c r="D754" s="3"/>
      <c r="E754" s="4"/>
      <c r="I754" s="2"/>
      <c r="J754" s="3"/>
      <c r="K754" s="3"/>
      <c r="L754" s="4"/>
    </row>
    <row r="755" spans="2:12" ht="12" customHeight="1" x14ac:dyDescent="0.15">
      <c r="B755" s="2"/>
      <c r="C755" s="3"/>
      <c r="D755" s="3"/>
      <c r="E755" s="4"/>
      <c r="I755" s="2"/>
      <c r="J755" s="3"/>
      <c r="K755" s="3"/>
      <c r="L755" s="4"/>
    </row>
    <row r="756" spans="2:12" ht="12" customHeight="1" x14ac:dyDescent="0.15">
      <c r="B756" s="2"/>
      <c r="C756" s="3"/>
      <c r="D756" s="3"/>
      <c r="E756" s="4"/>
      <c r="I756" s="2"/>
      <c r="J756" s="3"/>
      <c r="K756" s="3"/>
      <c r="L756" s="4"/>
    </row>
    <row r="757" spans="2:12" ht="12" customHeight="1" x14ac:dyDescent="0.15">
      <c r="B757" s="2"/>
      <c r="C757" s="3"/>
      <c r="D757" s="3"/>
      <c r="E757" s="4"/>
      <c r="I757" s="2"/>
      <c r="J757" s="3"/>
      <c r="K757" s="3"/>
      <c r="L757" s="4"/>
    </row>
    <row r="758" spans="2:12" ht="12" customHeight="1" x14ac:dyDescent="0.15">
      <c r="B758" s="2"/>
      <c r="C758" s="3"/>
      <c r="D758" s="3"/>
      <c r="E758" s="4"/>
      <c r="I758" s="2"/>
      <c r="J758" s="3"/>
      <c r="K758" s="3"/>
      <c r="L758" s="4"/>
    </row>
    <row r="759" spans="2:12" ht="12" customHeight="1" x14ac:dyDescent="0.15">
      <c r="B759" s="2"/>
      <c r="C759" s="3"/>
      <c r="D759" s="3"/>
      <c r="E759" s="4"/>
      <c r="I759" s="2"/>
      <c r="J759" s="3"/>
      <c r="K759" s="3"/>
      <c r="L759" s="4"/>
    </row>
    <row r="760" spans="2:12" ht="12" customHeight="1" x14ac:dyDescent="0.15">
      <c r="B760" s="2"/>
      <c r="C760" s="3"/>
      <c r="D760" s="3"/>
      <c r="E760" s="4"/>
      <c r="I760" s="2"/>
      <c r="J760" s="3"/>
      <c r="K760" s="3"/>
      <c r="L760" s="4"/>
    </row>
    <row r="761" spans="2:12" ht="12" customHeight="1" x14ac:dyDescent="0.15">
      <c r="B761" s="2"/>
      <c r="C761" s="3"/>
      <c r="D761" s="3"/>
      <c r="E761" s="4"/>
      <c r="I761" s="2"/>
      <c r="J761" s="3"/>
      <c r="K761" s="3"/>
      <c r="L761" s="4"/>
    </row>
    <row r="762" spans="2:12" ht="12" customHeight="1" x14ac:dyDescent="0.15">
      <c r="B762" s="2"/>
      <c r="C762" s="3"/>
      <c r="D762" s="3"/>
      <c r="E762" s="4"/>
      <c r="I762" s="2"/>
      <c r="J762" s="3"/>
      <c r="K762" s="3"/>
      <c r="L762" s="4"/>
    </row>
    <row r="763" spans="2:12" ht="12" customHeight="1" x14ac:dyDescent="0.15">
      <c r="B763" s="2"/>
      <c r="C763" s="3"/>
      <c r="D763" s="3"/>
      <c r="E763" s="4"/>
      <c r="I763" s="2"/>
      <c r="J763" s="3"/>
      <c r="K763" s="3"/>
      <c r="L763" s="4"/>
    </row>
    <row r="764" spans="2:12" ht="12" customHeight="1" x14ac:dyDescent="0.15">
      <c r="B764" s="2"/>
      <c r="C764" s="3"/>
      <c r="D764" s="3"/>
      <c r="E764" s="4"/>
      <c r="I764" s="2"/>
      <c r="J764" s="3"/>
      <c r="K764" s="3"/>
      <c r="L764" s="4"/>
    </row>
    <row r="765" spans="2:12" ht="12" customHeight="1" x14ac:dyDescent="0.15">
      <c r="B765" s="2"/>
      <c r="C765" s="3"/>
      <c r="D765" s="3"/>
      <c r="E765" s="4"/>
      <c r="I765" s="2"/>
      <c r="J765" s="3"/>
      <c r="K765" s="3"/>
      <c r="L765" s="4"/>
    </row>
    <row r="766" spans="2:12" ht="12" customHeight="1" x14ac:dyDescent="0.15">
      <c r="B766" s="2"/>
      <c r="C766" s="3"/>
      <c r="D766" s="3"/>
      <c r="E766" s="4"/>
      <c r="I766" s="2"/>
      <c r="J766" s="3"/>
      <c r="K766" s="3"/>
      <c r="L766" s="4"/>
    </row>
    <row r="767" spans="2:12" ht="12" customHeight="1" x14ac:dyDescent="0.15">
      <c r="B767" s="2"/>
      <c r="C767" s="3"/>
      <c r="D767" s="3"/>
      <c r="E767" s="4"/>
      <c r="I767" s="2"/>
      <c r="J767" s="3"/>
      <c r="K767" s="3"/>
      <c r="L767" s="4"/>
    </row>
    <row r="768" spans="2:12" ht="12" customHeight="1" x14ac:dyDescent="0.15">
      <c r="B768" s="2"/>
      <c r="C768" s="3"/>
      <c r="D768" s="3"/>
      <c r="E768" s="4"/>
      <c r="I768" s="2"/>
      <c r="J768" s="3"/>
      <c r="K768" s="3"/>
      <c r="L768" s="4"/>
    </row>
    <row r="769" spans="2:12" ht="12" customHeight="1" x14ac:dyDescent="0.15">
      <c r="B769" s="2"/>
      <c r="C769" s="3"/>
      <c r="D769" s="3"/>
      <c r="E769" s="4"/>
      <c r="I769" s="2"/>
      <c r="J769" s="3"/>
      <c r="K769" s="3"/>
      <c r="L769" s="4"/>
    </row>
    <row r="770" spans="2:12" ht="12" customHeight="1" x14ac:dyDescent="0.15">
      <c r="B770" s="2"/>
      <c r="C770" s="3"/>
      <c r="D770" s="3"/>
      <c r="E770" s="4"/>
      <c r="I770" s="2"/>
      <c r="J770" s="3"/>
      <c r="K770" s="3"/>
      <c r="L770" s="4"/>
    </row>
    <row r="771" spans="2:12" ht="12" customHeight="1" x14ac:dyDescent="0.15">
      <c r="B771" s="2"/>
      <c r="C771" s="3"/>
      <c r="D771" s="3"/>
      <c r="E771" s="4"/>
      <c r="I771" s="2"/>
      <c r="J771" s="3"/>
      <c r="K771" s="3"/>
      <c r="L771" s="4"/>
    </row>
    <row r="772" spans="2:12" ht="12" customHeight="1" x14ac:dyDescent="0.15">
      <c r="B772" s="2"/>
      <c r="C772" s="3"/>
      <c r="D772" s="3"/>
      <c r="E772" s="4"/>
      <c r="I772" s="2"/>
      <c r="J772" s="3"/>
      <c r="K772" s="3"/>
      <c r="L772" s="4"/>
    </row>
    <row r="773" spans="2:12" ht="12" customHeight="1" x14ac:dyDescent="0.15">
      <c r="B773" s="2"/>
      <c r="C773" s="3"/>
      <c r="D773" s="3"/>
      <c r="E773" s="4"/>
      <c r="I773" s="2"/>
      <c r="J773" s="3"/>
      <c r="K773" s="3"/>
      <c r="L773" s="4"/>
    </row>
    <row r="774" spans="2:12" ht="12" customHeight="1" x14ac:dyDescent="0.15">
      <c r="B774" s="2"/>
      <c r="C774" s="3"/>
      <c r="D774" s="3"/>
      <c r="E774" s="4"/>
      <c r="I774" s="2"/>
      <c r="J774" s="3"/>
      <c r="K774" s="3"/>
      <c r="L774" s="4"/>
    </row>
    <row r="775" spans="2:12" ht="12" customHeight="1" x14ac:dyDescent="0.15">
      <c r="B775" s="2"/>
      <c r="C775" s="3"/>
      <c r="D775" s="3"/>
      <c r="E775" s="4"/>
      <c r="I775" s="2"/>
      <c r="J775" s="3"/>
      <c r="K775" s="3"/>
      <c r="L775" s="4"/>
    </row>
    <row r="776" spans="2:12" ht="12" customHeight="1" x14ac:dyDescent="0.15">
      <c r="B776" s="2"/>
      <c r="C776" s="3"/>
      <c r="D776" s="3"/>
      <c r="E776" s="4"/>
      <c r="I776" s="2"/>
      <c r="J776" s="3"/>
      <c r="K776" s="3"/>
      <c r="L776" s="4"/>
    </row>
    <row r="777" spans="2:12" ht="12" customHeight="1" x14ac:dyDescent="0.15">
      <c r="B777" s="2"/>
      <c r="C777" s="3"/>
      <c r="D777" s="3"/>
      <c r="E777" s="4"/>
      <c r="I777" s="2"/>
      <c r="J777" s="3"/>
      <c r="K777" s="3"/>
      <c r="L777" s="4"/>
    </row>
    <row r="778" spans="2:12" ht="12" customHeight="1" x14ac:dyDescent="0.15">
      <c r="B778" s="2"/>
      <c r="C778" s="3"/>
      <c r="D778" s="3"/>
      <c r="E778" s="4"/>
      <c r="I778" s="2"/>
      <c r="J778" s="3"/>
      <c r="K778" s="3"/>
      <c r="L778" s="4"/>
    </row>
    <row r="779" spans="2:12" ht="12" customHeight="1" x14ac:dyDescent="0.15">
      <c r="B779" s="2"/>
      <c r="C779" s="3"/>
      <c r="D779" s="3"/>
      <c r="E779" s="4"/>
      <c r="I779" s="2"/>
      <c r="J779" s="3"/>
      <c r="K779" s="3"/>
      <c r="L779" s="4"/>
    </row>
    <row r="780" spans="2:12" ht="12" customHeight="1" x14ac:dyDescent="0.15">
      <c r="B780" s="2"/>
      <c r="C780" s="3"/>
      <c r="D780" s="3"/>
      <c r="E780" s="4"/>
      <c r="I780" s="2"/>
      <c r="J780" s="3"/>
      <c r="K780" s="3"/>
      <c r="L780" s="4"/>
    </row>
    <row r="781" spans="2:12" ht="12" customHeight="1" x14ac:dyDescent="0.15">
      <c r="B781" s="2"/>
      <c r="C781" s="3"/>
      <c r="D781" s="3"/>
      <c r="E781" s="4"/>
      <c r="I781" s="2"/>
      <c r="J781" s="3"/>
      <c r="K781" s="3"/>
      <c r="L781" s="4"/>
    </row>
    <row r="782" spans="2:12" ht="12" customHeight="1" x14ac:dyDescent="0.15">
      <c r="B782" s="2"/>
      <c r="C782" s="3"/>
      <c r="D782" s="3"/>
      <c r="E782" s="4"/>
      <c r="I782" s="2"/>
      <c r="J782" s="3"/>
      <c r="K782" s="3"/>
      <c r="L782" s="4"/>
    </row>
    <row r="783" spans="2:12" ht="12" customHeight="1" x14ac:dyDescent="0.15">
      <c r="B783" s="2"/>
      <c r="C783" s="3"/>
      <c r="D783" s="3"/>
      <c r="E783" s="4"/>
      <c r="I783" s="2"/>
      <c r="J783" s="3"/>
      <c r="K783" s="3"/>
      <c r="L783" s="4"/>
    </row>
    <row r="784" spans="2:12" ht="12" customHeight="1" x14ac:dyDescent="0.15">
      <c r="B784" s="2"/>
      <c r="C784" s="3"/>
      <c r="D784" s="3"/>
      <c r="E784" s="4"/>
      <c r="I784" s="2"/>
      <c r="J784" s="3"/>
      <c r="K784" s="3"/>
      <c r="L784" s="4"/>
    </row>
    <row r="785" spans="2:12" ht="12" customHeight="1" x14ac:dyDescent="0.15">
      <c r="B785" s="2"/>
      <c r="C785" s="3"/>
      <c r="D785" s="3"/>
      <c r="E785" s="4"/>
      <c r="I785" s="2"/>
      <c r="J785" s="3"/>
      <c r="K785" s="3"/>
      <c r="L785" s="4"/>
    </row>
    <row r="786" spans="2:12" ht="12" customHeight="1" x14ac:dyDescent="0.15">
      <c r="B786" s="2"/>
      <c r="C786" s="3"/>
      <c r="D786" s="3"/>
      <c r="E786" s="4"/>
      <c r="I786" s="2"/>
      <c r="J786" s="3"/>
      <c r="K786" s="3"/>
      <c r="L786" s="4"/>
    </row>
    <row r="787" spans="2:12" ht="12" customHeight="1" x14ac:dyDescent="0.15">
      <c r="B787" s="2"/>
      <c r="C787" s="3"/>
      <c r="D787" s="3"/>
      <c r="E787" s="4"/>
      <c r="I787" s="2"/>
      <c r="J787" s="3"/>
      <c r="K787" s="3"/>
      <c r="L787" s="4"/>
    </row>
    <row r="788" spans="2:12" ht="12" customHeight="1" x14ac:dyDescent="0.15">
      <c r="B788" s="2"/>
      <c r="C788" s="3"/>
      <c r="D788" s="3"/>
      <c r="E788" s="4"/>
      <c r="I788" s="2"/>
      <c r="J788" s="3"/>
      <c r="K788" s="3"/>
      <c r="L788" s="4"/>
    </row>
    <row r="789" spans="2:12" ht="12" customHeight="1" x14ac:dyDescent="0.15">
      <c r="B789" s="2"/>
      <c r="C789" s="3"/>
      <c r="D789" s="3"/>
      <c r="E789" s="4"/>
      <c r="I789" s="2"/>
      <c r="J789" s="3"/>
      <c r="K789" s="3"/>
      <c r="L789" s="4"/>
    </row>
    <row r="790" spans="2:12" ht="12" customHeight="1" x14ac:dyDescent="0.15">
      <c r="B790" s="2"/>
      <c r="C790" s="3"/>
      <c r="D790" s="3"/>
      <c r="E790" s="4"/>
      <c r="I790" s="2"/>
      <c r="J790" s="3"/>
      <c r="K790" s="3"/>
      <c r="L790" s="4"/>
    </row>
    <row r="791" spans="2:12" ht="12" customHeight="1" x14ac:dyDescent="0.15">
      <c r="B791" s="2"/>
      <c r="C791" s="3"/>
      <c r="D791" s="3"/>
      <c r="E791" s="4"/>
      <c r="I791" s="2"/>
      <c r="J791" s="3"/>
      <c r="K791" s="3"/>
      <c r="L791" s="4"/>
    </row>
    <row r="792" spans="2:12" ht="12" customHeight="1" x14ac:dyDescent="0.15">
      <c r="B792" s="2"/>
      <c r="C792" s="3"/>
      <c r="D792" s="3"/>
      <c r="E792" s="4"/>
      <c r="I792" s="2"/>
      <c r="J792" s="3"/>
      <c r="K792" s="3"/>
      <c r="L792" s="4"/>
    </row>
    <row r="793" spans="2:12" ht="12" customHeight="1" x14ac:dyDescent="0.15">
      <c r="B793" s="2"/>
      <c r="C793" s="3"/>
      <c r="D793" s="3"/>
      <c r="E793" s="4"/>
      <c r="I793" s="2"/>
      <c r="J793" s="3"/>
      <c r="K793" s="3"/>
      <c r="L793" s="4"/>
    </row>
    <row r="794" spans="2:12" ht="12" customHeight="1" x14ac:dyDescent="0.15">
      <c r="B794" s="2"/>
      <c r="C794" s="3"/>
      <c r="D794" s="3"/>
      <c r="E794" s="4"/>
      <c r="I794" s="2"/>
      <c r="J794" s="3"/>
      <c r="K794" s="3"/>
      <c r="L794" s="4"/>
    </row>
    <row r="795" spans="2:12" ht="12" customHeight="1" x14ac:dyDescent="0.15">
      <c r="B795" s="2"/>
      <c r="C795" s="3"/>
      <c r="D795" s="3"/>
      <c r="E795" s="4"/>
      <c r="I795" s="2"/>
      <c r="J795" s="3"/>
      <c r="K795" s="3"/>
      <c r="L795" s="4"/>
    </row>
    <row r="796" spans="2:12" ht="12" customHeight="1" x14ac:dyDescent="0.15">
      <c r="B796" s="2"/>
      <c r="C796" s="3"/>
      <c r="D796" s="3"/>
      <c r="E796" s="4"/>
      <c r="I796" s="2"/>
      <c r="J796" s="3"/>
      <c r="K796" s="3"/>
      <c r="L796" s="4"/>
    </row>
    <row r="797" spans="2:12" ht="12" customHeight="1" x14ac:dyDescent="0.15">
      <c r="B797" s="2"/>
      <c r="C797" s="3"/>
      <c r="D797" s="3"/>
      <c r="E797" s="4"/>
      <c r="I797" s="2"/>
      <c r="J797" s="3"/>
      <c r="K797" s="3"/>
      <c r="L797" s="4"/>
    </row>
    <row r="798" spans="2:12" ht="12" customHeight="1" x14ac:dyDescent="0.15">
      <c r="B798" s="2"/>
      <c r="C798" s="3"/>
      <c r="D798" s="3"/>
      <c r="E798" s="4"/>
      <c r="I798" s="2"/>
      <c r="J798" s="3"/>
      <c r="K798" s="3"/>
      <c r="L798" s="4"/>
    </row>
    <row r="799" spans="2:12" ht="12" customHeight="1" x14ac:dyDescent="0.15">
      <c r="B799" s="2"/>
      <c r="C799" s="3"/>
      <c r="D799" s="3"/>
      <c r="E799" s="4"/>
      <c r="I799" s="2"/>
      <c r="J799" s="3"/>
      <c r="K799" s="3"/>
      <c r="L799" s="4"/>
    </row>
    <row r="800" spans="2:12" ht="12" customHeight="1" x14ac:dyDescent="0.15">
      <c r="B800" s="2"/>
      <c r="C800" s="3"/>
      <c r="D800" s="3"/>
      <c r="E800" s="4"/>
      <c r="I800" s="2"/>
      <c r="J800" s="3"/>
      <c r="K800" s="3"/>
      <c r="L800" s="4"/>
    </row>
    <row r="801" spans="2:12" ht="12" customHeight="1" x14ac:dyDescent="0.15">
      <c r="B801" s="2"/>
      <c r="C801" s="3"/>
      <c r="D801" s="3"/>
      <c r="E801" s="4"/>
      <c r="I801" s="2"/>
      <c r="J801" s="3"/>
      <c r="K801" s="3"/>
      <c r="L801" s="4"/>
    </row>
    <row r="802" spans="2:12" ht="12" customHeight="1" x14ac:dyDescent="0.15">
      <c r="B802" s="2"/>
      <c r="C802" s="3"/>
      <c r="D802" s="3"/>
      <c r="E802" s="4"/>
      <c r="I802" s="2"/>
      <c r="J802" s="3"/>
      <c r="K802" s="3"/>
      <c r="L802" s="4"/>
    </row>
    <row r="803" spans="2:12" ht="12" customHeight="1" x14ac:dyDescent="0.15">
      <c r="B803" s="2"/>
      <c r="C803" s="3"/>
      <c r="D803" s="3"/>
      <c r="E803" s="4"/>
      <c r="I803" s="2"/>
      <c r="J803" s="3"/>
      <c r="K803" s="3"/>
      <c r="L803" s="4"/>
    </row>
    <row r="804" spans="2:12" ht="12" customHeight="1" x14ac:dyDescent="0.15">
      <c r="B804" s="2"/>
      <c r="C804" s="3"/>
      <c r="D804" s="3"/>
      <c r="E804" s="4"/>
      <c r="I804" s="2"/>
      <c r="J804" s="3"/>
      <c r="K804" s="3"/>
      <c r="L804" s="4"/>
    </row>
    <row r="805" spans="2:12" ht="12" customHeight="1" x14ac:dyDescent="0.15">
      <c r="B805" s="2"/>
      <c r="C805" s="3"/>
      <c r="D805" s="3"/>
      <c r="E805" s="4"/>
      <c r="I805" s="2"/>
      <c r="J805" s="3"/>
      <c r="K805" s="3"/>
      <c r="L805" s="4"/>
    </row>
    <row r="806" spans="2:12" ht="12" customHeight="1" x14ac:dyDescent="0.15">
      <c r="B806" s="2"/>
      <c r="C806" s="3"/>
      <c r="D806" s="3"/>
      <c r="E806" s="4"/>
      <c r="I806" s="2"/>
      <c r="J806" s="3"/>
      <c r="K806" s="3"/>
      <c r="L806" s="4"/>
    </row>
    <row r="807" spans="2:12" ht="12" customHeight="1" x14ac:dyDescent="0.15">
      <c r="B807" s="2"/>
      <c r="C807" s="3"/>
      <c r="D807" s="3"/>
      <c r="E807" s="4"/>
      <c r="I807" s="2"/>
      <c r="J807" s="3"/>
      <c r="K807" s="3"/>
      <c r="L807" s="4"/>
    </row>
    <row r="808" spans="2:12" ht="12" customHeight="1" x14ac:dyDescent="0.15">
      <c r="B808" s="2"/>
      <c r="C808" s="3"/>
      <c r="D808" s="3"/>
      <c r="E808" s="4"/>
      <c r="I808" s="2"/>
      <c r="J808" s="3"/>
      <c r="K808" s="3"/>
      <c r="L808" s="4"/>
    </row>
    <row r="809" spans="2:12" ht="12" customHeight="1" x14ac:dyDescent="0.15">
      <c r="B809" s="2"/>
      <c r="C809" s="3"/>
      <c r="D809" s="3"/>
      <c r="E809" s="4"/>
      <c r="I809" s="2"/>
      <c r="J809" s="3"/>
      <c r="K809" s="3"/>
      <c r="L809" s="4"/>
    </row>
    <row r="810" spans="2:12" ht="12" customHeight="1" x14ac:dyDescent="0.15">
      <c r="B810" s="2"/>
      <c r="C810" s="3"/>
      <c r="D810" s="3"/>
      <c r="E810" s="4"/>
      <c r="I810" s="2"/>
      <c r="J810" s="3"/>
      <c r="K810" s="3"/>
      <c r="L810" s="4"/>
    </row>
    <row r="811" spans="2:12" ht="12" customHeight="1" x14ac:dyDescent="0.15">
      <c r="B811" s="2"/>
      <c r="C811" s="3"/>
      <c r="D811" s="3"/>
      <c r="E811" s="4"/>
      <c r="I811" s="2"/>
      <c r="J811" s="3"/>
      <c r="K811" s="3"/>
      <c r="L811" s="4"/>
    </row>
    <row r="812" spans="2:12" ht="12" customHeight="1" x14ac:dyDescent="0.15">
      <c r="B812" s="2"/>
      <c r="C812" s="3"/>
      <c r="D812" s="3"/>
      <c r="E812" s="4"/>
      <c r="I812" s="2"/>
      <c r="J812" s="3"/>
      <c r="K812" s="3"/>
      <c r="L812" s="4"/>
    </row>
    <row r="813" spans="2:12" ht="12" customHeight="1" x14ac:dyDescent="0.15">
      <c r="B813" s="2"/>
      <c r="C813" s="3"/>
      <c r="D813" s="3"/>
      <c r="E813" s="4"/>
      <c r="I813" s="2"/>
      <c r="J813" s="3"/>
      <c r="K813" s="3"/>
      <c r="L813" s="4"/>
    </row>
    <row r="814" spans="2:12" ht="12" customHeight="1" x14ac:dyDescent="0.15">
      <c r="B814" s="2"/>
      <c r="C814" s="3"/>
      <c r="D814" s="3"/>
      <c r="E814" s="4"/>
      <c r="I814" s="2"/>
      <c r="J814" s="3"/>
      <c r="K814" s="3"/>
      <c r="L814" s="4"/>
    </row>
    <row r="815" spans="2:12" ht="12" customHeight="1" x14ac:dyDescent="0.15">
      <c r="B815" s="2"/>
      <c r="C815" s="3"/>
      <c r="D815" s="3"/>
      <c r="E815" s="4"/>
      <c r="I815" s="2"/>
      <c r="J815" s="3"/>
      <c r="K815" s="3"/>
      <c r="L815" s="4"/>
    </row>
    <row r="816" spans="2:12" ht="12" customHeight="1" x14ac:dyDescent="0.15">
      <c r="B816" s="2"/>
      <c r="C816" s="3"/>
      <c r="D816" s="3"/>
      <c r="E816" s="4"/>
      <c r="I816" s="2"/>
      <c r="J816" s="3"/>
      <c r="K816" s="3"/>
      <c r="L816" s="4"/>
    </row>
    <row r="817" spans="2:12" ht="12" customHeight="1" x14ac:dyDescent="0.15">
      <c r="B817" s="2"/>
      <c r="C817" s="3"/>
      <c r="D817" s="3"/>
      <c r="E817" s="4"/>
      <c r="I817" s="2"/>
      <c r="J817" s="3"/>
      <c r="K817" s="3"/>
      <c r="L817" s="4"/>
    </row>
    <row r="818" spans="2:12" ht="12" customHeight="1" x14ac:dyDescent="0.15">
      <c r="B818" s="2"/>
      <c r="C818" s="3"/>
      <c r="D818" s="3"/>
      <c r="E818" s="4"/>
      <c r="I818" s="2"/>
      <c r="J818" s="3"/>
      <c r="K818" s="3"/>
      <c r="L818" s="4"/>
    </row>
    <row r="819" spans="2:12" ht="12" customHeight="1" x14ac:dyDescent="0.15">
      <c r="B819" s="2"/>
      <c r="C819" s="3"/>
      <c r="D819" s="3"/>
      <c r="E819" s="4"/>
      <c r="I819" s="2"/>
      <c r="J819" s="3"/>
      <c r="K819" s="3"/>
      <c r="L819" s="4"/>
    </row>
    <row r="820" spans="2:12" ht="12" customHeight="1" x14ac:dyDescent="0.15">
      <c r="B820" s="2"/>
      <c r="C820" s="3"/>
      <c r="D820" s="3"/>
      <c r="E820" s="4"/>
      <c r="I820" s="2"/>
      <c r="J820" s="3"/>
      <c r="K820" s="3"/>
      <c r="L820" s="4"/>
    </row>
    <row r="821" spans="2:12" ht="12" customHeight="1" x14ac:dyDescent="0.15">
      <c r="B821" s="2"/>
      <c r="C821" s="3"/>
      <c r="D821" s="3"/>
      <c r="E821" s="4"/>
      <c r="I821" s="2"/>
      <c r="J821" s="3"/>
      <c r="K821" s="3"/>
      <c r="L821" s="4"/>
    </row>
    <row r="822" spans="2:12" ht="12" customHeight="1" x14ac:dyDescent="0.15">
      <c r="B822" s="2"/>
      <c r="C822" s="3"/>
      <c r="D822" s="3"/>
      <c r="E822" s="4"/>
      <c r="I822" s="2"/>
      <c r="J822" s="3"/>
      <c r="K822" s="3"/>
      <c r="L822" s="4"/>
    </row>
    <row r="823" spans="2:12" ht="12" customHeight="1" x14ac:dyDescent="0.15">
      <c r="B823" s="2"/>
      <c r="C823" s="3"/>
      <c r="D823" s="3"/>
      <c r="E823" s="4"/>
      <c r="I823" s="2"/>
      <c r="J823" s="3"/>
      <c r="K823" s="3"/>
      <c r="L823" s="4"/>
    </row>
    <row r="824" spans="2:12" ht="12" customHeight="1" x14ac:dyDescent="0.15">
      <c r="B824" s="2"/>
      <c r="C824" s="3"/>
      <c r="D824" s="3"/>
      <c r="E824" s="4"/>
      <c r="I824" s="2"/>
      <c r="J824" s="3"/>
      <c r="K824" s="3"/>
      <c r="L824" s="4"/>
    </row>
    <row r="825" spans="2:12" ht="12" customHeight="1" x14ac:dyDescent="0.15">
      <c r="B825" s="2"/>
      <c r="C825" s="3"/>
      <c r="D825" s="3"/>
      <c r="E825" s="4"/>
      <c r="I825" s="2"/>
      <c r="J825" s="3"/>
      <c r="K825" s="3"/>
      <c r="L825" s="4"/>
    </row>
    <row r="826" spans="2:12" ht="12" customHeight="1" x14ac:dyDescent="0.15">
      <c r="B826" s="2"/>
      <c r="C826" s="3"/>
      <c r="D826" s="3"/>
      <c r="E826" s="4"/>
      <c r="I826" s="2"/>
      <c r="J826" s="3"/>
      <c r="K826" s="3"/>
      <c r="L826" s="4"/>
    </row>
    <row r="827" spans="2:12" ht="12" customHeight="1" x14ac:dyDescent="0.15">
      <c r="B827" s="2"/>
      <c r="C827" s="3"/>
      <c r="D827" s="3"/>
      <c r="E827" s="4"/>
      <c r="I827" s="2"/>
      <c r="J827" s="3"/>
      <c r="K827" s="3"/>
      <c r="L827" s="4"/>
    </row>
    <row r="828" spans="2:12" ht="12" customHeight="1" x14ac:dyDescent="0.15">
      <c r="B828" s="2"/>
      <c r="C828" s="3"/>
      <c r="D828" s="3"/>
      <c r="E828" s="4"/>
      <c r="I828" s="2"/>
      <c r="J828" s="3"/>
      <c r="K828" s="3"/>
      <c r="L828" s="4"/>
    </row>
    <row r="829" spans="2:12" ht="12" customHeight="1" x14ac:dyDescent="0.15">
      <c r="B829" s="2"/>
      <c r="C829" s="3"/>
      <c r="D829" s="3"/>
      <c r="E829" s="4"/>
      <c r="I829" s="2"/>
      <c r="J829" s="3"/>
      <c r="K829" s="3"/>
      <c r="L829" s="4"/>
    </row>
    <row r="830" spans="2:12" ht="12" customHeight="1" x14ac:dyDescent="0.15">
      <c r="B830" s="2"/>
      <c r="C830" s="3"/>
      <c r="D830" s="3"/>
      <c r="E830" s="4"/>
      <c r="I830" s="2"/>
      <c r="J830" s="3"/>
      <c r="K830" s="3"/>
      <c r="L830" s="4"/>
    </row>
    <row r="831" spans="2:12" ht="12" customHeight="1" x14ac:dyDescent="0.15">
      <c r="B831" s="2"/>
      <c r="C831" s="3"/>
      <c r="D831" s="3"/>
      <c r="E831" s="4"/>
      <c r="I831" s="2"/>
      <c r="J831" s="3"/>
      <c r="K831" s="3"/>
      <c r="L831" s="4"/>
    </row>
    <row r="832" spans="2:12" ht="12" customHeight="1" x14ac:dyDescent="0.15">
      <c r="B832" s="2"/>
      <c r="C832" s="3"/>
      <c r="D832" s="3"/>
      <c r="E832" s="4"/>
      <c r="I832" s="2"/>
      <c r="J832" s="3"/>
      <c r="K832" s="3"/>
      <c r="L832" s="4"/>
    </row>
    <row r="833" spans="2:12" ht="12" customHeight="1" x14ac:dyDescent="0.15">
      <c r="B833" s="2"/>
      <c r="C833" s="3"/>
      <c r="D833" s="3"/>
      <c r="E833" s="4"/>
      <c r="I833" s="2"/>
      <c r="J833" s="3"/>
      <c r="K833" s="3"/>
      <c r="L833" s="4"/>
    </row>
    <row r="834" spans="2:12" ht="12" customHeight="1" x14ac:dyDescent="0.15">
      <c r="B834" s="2"/>
      <c r="C834" s="3"/>
      <c r="D834" s="3"/>
      <c r="E834" s="4"/>
      <c r="I834" s="2"/>
      <c r="J834" s="3"/>
      <c r="K834" s="3"/>
      <c r="L834" s="4"/>
    </row>
    <row r="835" spans="2:12" ht="12" customHeight="1" x14ac:dyDescent="0.15">
      <c r="B835" s="2"/>
      <c r="C835" s="3"/>
      <c r="D835" s="3"/>
      <c r="E835" s="4"/>
      <c r="I835" s="2"/>
      <c r="J835" s="3"/>
      <c r="K835" s="3"/>
      <c r="L835" s="4"/>
    </row>
    <row r="836" spans="2:12" ht="12" customHeight="1" x14ac:dyDescent="0.15">
      <c r="B836" s="2"/>
      <c r="C836" s="3"/>
      <c r="D836" s="3"/>
      <c r="E836" s="4"/>
      <c r="I836" s="2"/>
      <c r="J836" s="3"/>
      <c r="K836" s="3"/>
      <c r="L836" s="4"/>
    </row>
    <row r="837" spans="2:12" ht="12" customHeight="1" x14ac:dyDescent="0.15">
      <c r="B837" s="2"/>
      <c r="C837" s="3"/>
      <c r="D837" s="3"/>
      <c r="E837" s="4"/>
      <c r="I837" s="2"/>
      <c r="J837" s="3"/>
      <c r="K837" s="3"/>
      <c r="L837" s="4"/>
    </row>
    <row r="838" spans="2:12" ht="12" customHeight="1" x14ac:dyDescent="0.15">
      <c r="B838" s="2"/>
      <c r="C838" s="3"/>
      <c r="D838" s="3"/>
      <c r="E838" s="4"/>
      <c r="I838" s="2"/>
      <c r="J838" s="3"/>
      <c r="K838" s="3"/>
      <c r="L838" s="4"/>
    </row>
    <row r="839" spans="2:12" ht="12" customHeight="1" x14ac:dyDescent="0.15">
      <c r="B839" s="2"/>
      <c r="C839" s="3"/>
      <c r="D839" s="3"/>
      <c r="E839" s="4"/>
      <c r="I839" s="2"/>
      <c r="J839" s="3"/>
      <c r="K839" s="3"/>
      <c r="L839" s="4"/>
    </row>
    <row r="840" spans="2:12" ht="12" customHeight="1" x14ac:dyDescent="0.15">
      <c r="B840" s="2"/>
      <c r="C840" s="3"/>
      <c r="D840" s="3"/>
      <c r="E840" s="4"/>
      <c r="I840" s="2"/>
      <c r="J840" s="3"/>
      <c r="K840" s="3"/>
      <c r="L840" s="4"/>
    </row>
    <row r="841" spans="2:12" ht="12" customHeight="1" x14ac:dyDescent="0.15">
      <c r="B841" s="2"/>
      <c r="C841" s="3"/>
      <c r="D841" s="3"/>
      <c r="E841" s="4"/>
      <c r="I841" s="2"/>
      <c r="J841" s="3"/>
      <c r="K841" s="3"/>
      <c r="L841" s="4"/>
    </row>
    <row r="842" spans="2:12" ht="12" customHeight="1" x14ac:dyDescent="0.15">
      <c r="B842" s="2"/>
      <c r="C842" s="3"/>
      <c r="D842" s="3"/>
      <c r="E842" s="4"/>
      <c r="I842" s="2"/>
      <c r="J842" s="3"/>
      <c r="K842" s="3"/>
      <c r="L842" s="4"/>
    </row>
    <row r="843" spans="2:12" ht="12" customHeight="1" x14ac:dyDescent="0.15">
      <c r="B843" s="2"/>
      <c r="C843" s="3"/>
      <c r="D843" s="3"/>
      <c r="E843" s="4"/>
      <c r="I843" s="2"/>
      <c r="J843" s="3"/>
      <c r="K843" s="3"/>
      <c r="L843" s="4"/>
    </row>
    <row r="844" spans="2:12" ht="12" customHeight="1" x14ac:dyDescent="0.15">
      <c r="B844" s="2"/>
      <c r="C844" s="3"/>
      <c r="D844" s="3"/>
      <c r="E844" s="4"/>
      <c r="I844" s="2"/>
      <c r="J844" s="3"/>
      <c r="K844" s="3"/>
      <c r="L844" s="4"/>
    </row>
    <row r="845" spans="2:12" ht="12" customHeight="1" x14ac:dyDescent="0.15">
      <c r="B845" s="2"/>
      <c r="C845" s="3"/>
      <c r="D845" s="3"/>
      <c r="E845" s="4"/>
      <c r="I845" s="2"/>
      <c r="J845" s="3"/>
      <c r="K845" s="3"/>
      <c r="L845" s="4"/>
    </row>
    <row r="846" spans="2:12" ht="12" customHeight="1" x14ac:dyDescent="0.15">
      <c r="B846" s="2"/>
      <c r="C846" s="3"/>
      <c r="D846" s="3"/>
      <c r="E846" s="4"/>
      <c r="I846" s="2"/>
      <c r="J846" s="3"/>
      <c r="K846" s="3"/>
      <c r="L846" s="4"/>
    </row>
    <row r="847" spans="2:12" ht="12" customHeight="1" x14ac:dyDescent="0.15">
      <c r="B847" s="2"/>
      <c r="C847" s="3"/>
      <c r="D847" s="3"/>
      <c r="E847" s="4"/>
      <c r="I847" s="2"/>
      <c r="J847" s="3"/>
      <c r="K847" s="3"/>
      <c r="L847" s="4"/>
    </row>
    <row r="848" spans="2:12" ht="12" customHeight="1" x14ac:dyDescent="0.15">
      <c r="B848" s="2"/>
      <c r="C848" s="3"/>
      <c r="D848" s="3"/>
      <c r="E848" s="4"/>
      <c r="I848" s="2"/>
      <c r="J848" s="3"/>
      <c r="K848" s="3"/>
      <c r="L848" s="4"/>
    </row>
    <row r="849" spans="2:12" ht="12" customHeight="1" x14ac:dyDescent="0.15">
      <c r="B849" s="2"/>
      <c r="C849" s="3"/>
      <c r="D849" s="3"/>
      <c r="E849" s="4"/>
      <c r="I849" s="2"/>
      <c r="J849" s="3"/>
      <c r="K849" s="3"/>
      <c r="L849" s="4"/>
    </row>
    <row r="850" spans="2:12" ht="12" customHeight="1" x14ac:dyDescent="0.15">
      <c r="B850" s="2"/>
      <c r="C850" s="3"/>
      <c r="D850" s="3"/>
      <c r="E850" s="4"/>
      <c r="I850" s="2"/>
      <c r="J850" s="3"/>
      <c r="K850" s="3"/>
      <c r="L850" s="4"/>
    </row>
    <row r="851" spans="2:12" ht="12" customHeight="1" x14ac:dyDescent="0.15">
      <c r="B851" s="2"/>
      <c r="C851" s="3"/>
      <c r="D851" s="3"/>
      <c r="E851" s="4"/>
      <c r="I851" s="2"/>
      <c r="J851" s="3"/>
      <c r="K851" s="3"/>
      <c r="L851" s="4"/>
    </row>
    <row r="852" spans="2:12" ht="12" customHeight="1" x14ac:dyDescent="0.15">
      <c r="B852" s="2"/>
      <c r="C852" s="3"/>
      <c r="D852" s="3"/>
      <c r="E852" s="4"/>
      <c r="I852" s="2"/>
      <c r="J852" s="3"/>
      <c r="K852" s="3"/>
      <c r="L852" s="4"/>
    </row>
    <row r="853" spans="2:12" ht="12" customHeight="1" x14ac:dyDescent="0.15">
      <c r="B853" s="2"/>
      <c r="C853" s="3"/>
      <c r="D853" s="3"/>
      <c r="E853" s="4"/>
      <c r="I853" s="2"/>
      <c r="J853" s="3"/>
      <c r="K853" s="3"/>
      <c r="L853" s="4"/>
    </row>
    <row r="854" spans="2:12" ht="12" customHeight="1" x14ac:dyDescent="0.15">
      <c r="B854" s="2"/>
      <c r="C854" s="3"/>
      <c r="D854" s="3"/>
      <c r="E854" s="4"/>
      <c r="I854" s="2"/>
      <c r="J854" s="3"/>
      <c r="K854" s="3"/>
      <c r="L854" s="4"/>
    </row>
    <row r="855" spans="2:12" ht="12" customHeight="1" x14ac:dyDescent="0.15">
      <c r="B855" s="2"/>
      <c r="C855" s="3"/>
      <c r="D855" s="3"/>
      <c r="E855" s="4"/>
      <c r="I855" s="2"/>
      <c r="J855" s="3"/>
      <c r="K855" s="3"/>
      <c r="L855" s="4"/>
    </row>
    <row r="856" spans="2:12" ht="12" customHeight="1" x14ac:dyDescent="0.15">
      <c r="B856" s="2"/>
      <c r="C856" s="3"/>
      <c r="D856" s="3"/>
      <c r="E856" s="4"/>
      <c r="I856" s="2"/>
      <c r="J856" s="3"/>
      <c r="K856" s="3"/>
      <c r="L856" s="4"/>
    </row>
    <row r="857" spans="2:12" ht="12" customHeight="1" x14ac:dyDescent="0.15">
      <c r="B857" s="2"/>
      <c r="C857" s="3"/>
      <c r="D857" s="3"/>
      <c r="E857" s="4"/>
      <c r="I857" s="2"/>
      <c r="J857" s="3"/>
      <c r="K857" s="3"/>
      <c r="L857" s="4"/>
    </row>
    <row r="858" spans="2:12" ht="12" customHeight="1" x14ac:dyDescent="0.15">
      <c r="B858" s="2"/>
      <c r="C858" s="3"/>
      <c r="D858" s="3"/>
      <c r="E858" s="4"/>
      <c r="I858" s="2"/>
      <c r="J858" s="3"/>
      <c r="K858" s="3"/>
      <c r="L858" s="4"/>
    </row>
    <row r="859" spans="2:12" ht="12" customHeight="1" x14ac:dyDescent="0.15">
      <c r="B859" s="2"/>
      <c r="C859" s="3"/>
      <c r="D859" s="3"/>
      <c r="E859" s="4"/>
      <c r="I859" s="2"/>
      <c r="J859" s="3"/>
      <c r="K859" s="3"/>
      <c r="L859" s="4"/>
    </row>
    <row r="860" spans="2:12" ht="12" customHeight="1" x14ac:dyDescent="0.15">
      <c r="B860" s="2"/>
      <c r="C860" s="3"/>
      <c r="D860" s="3"/>
      <c r="E860" s="4"/>
      <c r="I860" s="2"/>
      <c r="J860" s="3"/>
      <c r="K860" s="3"/>
      <c r="L860" s="4"/>
    </row>
    <row r="861" spans="2:12" ht="12" customHeight="1" x14ac:dyDescent="0.15">
      <c r="B861" s="2"/>
      <c r="C861" s="3"/>
      <c r="D861" s="3"/>
      <c r="E861" s="4"/>
      <c r="I861" s="2"/>
      <c r="J861" s="3"/>
      <c r="K861" s="3"/>
      <c r="L861" s="4"/>
    </row>
    <row r="862" spans="2:12" ht="12" customHeight="1" x14ac:dyDescent="0.15">
      <c r="B862" s="2"/>
      <c r="C862" s="3"/>
      <c r="D862" s="3"/>
      <c r="E862" s="4"/>
      <c r="I862" s="2"/>
      <c r="J862" s="3"/>
      <c r="K862" s="3"/>
      <c r="L862" s="4"/>
    </row>
    <row r="863" spans="2:12" ht="12" customHeight="1" x14ac:dyDescent="0.15">
      <c r="B863" s="2"/>
      <c r="C863" s="3"/>
      <c r="D863" s="3"/>
      <c r="E863" s="4"/>
      <c r="I863" s="2"/>
      <c r="J863" s="3"/>
      <c r="K863" s="3"/>
      <c r="L863" s="4"/>
    </row>
    <row r="864" spans="2:12" ht="12" customHeight="1" x14ac:dyDescent="0.15">
      <c r="B864" s="2"/>
      <c r="C864" s="3"/>
      <c r="D864" s="3"/>
      <c r="E864" s="4"/>
      <c r="I864" s="2"/>
      <c r="J864" s="3"/>
      <c r="K864" s="3"/>
      <c r="L864" s="4"/>
    </row>
    <row r="865" spans="2:12" ht="12" customHeight="1" x14ac:dyDescent="0.15">
      <c r="B865" s="2"/>
      <c r="C865" s="3"/>
      <c r="D865" s="3"/>
      <c r="E865" s="4"/>
      <c r="I865" s="2"/>
      <c r="J865" s="3"/>
      <c r="K865" s="3"/>
      <c r="L865" s="4"/>
    </row>
    <row r="866" spans="2:12" ht="12" customHeight="1" x14ac:dyDescent="0.15">
      <c r="B866" s="2"/>
      <c r="C866" s="3"/>
      <c r="D866" s="3"/>
      <c r="E866" s="4"/>
      <c r="I866" s="2"/>
      <c r="J866" s="3"/>
      <c r="K866" s="3"/>
      <c r="L866" s="4"/>
    </row>
    <row r="867" spans="2:12" ht="12" customHeight="1" x14ac:dyDescent="0.15">
      <c r="B867" s="2"/>
      <c r="C867" s="3"/>
      <c r="D867" s="3"/>
      <c r="E867" s="4"/>
      <c r="I867" s="2"/>
      <c r="J867" s="3"/>
      <c r="K867" s="3"/>
      <c r="L867" s="4"/>
    </row>
    <row r="868" spans="2:12" ht="12" customHeight="1" x14ac:dyDescent="0.15">
      <c r="B868" s="2"/>
      <c r="C868" s="3"/>
      <c r="D868" s="3"/>
      <c r="E868" s="4"/>
      <c r="I868" s="2"/>
      <c r="J868" s="3"/>
      <c r="K868" s="3"/>
      <c r="L868" s="4"/>
    </row>
    <row r="869" spans="2:12" ht="12" customHeight="1" x14ac:dyDescent="0.15">
      <c r="B869" s="2"/>
      <c r="C869" s="3"/>
      <c r="D869" s="3"/>
      <c r="E869" s="4"/>
      <c r="I869" s="2"/>
      <c r="J869" s="3"/>
      <c r="K869" s="3"/>
      <c r="L869" s="4"/>
    </row>
    <row r="870" spans="2:12" ht="12" customHeight="1" x14ac:dyDescent="0.15">
      <c r="B870" s="2"/>
      <c r="C870" s="3"/>
      <c r="D870" s="3"/>
      <c r="E870" s="4"/>
      <c r="I870" s="2"/>
      <c r="J870" s="3"/>
      <c r="K870" s="3"/>
      <c r="L870" s="4"/>
    </row>
    <row r="871" spans="2:12" ht="12" customHeight="1" x14ac:dyDescent="0.15">
      <c r="B871" s="2"/>
      <c r="C871" s="3"/>
      <c r="D871" s="3"/>
      <c r="E871" s="4"/>
      <c r="I871" s="2"/>
      <c r="J871" s="3"/>
      <c r="K871" s="3"/>
      <c r="L871" s="4"/>
    </row>
    <row r="872" spans="2:12" ht="12" customHeight="1" x14ac:dyDescent="0.15">
      <c r="B872" s="2"/>
      <c r="C872" s="3"/>
      <c r="D872" s="3"/>
      <c r="E872" s="4"/>
      <c r="I872" s="2"/>
      <c r="J872" s="3"/>
      <c r="K872" s="3"/>
      <c r="L872" s="4"/>
    </row>
    <row r="873" spans="2:12" ht="12" customHeight="1" x14ac:dyDescent="0.15">
      <c r="B873" s="2"/>
      <c r="C873" s="3"/>
      <c r="D873" s="3"/>
      <c r="E873" s="4"/>
      <c r="I873" s="2"/>
      <c r="J873" s="3"/>
      <c r="K873" s="3"/>
      <c r="L873" s="4"/>
    </row>
    <row r="874" spans="2:12" ht="12" customHeight="1" x14ac:dyDescent="0.15">
      <c r="B874" s="2"/>
      <c r="C874" s="3"/>
      <c r="D874" s="3"/>
      <c r="E874" s="4"/>
      <c r="I874" s="2"/>
      <c r="J874" s="3"/>
      <c r="K874" s="3"/>
      <c r="L874" s="4"/>
    </row>
    <row r="875" spans="2:12" ht="12" customHeight="1" x14ac:dyDescent="0.15">
      <c r="B875" s="2"/>
      <c r="C875" s="3"/>
      <c r="D875" s="3"/>
      <c r="E875" s="4"/>
      <c r="I875" s="2"/>
      <c r="J875" s="3"/>
      <c r="K875" s="3"/>
      <c r="L875" s="4"/>
    </row>
    <row r="876" spans="2:12" ht="12" customHeight="1" x14ac:dyDescent="0.15">
      <c r="B876" s="2"/>
      <c r="C876" s="3"/>
      <c r="D876" s="3"/>
      <c r="E876" s="4"/>
      <c r="I876" s="2"/>
      <c r="J876" s="3"/>
      <c r="K876" s="3"/>
      <c r="L876" s="4"/>
    </row>
    <row r="877" spans="2:12" ht="12" customHeight="1" x14ac:dyDescent="0.15">
      <c r="B877" s="2"/>
      <c r="C877" s="3"/>
      <c r="D877" s="3"/>
      <c r="E877" s="4"/>
      <c r="I877" s="2"/>
      <c r="J877" s="3"/>
      <c r="K877" s="3"/>
      <c r="L877" s="4"/>
    </row>
    <row r="878" spans="2:12" ht="12" customHeight="1" x14ac:dyDescent="0.15">
      <c r="B878" s="2"/>
      <c r="C878" s="3"/>
      <c r="D878" s="3"/>
      <c r="E878" s="4"/>
      <c r="I878" s="2"/>
      <c r="J878" s="3"/>
      <c r="K878" s="3"/>
      <c r="L878" s="4"/>
    </row>
    <row r="879" spans="2:12" ht="12" customHeight="1" x14ac:dyDescent="0.15">
      <c r="B879" s="2"/>
      <c r="C879" s="3"/>
      <c r="D879" s="3"/>
      <c r="E879" s="4"/>
      <c r="I879" s="2"/>
      <c r="J879" s="3"/>
      <c r="K879" s="3"/>
      <c r="L879" s="4"/>
    </row>
    <row r="880" spans="2:12" ht="12" customHeight="1" x14ac:dyDescent="0.15">
      <c r="B880" s="2"/>
      <c r="C880" s="3"/>
      <c r="D880" s="3"/>
      <c r="E880" s="4"/>
      <c r="I880" s="2"/>
      <c r="J880" s="3"/>
      <c r="K880" s="3"/>
      <c r="L880" s="4"/>
    </row>
    <row r="881" spans="2:12" ht="12" customHeight="1" x14ac:dyDescent="0.15">
      <c r="B881" s="2"/>
      <c r="C881" s="3"/>
      <c r="D881" s="3"/>
      <c r="E881" s="4"/>
      <c r="I881" s="2"/>
      <c r="J881" s="3"/>
      <c r="K881" s="3"/>
      <c r="L881" s="4"/>
    </row>
    <row r="882" spans="2:12" ht="12" customHeight="1" x14ac:dyDescent="0.15">
      <c r="B882" s="2"/>
      <c r="C882" s="3"/>
      <c r="D882" s="3"/>
      <c r="E882" s="4"/>
      <c r="I882" s="2"/>
      <c r="J882" s="3"/>
      <c r="K882" s="3"/>
      <c r="L882" s="4"/>
    </row>
    <row r="883" spans="2:12" ht="12" customHeight="1" x14ac:dyDescent="0.15">
      <c r="B883" s="2"/>
      <c r="C883" s="3"/>
      <c r="D883" s="3"/>
      <c r="E883" s="4"/>
      <c r="I883" s="2"/>
      <c r="J883" s="3"/>
      <c r="K883" s="3"/>
      <c r="L883" s="4"/>
    </row>
    <row r="884" spans="2:12" ht="12" customHeight="1" x14ac:dyDescent="0.15">
      <c r="B884" s="2"/>
      <c r="C884" s="3"/>
      <c r="D884" s="3"/>
      <c r="E884" s="4"/>
      <c r="I884" s="2"/>
      <c r="J884" s="3"/>
      <c r="K884" s="3"/>
      <c r="L884" s="4"/>
    </row>
    <row r="885" spans="2:12" ht="12" customHeight="1" x14ac:dyDescent="0.15">
      <c r="B885" s="2"/>
      <c r="C885" s="3"/>
      <c r="D885" s="3"/>
      <c r="E885" s="4"/>
      <c r="I885" s="2"/>
      <c r="J885" s="3"/>
      <c r="K885" s="3"/>
      <c r="L885" s="4"/>
    </row>
    <row r="886" spans="2:12" ht="12" customHeight="1" x14ac:dyDescent="0.15">
      <c r="B886" s="2"/>
      <c r="C886" s="3"/>
      <c r="D886" s="3"/>
      <c r="E886" s="4"/>
      <c r="I886" s="2"/>
      <c r="J886" s="3"/>
      <c r="K886" s="3"/>
      <c r="L886" s="4"/>
    </row>
    <row r="887" spans="2:12" ht="12" customHeight="1" x14ac:dyDescent="0.15">
      <c r="B887" s="2"/>
      <c r="C887" s="3"/>
      <c r="D887" s="3"/>
      <c r="E887" s="4"/>
      <c r="I887" s="2"/>
      <c r="J887" s="3"/>
      <c r="K887" s="3"/>
      <c r="L887" s="4"/>
    </row>
    <row r="888" spans="2:12" ht="12" customHeight="1" x14ac:dyDescent="0.15">
      <c r="B888" s="2"/>
      <c r="C888" s="3"/>
      <c r="D888" s="3"/>
      <c r="E888" s="4"/>
      <c r="I888" s="2"/>
      <c r="J888" s="3"/>
      <c r="K888" s="3"/>
      <c r="L888" s="4"/>
    </row>
    <row r="889" spans="2:12" ht="12" customHeight="1" x14ac:dyDescent="0.15">
      <c r="B889" s="2"/>
      <c r="C889" s="3"/>
      <c r="D889" s="3"/>
      <c r="E889" s="4"/>
      <c r="I889" s="2"/>
      <c r="J889" s="3"/>
      <c r="K889" s="3"/>
      <c r="L889" s="4"/>
    </row>
    <row r="890" spans="2:12" ht="12" customHeight="1" x14ac:dyDescent="0.15">
      <c r="B890" s="2"/>
      <c r="C890" s="3"/>
      <c r="D890" s="3"/>
      <c r="E890" s="4"/>
      <c r="I890" s="2"/>
      <c r="J890" s="3"/>
      <c r="K890" s="3"/>
      <c r="L890" s="4"/>
    </row>
    <row r="891" spans="2:12" ht="12" customHeight="1" x14ac:dyDescent="0.15">
      <c r="B891" s="2"/>
      <c r="C891" s="3"/>
      <c r="D891" s="3"/>
      <c r="E891" s="4"/>
      <c r="I891" s="2"/>
      <c r="J891" s="3"/>
      <c r="K891" s="3"/>
      <c r="L891" s="4"/>
    </row>
    <row r="892" spans="2:12" ht="12" customHeight="1" x14ac:dyDescent="0.15">
      <c r="B892" s="2"/>
      <c r="C892" s="3"/>
      <c r="D892" s="3"/>
      <c r="E892" s="4"/>
      <c r="I892" s="2"/>
      <c r="J892" s="3"/>
      <c r="K892" s="3"/>
      <c r="L892" s="4"/>
    </row>
    <row r="893" spans="2:12" ht="12" customHeight="1" x14ac:dyDescent="0.15">
      <c r="B893" s="2"/>
      <c r="C893" s="3"/>
      <c r="D893" s="3"/>
      <c r="E893" s="4"/>
      <c r="I893" s="2"/>
      <c r="J893" s="3"/>
      <c r="K893" s="3"/>
      <c r="L893" s="4"/>
    </row>
    <row r="894" spans="2:12" ht="12" customHeight="1" x14ac:dyDescent="0.15">
      <c r="B894" s="2"/>
      <c r="C894" s="3"/>
      <c r="D894" s="3"/>
      <c r="E894" s="4"/>
      <c r="I894" s="2"/>
      <c r="J894" s="3"/>
      <c r="K894" s="3"/>
      <c r="L894" s="4"/>
    </row>
    <row r="895" spans="2:12" ht="12" customHeight="1" x14ac:dyDescent="0.15">
      <c r="B895" s="2"/>
      <c r="C895" s="3"/>
      <c r="D895" s="3"/>
      <c r="E895" s="4"/>
      <c r="I895" s="2"/>
      <c r="J895" s="3"/>
      <c r="K895" s="3"/>
      <c r="L895" s="4"/>
    </row>
    <row r="896" spans="2:12" ht="12" customHeight="1" x14ac:dyDescent="0.15">
      <c r="B896" s="2"/>
      <c r="C896" s="3"/>
      <c r="D896" s="3"/>
      <c r="E896" s="4"/>
      <c r="I896" s="2"/>
      <c r="J896" s="3"/>
      <c r="K896" s="3"/>
      <c r="L896" s="4"/>
    </row>
    <row r="897" spans="2:12" ht="12" customHeight="1" x14ac:dyDescent="0.15">
      <c r="B897" s="2"/>
      <c r="C897" s="3"/>
      <c r="D897" s="3"/>
      <c r="E897" s="4"/>
      <c r="I897" s="2"/>
      <c r="J897" s="3"/>
      <c r="K897" s="3"/>
      <c r="L897" s="4"/>
    </row>
    <row r="898" spans="2:12" ht="12" customHeight="1" x14ac:dyDescent="0.15">
      <c r="B898" s="2"/>
      <c r="C898" s="3"/>
      <c r="D898" s="3"/>
      <c r="E898" s="4"/>
      <c r="I898" s="2"/>
      <c r="J898" s="3"/>
      <c r="K898" s="3"/>
      <c r="L898" s="4"/>
    </row>
    <row r="899" spans="2:12" ht="12" customHeight="1" x14ac:dyDescent="0.15">
      <c r="B899" s="2"/>
      <c r="C899" s="3"/>
      <c r="D899" s="3"/>
      <c r="E899" s="4"/>
      <c r="I899" s="2"/>
      <c r="J899" s="3"/>
      <c r="K899" s="3"/>
      <c r="L899" s="4"/>
    </row>
    <row r="900" spans="2:12" ht="12" customHeight="1" x14ac:dyDescent="0.15">
      <c r="B900" s="2"/>
      <c r="C900" s="3"/>
      <c r="D900" s="3"/>
      <c r="E900" s="4"/>
      <c r="I900" s="2"/>
      <c r="J900" s="3"/>
      <c r="K900" s="3"/>
      <c r="L900" s="4"/>
    </row>
    <row r="901" spans="2:12" ht="12" customHeight="1" x14ac:dyDescent="0.15">
      <c r="B901" s="2"/>
      <c r="C901" s="3"/>
      <c r="D901" s="3"/>
      <c r="E901" s="4"/>
      <c r="I901" s="2"/>
      <c r="J901" s="3"/>
      <c r="K901" s="3"/>
      <c r="L901" s="4"/>
    </row>
    <row r="902" spans="2:12" ht="12" customHeight="1" x14ac:dyDescent="0.15">
      <c r="B902" s="2"/>
      <c r="C902" s="3"/>
      <c r="D902" s="3"/>
      <c r="E902" s="4"/>
      <c r="I902" s="2"/>
      <c r="J902" s="3"/>
      <c r="K902" s="3"/>
      <c r="L902" s="4"/>
    </row>
    <row r="903" spans="2:12" ht="12" customHeight="1" x14ac:dyDescent="0.15">
      <c r="B903" s="2"/>
      <c r="C903" s="3"/>
      <c r="D903" s="3"/>
      <c r="E903" s="4"/>
      <c r="I903" s="2"/>
      <c r="J903" s="3"/>
      <c r="K903" s="3"/>
      <c r="L903" s="4"/>
    </row>
    <row r="904" spans="2:12" ht="12" customHeight="1" x14ac:dyDescent="0.15">
      <c r="B904" s="2"/>
      <c r="C904" s="3"/>
      <c r="D904" s="3"/>
      <c r="E904" s="4"/>
      <c r="I904" s="2"/>
      <c r="J904" s="3"/>
      <c r="K904" s="3"/>
      <c r="L904" s="4"/>
    </row>
    <row r="905" spans="2:12" ht="12" customHeight="1" x14ac:dyDescent="0.15">
      <c r="B905" s="2"/>
      <c r="C905" s="3"/>
      <c r="D905" s="3"/>
      <c r="E905" s="4"/>
      <c r="I905" s="2"/>
      <c r="J905" s="3"/>
      <c r="K905" s="3"/>
      <c r="L905" s="4"/>
    </row>
    <row r="906" spans="2:12" ht="12" customHeight="1" x14ac:dyDescent="0.15">
      <c r="B906" s="2"/>
      <c r="C906" s="3"/>
      <c r="D906" s="3"/>
      <c r="E906" s="4"/>
      <c r="I906" s="2"/>
      <c r="J906" s="3"/>
      <c r="K906" s="3"/>
      <c r="L906" s="4"/>
    </row>
    <row r="907" spans="2:12" ht="12" customHeight="1" x14ac:dyDescent="0.15">
      <c r="B907" s="2"/>
      <c r="C907" s="3"/>
      <c r="D907" s="3"/>
      <c r="E907" s="4"/>
      <c r="I907" s="2"/>
      <c r="J907" s="3"/>
      <c r="K907" s="3"/>
      <c r="L907" s="4"/>
    </row>
    <row r="908" spans="2:12" ht="12" customHeight="1" x14ac:dyDescent="0.15">
      <c r="B908" s="2"/>
      <c r="C908" s="3"/>
      <c r="D908" s="3"/>
      <c r="E908" s="4"/>
      <c r="I908" s="2"/>
      <c r="J908" s="3"/>
      <c r="K908" s="3"/>
      <c r="L908" s="4"/>
    </row>
    <row r="909" spans="2:12" ht="12" customHeight="1" x14ac:dyDescent="0.15">
      <c r="B909" s="2"/>
      <c r="C909" s="3"/>
      <c r="D909" s="3"/>
      <c r="E909" s="4"/>
      <c r="I909" s="2"/>
      <c r="J909" s="3"/>
      <c r="K909" s="3"/>
      <c r="L909" s="4"/>
    </row>
    <row r="910" spans="2:12" ht="12" customHeight="1" x14ac:dyDescent="0.15">
      <c r="B910" s="2"/>
      <c r="C910" s="3"/>
      <c r="D910" s="3"/>
      <c r="E910" s="4"/>
      <c r="I910" s="2"/>
      <c r="J910" s="3"/>
      <c r="K910" s="3"/>
      <c r="L910" s="4"/>
    </row>
    <row r="911" spans="2:12" ht="12" customHeight="1" x14ac:dyDescent="0.15">
      <c r="B911" s="2"/>
      <c r="C911" s="3"/>
      <c r="D911" s="3"/>
      <c r="E911" s="4"/>
      <c r="I911" s="2"/>
      <c r="J911" s="3"/>
      <c r="K911" s="3"/>
      <c r="L911" s="4"/>
    </row>
    <row r="912" spans="2:12" ht="12" customHeight="1" x14ac:dyDescent="0.15">
      <c r="B912" s="2"/>
      <c r="C912" s="3"/>
      <c r="D912" s="3"/>
      <c r="E912" s="4"/>
      <c r="I912" s="2"/>
      <c r="J912" s="3"/>
      <c r="K912" s="3"/>
      <c r="L912" s="4"/>
    </row>
    <row r="913" spans="2:12" ht="12" customHeight="1" x14ac:dyDescent="0.15">
      <c r="B913" s="2"/>
      <c r="C913" s="3"/>
      <c r="D913" s="3"/>
      <c r="E913" s="4"/>
      <c r="I913" s="2"/>
      <c r="J913" s="3"/>
      <c r="K913" s="3"/>
      <c r="L913" s="4"/>
    </row>
    <row r="914" spans="2:12" ht="12" customHeight="1" x14ac:dyDescent="0.15">
      <c r="B914" s="2"/>
      <c r="C914" s="3"/>
      <c r="D914" s="3"/>
      <c r="E914" s="4"/>
      <c r="I914" s="2"/>
      <c r="J914" s="3"/>
      <c r="K914" s="3"/>
      <c r="L914" s="4"/>
    </row>
    <row r="915" spans="2:12" ht="12" customHeight="1" x14ac:dyDescent="0.15">
      <c r="B915" s="2"/>
      <c r="C915" s="3"/>
      <c r="D915" s="3"/>
      <c r="E915" s="4"/>
      <c r="I915" s="2"/>
      <c r="J915" s="3"/>
      <c r="K915" s="3"/>
      <c r="L915" s="4"/>
    </row>
    <row r="916" spans="2:12" ht="12" customHeight="1" x14ac:dyDescent="0.15">
      <c r="B916" s="2"/>
      <c r="C916" s="3"/>
      <c r="D916" s="3"/>
      <c r="E916" s="4"/>
      <c r="I916" s="2"/>
      <c r="J916" s="3"/>
      <c r="K916" s="3"/>
      <c r="L916" s="4"/>
    </row>
    <row r="917" spans="2:12" ht="12" customHeight="1" x14ac:dyDescent="0.15">
      <c r="B917" s="2"/>
      <c r="C917" s="3"/>
      <c r="D917" s="3"/>
      <c r="E917" s="4"/>
      <c r="I917" s="2"/>
      <c r="J917" s="3"/>
      <c r="K917" s="3"/>
      <c r="L917" s="4"/>
    </row>
    <row r="918" spans="2:12" ht="12" customHeight="1" x14ac:dyDescent="0.15">
      <c r="B918" s="2"/>
      <c r="C918" s="3"/>
      <c r="D918" s="3"/>
      <c r="E918" s="4"/>
      <c r="I918" s="2"/>
      <c r="J918" s="3"/>
      <c r="K918" s="3"/>
      <c r="L918" s="4"/>
    </row>
    <row r="919" spans="2:12" ht="12" customHeight="1" x14ac:dyDescent="0.15">
      <c r="B919" s="2"/>
      <c r="C919" s="3"/>
      <c r="D919" s="3"/>
      <c r="E919" s="4"/>
      <c r="I919" s="2"/>
      <c r="J919" s="3"/>
      <c r="K919" s="3"/>
      <c r="L919" s="4"/>
    </row>
    <row r="920" spans="2:12" ht="12" customHeight="1" x14ac:dyDescent="0.15">
      <c r="B920" s="2"/>
      <c r="C920" s="3"/>
      <c r="D920" s="3"/>
      <c r="E920" s="4"/>
      <c r="I920" s="2"/>
      <c r="J920" s="3"/>
      <c r="K920" s="3"/>
      <c r="L920" s="4"/>
    </row>
    <row r="921" spans="2:12" ht="12" customHeight="1" x14ac:dyDescent="0.15">
      <c r="B921" s="2"/>
      <c r="C921" s="3"/>
      <c r="D921" s="3"/>
      <c r="E921" s="4"/>
      <c r="I921" s="2"/>
      <c r="J921" s="3"/>
      <c r="K921" s="3"/>
      <c r="L921" s="4"/>
    </row>
    <row r="922" spans="2:12" ht="12" customHeight="1" x14ac:dyDescent="0.15">
      <c r="B922" s="2"/>
      <c r="C922" s="3"/>
      <c r="D922" s="3"/>
      <c r="E922" s="4"/>
      <c r="I922" s="2"/>
      <c r="J922" s="3"/>
      <c r="K922" s="3"/>
      <c r="L922" s="4"/>
    </row>
    <row r="923" spans="2:12" ht="12" customHeight="1" x14ac:dyDescent="0.15">
      <c r="B923" s="2"/>
      <c r="C923" s="3"/>
      <c r="D923" s="3"/>
      <c r="E923" s="4"/>
      <c r="I923" s="2"/>
      <c r="J923" s="3"/>
      <c r="K923" s="3"/>
      <c r="L923" s="4"/>
    </row>
    <row r="924" spans="2:12" ht="12" customHeight="1" x14ac:dyDescent="0.15">
      <c r="B924" s="2"/>
      <c r="C924" s="3"/>
      <c r="D924" s="3"/>
      <c r="E924" s="4"/>
      <c r="I924" s="2"/>
      <c r="J924" s="3"/>
      <c r="K924" s="3"/>
      <c r="L924" s="4"/>
    </row>
    <row r="925" spans="2:12" ht="12" customHeight="1" x14ac:dyDescent="0.15">
      <c r="B925" s="2"/>
      <c r="C925" s="3"/>
      <c r="D925" s="3"/>
      <c r="E925" s="4"/>
      <c r="I925" s="2"/>
      <c r="J925" s="3"/>
      <c r="K925" s="3"/>
      <c r="L925" s="4"/>
    </row>
    <row r="926" spans="2:12" ht="12" customHeight="1" x14ac:dyDescent="0.15">
      <c r="B926" s="2"/>
      <c r="C926" s="3"/>
      <c r="D926" s="3"/>
      <c r="E926" s="4"/>
      <c r="I926" s="2"/>
      <c r="J926" s="3"/>
      <c r="K926" s="3"/>
      <c r="L926" s="4"/>
    </row>
    <row r="927" spans="2:12" ht="12" customHeight="1" x14ac:dyDescent="0.15">
      <c r="B927" s="2"/>
      <c r="C927" s="3"/>
      <c r="D927" s="3"/>
      <c r="E927" s="4"/>
      <c r="I927" s="2"/>
      <c r="J927" s="3"/>
      <c r="K927" s="3"/>
      <c r="L927" s="4"/>
    </row>
    <row r="928" spans="2:12" ht="12" customHeight="1" x14ac:dyDescent="0.15">
      <c r="B928" s="2"/>
      <c r="C928" s="3"/>
      <c r="D928" s="3"/>
      <c r="E928" s="4"/>
      <c r="I928" s="2"/>
      <c r="J928" s="3"/>
      <c r="K928" s="3"/>
      <c r="L928" s="4"/>
    </row>
    <row r="929" spans="2:12" ht="12" customHeight="1" x14ac:dyDescent="0.15">
      <c r="B929" s="2"/>
      <c r="C929" s="3"/>
      <c r="D929" s="3"/>
      <c r="E929" s="4"/>
      <c r="I929" s="2"/>
      <c r="J929" s="3"/>
      <c r="K929" s="3"/>
      <c r="L929" s="4"/>
    </row>
    <row r="930" spans="2:12" ht="12" customHeight="1" x14ac:dyDescent="0.15">
      <c r="B930" s="2"/>
      <c r="C930" s="3"/>
      <c r="D930" s="3"/>
      <c r="E930" s="4"/>
      <c r="I930" s="2"/>
      <c r="J930" s="3"/>
      <c r="K930" s="3"/>
      <c r="L930" s="4"/>
    </row>
    <row r="931" spans="2:12" ht="12" customHeight="1" x14ac:dyDescent="0.15">
      <c r="B931" s="2"/>
      <c r="C931" s="3"/>
      <c r="D931" s="3"/>
      <c r="E931" s="4"/>
      <c r="I931" s="2"/>
      <c r="J931" s="3"/>
      <c r="K931" s="3"/>
      <c r="L931" s="4"/>
    </row>
    <row r="932" spans="2:12" ht="12" customHeight="1" x14ac:dyDescent="0.15">
      <c r="B932" s="2"/>
      <c r="C932" s="3"/>
      <c r="D932" s="3"/>
      <c r="E932" s="4"/>
      <c r="I932" s="2"/>
      <c r="J932" s="3"/>
      <c r="K932" s="3"/>
      <c r="L932" s="4"/>
    </row>
    <row r="933" spans="2:12" ht="12" customHeight="1" x14ac:dyDescent="0.15">
      <c r="B933" s="2"/>
      <c r="C933" s="3"/>
      <c r="D933" s="3"/>
      <c r="E933" s="4"/>
      <c r="I933" s="2"/>
      <c r="J933" s="3"/>
      <c r="K933" s="3"/>
      <c r="L933" s="4"/>
    </row>
    <row r="934" spans="2:12" ht="12" customHeight="1" x14ac:dyDescent="0.15">
      <c r="B934" s="2"/>
      <c r="C934" s="3"/>
      <c r="D934" s="3"/>
      <c r="E934" s="4"/>
      <c r="I934" s="2"/>
      <c r="J934" s="3"/>
      <c r="K934" s="3"/>
      <c r="L934" s="4"/>
    </row>
    <row r="935" spans="2:12" ht="12" customHeight="1" x14ac:dyDescent="0.15">
      <c r="B935" s="2"/>
      <c r="C935" s="3"/>
      <c r="D935" s="3"/>
      <c r="E935" s="4"/>
      <c r="I935" s="2"/>
      <c r="J935" s="3"/>
      <c r="K935" s="3"/>
      <c r="L935" s="4"/>
    </row>
    <row r="936" spans="2:12" ht="12" customHeight="1" x14ac:dyDescent="0.15">
      <c r="B936" s="2"/>
      <c r="C936" s="3"/>
      <c r="D936" s="3"/>
      <c r="E936" s="4"/>
      <c r="I936" s="2"/>
      <c r="J936" s="3"/>
      <c r="K936" s="3"/>
      <c r="L936" s="4"/>
    </row>
    <row r="937" spans="2:12" ht="12" customHeight="1" x14ac:dyDescent="0.15">
      <c r="B937" s="2"/>
      <c r="C937" s="3"/>
      <c r="D937" s="3"/>
      <c r="E937" s="4"/>
      <c r="I937" s="2"/>
      <c r="J937" s="3"/>
      <c r="K937" s="3"/>
      <c r="L937" s="4"/>
    </row>
    <row r="938" spans="2:12" ht="12" customHeight="1" x14ac:dyDescent="0.15">
      <c r="B938" s="2"/>
      <c r="C938" s="3"/>
      <c r="D938" s="3"/>
      <c r="E938" s="4"/>
      <c r="I938" s="2"/>
      <c r="J938" s="3"/>
      <c r="K938" s="3"/>
      <c r="L938" s="4"/>
    </row>
    <row r="939" spans="2:12" ht="12" customHeight="1" x14ac:dyDescent="0.15">
      <c r="B939" s="2"/>
      <c r="C939" s="3"/>
      <c r="D939" s="3"/>
      <c r="E939" s="4"/>
      <c r="I939" s="2"/>
      <c r="J939" s="3"/>
      <c r="K939" s="3"/>
      <c r="L939" s="4"/>
    </row>
    <row r="940" spans="2:12" ht="12" customHeight="1" x14ac:dyDescent="0.15">
      <c r="B940" s="2"/>
      <c r="C940" s="3"/>
      <c r="D940" s="3"/>
      <c r="E940" s="4"/>
      <c r="I940" s="2"/>
      <c r="J940" s="3"/>
      <c r="K940" s="3"/>
      <c r="L940" s="4"/>
    </row>
    <row r="941" spans="2:12" ht="12" customHeight="1" x14ac:dyDescent="0.15">
      <c r="B941" s="2"/>
      <c r="C941" s="3"/>
      <c r="D941" s="3"/>
      <c r="E941" s="4"/>
      <c r="I941" s="2"/>
      <c r="J941" s="3"/>
      <c r="K941" s="3"/>
      <c r="L941" s="4"/>
    </row>
    <row r="942" spans="2:12" ht="12" customHeight="1" x14ac:dyDescent="0.15">
      <c r="B942" s="2"/>
      <c r="C942" s="3"/>
      <c r="D942" s="3"/>
      <c r="E942" s="4"/>
      <c r="I942" s="2"/>
      <c r="J942" s="3"/>
      <c r="K942" s="3"/>
      <c r="L942" s="4"/>
    </row>
    <row r="943" spans="2:12" ht="12" customHeight="1" x14ac:dyDescent="0.15">
      <c r="B943" s="2"/>
      <c r="C943" s="3"/>
      <c r="D943" s="3"/>
      <c r="E943" s="4"/>
      <c r="I943" s="2"/>
      <c r="J943" s="3"/>
      <c r="K943" s="3"/>
      <c r="L943" s="4"/>
    </row>
    <row r="944" spans="2:12" ht="12" customHeight="1" x14ac:dyDescent="0.15">
      <c r="B944" s="2"/>
      <c r="C944" s="3"/>
      <c r="D944" s="3"/>
      <c r="E944" s="4"/>
      <c r="I944" s="2"/>
      <c r="J944" s="3"/>
      <c r="K944" s="3"/>
      <c r="L944" s="4"/>
    </row>
    <row r="945" spans="2:12" ht="12" customHeight="1" x14ac:dyDescent="0.15">
      <c r="B945" s="2"/>
      <c r="C945" s="3"/>
      <c r="D945" s="3"/>
      <c r="E945" s="4"/>
      <c r="I945" s="2"/>
      <c r="J945" s="3"/>
      <c r="K945" s="3"/>
      <c r="L945" s="4"/>
    </row>
    <row r="946" spans="2:12" ht="12" customHeight="1" x14ac:dyDescent="0.15">
      <c r="B946" s="2"/>
      <c r="C946" s="3"/>
      <c r="D946" s="3"/>
      <c r="E946" s="4"/>
      <c r="I946" s="2"/>
      <c r="J946" s="3"/>
      <c r="K946" s="3"/>
      <c r="L946" s="4"/>
    </row>
    <row r="947" spans="2:12" ht="12" customHeight="1" x14ac:dyDescent="0.15">
      <c r="B947" s="2"/>
      <c r="C947" s="3"/>
      <c r="D947" s="3"/>
      <c r="E947" s="4"/>
      <c r="I947" s="2"/>
      <c r="J947" s="3"/>
      <c r="K947" s="3"/>
      <c r="L947" s="4"/>
    </row>
    <row r="948" spans="2:12" ht="12" customHeight="1" x14ac:dyDescent="0.15">
      <c r="B948" s="2"/>
      <c r="C948" s="3"/>
      <c r="D948" s="3"/>
      <c r="E948" s="4"/>
      <c r="I948" s="2"/>
      <c r="J948" s="3"/>
      <c r="K948" s="3"/>
      <c r="L948" s="4"/>
    </row>
    <row r="949" spans="2:12" ht="12" customHeight="1" x14ac:dyDescent="0.15">
      <c r="B949" s="2"/>
      <c r="C949" s="3"/>
      <c r="D949" s="3"/>
      <c r="E949" s="4"/>
      <c r="I949" s="2"/>
      <c r="J949" s="3"/>
      <c r="K949" s="3"/>
      <c r="L949" s="4"/>
    </row>
    <row r="950" spans="2:12" ht="12" customHeight="1" x14ac:dyDescent="0.15">
      <c r="B950" s="2"/>
      <c r="C950" s="3"/>
      <c r="D950" s="3"/>
      <c r="E950" s="4"/>
      <c r="I950" s="2"/>
      <c r="J950" s="3"/>
      <c r="K950" s="3"/>
      <c r="L950" s="4"/>
    </row>
    <row r="951" spans="2:12" ht="12" customHeight="1" x14ac:dyDescent="0.15">
      <c r="B951" s="2"/>
      <c r="C951" s="3"/>
      <c r="D951" s="3"/>
      <c r="E951" s="4"/>
      <c r="I951" s="2"/>
      <c r="J951" s="3"/>
      <c r="K951" s="3"/>
      <c r="L951" s="4"/>
    </row>
    <row r="952" spans="2:12" ht="12" customHeight="1" x14ac:dyDescent="0.15">
      <c r="B952" s="2"/>
      <c r="C952" s="3"/>
      <c r="D952" s="3"/>
      <c r="E952" s="4"/>
      <c r="I952" s="2"/>
      <c r="J952" s="3"/>
      <c r="K952" s="3"/>
      <c r="L952" s="4"/>
    </row>
    <row r="953" spans="2:12" ht="12" customHeight="1" x14ac:dyDescent="0.15">
      <c r="B953" s="2"/>
      <c r="C953" s="3"/>
      <c r="D953" s="3"/>
      <c r="E953" s="4"/>
      <c r="I953" s="2"/>
      <c r="J953" s="3"/>
      <c r="K953" s="3"/>
      <c r="L953" s="4"/>
    </row>
    <row r="954" spans="2:12" ht="12" customHeight="1" x14ac:dyDescent="0.15">
      <c r="B954" s="2"/>
      <c r="C954" s="3"/>
      <c r="D954" s="3"/>
      <c r="E954" s="4"/>
      <c r="I954" s="2"/>
      <c r="J954" s="3"/>
      <c r="K954" s="3"/>
      <c r="L954" s="4"/>
    </row>
    <row r="955" spans="2:12" ht="12" customHeight="1" x14ac:dyDescent="0.15">
      <c r="B955" s="2"/>
      <c r="C955" s="3"/>
      <c r="D955" s="3"/>
      <c r="E955" s="4"/>
      <c r="I955" s="2"/>
      <c r="J955" s="3"/>
      <c r="K955" s="3"/>
      <c r="L955" s="4"/>
    </row>
    <row r="956" spans="2:12" ht="12" customHeight="1" x14ac:dyDescent="0.15">
      <c r="B956" s="2"/>
      <c r="C956" s="3"/>
      <c r="D956" s="3"/>
      <c r="E956" s="4"/>
      <c r="I956" s="2"/>
      <c r="J956" s="3"/>
      <c r="K956" s="3"/>
      <c r="L956" s="4"/>
    </row>
    <row r="957" spans="2:12" ht="12" customHeight="1" x14ac:dyDescent="0.15">
      <c r="B957" s="2"/>
      <c r="C957" s="3"/>
      <c r="D957" s="3"/>
      <c r="E957" s="4"/>
      <c r="I957" s="2"/>
      <c r="J957" s="3"/>
      <c r="K957" s="3"/>
      <c r="L957" s="4"/>
    </row>
    <row r="958" spans="2:12" ht="12" customHeight="1" x14ac:dyDescent="0.15">
      <c r="B958" s="2"/>
      <c r="C958" s="3"/>
      <c r="D958" s="3"/>
      <c r="E958" s="4"/>
      <c r="I958" s="2"/>
      <c r="J958" s="3"/>
      <c r="K958" s="3"/>
      <c r="L958" s="4"/>
    </row>
    <row r="959" spans="2:12" ht="12" customHeight="1" x14ac:dyDescent="0.15">
      <c r="B959" s="2"/>
      <c r="C959" s="3"/>
      <c r="D959" s="3"/>
      <c r="E959" s="4"/>
      <c r="I959" s="2"/>
      <c r="J959" s="3"/>
      <c r="K959" s="3"/>
      <c r="L959" s="4"/>
    </row>
    <row r="960" spans="2:12" ht="12" customHeight="1" x14ac:dyDescent="0.15">
      <c r="B960" s="2"/>
      <c r="C960" s="3"/>
      <c r="D960" s="3"/>
      <c r="E960" s="4"/>
      <c r="I960" s="2"/>
      <c r="J960" s="3"/>
      <c r="K960" s="3"/>
      <c r="L960" s="4"/>
    </row>
    <row r="961" spans="2:12" ht="12" customHeight="1" x14ac:dyDescent="0.15">
      <c r="B961" s="2"/>
      <c r="C961" s="3"/>
      <c r="D961" s="3"/>
      <c r="E961" s="4"/>
      <c r="I961" s="2"/>
      <c r="J961" s="3"/>
      <c r="K961" s="3"/>
      <c r="L961" s="4"/>
    </row>
    <row r="962" spans="2:12" ht="12" customHeight="1" x14ac:dyDescent="0.15">
      <c r="B962" s="2"/>
      <c r="C962" s="3"/>
      <c r="D962" s="3"/>
      <c r="E962" s="4"/>
      <c r="I962" s="2"/>
      <c r="J962" s="3"/>
      <c r="K962" s="3"/>
      <c r="L962" s="4"/>
    </row>
    <row r="963" spans="2:12" ht="12" customHeight="1" x14ac:dyDescent="0.15">
      <c r="B963" s="2"/>
      <c r="C963" s="3"/>
      <c r="D963" s="3"/>
      <c r="E963" s="4"/>
      <c r="I963" s="2"/>
      <c r="J963" s="3"/>
      <c r="K963" s="3"/>
      <c r="L963" s="4"/>
    </row>
    <row r="964" spans="2:12" ht="12" customHeight="1" x14ac:dyDescent="0.15">
      <c r="B964" s="2"/>
      <c r="C964" s="3"/>
      <c r="D964" s="3"/>
      <c r="E964" s="4"/>
      <c r="I964" s="2"/>
      <c r="J964" s="3"/>
      <c r="K964" s="3"/>
      <c r="L964" s="4"/>
    </row>
    <row r="965" spans="2:12" ht="12" customHeight="1" x14ac:dyDescent="0.15">
      <c r="B965" s="2"/>
      <c r="C965" s="3"/>
      <c r="D965" s="3"/>
      <c r="E965" s="4"/>
      <c r="I965" s="2"/>
      <c r="J965" s="3"/>
      <c r="K965" s="3"/>
      <c r="L965" s="4"/>
    </row>
    <row r="966" spans="2:12" ht="12" customHeight="1" x14ac:dyDescent="0.15">
      <c r="B966" s="2"/>
      <c r="C966" s="3"/>
      <c r="D966" s="3"/>
      <c r="E966" s="4"/>
      <c r="I966" s="2"/>
      <c r="J966" s="3"/>
      <c r="K966" s="3"/>
      <c r="L966" s="4"/>
    </row>
    <row r="967" spans="2:12" ht="12" customHeight="1" x14ac:dyDescent="0.15">
      <c r="B967" s="2"/>
      <c r="C967" s="3"/>
      <c r="D967" s="3"/>
      <c r="E967" s="4"/>
      <c r="I967" s="2"/>
      <c r="J967" s="3"/>
      <c r="K967" s="3"/>
      <c r="L967" s="4"/>
    </row>
    <row r="968" spans="2:12" ht="12" customHeight="1" x14ac:dyDescent="0.15">
      <c r="B968" s="2"/>
      <c r="C968" s="3"/>
      <c r="D968" s="3"/>
      <c r="E968" s="4"/>
      <c r="I968" s="2"/>
      <c r="J968" s="3"/>
      <c r="K968" s="3"/>
      <c r="L968" s="4"/>
    </row>
    <row r="969" spans="2:12" ht="12" customHeight="1" x14ac:dyDescent="0.15">
      <c r="B969" s="2"/>
      <c r="C969" s="3"/>
      <c r="D969" s="3"/>
      <c r="E969" s="4"/>
      <c r="I969" s="2"/>
      <c r="J969" s="3"/>
      <c r="K969" s="3"/>
      <c r="L969" s="4"/>
    </row>
    <row r="970" spans="2:12" ht="12" customHeight="1" x14ac:dyDescent="0.15">
      <c r="B970" s="2"/>
      <c r="C970" s="3"/>
      <c r="D970" s="3"/>
      <c r="E970" s="4"/>
      <c r="I970" s="2"/>
      <c r="J970" s="3"/>
      <c r="K970" s="3"/>
      <c r="L970" s="4"/>
    </row>
    <row r="971" spans="2:12" ht="12" customHeight="1" x14ac:dyDescent="0.15">
      <c r="B971" s="2"/>
      <c r="C971" s="3"/>
      <c r="D971" s="3"/>
      <c r="E971" s="4"/>
      <c r="I971" s="2"/>
      <c r="J971" s="3"/>
      <c r="K971" s="3"/>
      <c r="L971" s="4"/>
    </row>
    <row r="972" spans="2:12" ht="12" customHeight="1" x14ac:dyDescent="0.15">
      <c r="B972" s="2"/>
      <c r="C972" s="3"/>
      <c r="D972" s="3"/>
      <c r="E972" s="4"/>
      <c r="I972" s="2"/>
      <c r="J972" s="3"/>
      <c r="K972" s="3"/>
      <c r="L972" s="4"/>
    </row>
    <row r="973" spans="2:12" ht="12" customHeight="1" x14ac:dyDescent="0.15">
      <c r="B973" s="2"/>
      <c r="C973" s="3"/>
      <c r="D973" s="3"/>
      <c r="E973" s="4"/>
      <c r="I973" s="2"/>
      <c r="J973" s="3"/>
      <c r="K973" s="3"/>
      <c r="L973" s="4"/>
    </row>
    <row r="974" spans="2:12" ht="12" customHeight="1" x14ac:dyDescent="0.15">
      <c r="B974" s="2"/>
      <c r="C974" s="3"/>
      <c r="D974" s="3"/>
      <c r="E974" s="4"/>
      <c r="I974" s="2"/>
      <c r="J974" s="3"/>
      <c r="K974" s="3"/>
      <c r="L974" s="4"/>
    </row>
    <row r="975" spans="2:12" ht="12" customHeight="1" x14ac:dyDescent="0.15">
      <c r="B975" s="2"/>
      <c r="C975" s="3"/>
      <c r="D975" s="3"/>
      <c r="E975" s="4"/>
      <c r="I975" s="2"/>
      <c r="J975" s="3"/>
      <c r="K975" s="3"/>
      <c r="L975" s="4"/>
    </row>
    <row r="976" spans="2:12" ht="12" customHeight="1" x14ac:dyDescent="0.15">
      <c r="B976" s="2"/>
      <c r="C976" s="3"/>
      <c r="D976" s="3"/>
      <c r="E976" s="4"/>
      <c r="I976" s="2"/>
      <c r="J976" s="3"/>
      <c r="K976" s="3"/>
      <c r="L976" s="4"/>
    </row>
    <row r="977" spans="2:12" ht="12" customHeight="1" x14ac:dyDescent="0.15">
      <c r="B977" s="2"/>
      <c r="C977" s="3"/>
      <c r="D977" s="3"/>
      <c r="E977" s="4"/>
      <c r="I977" s="2"/>
      <c r="J977" s="3"/>
      <c r="K977" s="3"/>
      <c r="L977" s="4"/>
    </row>
    <row r="978" spans="2:12" ht="12" customHeight="1" x14ac:dyDescent="0.15">
      <c r="B978" s="2"/>
      <c r="C978" s="3"/>
      <c r="D978" s="3"/>
      <c r="E978" s="4"/>
      <c r="I978" s="2"/>
      <c r="J978" s="3"/>
      <c r="K978" s="3"/>
      <c r="L978" s="4"/>
    </row>
    <row r="979" spans="2:12" ht="12" customHeight="1" x14ac:dyDescent="0.15">
      <c r="B979" s="2"/>
      <c r="C979" s="3"/>
      <c r="D979" s="3"/>
      <c r="E979" s="4"/>
      <c r="I979" s="2"/>
      <c r="J979" s="3"/>
      <c r="K979" s="3"/>
      <c r="L979" s="4"/>
    </row>
    <row r="980" spans="2:12" ht="12" customHeight="1" x14ac:dyDescent="0.15">
      <c r="B980" s="2"/>
      <c r="C980" s="3"/>
      <c r="D980" s="3"/>
      <c r="E980" s="4"/>
      <c r="I980" s="2"/>
      <c r="J980" s="3"/>
      <c r="K980" s="3"/>
      <c r="L980" s="4"/>
    </row>
    <row r="981" spans="2:12" ht="12" customHeight="1" x14ac:dyDescent="0.15">
      <c r="B981" s="2"/>
      <c r="C981" s="3"/>
      <c r="D981" s="3"/>
      <c r="E981" s="4"/>
      <c r="I981" s="2"/>
      <c r="J981" s="3"/>
      <c r="K981" s="3"/>
      <c r="L981" s="4"/>
    </row>
    <row r="982" spans="2:12" ht="12" customHeight="1" x14ac:dyDescent="0.15">
      <c r="B982" s="2"/>
      <c r="C982" s="3"/>
      <c r="D982" s="3"/>
      <c r="E982" s="4"/>
      <c r="I982" s="2"/>
      <c r="J982" s="3"/>
      <c r="K982" s="3"/>
      <c r="L982" s="4"/>
    </row>
    <row r="983" spans="2:12" ht="12" customHeight="1" x14ac:dyDescent="0.15">
      <c r="B983" s="2"/>
      <c r="C983" s="3"/>
      <c r="D983" s="3"/>
      <c r="E983" s="4"/>
      <c r="I983" s="2"/>
      <c r="J983" s="3"/>
      <c r="K983" s="3"/>
      <c r="L983" s="4"/>
    </row>
    <row r="984" spans="2:12" ht="12" customHeight="1" x14ac:dyDescent="0.15">
      <c r="B984" s="2"/>
      <c r="C984" s="3"/>
      <c r="D984" s="3"/>
      <c r="E984" s="4"/>
      <c r="I984" s="2"/>
      <c r="J984" s="3"/>
      <c r="K984" s="3"/>
      <c r="L984" s="4"/>
    </row>
    <row r="985" spans="2:12" ht="12" customHeight="1" x14ac:dyDescent="0.15">
      <c r="B985" s="2"/>
      <c r="C985" s="3"/>
      <c r="D985" s="3"/>
      <c r="E985" s="4"/>
      <c r="I985" s="2"/>
      <c r="J985" s="3"/>
      <c r="K985" s="3"/>
      <c r="L985" s="4"/>
    </row>
    <row r="986" spans="2:12" ht="12" customHeight="1" x14ac:dyDescent="0.15">
      <c r="B986" s="2"/>
      <c r="C986" s="3"/>
      <c r="D986" s="3"/>
      <c r="E986" s="4"/>
      <c r="I986" s="2"/>
      <c r="J986" s="3"/>
      <c r="K986" s="3"/>
      <c r="L986" s="4"/>
    </row>
    <row r="987" spans="2:12" ht="12" customHeight="1" x14ac:dyDescent="0.15">
      <c r="B987" s="2"/>
      <c r="C987" s="3"/>
      <c r="D987" s="3"/>
      <c r="E987" s="4"/>
      <c r="I987" s="2"/>
      <c r="J987" s="3"/>
      <c r="K987" s="3"/>
      <c r="L987" s="4"/>
    </row>
    <row r="988" spans="2:12" ht="12" customHeight="1" x14ac:dyDescent="0.15">
      <c r="B988" s="2"/>
      <c r="C988" s="3"/>
      <c r="D988" s="3"/>
      <c r="E988" s="4"/>
      <c r="I988" s="2"/>
      <c r="J988" s="3"/>
      <c r="K988" s="3"/>
      <c r="L988" s="4"/>
    </row>
    <row r="989" spans="2:12" ht="12" customHeight="1" x14ac:dyDescent="0.15">
      <c r="B989" s="2"/>
      <c r="C989" s="3"/>
      <c r="D989" s="3"/>
      <c r="E989" s="4"/>
      <c r="I989" s="2"/>
      <c r="J989" s="3"/>
      <c r="K989" s="3"/>
      <c r="L989" s="4"/>
    </row>
    <row r="990" spans="2:12" ht="12" customHeight="1" x14ac:dyDescent="0.15">
      <c r="B990" s="2"/>
      <c r="C990" s="3"/>
      <c r="D990" s="3"/>
      <c r="E990" s="4"/>
      <c r="I990" s="2"/>
      <c r="J990" s="3"/>
      <c r="K990" s="3"/>
      <c r="L990" s="4"/>
    </row>
    <row r="991" spans="2:12" ht="12" customHeight="1" x14ac:dyDescent="0.15">
      <c r="B991" s="2"/>
      <c r="C991" s="3"/>
      <c r="D991" s="3"/>
      <c r="E991" s="4"/>
      <c r="I991" s="2"/>
      <c r="J991" s="3"/>
      <c r="K991" s="3"/>
      <c r="L991" s="4"/>
    </row>
    <row r="992" spans="2:12" ht="12" customHeight="1" x14ac:dyDescent="0.15">
      <c r="B992" s="2"/>
      <c r="C992" s="3"/>
      <c r="D992" s="3"/>
      <c r="E992" s="4"/>
      <c r="I992" s="2"/>
      <c r="J992" s="3"/>
      <c r="K992" s="3"/>
      <c r="L992" s="4"/>
    </row>
    <row r="993" spans="2:12" ht="12" customHeight="1" x14ac:dyDescent="0.15">
      <c r="B993" s="2"/>
      <c r="C993" s="3"/>
      <c r="D993" s="3"/>
      <c r="E993" s="4"/>
      <c r="I993" s="2"/>
      <c r="J993" s="3"/>
      <c r="K993" s="3"/>
      <c r="L993" s="4"/>
    </row>
    <row r="994" spans="2:12" ht="12" customHeight="1" x14ac:dyDescent="0.15">
      <c r="B994" s="2"/>
      <c r="C994" s="3"/>
      <c r="D994" s="3"/>
      <c r="E994" s="4"/>
      <c r="I994" s="2"/>
      <c r="J994" s="3"/>
      <c r="K994" s="3"/>
      <c r="L994" s="4"/>
    </row>
    <row r="995" spans="2:12" ht="12" customHeight="1" x14ac:dyDescent="0.15">
      <c r="B995" s="2"/>
      <c r="C995" s="3"/>
      <c r="D995" s="3"/>
      <c r="E995" s="4"/>
      <c r="I995" s="2"/>
      <c r="J995" s="3"/>
      <c r="K995" s="3"/>
      <c r="L995" s="4"/>
    </row>
    <row r="996" spans="2:12" ht="12" customHeight="1" x14ac:dyDescent="0.15">
      <c r="B996" s="2"/>
      <c r="C996" s="3"/>
      <c r="D996" s="3"/>
      <c r="E996" s="4"/>
      <c r="I996" s="2"/>
      <c r="J996" s="3"/>
      <c r="K996" s="3"/>
      <c r="L996" s="4"/>
    </row>
    <row r="997" spans="2:12" ht="12" customHeight="1" x14ac:dyDescent="0.15">
      <c r="B997" s="2"/>
      <c r="C997" s="3"/>
      <c r="D997" s="3"/>
      <c r="E997" s="4"/>
      <c r="I997" s="2"/>
      <c r="J997" s="3"/>
      <c r="K997" s="3"/>
      <c r="L997" s="4"/>
    </row>
    <row r="998" spans="2:12" ht="12" customHeight="1" x14ac:dyDescent="0.15">
      <c r="B998" s="2"/>
      <c r="C998" s="3"/>
      <c r="D998" s="3"/>
      <c r="E998" s="4"/>
      <c r="I998" s="2"/>
      <c r="J998" s="3"/>
      <c r="K998" s="3"/>
      <c r="L998" s="4"/>
    </row>
    <row r="999" spans="2:12" ht="12" customHeight="1" x14ac:dyDescent="0.15">
      <c r="B999" s="2"/>
      <c r="C999" s="3"/>
      <c r="D999" s="3"/>
      <c r="E999" s="4"/>
      <c r="I999" s="2"/>
      <c r="J999" s="3"/>
      <c r="K999" s="3"/>
      <c r="L999" s="4"/>
    </row>
    <row r="1000" spans="2:12" ht="12" customHeight="1" x14ac:dyDescent="0.15">
      <c r="B1000" s="2"/>
      <c r="C1000" s="3"/>
      <c r="D1000" s="3"/>
      <c r="E1000" s="4"/>
      <c r="I1000" s="2"/>
      <c r="J1000" s="3"/>
      <c r="K1000" s="3"/>
      <c r="L1000" s="4"/>
    </row>
    <row r="1001" spans="2:12" ht="12" customHeight="1" x14ac:dyDescent="0.15">
      <c r="B1001" s="2"/>
      <c r="C1001" s="3"/>
      <c r="D1001" s="3"/>
      <c r="E1001" s="4"/>
      <c r="I1001" s="2"/>
      <c r="J1001" s="3"/>
      <c r="K1001" s="3"/>
      <c r="L1001" s="4"/>
    </row>
    <row r="1002" spans="2:12" ht="12" customHeight="1" x14ac:dyDescent="0.15">
      <c r="B1002" s="2"/>
      <c r="C1002" s="3"/>
      <c r="D1002" s="3"/>
      <c r="E1002" s="4"/>
      <c r="I1002" s="2"/>
      <c r="J1002" s="3"/>
      <c r="K1002" s="3"/>
      <c r="L1002" s="4"/>
    </row>
    <row r="1003" spans="2:12" ht="12" customHeight="1" x14ac:dyDescent="0.15">
      <c r="B1003" s="2"/>
      <c r="C1003" s="3"/>
      <c r="D1003" s="3"/>
      <c r="E1003" s="4"/>
      <c r="I1003" s="2"/>
      <c r="J1003" s="3"/>
      <c r="K1003" s="3"/>
      <c r="L1003" s="4"/>
    </row>
    <row r="1004" spans="2:12" ht="12" customHeight="1" x14ac:dyDescent="0.15">
      <c r="B1004" s="2"/>
      <c r="C1004" s="3"/>
      <c r="D1004" s="3"/>
      <c r="E1004" s="4"/>
      <c r="I1004" s="2"/>
      <c r="J1004" s="3"/>
      <c r="K1004" s="3"/>
      <c r="L1004" s="4"/>
    </row>
    <row r="1005" spans="2:12" ht="12" customHeight="1" x14ac:dyDescent="0.15">
      <c r="B1005" s="2"/>
      <c r="C1005" s="3"/>
      <c r="D1005" s="3"/>
      <c r="E1005" s="4"/>
      <c r="I1005" s="2"/>
      <c r="J1005" s="3"/>
      <c r="K1005" s="3"/>
      <c r="L1005" s="4"/>
    </row>
    <row r="1006" spans="2:12" ht="12" customHeight="1" x14ac:dyDescent="0.15">
      <c r="B1006" s="2"/>
      <c r="C1006" s="3"/>
      <c r="D1006" s="3"/>
      <c r="E1006" s="4"/>
      <c r="I1006" s="2"/>
      <c r="J1006" s="3"/>
      <c r="K1006" s="3"/>
      <c r="L1006" s="4"/>
    </row>
    <row r="1007" spans="2:12" ht="12" customHeight="1" x14ac:dyDescent="0.15">
      <c r="B1007" s="2"/>
      <c r="C1007" s="3"/>
      <c r="D1007" s="3"/>
      <c r="E1007" s="4"/>
      <c r="I1007" s="2"/>
      <c r="J1007" s="3"/>
      <c r="K1007" s="3"/>
      <c r="L1007" s="4"/>
    </row>
    <row r="1008" spans="2:12" ht="12" customHeight="1" x14ac:dyDescent="0.15">
      <c r="B1008" s="2"/>
      <c r="C1008" s="3"/>
      <c r="D1008" s="3"/>
      <c r="E1008" s="4"/>
      <c r="I1008" s="2"/>
      <c r="J1008" s="3"/>
      <c r="K1008" s="3"/>
      <c r="L1008" s="4"/>
    </row>
    <row r="1009" spans="2:12" ht="12" customHeight="1" x14ac:dyDescent="0.15">
      <c r="B1009" s="2"/>
      <c r="C1009" s="3"/>
      <c r="D1009" s="3"/>
      <c r="E1009" s="4"/>
      <c r="I1009" s="2"/>
      <c r="J1009" s="3"/>
      <c r="K1009" s="3"/>
      <c r="L1009" s="4"/>
    </row>
    <row r="1010" spans="2:12" ht="12" customHeight="1" x14ac:dyDescent="0.15">
      <c r="B1010" s="2"/>
      <c r="C1010" s="3"/>
      <c r="D1010" s="3"/>
      <c r="E1010" s="4"/>
      <c r="I1010" s="2"/>
      <c r="J1010" s="3"/>
      <c r="K1010" s="3"/>
      <c r="L1010" s="4"/>
    </row>
    <row r="1011" spans="2:12" ht="12" customHeight="1" x14ac:dyDescent="0.15">
      <c r="B1011" s="2"/>
      <c r="C1011" s="3"/>
      <c r="D1011" s="3"/>
      <c r="E1011" s="4"/>
      <c r="I1011" s="2"/>
      <c r="J1011" s="3"/>
      <c r="K1011" s="3"/>
      <c r="L1011" s="4"/>
    </row>
    <row r="1012" spans="2:12" ht="12" customHeight="1" x14ac:dyDescent="0.15">
      <c r="B1012" s="2"/>
      <c r="C1012" s="3"/>
      <c r="D1012" s="3"/>
      <c r="E1012" s="4"/>
      <c r="I1012" s="2"/>
      <c r="J1012" s="3"/>
      <c r="K1012" s="3"/>
      <c r="L1012" s="4"/>
    </row>
    <row r="1013" spans="2:12" ht="12" customHeight="1" x14ac:dyDescent="0.15">
      <c r="B1013" s="2"/>
      <c r="C1013" s="3"/>
      <c r="D1013" s="3"/>
      <c r="E1013" s="4"/>
      <c r="I1013" s="2"/>
      <c r="J1013" s="3"/>
      <c r="K1013" s="3"/>
      <c r="L1013" s="4"/>
    </row>
    <row r="1014" spans="2:12" ht="12" customHeight="1" x14ac:dyDescent="0.15">
      <c r="B1014" s="2"/>
      <c r="C1014" s="3"/>
      <c r="D1014" s="3"/>
      <c r="E1014" s="4"/>
      <c r="I1014" s="2"/>
      <c r="J1014" s="3"/>
      <c r="K1014" s="3"/>
      <c r="L1014" s="4"/>
    </row>
    <row r="1015" spans="2:12" ht="12" customHeight="1" x14ac:dyDescent="0.15">
      <c r="B1015" s="2"/>
      <c r="C1015" s="3"/>
      <c r="D1015" s="3"/>
      <c r="E1015" s="4"/>
      <c r="I1015" s="2"/>
      <c r="J1015" s="3"/>
      <c r="K1015" s="3"/>
      <c r="L1015" s="4"/>
    </row>
  </sheetData>
  <autoFilter ref="B9:F204" xr:uid="{00000000-0009-0000-0000-000001000000}"/>
  <mergeCells count="2">
    <mergeCell ref="A1:E1"/>
    <mergeCell ref="H1:L1"/>
  </mergeCells>
  <pageMargins left="0.78749999999999998" right="0.78749999999999998" top="1.05277777777778" bottom="1.05277777777778" header="0" footer="0"/>
  <pageSetup paperSize="5" fitToHeight="0" orientation="portrait" r:id="rId1"/>
  <headerFooter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10"/>
  <sheetViews>
    <sheetView workbookViewId="0">
      <selection activeCell="B31" sqref="B31"/>
    </sheetView>
  </sheetViews>
  <sheetFormatPr baseColWidth="10" defaultColWidth="12.6640625" defaultRowHeight="15" customHeight="1" x14ac:dyDescent="0.15"/>
  <cols>
    <col min="1" max="1" width="4.5" customWidth="1"/>
    <col min="2" max="2" width="69" customWidth="1"/>
    <col min="3" max="3" width="14.33203125" customWidth="1"/>
    <col min="4" max="4" width="15.5" customWidth="1"/>
    <col min="5" max="5" width="4.5" customWidth="1"/>
    <col min="6" max="6" width="12.6640625" customWidth="1"/>
  </cols>
  <sheetData>
    <row r="1" spans="1:26" ht="54" customHeight="1" x14ac:dyDescent="0.15">
      <c r="A1" s="434"/>
      <c r="B1" s="435"/>
      <c r="C1" s="435"/>
      <c r="D1" s="435"/>
    </row>
    <row r="2" spans="1:26" ht="12" customHeight="1" x14ac:dyDescent="0.15">
      <c r="B2" s="2"/>
      <c r="C2" s="3"/>
      <c r="D2" s="4"/>
    </row>
    <row r="3" spans="1:26" ht="18.75" customHeight="1" x14ac:dyDescent="0.2">
      <c r="A3" s="5" t="s">
        <v>0</v>
      </c>
      <c r="C3" s="3"/>
      <c r="D3" s="4"/>
    </row>
    <row r="4" spans="1:26" ht="12" customHeight="1" x14ac:dyDescent="0.15">
      <c r="A4" s="2" t="s">
        <v>1</v>
      </c>
      <c r="C4" s="3"/>
      <c r="D4" s="4"/>
    </row>
    <row r="5" spans="1:26" ht="12" customHeight="1" x14ac:dyDescent="0.15">
      <c r="B5" s="2"/>
      <c r="C5" s="3"/>
      <c r="D5" s="4"/>
    </row>
    <row r="6" spans="1:26" ht="12" customHeight="1" x14ac:dyDescent="0.15">
      <c r="B6" s="6"/>
      <c r="C6" s="3"/>
      <c r="D6" s="4"/>
      <c r="E6" s="7" t="s">
        <v>2</v>
      </c>
    </row>
    <row r="7" spans="1:26" ht="17.25" customHeight="1" x14ac:dyDescent="0.15">
      <c r="A7" s="8"/>
      <c r="B7" s="125" t="s">
        <v>201</v>
      </c>
      <c r="C7" s="126"/>
      <c r="D7" s="12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" customHeight="1" x14ac:dyDescent="0.15">
      <c r="B8" s="2"/>
      <c r="C8" s="3"/>
      <c r="D8" s="4"/>
    </row>
    <row r="9" spans="1:26" ht="15" customHeight="1" x14ac:dyDescent="0.15">
      <c r="B9" s="12" t="s">
        <v>202</v>
      </c>
      <c r="C9" s="128" t="s">
        <v>5</v>
      </c>
      <c r="D9" s="129" t="s">
        <v>203</v>
      </c>
    </row>
    <row r="10" spans="1:26" ht="15" customHeight="1" x14ac:dyDescent="0.15">
      <c r="B10" s="18" t="s">
        <v>204</v>
      </c>
      <c r="C10" s="16">
        <v>45296</v>
      </c>
      <c r="D10" s="130">
        <v>1500</v>
      </c>
    </row>
    <row r="11" spans="1:26" ht="15" customHeight="1" x14ac:dyDescent="0.15">
      <c r="B11" s="18" t="s">
        <v>21</v>
      </c>
      <c r="C11" s="19">
        <v>45303</v>
      </c>
      <c r="D11" s="49">
        <v>3600</v>
      </c>
    </row>
    <row r="12" spans="1:26" ht="15" customHeight="1" x14ac:dyDescent="0.15">
      <c r="B12" s="18" t="s">
        <v>66</v>
      </c>
      <c r="C12" s="19">
        <v>45359</v>
      </c>
      <c r="D12" s="49">
        <v>3600</v>
      </c>
    </row>
    <row r="13" spans="1:26" ht="15" customHeight="1" x14ac:dyDescent="0.15">
      <c r="B13" s="18" t="s">
        <v>77</v>
      </c>
      <c r="C13" s="19">
        <v>45367</v>
      </c>
      <c r="D13" s="49">
        <v>3600</v>
      </c>
    </row>
    <row r="14" spans="1:26" ht="15" customHeight="1" x14ac:dyDescent="0.15">
      <c r="B14" s="18" t="s">
        <v>205</v>
      </c>
      <c r="C14" s="19">
        <v>45385</v>
      </c>
      <c r="D14" s="49">
        <v>3600</v>
      </c>
    </row>
    <row r="15" spans="1:26" ht="15" customHeight="1" x14ac:dyDescent="0.15">
      <c r="B15" s="18" t="s">
        <v>206</v>
      </c>
      <c r="C15" s="19">
        <v>45387</v>
      </c>
      <c r="D15" s="49">
        <v>1000</v>
      </c>
    </row>
    <row r="16" spans="1:26" ht="15" customHeight="1" x14ac:dyDescent="0.15">
      <c r="B16" s="18" t="s">
        <v>207</v>
      </c>
      <c r="C16" s="19">
        <v>45394</v>
      </c>
      <c r="D16" s="49">
        <v>1000</v>
      </c>
    </row>
    <row r="17" spans="2:4" ht="15" customHeight="1" x14ac:dyDescent="0.15">
      <c r="B17" s="18" t="s">
        <v>208</v>
      </c>
      <c r="C17" s="19">
        <v>45397</v>
      </c>
      <c r="D17" s="49">
        <v>1000</v>
      </c>
    </row>
    <row r="18" spans="2:4" ht="15" customHeight="1" x14ac:dyDescent="0.15">
      <c r="B18" s="18" t="s">
        <v>209</v>
      </c>
      <c r="C18" s="19">
        <v>45407</v>
      </c>
      <c r="D18" s="49">
        <v>1000</v>
      </c>
    </row>
    <row r="19" spans="2:4" ht="15" customHeight="1" x14ac:dyDescent="0.15">
      <c r="B19" s="18" t="s">
        <v>210</v>
      </c>
      <c r="C19" s="19">
        <v>45412</v>
      </c>
      <c r="D19" s="49">
        <v>1000</v>
      </c>
    </row>
    <row r="20" spans="2:4" ht="15" customHeight="1" x14ac:dyDescent="0.15">
      <c r="B20" s="18" t="s">
        <v>211</v>
      </c>
      <c r="C20" s="19">
        <v>45413</v>
      </c>
      <c r="D20" s="49">
        <v>1000</v>
      </c>
    </row>
    <row r="21" spans="2:4" ht="15" customHeight="1" x14ac:dyDescent="0.15">
      <c r="B21" s="18" t="s">
        <v>212</v>
      </c>
      <c r="C21" s="19">
        <v>45418</v>
      </c>
      <c r="D21" s="49">
        <v>3600</v>
      </c>
    </row>
    <row r="22" spans="2:4" ht="15" customHeight="1" x14ac:dyDescent="0.15">
      <c r="B22" s="18" t="s">
        <v>213</v>
      </c>
      <c r="C22" s="19">
        <v>45437</v>
      </c>
      <c r="D22" s="49">
        <v>1000</v>
      </c>
    </row>
    <row r="23" spans="2:4" ht="15" customHeight="1" x14ac:dyDescent="0.15">
      <c r="B23" s="18" t="s">
        <v>214</v>
      </c>
      <c r="C23" s="19">
        <v>45455</v>
      </c>
      <c r="D23" s="49">
        <v>3600</v>
      </c>
    </row>
    <row r="24" spans="2:4" ht="15" customHeight="1" x14ac:dyDescent="0.15">
      <c r="B24" s="18" t="s">
        <v>215</v>
      </c>
      <c r="C24" s="19">
        <v>45504</v>
      </c>
      <c r="D24" s="49">
        <v>3600</v>
      </c>
    </row>
    <row r="25" spans="2:4" ht="15" customHeight="1" x14ac:dyDescent="0.15">
      <c r="B25" s="18" t="s">
        <v>216</v>
      </c>
      <c r="C25" s="19">
        <v>45510</v>
      </c>
      <c r="D25" s="49">
        <v>2000</v>
      </c>
    </row>
    <row r="26" spans="2:4" ht="15" customHeight="1" x14ac:dyDescent="0.15">
      <c r="B26" s="18" t="s">
        <v>217</v>
      </c>
      <c r="C26" s="19">
        <v>45531</v>
      </c>
      <c r="D26" s="49">
        <v>3600</v>
      </c>
    </row>
    <row r="27" spans="2:4" ht="15" customHeight="1" x14ac:dyDescent="0.15">
      <c r="B27" s="18" t="s">
        <v>218</v>
      </c>
      <c r="C27" s="19">
        <v>45533</v>
      </c>
      <c r="D27" s="49">
        <v>2000</v>
      </c>
    </row>
    <row r="28" spans="2:4" ht="15" customHeight="1" x14ac:dyDescent="0.15">
      <c r="B28" s="18" t="s">
        <v>219</v>
      </c>
      <c r="C28" s="19">
        <v>45589</v>
      </c>
      <c r="D28" s="49">
        <v>2000</v>
      </c>
    </row>
    <row r="29" spans="2:4" ht="15" customHeight="1" x14ac:dyDescent="0.15">
      <c r="B29" s="18" t="s">
        <v>220</v>
      </c>
      <c r="C29" s="19">
        <v>45593</v>
      </c>
      <c r="D29" s="49">
        <v>7200</v>
      </c>
    </row>
    <row r="30" spans="2:4" ht="15" customHeight="1" x14ac:dyDescent="0.15">
      <c r="B30" s="18" t="s">
        <v>221</v>
      </c>
      <c r="C30" s="19">
        <v>45595</v>
      </c>
      <c r="D30" s="49">
        <v>2000</v>
      </c>
    </row>
    <row r="31" spans="2:4" ht="15" customHeight="1" x14ac:dyDescent="0.15">
      <c r="B31" s="64" t="s">
        <v>171</v>
      </c>
      <c r="C31" s="19">
        <v>45597</v>
      </c>
      <c r="D31" s="49">
        <v>3000</v>
      </c>
    </row>
    <row r="32" spans="2:4" ht="15" customHeight="1" x14ac:dyDescent="0.15">
      <c r="B32" s="18" t="s">
        <v>222</v>
      </c>
      <c r="C32" s="19">
        <v>45600</v>
      </c>
      <c r="D32" s="49">
        <v>2000</v>
      </c>
    </row>
    <row r="33" spans="2:4" ht="15" customHeight="1" x14ac:dyDescent="0.15">
      <c r="B33" s="18" t="s">
        <v>223</v>
      </c>
      <c r="C33" s="19">
        <v>45608</v>
      </c>
      <c r="D33" s="49">
        <v>2000</v>
      </c>
    </row>
    <row r="34" spans="2:4" ht="15" customHeight="1" x14ac:dyDescent="0.15">
      <c r="B34" s="18" t="s">
        <v>224</v>
      </c>
      <c r="C34" s="19">
        <v>45612</v>
      </c>
      <c r="D34" s="49">
        <v>1000</v>
      </c>
    </row>
    <row r="35" spans="2:4" ht="15" customHeight="1" x14ac:dyDescent="0.15">
      <c r="B35" s="64" t="s">
        <v>173</v>
      </c>
      <c r="C35" s="19">
        <v>45615</v>
      </c>
      <c r="D35" s="49">
        <v>3000</v>
      </c>
    </row>
    <row r="36" spans="2:4" ht="15" customHeight="1" x14ac:dyDescent="0.15">
      <c r="B36" s="18" t="s">
        <v>488</v>
      </c>
      <c r="C36" s="414">
        <v>45626</v>
      </c>
      <c r="D36" s="415">
        <v>3600</v>
      </c>
    </row>
    <row r="37" spans="2:4" ht="15" customHeight="1" x14ac:dyDescent="0.15">
      <c r="B37" s="131" t="s">
        <v>225</v>
      </c>
      <c r="C37" s="128"/>
      <c r="D37" s="132">
        <f>SUM(D10:D36)</f>
        <v>67100</v>
      </c>
    </row>
    <row r="38" spans="2:4" ht="15" customHeight="1" x14ac:dyDescent="0.15">
      <c r="B38" s="65"/>
      <c r="C38" s="3"/>
      <c r="D38" s="4"/>
    </row>
    <row r="39" spans="2:4" ht="15" customHeight="1" x14ac:dyDescent="0.15">
      <c r="B39" s="12" t="s">
        <v>226</v>
      </c>
      <c r="C39" s="128" t="s">
        <v>5</v>
      </c>
      <c r="D39" s="129" t="s">
        <v>203</v>
      </c>
    </row>
    <row r="40" spans="2:4" ht="15" customHeight="1" x14ac:dyDescent="0.15">
      <c r="B40" s="133" t="s">
        <v>227</v>
      </c>
      <c r="C40" s="16">
        <v>45296</v>
      </c>
      <c r="D40" s="130">
        <v>523.82000000000005</v>
      </c>
    </row>
    <row r="41" spans="2:4" ht="15" customHeight="1" x14ac:dyDescent="0.15">
      <c r="B41" s="15" t="s">
        <v>228</v>
      </c>
      <c r="C41" s="19">
        <v>45331</v>
      </c>
      <c r="D41" s="49">
        <v>710.7</v>
      </c>
    </row>
    <row r="42" spans="2:4" ht="15" customHeight="1" x14ac:dyDescent="0.15">
      <c r="B42" s="18" t="s">
        <v>229</v>
      </c>
      <c r="C42" s="19">
        <v>45359</v>
      </c>
      <c r="D42" s="49">
        <v>912.52</v>
      </c>
    </row>
    <row r="43" spans="2:4" ht="15" customHeight="1" x14ac:dyDescent="0.15">
      <c r="B43" s="18" t="s">
        <v>230</v>
      </c>
      <c r="C43" s="19">
        <v>45385</v>
      </c>
      <c r="D43" s="49">
        <v>1428.3</v>
      </c>
    </row>
    <row r="44" spans="2:4" ht="15" customHeight="1" x14ac:dyDescent="0.15">
      <c r="B44" s="18" t="s">
        <v>231</v>
      </c>
      <c r="C44" s="19">
        <v>45418</v>
      </c>
      <c r="D44" s="49">
        <v>949.9</v>
      </c>
    </row>
    <row r="45" spans="2:4" ht="15" customHeight="1" x14ac:dyDescent="0.15">
      <c r="B45" s="18" t="s">
        <v>232</v>
      </c>
      <c r="C45" s="21">
        <v>45455</v>
      </c>
      <c r="D45" s="49">
        <v>748.07</v>
      </c>
    </row>
    <row r="46" spans="2:4" ht="15" customHeight="1" x14ac:dyDescent="0.15">
      <c r="B46" s="18" t="s">
        <v>233</v>
      </c>
      <c r="C46" s="19">
        <v>45504</v>
      </c>
      <c r="D46" s="49">
        <v>643.41999999999996</v>
      </c>
    </row>
    <row r="47" spans="2:4" ht="15" customHeight="1" x14ac:dyDescent="0.15">
      <c r="B47" s="18" t="s">
        <v>234</v>
      </c>
      <c r="C47" s="19">
        <v>45531</v>
      </c>
      <c r="D47" s="49">
        <v>800.4</v>
      </c>
    </row>
    <row r="48" spans="2:4" ht="15" customHeight="1" x14ac:dyDescent="0.15">
      <c r="B48" s="18" t="s">
        <v>235</v>
      </c>
      <c r="C48" s="19">
        <v>45552</v>
      </c>
      <c r="D48" s="49">
        <v>837.77</v>
      </c>
    </row>
    <row r="49" spans="2:4" ht="15" customHeight="1" x14ac:dyDescent="0.15">
      <c r="B49" s="18" t="s">
        <v>236</v>
      </c>
      <c r="C49" s="19">
        <v>45593</v>
      </c>
      <c r="D49" s="49">
        <v>643.41999999999996</v>
      </c>
    </row>
    <row r="50" spans="2:4" ht="15" customHeight="1" x14ac:dyDescent="0.15">
      <c r="B50" s="18" t="s">
        <v>237</v>
      </c>
      <c r="C50" s="19">
        <v>45623</v>
      </c>
      <c r="D50" s="49">
        <v>591.1</v>
      </c>
    </row>
    <row r="51" spans="2:4" ht="15" customHeight="1" x14ac:dyDescent="0.15">
      <c r="B51" s="413" t="s">
        <v>490</v>
      </c>
      <c r="C51" s="414">
        <v>45638</v>
      </c>
      <c r="D51" s="415">
        <v>897.57</v>
      </c>
    </row>
    <row r="52" spans="2:4" ht="15" customHeight="1" x14ac:dyDescent="0.15">
      <c r="B52" s="131" t="s">
        <v>225</v>
      </c>
      <c r="C52" s="128"/>
      <c r="D52" s="132">
        <f>SUM(D40:D51)</f>
        <v>9686.99</v>
      </c>
    </row>
    <row r="53" spans="2:4" ht="15" customHeight="1" x14ac:dyDescent="0.15">
      <c r="B53" s="65"/>
      <c r="C53" s="3"/>
      <c r="D53" s="4"/>
    </row>
    <row r="54" spans="2:4" ht="15" customHeight="1" x14ac:dyDescent="0.15">
      <c r="B54" s="12" t="s">
        <v>238</v>
      </c>
      <c r="C54" s="128" t="s">
        <v>5</v>
      </c>
      <c r="D54" s="129" t="s">
        <v>203</v>
      </c>
    </row>
    <row r="55" spans="2:4" ht="15" customHeight="1" x14ac:dyDescent="0.15">
      <c r="B55" s="15" t="s">
        <v>24</v>
      </c>
      <c r="C55" s="19">
        <v>45296</v>
      </c>
      <c r="D55" s="49">
        <v>2.25</v>
      </c>
    </row>
    <row r="56" spans="2:4" ht="15" customHeight="1" x14ac:dyDescent="0.15">
      <c r="B56" s="15" t="s">
        <v>24</v>
      </c>
      <c r="C56" s="19">
        <v>45302</v>
      </c>
      <c r="D56" s="49">
        <v>3.21</v>
      </c>
    </row>
    <row r="57" spans="2:4" ht="15" customHeight="1" x14ac:dyDescent="0.15">
      <c r="B57" s="15" t="s">
        <v>24</v>
      </c>
      <c r="C57" s="19">
        <v>45310</v>
      </c>
      <c r="D57" s="49">
        <v>9.81</v>
      </c>
    </row>
    <row r="58" spans="2:4" ht="15" customHeight="1" x14ac:dyDescent="0.15">
      <c r="B58" s="64" t="s">
        <v>32</v>
      </c>
      <c r="C58" s="19">
        <v>45322</v>
      </c>
      <c r="D58" s="134">
        <v>-60.02</v>
      </c>
    </row>
    <row r="59" spans="2:4" ht="15" customHeight="1" x14ac:dyDescent="0.15">
      <c r="B59" s="64" t="s">
        <v>34</v>
      </c>
      <c r="C59" s="19">
        <v>45322</v>
      </c>
      <c r="D59" s="134">
        <v>6</v>
      </c>
    </row>
    <row r="60" spans="2:4" ht="15" customHeight="1" x14ac:dyDescent="0.15">
      <c r="B60" s="64" t="s">
        <v>24</v>
      </c>
      <c r="C60" s="19">
        <v>45343</v>
      </c>
      <c r="D60" s="134">
        <v>190.42</v>
      </c>
    </row>
    <row r="61" spans="2:4" ht="15" customHeight="1" x14ac:dyDescent="0.15">
      <c r="B61" s="64" t="s">
        <v>24</v>
      </c>
      <c r="C61" s="19">
        <v>45343</v>
      </c>
      <c r="D61" s="134">
        <v>123.88</v>
      </c>
    </row>
    <row r="62" spans="2:4" ht="15" customHeight="1" x14ac:dyDescent="0.15">
      <c r="B62" s="64" t="s">
        <v>32</v>
      </c>
      <c r="C62" s="19">
        <v>45351</v>
      </c>
      <c r="D62" s="134">
        <v>-63.95</v>
      </c>
    </row>
    <row r="63" spans="2:4" ht="15" customHeight="1" x14ac:dyDescent="0.15">
      <c r="B63" s="64" t="s">
        <v>34</v>
      </c>
      <c r="C63" s="19">
        <v>45351</v>
      </c>
      <c r="D63" s="134">
        <v>6.4</v>
      </c>
    </row>
    <row r="64" spans="2:4" ht="15" customHeight="1" x14ac:dyDescent="0.15">
      <c r="B64" s="64" t="s">
        <v>24</v>
      </c>
      <c r="C64" s="19">
        <v>45359</v>
      </c>
      <c r="D64" s="134">
        <v>5.4</v>
      </c>
    </row>
    <row r="65" spans="2:4" ht="15" customHeight="1" x14ac:dyDescent="0.15">
      <c r="B65" s="64" t="s">
        <v>24</v>
      </c>
      <c r="C65" s="19">
        <v>45363</v>
      </c>
      <c r="D65" s="134">
        <v>19.89</v>
      </c>
    </row>
    <row r="66" spans="2:4" ht="15" customHeight="1" x14ac:dyDescent="0.15">
      <c r="B66" s="64" t="s">
        <v>24</v>
      </c>
      <c r="C66" s="19">
        <v>45367</v>
      </c>
      <c r="D66" s="134">
        <v>63.47</v>
      </c>
    </row>
    <row r="67" spans="2:4" ht="15" customHeight="1" x14ac:dyDescent="0.15">
      <c r="B67" s="64" t="s">
        <v>24</v>
      </c>
      <c r="C67" s="19">
        <v>45367</v>
      </c>
      <c r="D67" s="134">
        <v>41.29</v>
      </c>
    </row>
    <row r="68" spans="2:4" ht="15" customHeight="1" x14ac:dyDescent="0.15">
      <c r="B68" s="64" t="s">
        <v>24</v>
      </c>
      <c r="C68" s="19">
        <v>45367</v>
      </c>
      <c r="D68" s="134">
        <v>5.4</v>
      </c>
    </row>
    <row r="69" spans="2:4" ht="15" customHeight="1" x14ac:dyDescent="0.15">
      <c r="B69" s="64" t="s">
        <v>24</v>
      </c>
      <c r="C69" s="19">
        <v>45372</v>
      </c>
      <c r="D69" s="134">
        <v>10.5</v>
      </c>
    </row>
    <row r="70" spans="2:4" ht="15" customHeight="1" x14ac:dyDescent="0.15">
      <c r="B70" s="18" t="s">
        <v>86</v>
      </c>
      <c r="C70" s="19">
        <v>45384</v>
      </c>
      <c r="D70" s="134">
        <v>65</v>
      </c>
    </row>
    <row r="71" spans="2:4" ht="15" customHeight="1" x14ac:dyDescent="0.15">
      <c r="B71" s="18" t="s">
        <v>24</v>
      </c>
      <c r="C71" s="19">
        <v>45385</v>
      </c>
      <c r="D71" s="134">
        <v>314.11</v>
      </c>
    </row>
    <row r="72" spans="2:4" ht="15" customHeight="1" x14ac:dyDescent="0.15">
      <c r="B72" s="18" t="s">
        <v>24</v>
      </c>
      <c r="C72" s="19">
        <v>45387</v>
      </c>
      <c r="D72" s="134">
        <v>103.37</v>
      </c>
    </row>
    <row r="73" spans="2:4" ht="15" customHeight="1" x14ac:dyDescent="0.15">
      <c r="B73" s="18" t="s">
        <v>24</v>
      </c>
      <c r="C73" s="19">
        <v>45394</v>
      </c>
      <c r="D73" s="134">
        <v>1.5</v>
      </c>
    </row>
    <row r="74" spans="2:4" ht="15" customHeight="1" x14ac:dyDescent="0.15">
      <c r="B74" s="18" t="s">
        <v>104</v>
      </c>
      <c r="C74" s="19">
        <v>45400</v>
      </c>
      <c r="D74" s="134">
        <v>55</v>
      </c>
    </row>
    <row r="75" spans="2:4" ht="15" customHeight="1" x14ac:dyDescent="0.15">
      <c r="B75" s="18" t="s">
        <v>24</v>
      </c>
      <c r="C75" s="19">
        <v>45401</v>
      </c>
      <c r="D75" s="134">
        <v>51.48</v>
      </c>
    </row>
    <row r="76" spans="2:4" ht="15" customHeight="1" x14ac:dyDescent="0.15">
      <c r="B76" s="18" t="s">
        <v>24</v>
      </c>
      <c r="C76" s="19">
        <v>45408</v>
      </c>
      <c r="D76" s="134">
        <v>5.66</v>
      </c>
    </row>
    <row r="77" spans="2:4" ht="15" customHeight="1" x14ac:dyDescent="0.15">
      <c r="B77" s="18" t="s">
        <v>111</v>
      </c>
      <c r="C77" s="19">
        <v>45413</v>
      </c>
      <c r="D77" s="134">
        <v>65</v>
      </c>
    </row>
    <row r="78" spans="2:4" ht="15" customHeight="1" x14ac:dyDescent="0.15">
      <c r="B78" s="18" t="s">
        <v>24</v>
      </c>
      <c r="C78" s="19">
        <v>45415</v>
      </c>
      <c r="D78" s="134">
        <v>3</v>
      </c>
    </row>
    <row r="79" spans="2:4" ht="15" customHeight="1" x14ac:dyDescent="0.15">
      <c r="B79" s="18" t="s">
        <v>24</v>
      </c>
      <c r="C79" s="19">
        <v>45422</v>
      </c>
      <c r="D79" s="134">
        <v>5.4</v>
      </c>
    </row>
    <row r="80" spans="2:4" ht="15" customHeight="1" x14ac:dyDescent="0.15">
      <c r="B80" s="18" t="s">
        <v>24</v>
      </c>
      <c r="C80" s="19">
        <v>45433</v>
      </c>
      <c r="D80" s="134">
        <v>55</v>
      </c>
    </row>
    <row r="81" spans="2:4" ht="15" customHeight="1" x14ac:dyDescent="0.15">
      <c r="B81" s="18" t="s">
        <v>24</v>
      </c>
      <c r="C81" s="19">
        <v>45443</v>
      </c>
      <c r="D81" s="134">
        <v>1.5</v>
      </c>
    </row>
    <row r="82" spans="2:4" ht="15" customHeight="1" x14ac:dyDescent="0.15">
      <c r="B82" s="18" t="s">
        <v>111</v>
      </c>
      <c r="C82" s="19">
        <v>45446</v>
      </c>
      <c r="D82" s="134">
        <v>65</v>
      </c>
    </row>
    <row r="83" spans="2:4" ht="15" customHeight="1" x14ac:dyDescent="0.15">
      <c r="B83" s="18" t="s">
        <v>24</v>
      </c>
      <c r="C83" s="19">
        <v>45457</v>
      </c>
      <c r="D83" s="134">
        <v>6.9</v>
      </c>
    </row>
    <row r="84" spans="2:4" ht="15" customHeight="1" x14ac:dyDescent="0.15">
      <c r="B84" s="18" t="s">
        <v>24</v>
      </c>
      <c r="C84" s="19">
        <v>45461</v>
      </c>
      <c r="D84" s="134">
        <v>55</v>
      </c>
    </row>
    <row r="85" spans="2:4" ht="15" customHeight="1" x14ac:dyDescent="0.15">
      <c r="B85" s="18" t="s">
        <v>111</v>
      </c>
      <c r="C85" s="19">
        <v>45475</v>
      </c>
      <c r="D85" s="134">
        <v>65</v>
      </c>
    </row>
    <row r="86" spans="2:4" ht="15" customHeight="1" x14ac:dyDescent="0.15">
      <c r="B86" s="62" t="s">
        <v>24</v>
      </c>
      <c r="C86" s="19">
        <v>45478</v>
      </c>
      <c r="D86" s="134">
        <v>1.5</v>
      </c>
    </row>
    <row r="87" spans="2:4" ht="15" customHeight="1" x14ac:dyDescent="0.15">
      <c r="B87" s="15" t="s">
        <v>143</v>
      </c>
      <c r="C87" s="19">
        <v>45491</v>
      </c>
      <c r="D87" s="134">
        <v>65</v>
      </c>
    </row>
    <row r="88" spans="2:4" ht="15" customHeight="1" x14ac:dyDescent="0.15">
      <c r="B88" s="18" t="s">
        <v>111</v>
      </c>
      <c r="C88" s="19">
        <v>45505</v>
      </c>
      <c r="D88" s="134">
        <v>65</v>
      </c>
    </row>
    <row r="89" spans="2:4" ht="15" customHeight="1" x14ac:dyDescent="0.15">
      <c r="B89" s="62" t="s">
        <v>24</v>
      </c>
      <c r="C89" s="19">
        <v>45506</v>
      </c>
      <c r="D89" s="134">
        <v>6.9</v>
      </c>
    </row>
    <row r="90" spans="2:4" ht="15" customHeight="1" x14ac:dyDescent="0.15">
      <c r="B90" s="62" t="s">
        <v>24</v>
      </c>
      <c r="C90" s="19">
        <v>45513</v>
      </c>
      <c r="D90" s="134">
        <v>3</v>
      </c>
    </row>
    <row r="91" spans="2:4" ht="15" customHeight="1" x14ac:dyDescent="0.15">
      <c r="B91" s="62" t="s">
        <v>143</v>
      </c>
      <c r="C91" s="19">
        <v>45524</v>
      </c>
      <c r="D91" s="134">
        <v>65</v>
      </c>
    </row>
    <row r="92" spans="2:4" ht="15" customHeight="1" x14ac:dyDescent="0.15">
      <c r="B92" s="62" t="s">
        <v>24</v>
      </c>
      <c r="C92" s="19">
        <v>45531</v>
      </c>
      <c r="D92" s="27">
        <v>9.9</v>
      </c>
    </row>
    <row r="93" spans="2:4" ht="15" customHeight="1" x14ac:dyDescent="0.15">
      <c r="B93" s="18" t="s">
        <v>111</v>
      </c>
      <c r="C93" s="19">
        <v>45531</v>
      </c>
      <c r="D93" s="27">
        <v>65</v>
      </c>
    </row>
    <row r="94" spans="2:4" ht="15" customHeight="1" x14ac:dyDescent="0.15">
      <c r="B94" s="64" t="s">
        <v>143</v>
      </c>
      <c r="C94" s="19">
        <v>45553</v>
      </c>
      <c r="D94" s="27">
        <v>65</v>
      </c>
    </row>
    <row r="95" spans="2:4" ht="15" customHeight="1" x14ac:dyDescent="0.15">
      <c r="B95" s="64" t="s">
        <v>24</v>
      </c>
      <c r="C95" s="19">
        <v>45555</v>
      </c>
      <c r="D95" s="27">
        <v>1.5</v>
      </c>
    </row>
    <row r="96" spans="2:4" ht="15" customHeight="1" x14ac:dyDescent="0.15">
      <c r="B96" s="18" t="s">
        <v>111</v>
      </c>
      <c r="C96" s="19">
        <v>45567</v>
      </c>
      <c r="D96" s="134">
        <v>65</v>
      </c>
    </row>
    <row r="97" spans="2:4" ht="15" customHeight="1" x14ac:dyDescent="0.15">
      <c r="B97" s="64" t="s">
        <v>143</v>
      </c>
      <c r="C97" s="19">
        <v>45587</v>
      </c>
      <c r="D97" s="134">
        <v>65</v>
      </c>
    </row>
    <row r="98" spans="2:4" ht="15" customHeight="1" x14ac:dyDescent="0.15">
      <c r="B98" s="64" t="s">
        <v>24</v>
      </c>
      <c r="C98" s="19">
        <v>45590</v>
      </c>
      <c r="D98" s="134">
        <v>3</v>
      </c>
    </row>
    <row r="99" spans="2:4" ht="15" customHeight="1" x14ac:dyDescent="0.15">
      <c r="B99" s="64" t="s">
        <v>24</v>
      </c>
      <c r="C99" s="19">
        <v>45597</v>
      </c>
      <c r="D99" s="134">
        <v>15.3</v>
      </c>
    </row>
    <row r="100" spans="2:4" ht="15" customHeight="1" x14ac:dyDescent="0.15">
      <c r="B100" s="18" t="s">
        <v>111</v>
      </c>
      <c r="C100" s="19">
        <v>45597</v>
      </c>
      <c r="D100" s="134">
        <v>65</v>
      </c>
    </row>
    <row r="101" spans="2:4" ht="15" customHeight="1" x14ac:dyDescent="0.15">
      <c r="B101" s="64" t="s">
        <v>24</v>
      </c>
      <c r="C101" s="26">
        <v>45604</v>
      </c>
      <c r="D101" s="134">
        <v>7.5</v>
      </c>
    </row>
    <row r="102" spans="2:4" ht="15" customHeight="1" x14ac:dyDescent="0.15">
      <c r="B102" s="64" t="s">
        <v>24</v>
      </c>
      <c r="C102" s="19">
        <v>45611</v>
      </c>
      <c r="D102" s="134">
        <v>3</v>
      </c>
    </row>
    <row r="103" spans="2:4" ht="15" customHeight="1" x14ac:dyDescent="0.15">
      <c r="B103" s="18" t="s">
        <v>111</v>
      </c>
      <c r="C103" s="69">
        <v>45615</v>
      </c>
      <c r="D103" s="421">
        <v>65</v>
      </c>
    </row>
    <row r="104" spans="2:4" ht="15" customHeight="1" x14ac:dyDescent="0.15">
      <c r="B104" s="64" t="s">
        <v>24</v>
      </c>
      <c r="C104" s="69">
        <v>45618</v>
      </c>
      <c r="D104" s="421">
        <v>67.400000000000006</v>
      </c>
    </row>
    <row r="105" spans="2:4" ht="15" customHeight="1" x14ac:dyDescent="0.15">
      <c r="B105" s="420"/>
      <c r="C105" s="414"/>
      <c r="D105" s="421"/>
    </row>
    <row r="106" spans="2:4" ht="15" customHeight="1" x14ac:dyDescent="0.15">
      <c r="B106" s="131" t="s">
        <v>225</v>
      </c>
      <c r="C106" s="128"/>
      <c r="D106" s="132">
        <f>SUM(D55:D104)</f>
        <v>1985.8700000000003</v>
      </c>
    </row>
    <row r="107" spans="2:4" ht="15" customHeight="1" x14ac:dyDescent="0.15">
      <c r="B107" s="65"/>
      <c r="C107" s="3"/>
      <c r="D107" s="4"/>
    </row>
    <row r="108" spans="2:4" ht="15" customHeight="1" x14ac:dyDescent="0.15">
      <c r="B108" s="12" t="s">
        <v>239</v>
      </c>
      <c r="C108" s="128" t="s">
        <v>5</v>
      </c>
      <c r="D108" s="129" t="s">
        <v>203</v>
      </c>
    </row>
    <row r="109" spans="2:4" ht="15" customHeight="1" x14ac:dyDescent="0.15">
      <c r="B109" s="133" t="s">
        <v>23</v>
      </c>
      <c r="C109" s="16">
        <v>45303</v>
      </c>
      <c r="D109" s="130">
        <v>100</v>
      </c>
    </row>
    <row r="110" spans="2:4" ht="15" customHeight="1" x14ac:dyDescent="0.15">
      <c r="B110" s="15" t="s">
        <v>26</v>
      </c>
      <c r="C110" s="19">
        <v>45302</v>
      </c>
      <c r="D110" s="49">
        <v>2140</v>
      </c>
    </row>
    <row r="111" spans="2:4" ht="15" customHeight="1" x14ac:dyDescent="0.15">
      <c r="B111" s="18" t="s">
        <v>39</v>
      </c>
      <c r="C111" s="19">
        <v>45337</v>
      </c>
      <c r="D111" s="49">
        <v>14000</v>
      </c>
    </row>
    <row r="112" spans="2:4" ht="12" customHeight="1" x14ac:dyDescent="0.15">
      <c r="B112" s="52" t="s">
        <v>240</v>
      </c>
      <c r="C112" s="19">
        <v>45372</v>
      </c>
      <c r="D112" s="49">
        <v>1000</v>
      </c>
    </row>
    <row r="113" spans="2:4" ht="12" customHeight="1" x14ac:dyDescent="0.15">
      <c r="B113" s="18" t="s">
        <v>58</v>
      </c>
      <c r="C113" s="19">
        <v>45371</v>
      </c>
      <c r="D113" s="49">
        <v>500</v>
      </c>
    </row>
    <row r="114" spans="2:4" ht="12" customHeight="1" x14ac:dyDescent="0.15">
      <c r="B114" s="18" t="s">
        <v>62</v>
      </c>
      <c r="C114" s="19">
        <v>45377</v>
      </c>
      <c r="D114" s="49">
        <v>3000</v>
      </c>
    </row>
    <row r="115" spans="2:4" ht="12" customHeight="1" x14ac:dyDescent="0.15">
      <c r="B115" s="18" t="s">
        <v>241</v>
      </c>
      <c r="C115" s="19">
        <v>45387</v>
      </c>
      <c r="D115" s="49">
        <v>2265</v>
      </c>
    </row>
    <row r="116" spans="2:4" ht="12" customHeight="1" x14ac:dyDescent="0.15">
      <c r="B116" s="52" t="s">
        <v>242</v>
      </c>
      <c r="C116" s="19">
        <v>45394</v>
      </c>
      <c r="D116" s="49">
        <v>8550</v>
      </c>
    </row>
    <row r="117" spans="2:4" ht="12" customHeight="1" x14ac:dyDescent="0.15">
      <c r="B117" s="18" t="s">
        <v>70</v>
      </c>
      <c r="C117" s="19">
        <v>45404</v>
      </c>
      <c r="D117" s="49">
        <v>2500</v>
      </c>
    </row>
    <row r="118" spans="2:4" ht="12" customHeight="1" x14ac:dyDescent="0.15">
      <c r="B118" s="18" t="s">
        <v>72</v>
      </c>
      <c r="C118" s="19">
        <v>45404</v>
      </c>
      <c r="D118" s="49">
        <v>7962.95</v>
      </c>
    </row>
    <row r="119" spans="2:4" ht="12" customHeight="1" x14ac:dyDescent="0.15">
      <c r="B119" s="18" t="s">
        <v>107</v>
      </c>
      <c r="C119" s="19">
        <v>45407</v>
      </c>
      <c r="D119" s="49">
        <v>2775</v>
      </c>
    </row>
    <row r="120" spans="2:4" ht="12" customHeight="1" x14ac:dyDescent="0.15">
      <c r="B120" s="18" t="s">
        <v>75</v>
      </c>
      <c r="C120" s="19">
        <v>45412</v>
      </c>
      <c r="D120" s="49">
        <v>3000</v>
      </c>
    </row>
    <row r="121" spans="2:4" ht="12" customHeight="1" x14ac:dyDescent="0.15">
      <c r="B121" s="18" t="s">
        <v>79</v>
      </c>
      <c r="C121" s="19">
        <v>45413</v>
      </c>
      <c r="D121" s="49">
        <v>1772</v>
      </c>
    </row>
    <row r="122" spans="2:4" ht="12" customHeight="1" x14ac:dyDescent="0.15">
      <c r="B122" s="18" t="s">
        <v>85</v>
      </c>
      <c r="C122" s="19">
        <v>45435</v>
      </c>
      <c r="D122" s="49">
        <v>5000</v>
      </c>
    </row>
    <row r="123" spans="2:4" ht="12" customHeight="1" x14ac:dyDescent="0.15">
      <c r="B123" s="18" t="s">
        <v>89</v>
      </c>
      <c r="C123" s="19">
        <v>45439</v>
      </c>
      <c r="D123" s="49">
        <v>2500</v>
      </c>
    </row>
    <row r="124" spans="2:4" ht="12" customHeight="1" x14ac:dyDescent="0.15">
      <c r="B124" s="29" t="s">
        <v>93</v>
      </c>
      <c r="C124" s="19">
        <v>45450</v>
      </c>
      <c r="D124" s="49">
        <v>10000</v>
      </c>
    </row>
    <row r="125" spans="2:4" ht="12" customHeight="1" x14ac:dyDescent="0.15">
      <c r="B125" s="29" t="s">
        <v>96</v>
      </c>
      <c r="C125" s="19">
        <v>45455</v>
      </c>
      <c r="D125" s="20">
        <v>6886</v>
      </c>
    </row>
    <row r="126" spans="2:4" ht="12" customHeight="1" x14ac:dyDescent="0.15">
      <c r="B126" s="15" t="s">
        <v>243</v>
      </c>
      <c r="C126" s="19">
        <v>45466</v>
      </c>
      <c r="D126" s="20">
        <v>2000</v>
      </c>
    </row>
    <row r="127" spans="2:4" ht="12" customHeight="1" x14ac:dyDescent="0.15">
      <c r="B127" s="18" t="s">
        <v>101</v>
      </c>
      <c r="C127" s="19">
        <v>45469</v>
      </c>
      <c r="D127" s="20">
        <v>1000</v>
      </c>
    </row>
    <row r="128" spans="2:4" ht="12" customHeight="1" x14ac:dyDescent="0.15">
      <c r="B128" s="18" t="s">
        <v>105</v>
      </c>
      <c r="C128" s="19">
        <v>45478</v>
      </c>
      <c r="D128" s="20">
        <v>9220</v>
      </c>
    </row>
    <row r="129" spans="2:7" ht="12" customHeight="1" x14ac:dyDescent="0.15">
      <c r="B129" s="18" t="s">
        <v>106</v>
      </c>
      <c r="C129" s="19">
        <v>45481</v>
      </c>
      <c r="D129" s="20">
        <v>1456</v>
      </c>
    </row>
    <row r="130" spans="2:7" ht="12" customHeight="1" x14ac:dyDescent="0.15">
      <c r="B130" s="18" t="s">
        <v>112</v>
      </c>
      <c r="C130" s="19">
        <v>45489</v>
      </c>
      <c r="D130" s="20">
        <v>4500</v>
      </c>
    </row>
    <row r="131" spans="2:7" ht="12" customHeight="1" x14ac:dyDescent="0.15">
      <c r="B131" s="18" t="s">
        <v>114</v>
      </c>
      <c r="C131" s="19">
        <v>45490</v>
      </c>
      <c r="D131" s="20">
        <v>1000</v>
      </c>
    </row>
    <row r="132" spans="2:7" ht="12" customHeight="1" x14ac:dyDescent="0.15">
      <c r="B132" s="18" t="s">
        <v>119</v>
      </c>
      <c r="C132" s="19">
        <v>45499</v>
      </c>
      <c r="D132" s="20">
        <v>350.98</v>
      </c>
    </row>
    <row r="133" spans="2:7" ht="12" customHeight="1" x14ac:dyDescent="0.15">
      <c r="B133" s="18" t="s">
        <v>120</v>
      </c>
      <c r="C133" s="19">
        <v>45502</v>
      </c>
      <c r="D133" s="20">
        <v>1000</v>
      </c>
    </row>
    <row r="134" spans="2:7" ht="12" customHeight="1" x14ac:dyDescent="0.15">
      <c r="B134" s="18" t="s">
        <v>128</v>
      </c>
      <c r="C134" s="19">
        <v>45532</v>
      </c>
      <c r="D134" s="20">
        <v>2000</v>
      </c>
    </row>
    <row r="135" spans="2:7" ht="12" customHeight="1" x14ac:dyDescent="0.15">
      <c r="B135" s="18" t="s">
        <v>130</v>
      </c>
      <c r="C135" s="19">
        <v>45538</v>
      </c>
      <c r="D135" s="20">
        <v>1000</v>
      </c>
    </row>
    <row r="136" spans="2:7" ht="12" customHeight="1" x14ac:dyDescent="0.15">
      <c r="B136" s="18" t="s">
        <v>131</v>
      </c>
      <c r="C136" s="19">
        <v>45539</v>
      </c>
      <c r="D136" s="20">
        <v>1500</v>
      </c>
    </row>
    <row r="137" spans="2:7" ht="12" customHeight="1" x14ac:dyDescent="0.15">
      <c r="B137" s="18" t="s">
        <v>135</v>
      </c>
      <c r="C137" s="19">
        <v>45542</v>
      </c>
      <c r="D137" s="20">
        <v>550</v>
      </c>
    </row>
    <row r="138" spans="2:7" ht="12" customHeight="1" x14ac:dyDescent="0.15">
      <c r="B138" s="18" t="s">
        <v>136</v>
      </c>
      <c r="C138" s="19">
        <v>45542</v>
      </c>
      <c r="D138" s="20">
        <v>419</v>
      </c>
    </row>
    <row r="139" spans="2:7" ht="12" customHeight="1" x14ac:dyDescent="0.15">
      <c r="B139" s="18" t="s">
        <v>137</v>
      </c>
      <c r="C139" s="19">
        <v>45542</v>
      </c>
      <c r="D139" s="20">
        <v>2000</v>
      </c>
    </row>
    <row r="140" spans="2:7" ht="12" customHeight="1" x14ac:dyDescent="0.15">
      <c r="B140" s="18" t="s">
        <v>138</v>
      </c>
      <c r="C140" s="19">
        <v>45546</v>
      </c>
      <c r="D140" s="20">
        <v>3630</v>
      </c>
    </row>
    <row r="141" spans="2:7" ht="12" customHeight="1" x14ac:dyDescent="0.15">
      <c r="B141" s="18" t="s">
        <v>140</v>
      </c>
      <c r="C141" s="19">
        <v>45548</v>
      </c>
      <c r="D141" s="49">
        <v>2000</v>
      </c>
      <c r="G141" s="135"/>
    </row>
    <row r="142" spans="2:7" ht="12" customHeight="1" x14ac:dyDescent="0.15">
      <c r="B142" s="18" t="s">
        <v>141</v>
      </c>
      <c r="C142" s="19">
        <v>45548</v>
      </c>
      <c r="D142" s="49">
        <v>1000</v>
      </c>
      <c r="G142" s="135"/>
    </row>
    <row r="143" spans="2:7" ht="12" customHeight="1" x14ac:dyDescent="0.15">
      <c r="B143" s="18" t="s">
        <v>142</v>
      </c>
      <c r="C143" s="19">
        <v>45560</v>
      </c>
      <c r="D143" s="49">
        <v>4399</v>
      </c>
      <c r="G143" s="135"/>
    </row>
    <row r="144" spans="2:7" ht="12" customHeight="1" x14ac:dyDescent="0.15">
      <c r="B144" s="18" t="s">
        <v>144</v>
      </c>
      <c r="C144" s="19">
        <v>45562</v>
      </c>
      <c r="D144" s="49">
        <v>3676</v>
      </c>
      <c r="G144" s="135"/>
    </row>
    <row r="145" spans="2:7" ht="12" customHeight="1" x14ac:dyDescent="0.15">
      <c r="B145" s="18" t="s">
        <v>149</v>
      </c>
      <c r="C145" s="19">
        <v>45582</v>
      </c>
      <c r="D145" s="49">
        <v>1720</v>
      </c>
      <c r="G145" s="135"/>
    </row>
    <row r="146" spans="2:7" ht="12" customHeight="1" x14ac:dyDescent="0.15">
      <c r="B146" s="18" t="s">
        <v>150</v>
      </c>
      <c r="C146" s="19">
        <v>45591</v>
      </c>
      <c r="D146" s="49">
        <v>1000</v>
      </c>
      <c r="G146" s="135"/>
    </row>
    <row r="147" spans="2:7" ht="12" customHeight="1" x14ac:dyDescent="0.15">
      <c r="B147" s="18" t="s">
        <v>151</v>
      </c>
      <c r="C147" s="19">
        <v>45591</v>
      </c>
      <c r="D147" s="49">
        <v>1000</v>
      </c>
      <c r="G147" s="135"/>
    </row>
    <row r="148" spans="2:7" ht="12" customHeight="1" x14ac:dyDescent="0.15">
      <c r="B148" s="411" t="s">
        <v>486</v>
      </c>
      <c r="C148" s="19">
        <v>45596</v>
      </c>
      <c r="D148" s="49">
        <v>500</v>
      </c>
      <c r="G148" s="135"/>
    </row>
    <row r="149" spans="2:7" ht="12" customHeight="1" x14ac:dyDescent="0.15">
      <c r="B149" s="18" t="s">
        <v>153</v>
      </c>
      <c r="C149" s="416">
        <v>45604</v>
      </c>
      <c r="D149" s="415">
        <v>2000</v>
      </c>
      <c r="G149" s="135"/>
    </row>
    <row r="150" spans="2:7" ht="12" customHeight="1" x14ac:dyDescent="0.15">
      <c r="B150" s="18" t="s">
        <v>154</v>
      </c>
      <c r="C150" s="69">
        <v>45604</v>
      </c>
      <c r="D150" s="415">
        <v>1000</v>
      </c>
      <c r="G150" s="135"/>
    </row>
    <row r="151" spans="2:7" ht="12" customHeight="1" x14ac:dyDescent="0.15">
      <c r="B151" s="29" t="s">
        <v>155</v>
      </c>
      <c r="C151" s="26">
        <v>45604</v>
      </c>
      <c r="D151" s="49">
        <v>1000</v>
      </c>
      <c r="G151" s="135"/>
    </row>
    <row r="152" spans="2:7" ht="12" customHeight="1" x14ac:dyDescent="0.15">
      <c r="B152" s="18" t="s">
        <v>156</v>
      </c>
      <c r="C152" s="19">
        <v>45608</v>
      </c>
      <c r="D152" s="49">
        <v>7375</v>
      </c>
      <c r="G152" s="135"/>
    </row>
    <row r="153" spans="2:7" ht="12" customHeight="1" x14ac:dyDescent="0.15">
      <c r="B153" s="18" t="s">
        <v>157</v>
      </c>
      <c r="C153" s="19">
        <v>45608</v>
      </c>
      <c r="D153" s="49">
        <v>2848</v>
      </c>
      <c r="G153" s="135"/>
    </row>
    <row r="154" spans="2:7" ht="12" customHeight="1" x14ac:dyDescent="0.15">
      <c r="B154" s="417" t="s">
        <v>158</v>
      </c>
      <c r="C154" s="418">
        <v>45611</v>
      </c>
      <c r="D154" s="415">
        <v>3500</v>
      </c>
      <c r="G154" s="135"/>
    </row>
    <row r="155" spans="2:7" ht="12" customHeight="1" x14ac:dyDescent="0.15">
      <c r="B155" s="18" t="s">
        <v>159</v>
      </c>
      <c r="C155" s="19">
        <v>45611</v>
      </c>
      <c r="D155" s="49">
        <v>3000</v>
      </c>
      <c r="G155" s="135"/>
    </row>
    <row r="156" spans="2:7" ht="12" customHeight="1" x14ac:dyDescent="0.15">
      <c r="B156" s="64" t="s">
        <v>174</v>
      </c>
      <c r="C156" s="19">
        <v>45623</v>
      </c>
      <c r="D156" s="49">
        <v>2000</v>
      </c>
      <c r="G156" s="135"/>
    </row>
    <row r="157" spans="2:7" ht="15" customHeight="1" x14ac:dyDescent="0.15">
      <c r="B157" s="131" t="s">
        <v>225</v>
      </c>
      <c r="C157" s="128"/>
      <c r="D157" s="132">
        <f>SUM(D109:D156)</f>
        <v>143594.93</v>
      </c>
    </row>
    <row r="158" spans="2:7" ht="15" hidden="1" customHeight="1" x14ac:dyDescent="0.15">
      <c r="B158" s="65"/>
      <c r="C158" s="3"/>
      <c r="D158" s="4"/>
    </row>
    <row r="159" spans="2:7" ht="15" hidden="1" customHeight="1" x14ac:dyDescent="0.15">
      <c r="B159" s="12" t="s">
        <v>244</v>
      </c>
      <c r="C159" s="128" t="s">
        <v>5</v>
      </c>
      <c r="D159" s="129" t="s">
        <v>203</v>
      </c>
    </row>
    <row r="160" spans="2:7" ht="15" hidden="1" customHeight="1" x14ac:dyDescent="0.15">
      <c r="B160" s="133" t="s">
        <v>245</v>
      </c>
      <c r="C160" s="16"/>
      <c r="D160" s="130"/>
    </row>
    <row r="161" spans="2:4" ht="15" hidden="1" customHeight="1" x14ac:dyDescent="0.15">
      <c r="B161" s="131" t="s">
        <v>225</v>
      </c>
      <c r="C161" s="128"/>
      <c r="D161" s="132">
        <f>SUM(D160)</f>
        <v>0</v>
      </c>
    </row>
    <row r="162" spans="2:4" ht="15" customHeight="1" x14ac:dyDescent="0.15">
      <c r="B162" s="65"/>
      <c r="C162" s="3"/>
      <c r="D162" s="4"/>
    </row>
    <row r="163" spans="2:4" ht="15" customHeight="1" x14ac:dyDescent="0.15">
      <c r="B163" s="12" t="s">
        <v>246</v>
      </c>
      <c r="C163" s="128" t="s">
        <v>5</v>
      </c>
      <c r="D163" s="129" t="s">
        <v>203</v>
      </c>
    </row>
    <row r="164" spans="2:4" ht="15" customHeight="1" x14ac:dyDescent="0.15">
      <c r="B164" s="133" t="s">
        <v>27</v>
      </c>
      <c r="C164" s="16">
        <v>45322</v>
      </c>
      <c r="D164" s="130">
        <v>1000</v>
      </c>
    </row>
    <row r="165" spans="2:4" ht="15" customHeight="1" x14ac:dyDescent="0.15">
      <c r="B165" s="15" t="s">
        <v>50</v>
      </c>
      <c r="C165" s="19">
        <v>45351</v>
      </c>
      <c r="D165" s="49">
        <v>1000</v>
      </c>
    </row>
    <row r="166" spans="2:4" ht="15" customHeight="1" x14ac:dyDescent="0.15">
      <c r="B166" s="18" t="s">
        <v>59</v>
      </c>
      <c r="C166" s="19">
        <v>45373</v>
      </c>
      <c r="D166" s="49">
        <v>1000</v>
      </c>
    </row>
    <row r="167" spans="2:4" ht="15" customHeight="1" x14ac:dyDescent="0.15">
      <c r="B167" s="18" t="s">
        <v>69</v>
      </c>
      <c r="C167" s="19">
        <v>45404</v>
      </c>
      <c r="D167" s="49">
        <v>1500</v>
      </c>
    </row>
    <row r="168" spans="2:4" ht="15" customHeight="1" x14ac:dyDescent="0.15">
      <c r="B168" s="18" t="s">
        <v>76</v>
      </c>
      <c r="C168" s="19">
        <v>45412</v>
      </c>
      <c r="D168" s="49">
        <v>1000</v>
      </c>
    </row>
    <row r="169" spans="2:4" ht="15" customHeight="1" x14ac:dyDescent="0.15">
      <c r="B169" s="18" t="s">
        <v>247</v>
      </c>
      <c r="C169" s="19">
        <v>45455</v>
      </c>
      <c r="D169" s="49">
        <v>1000</v>
      </c>
    </row>
    <row r="170" spans="2:4" ht="15" customHeight="1" x14ac:dyDescent="0.15">
      <c r="B170" s="18" t="s">
        <v>248</v>
      </c>
      <c r="C170" s="19">
        <v>45474</v>
      </c>
      <c r="D170" s="49">
        <v>1000</v>
      </c>
    </row>
    <row r="171" spans="2:4" ht="15" customHeight="1" x14ac:dyDescent="0.15">
      <c r="B171" s="18" t="s">
        <v>249</v>
      </c>
      <c r="C171" s="19">
        <v>45504</v>
      </c>
      <c r="D171" s="49">
        <v>1000</v>
      </c>
    </row>
    <row r="172" spans="2:4" ht="15" customHeight="1" x14ac:dyDescent="0.15">
      <c r="B172" s="18" t="s">
        <v>250</v>
      </c>
      <c r="C172" s="19">
        <v>45531</v>
      </c>
      <c r="D172" s="49">
        <v>1000</v>
      </c>
    </row>
    <row r="173" spans="2:4" ht="15" customHeight="1" x14ac:dyDescent="0.15">
      <c r="B173" s="18" t="s">
        <v>251</v>
      </c>
      <c r="C173" s="19">
        <v>45552</v>
      </c>
      <c r="D173" s="49">
        <v>1000</v>
      </c>
    </row>
    <row r="174" spans="2:4" ht="15" customHeight="1" x14ac:dyDescent="0.15">
      <c r="B174" s="18" t="s">
        <v>252</v>
      </c>
      <c r="C174" s="19">
        <v>45593</v>
      </c>
      <c r="D174" s="49">
        <v>1000</v>
      </c>
    </row>
    <row r="175" spans="2:4" ht="15" customHeight="1" x14ac:dyDescent="0.15">
      <c r="B175" s="18" t="s">
        <v>178</v>
      </c>
      <c r="C175" s="414">
        <v>45595</v>
      </c>
      <c r="D175" s="415">
        <v>1000</v>
      </c>
    </row>
    <row r="176" spans="2:4" ht="15" customHeight="1" x14ac:dyDescent="0.15">
      <c r="B176" s="131" t="s">
        <v>225</v>
      </c>
      <c r="C176" s="128"/>
      <c r="D176" s="132">
        <f>SUM(D164:D175)</f>
        <v>12500</v>
      </c>
    </row>
    <row r="177" spans="2:4" ht="15" customHeight="1" x14ac:dyDescent="0.15">
      <c r="B177" s="65"/>
      <c r="C177" s="3"/>
      <c r="D177" s="4"/>
    </row>
    <row r="178" spans="2:4" ht="15" customHeight="1" x14ac:dyDescent="0.15">
      <c r="B178" s="12" t="s">
        <v>253</v>
      </c>
      <c r="C178" s="128" t="s">
        <v>5</v>
      </c>
      <c r="D178" s="129" t="s">
        <v>203</v>
      </c>
    </row>
    <row r="179" spans="2:4" ht="15" customHeight="1" x14ac:dyDescent="0.15">
      <c r="B179" s="133" t="s">
        <v>19</v>
      </c>
      <c r="C179" s="16">
        <v>45293</v>
      </c>
      <c r="D179" s="136">
        <v>15000</v>
      </c>
    </row>
    <row r="180" spans="2:4" ht="15" customHeight="1" x14ac:dyDescent="0.15">
      <c r="B180" s="15" t="s">
        <v>28</v>
      </c>
      <c r="C180" s="19">
        <v>45323</v>
      </c>
      <c r="D180" s="50">
        <v>15000</v>
      </c>
    </row>
    <row r="181" spans="2:4" ht="15" customHeight="1" x14ac:dyDescent="0.15">
      <c r="B181" s="15" t="s">
        <v>52</v>
      </c>
      <c r="C181" s="19">
        <v>45352</v>
      </c>
      <c r="D181" s="50">
        <v>15000</v>
      </c>
    </row>
    <row r="182" spans="2:4" ht="15" customHeight="1" x14ac:dyDescent="0.15">
      <c r="B182" s="15" t="s">
        <v>254</v>
      </c>
      <c r="C182" s="19">
        <v>45385</v>
      </c>
      <c r="D182" s="50">
        <v>15000</v>
      </c>
    </row>
    <row r="183" spans="2:4" ht="15" customHeight="1" x14ac:dyDescent="0.15">
      <c r="B183" s="18" t="s">
        <v>255</v>
      </c>
      <c r="C183" s="19">
        <v>45397</v>
      </c>
      <c r="D183" s="50">
        <v>32318</v>
      </c>
    </row>
    <row r="184" spans="2:4" ht="15" customHeight="1" x14ac:dyDescent="0.15">
      <c r="B184" s="15" t="s">
        <v>256</v>
      </c>
      <c r="C184" s="19">
        <v>45449</v>
      </c>
      <c r="D184" s="50">
        <v>15000</v>
      </c>
    </row>
    <row r="185" spans="2:4" ht="15" customHeight="1" x14ac:dyDescent="0.15">
      <c r="B185" s="15" t="s">
        <v>257</v>
      </c>
      <c r="C185" s="19">
        <v>45485</v>
      </c>
      <c r="D185" s="49">
        <v>15000</v>
      </c>
    </row>
    <row r="186" spans="2:4" ht="15" customHeight="1" x14ac:dyDescent="0.15">
      <c r="B186" s="18" t="s">
        <v>123</v>
      </c>
      <c r="C186" s="19">
        <v>45513</v>
      </c>
      <c r="D186" s="49">
        <v>15000</v>
      </c>
    </row>
    <row r="187" spans="2:4" ht="15" customHeight="1" x14ac:dyDescent="0.15">
      <c r="B187" s="18" t="s">
        <v>132</v>
      </c>
      <c r="C187" s="19">
        <v>45540</v>
      </c>
      <c r="D187" s="49">
        <v>15000</v>
      </c>
    </row>
    <row r="188" spans="2:4" ht="15" customHeight="1" x14ac:dyDescent="0.15">
      <c r="B188" s="18" t="s">
        <v>258</v>
      </c>
      <c r="C188" s="19">
        <v>45565</v>
      </c>
      <c r="D188" s="49">
        <v>15000</v>
      </c>
    </row>
    <row r="189" spans="2:4" ht="15" customHeight="1" x14ac:dyDescent="0.15">
      <c r="B189" s="18" t="s">
        <v>152</v>
      </c>
      <c r="C189" s="19">
        <v>45601</v>
      </c>
      <c r="D189" s="49">
        <v>15000</v>
      </c>
    </row>
    <row r="190" spans="2:4" ht="15" customHeight="1" x14ac:dyDescent="0.15">
      <c r="B190" s="411" t="s">
        <v>487</v>
      </c>
      <c r="C190" s="414">
        <v>45623</v>
      </c>
      <c r="D190" s="415">
        <v>15000</v>
      </c>
    </row>
    <row r="191" spans="2:4" ht="15" customHeight="1" x14ac:dyDescent="0.15">
      <c r="B191" s="131" t="s">
        <v>225</v>
      </c>
      <c r="C191" s="128"/>
      <c r="D191" s="132">
        <f>SUM(D179:D190)</f>
        <v>197318</v>
      </c>
    </row>
    <row r="192" spans="2:4" ht="15" customHeight="1" x14ac:dyDescent="0.15">
      <c r="B192" s="2"/>
      <c r="C192" s="3"/>
      <c r="D192" s="4"/>
    </row>
    <row r="193" spans="2:4" ht="15" customHeight="1" x14ac:dyDescent="0.15">
      <c r="B193" s="12" t="s">
        <v>259</v>
      </c>
      <c r="C193" s="128" t="s">
        <v>5</v>
      </c>
      <c r="D193" s="129" t="s">
        <v>203</v>
      </c>
    </row>
    <row r="194" spans="2:4" ht="15" customHeight="1" x14ac:dyDescent="0.15">
      <c r="B194" s="133" t="s">
        <v>31</v>
      </c>
      <c r="C194" s="16">
        <v>45331</v>
      </c>
      <c r="D194" s="130">
        <v>2500</v>
      </c>
    </row>
    <row r="195" spans="2:4" ht="15" customHeight="1" x14ac:dyDescent="0.15">
      <c r="B195" s="18" t="s">
        <v>57</v>
      </c>
      <c r="C195" s="19">
        <v>45371</v>
      </c>
      <c r="D195" s="130">
        <v>2500</v>
      </c>
    </row>
    <row r="196" spans="2:4" ht="15" customHeight="1" x14ac:dyDescent="0.15">
      <c r="B196" s="18" t="s">
        <v>61</v>
      </c>
      <c r="C196" s="19">
        <v>45377</v>
      </c>
      <c r="D196" s="130">
        <v>2500</v>
      </c>
    </row>
    <row r="197" spans="2:4" ht="15" customHeight="1" x14ac:dyDescent="0.15">
      <c r="B197" s="137" t="s">
        <v>260</v>
      </c>
      <c r="C197" s="138">
        <v>45396</v>
      </c>
      <c r="D197" s="139">
        <v>2500</v>
      </c>
    </row>
    <row r="198" spans="2:4" ht="15" customHeight="1" x14ac:dyDescent="0.15">
      <c r="B198" s="137" t="s">
        <v>261</v>
      </c>
      <c r="C198" s="138">
        <v>45437</v>
      </c>
      <c r="D198" s="139">
        <v>2500</v>
      </c>
    </row>
    <row r="199" spans="2:4" ht="15" customHeight="1" x14ac:dyDescent="0.15">
      <c r="B199" s="137" t="s">
        <v>122</v>
      </c>
      <c r="C199" s="138">
        <v>45440</v>
      </c>
      <c r="D199" s="139">
        <v>8000</v>
      </c>
    </row>
    <row r="200" spans="2:4" ht="15" customHeight="1" x14ac:dyDescent="0.15">
      <c r="B200" s="137"/>
      <c r="C200" s="19"/>
      <c r="D200" s="139"/>
    </row>
    <row r="201" spans="2:4" ht="15" customHeight="1" x14ac:dyDescent="0.15">
      <c r="B201" s="131" t="s">
        <v>225</v>
      </c>
      <c r="C201" s="128"/>
      <c r="D201" s="132">
        <f>SUM(D194:D200)</f>
        <v>20500</v>
      </c>
    </row>
    <row r="202" spans="2:4" ht="15" hidden="1" customHeight="1" x14ac:dyDescent="0.15">
      <c r="B202" s="2"/>
      <c r="C202" s="3"/>
      <c r="D202" s="4"/>
    </row>
    <row r="203" spans="2:4" ht="15" hidden="1" customHeight="1" x14ac:dyDescent="0.15">
      <c r="B203" s="12" t="s">
        <v>262</v>
      </c>
      <c r="C203" s="128" t="s">
        <v>5</v>
      </c>
      <c r="D203" s="129" t="s">
        <v>203</v>
      </c>
    </row>
    <row r="204" spans="2:4" ht="15" hidden="1" customHeight="1" x14ac:dyDescent="0.15">
      <c r="B204" s="140"/>
      <c r="C204" s="16"/>
      <c r="D204" s="141"/>
    </row>
    <row r="205" spans="2:4" ht="15" hidden="1" customHeight="1" x14ac:dyDescent="0.15">
      <c r="B205" s="131" t="s">
        <v>225</v>
      </c>
      <c r="C205" s="128"/>
      <c r="D205" s="132">
        <f>SUM(D204)</f>
        <v>0</v>
      </c>
    </row>
    <row r="206" spans="2:4" ht="15" customHeight="1" x14ac:dyDescent="0.15">
      <c r="B206" s="2"/>
      <c r="C206" s="3"/>
      <c r="D206" s="4"/>
    </row>
    <row r="207" spans="2:4" ht="15" customHeight="1" x14ac:dyDescent="0.15">
      <c r="B207" s="12" t="s">
        <v>263</v>
      </c>
      <c r="C207" s="13" t="s">
        <v>5</v>
      </c>
      <c r="D207" s="14" t="s">
        <v>203</v>
      </c>
    </row>
    <row r="208" spans="2:4" ht="15" customHeight="1" x14ac:dyDescent="0.15">
      <c r="B208" s="142" t="s">
        <v>29</v>
      </c>
      <c r="C208" s="16">
        <v>45310</v>
      </c>
      <c r="D208" s="130">
        <v>6538.23</v>
      </c>
    </row>
    <row r="209" spans="2:4" ht="15" customHeight="1" x14ac:dyDescent="0.15">
      <c r="B209" s="18" t="s">
        <v>264</v>
      </c>
      <c r="C209" s="19">
        <v>45343</v>
      </c>
      <c r="D209" s="49">
        <v>126944.4</v>
      </c>
    </row>
    <row r="210" spans="2:4" ht="15" customHeight="1" x14ac:dyDescent="0.15">
      <c r="B210" s="18" t="s">
        <v>265</v>
      </c>
      <c r="C210" s="19">
        <v>45367</v>
      </c>
      <c r="D210" s="49">
        <v>42314.8</v>
      </c>
    </row>
    <row r="211" spans="2:4" ht="15" customHeight="1" x14ac:dyDescent="0.15">
      <c r="B211" s="18" t="s">
        <v>266</v>
      </c>
      <c r="C211" s="19">
        <v>45384</v>
      </c>
      <c r="D211" s="49">
        <v>42314.8</v>
      </c>
    </row>
    <row r="212" spans="2:4" ht="15" customHeight="1" x14ac:dyDescent="0.15">
      <c r="B212" s="18" t="s">
        <v>267</v>
      </c>
      <c r="C212" s="19">
        <v>45384</v>
      </c>
      <c r="D212" s="49">
        <v>23000</v>
      </c>
    </row>
    <row r="213" spans="2:4" ht="15" customHeight="1" x14ac:dyDescent="0.15">
      <c r="B213" s="18"/>
      <c r="C213" s="19"/>
      <c r="D213" s="49"/>
    </row>
    <row r="214" spans="2:4" ht="15" customHeight="1" x14ac:dyDescent="0.15">
      <c r="B214" s="31"/>
      <c r="C214" s="32"/>
      <c r="D214" s="132">
        <f>SUM(D208:D213)</f>
        <v>241112.22999999998</v>
      </c>
    </row>
    <row r="215" spans="2:4" ht="15" customHeight="1" x14ac:dyDescent="0.15">
      <c r="B215" s="18"/>
      <c r="C215" s="3"/>
      <c r="D215" s="4"/>
    </row>
    <row r="216" spans="2:4" ht="15" customHeight="1" x14ac:dyDescent="0.15">
      <c r="B216" s="12" t="s">
        <v>268</v>
      </c>
      <c r="C216" s="128" t="s">
        <v>5</v>
      </c>
      <c r="D216" s="129" t="s">
        <v>203</v>
      </c>
    </row>
    <row r="217" spans="2:4" ht="15" customHeight="1" x14ac:dyDescent="0.15">
      <c r="B217" s="142" t="s">
        <v>269</v>
      </c>
      <c r="C217" s="16">
        <v>45343</v>
      </c>
      <c r="D217" s="130">
        <v>82584</v>
      </c>
    </row>
    <row r="218" spans="2:4" ht="12" customHeight="1" x14ac:dyDescent="0.15">
      <c r="B218" s="52" t="s">
        <v>270</v>
      </c>
      <c r="C218" s="19">
        <v>45363</v>
      </c>
      <c r="D218" s="49">
        <v>13261</v>
      </c>
    </row>
    <row r="219" spans="2:4" ht="12" customHeight="1" x14ac:dyDescent="0.15">
      <c r="B219" s="15" t="s">
        <v>56</v>
      </c>
      <c r="C219" s="19">
        <v>45364</v>
      </c>
      <c r="D219" s="49">
        <v>21368.35</v>
      </c>
    </row>
    <row r="220" spans="2:4" ht="15" customHeight="1" x14ac:dyDescent="0.15">
      <c r="B220" s="18" t="s">
        <v>271</v>
      </c>
      <c r="C220" s="19">
        <v>45367</v>
      </c>
      <c r="D220" s="49">
        <v>27528</v>
      </c>
    </row>
    <row r="221" spans="2:4" ht="12" customHeight="1" x14ac:dyDescent="0.15">
      <c r="B221" s="15" t="s">
        <v>56</v>
      </c>
      <c r="C221" s="19">
        <v>45371</v>
      </c>
      <c r="D221" s="49">
        <v>1351.01</v>
      </c>
    </row>
    <row r="222" spans="2:4" ht="12" customHeight="1" x14ac:dyDescent="0.15">
      <c r="B222" s="52" t="s">
        <v>272</v>
      </c>
      <c r="C222" s="143">
        <v>45372</v>
      </c>
      <c r="D222" s="49">
        <v>6000</v>
      </c>
    </row>
    <row r="223" spans="2:4" ht="12" customHeight="1" x14ac:dyDescent="0.15">
      <c r="B223" s="15" t="s">
        <v>56</v>
      </c>
      <c r="C223" s="19">
        <v>45373</v>
      </c>
      <c r="D223" s="49">
        <v>219.64</v>
      </c>
    </row>
    <row r="224" spans="2:4" ht="12" customHeight="1" x14ac:dyDescent="0.15">
      <c r="B224" s="15" t="s">
        <v>56</v>
      </c>
      <c r="C224" s="19">
        <v>45374</v>
      </c>
      <c r="D224" s="49">
        <v>399.02</v>
      </c>
    </row>
    <row r="225" spans="2:4" ht="12" customHeight="1" x14ac:dyDescent="0.15">
      <c r="B225" s="15" t="s">
        <v>56</v>
      </c>
      <c r="C225" s="19">
        <v>45376</v>
      </c>
      <c r="D225" s="49">
        <v>1543.05</v>
      </c>
    </row>
    <row r="226" spans="2:4" ht="12" customHeight="1" x14ac:dyDescent="0.15">
      <c r="B226" s="15" t="s">
        <v>273</v>
      </c>
      <c r="C226" s="143">
        <v>45376</v>
      </c>
      <c r="D226" s="49">
        <v>14000</v>
      </c>
    </row>
    <row r="227" spans="2:4" ht="12" customHeight="1" x14ac:dyDescent="0.15">
      <c r="B227" s="15" t="s">
        <v>56</v>
      </c>
      <c r="C227" s="19">
        <v>45378</v>
      </c>
      <c r="D227" s="49">
        <v>702.99</v>
      </c>
    </row>
    <row r="228" spans="2:4" ht="12" customHeight="1" x14ac:dyDescent="0.15">
      <c r="B228" s="15" t="s">
        <v>56</v>
      </c>
      <c r="C228" s="143">
        <v>45394</v>
      </c>
      <c r="D228" s="49">
        <v>15071.96</v>
      </c>
    </row>
    <row r="229" spans="2:4" ht="12" customHeight="1" x14ac:dyDescent="0.15">
      <c r="B229" s="18" t="s">
        <v>78</v>
      </c>
      <c r="C229" s="19">
        <v>45412</v>
      </c>
      <c r="D229" s="49">
        <v>27528</v>
      </c>
    </row>
    <row r="230" spans="2:4" ht="12" customHeight="1" x14ac:dyDescent="0.15">
      <c r="B230" s="18" t="s">
        <v>83</v>
      </c>
      <c r="C230" s="143">
        <v>45421</v>
      </c>
      <c r="D230" s="49">
        <v>45000</v>
      </c>
    </row>
    <row r="231" spans="2:4" ht="12" customHeight="1" x14ac:dyDescent="0.15">
      <c r="B231" s="29" t="s">
        <v>121</v>
      </c>
      <c r="C231" s="144">
        <v>45439</v>
      </c>
      <c r="D231" s="49">
        <v>16931.400000000001</v>
      </c>
    </row>
    <row r="232" spans="2:4" ht="12" customHeight="1" x14ac:dyDescent="0.15">
      <c r="B232" s="18" t="s">
        <v>274</v>
      </c>
      <c r="C232" s="143">
        <v>45467</v>
      </c>
      <c r="D232" s="49">
        <v>12000</v>
      </c>
    </row>
    <row r="233" spans="2:4" ht="12" customHeight="1" x14ac:dyDescent="0.15">
      <c r="B233" s="2"/>
      <c r="C233" s="3"/>
      <c r="D233" s="4"/>
    </row>
    <row r="234" spans="2:4" ht="12" customHeight="1" x14ac:dyDescent="0.15">
      <c r="B234" s="2"/>
      <c r="C234" s="3"/>
      <c r="D234" s="4"/>
    </row>
    <row r="235" spans="2:4" ht="12" customHeight="1" x14ac:dyDescent="0.15">
      <c r="B235" s="65"/>
      <c r="C235" s="143"/>
      <c r="D235" s="49"/>
    </row>
    <row r="236" spans="2:4" ht="12" customHeight="1" x14ac:dyDescent="0.15">
      <c r="B236" s="65"/>
      <c r="C236" s="143"/>
      <c r="D236" s="49"/>
    </row>
    <row r="237" spans="2:4" ht="12" customHeight="1" x14ac:dyDescent="0.15">
      <c r="B237" s="145"/>
      <c r="C237" s="143"/>
      <c r="D237" s="49"/>
    </row>
    <row r="238" spans="2:4" ht="12" customHeight="1" x14ac:dyDescent="0.15">
      <c r="B238" s="145"/>
      <c r="C238" s="143"/>
      <c r="D238" s="49"/>
    </row>
    <row r="239" spans="2:4" ht="12" customHeight="1" x14ac:dyDescent="0.15">
      <c r="B239" s="145"/>
      <c r="C239" s="143"/>
      <c r="D239" s="49"/>
    </row>
    <row r="240" spans="2:4" ht="12" customHeight="1" x14ac:dyDescent="0.15">
      <c r="B240" s="146"/>
      <c r="C240" s="143"/>
      <c r="D240" s="49"/>
    </row>
    <row r="241" spans="2:4" ht="15" customHeight="1" x14ac:dyDescent="0.15">
      <c r="B241" s="131" t="s">
        <v>225</v>
      </c>
      <c r="C241" s="128"/>
      <c r="D241" s="132">
        <f>SUM(D217:D240)</f>
        <v>285488.42</v>
      </c>
    </row>
    <row r="242" spans="2:4" ht="15" customHeight="1" x14ac:dyDescent="0.15">
      <c r="B242" s="65"/>
      <c r="C242" s="3"/>
      <c r="D242" s="147"/>
    </row>
    <row r="243" spans="2:4" ht="15" customHeight="1" x14ac:dyDescent="0.15">
      <c r="B243" s="12" t="s">
        <v>275</v>
      </c>
      <c r="C243" s="13" t="s">
        <v>5</v>
      </c>
      <c r="D243" s="14" t="s">
        <v>203</v>
      </c>
    </row>
    <row r="244" spans="2:4" ht="15" customHeight="1" x14ac:dyDescent="0.15">
      <c r="B244" s="18" t="s">
        <v>109</v>
      </c>
      <c r="C244" s="19">
        <v>45488</v>
      </c>
      <c r="D244" s="20">
        <v>12048</v>
      </c>
    </row>
    <row r="245" spans="2:4" ht="15" customHeight="1" x14ac:dyDescent="0.15">
      <c r="B245" s="18" t="s">
        <v>110</v>
      </c>
      <c r="C245" s="19">
        <v>45488</v>
      </c>
      <c r="D245" s="20">
        <v>7000</v>
      </c>
    </row>
    <row r="246" spans="2:4" ht="15" customHeight="1" x14ac:dyDescent="0.15">
      <c r="B246" s="18" t="s">
        <v>116</v>
      </c>
      <c r="C246" s="19">
        <v>45491</v>
      </c>
      <c r="D246" s="20">
        <v>7500</v>
      </c>
    </row>
    <row r="247" spans="2:4" ht="15" customHeight="1" x14ac:dyDescent="0.15">
      <c r="B247" s="18" t="s">
        <v>117</v>
      </c>
      <c r="C247" s="19">
        <v>45492</v>
      </c>
      <c r="D247" s="20">
        <v>12298.45</v>
      </c>
    </row>
    <row r="248" spans="2:4" ht="15" customHeight="1" x14ac:dyDescent="0.15">
      <c r="B248" s="29" t="s">
        <v>110</v>
      </c>
      <c r="C248" s="26">
        <v>45492</v>
      </c>
      <c r="D248" s="27">
        <v>7000</v>
      </c>
    </row>
    <row r="249" spans="2:4" ht="15" customHeight="1" x14ac:dyDescent="0.15">
      <c r="B249" s="29" t="s">
        <v>118</v>
      </c>
      <c r="C249" s="26">
        <v>45492</v>
      </c>
      <c r="D249" s="27">
        <v>18369.23</v>
      </c>
    </row>
    <row r="250" spans="2:4" ht="15" customHeight="1" x14ac:dyDescent="0.15">
      <c r="B250" s="18" t="s">
        <v>125</v>
      </c>
      <c r="C250" s="19">
        <v>45513</v>
      </c>
      <c r="D250" s="20">
        <v>7500</v>
      </c>
    </row>
    <row r="251" spans="2:4" ht="15" customHeight="1" x14ac:dyDescent="0.15">
      <c r="B251" s="15"/>
      <c r="C251" s="19"/>
      <c r="D251" s="49"/>
    </row>
    <row r="252" spans="2:4" ht="15" customHeight="1" x14ac:dyDescent="0.15">
      <c r="B252" s="142" t="s">
        <v>225</v>
      </c>
      <c r="C252" s="16"/>
      <c r="D252" s="148">
        <f>SUM(D244:D251)</f>
        <v>71715.679999999993</v>
      </c>
    </row>
    <row r="253" spans="2:4" ht="15" customHeight="1" x14ac:dyDescent="0.15">
      <c r="B253" s="65"/>
      <c r="C253" s="3"/>
      <c r="D253" s="4"/>
    </row>
    <row r="254" spans="2:4" ht="15" customHeight="1" x14ac:dyDescent="0.15">
      <c r="B254" s="149" t="s">
        <v>276</v>
      </c>
      <c r="C254" s="13" t="s">
        <v>5</v>
      </c>
      <c r="D254" s="132" t="s">
        <v>203</v>
      </c>
    </row>
    <row r="255" spans="2:4" ht="15" customHeight="1" x14ac:dyDescent="0.2">
      <c r="B255" s="15" t="s">
        <v>25</v>
      </c>
      <c r="C255" s="21">
        <v>45310</v>
      </c>
      <c r="D255" s="150">
        <v>200</v>
      </c>
    </row>
    <row r="256" spans="2:4" ht="15" customHeight="1" x14ac:dyDescent="0.2">
      <c r="B256" s="151" t="s">
        <v>30</v>
      </c>
      <c r="C256" s="152">
        <v>45330</v>
      </c>
      <c r="D256" s="153">
        <v>4000</v>
      </c>
    </row>
    <row r="257" spans="2:4" ht="15" customHeight="1" x14ac:dyDescent="0.2">
      <c r="B257" s="151" t="s">
        <v>277</v>
      </c>
      <c r="C257" s="152">
        <v>45342</v>
      </c>
      <c r="D257" s="153">
        <v>1000</v>
      </c>
    </row>
    <row r="258" spans="2:4" ht="15" customHeight="1" x14ac:dyDescent="0.2">
      <c r="B258" s="18" t="s">
        <v>43</v>
      </c>
      <c r="C258" s="19">
        <v>45342</v>
      </c>
      <c r="D258" s="153">
        <v>200</v>
      </c>
    </row>
    <row r="259" spans="2:4" ht="15" customHeight="1" x14ac:dyDescent="0.2">
      <c r="B259" s="151" t="s">
        <v>277</v>
      </c>
      <c r="C259" s="152">
        <v>45408</v>
      </c>
      <c r="D259" s="153">
        <v>1000</v>
      </c>
    </row>
    <row r="260" spans="2:4" ht="24.75" customHeight="1" x14ac:dyDescent="0.2">
      <c r="B260" s="54" t="s">
        <v>278</v>
      </c>
      <c r="C260" s="55">
        <v>45418</v>
      </c>
      <c r="D260" s="153">
        <v>1000</v>
      </c>
    </row>
    <row r="261" spans="2:4" ht="24.75" customHeight="1" x14ac:dyDescent="0.2">
      <c r="B261" s="54" t="s">
        <v>279</v>
      </c>
      <c r="C261" s="57">
        <v>45443</v>
      </c>
      <c r="D261" s="153">
        <v>1000</v>
      </c>
    </row>
    <row r="262" spans="2:4" ht="20.25" customHeight="1" x14ac:dyDescent="0.2">
      <c r="B262" s="58" t="s">
        <v>280</v>
      </c>
      <c r="C262" s="59">
        <v>45473</v>
      </c>
      <c r="D262" s="153">
        <v>3000</v>
      </c>
    </row>
    <row r="263" spans="2:4" ht="15" customHeight="1" x14ac:dyDescent="0.2">
      <c r="B263" s="18" t="s">
        <v>108</v>
      </c>
      <c r="C263" s="19">
        <v>45481</v>
      </c>
      <c r="D263" s="153">
        <v>5000</v>
      </c>
    </row>
    <row r="264" spans="2:4" ht="15" customHeight="1" x14ac:dyDescent="0.15">
      <c r="B264" s="154" t="s">
        <v>281</v>
      </c>
      <c r="C264" s="19">
        <v>45540</v>
      </c>
      <c r="D264" s="139">
        <v>1000</v>
      </c>
    </row>
    <row r="265" spans="2:4" ht="15" customHeight="1" x14ac:dyDescent="0.15">
      <c r="B265" s="64" t="s">
        <v>172</v>
      </c>
      <c r="C265" s="19">
        <v>45612</v>
      </c>
      <c r="D265" s="4">
        <v>40933.71</v>
      </c>
    </row>
    <row r="266" spans="2:4" ht="15" customHeight="1" x14ac:dyDescent="0.2">
      <c r="B266" s="18"/>
      <c r="C266" s="19"/>
      <c r="D266" s="153"/>
    </row>
    <row r="267" spans="2:4" ht="15" customHeight="1" x14ac:dyDescent="0.2">
      <c r="B267" s="151"/>
      <c r="C267" s="152"/>
      <c r="D267" s="153"/>
    </row>
    <row r="268" spans="2:4" ht="15" customHeight="1" x14ac:dyDescent="0.2">
      <c r="B268" s="155" t="s">
        <v>225</v>
      </c>
      <c r="C268" s="156"/>
      <c r="D268" s="157">
        <f>SUM(D255:D267)</f>
        <v>58333.71</v>
      </c>
    </row>
    <row r="269" spans="2:4" ht="15" customHeight="1" x14ac:dyDescent="0.15">
      <c r="B269" s="65"/>
      <c r="C269" s="3"/>
      <c r="D269" s="4"/>
    </row>
    <row r="270" spans="2:4" ht="15" customHeight="1" x14ac:dyDescent="0.15">
      <c r="B270" s="158" t="s">
        <v>282</v>
      </c>
      <c r="C270" s="3"/>
      <c r="D270" s="90">
        <f>D37+D52+D106+D157+D161+D176+D191+D201+D205+D205+D214+D241+D252</f>
        <v>1051002.1199999999</v>
      </c>
    </row>
    <row r="271" spans="2:4" ht="12" customHeight="1" x14ac:dyDescent="0.15">
      <c r="B271" s="2"/>
      <c r="C271" s="3"/>
      <c r="D271" s="4"/>
    </row>
    <row r="272" spans="2:4" ht="15" customHeight="1" x14ac:dyDescent="0.15">
      <c r="B272" s="158" t="s">
        <v>283</v>
      </c>
      <c r="C272" s="3"/>
      <c r="D272" s="90">
        <f>D268</f>
        <v>58333.71</v>
      </c>
    </row>
    <row r="273" spans="2:4" ht="12" customHeight="1" x14ac:dyDescent="0.15">
      <c r="B273" s="2"/>
      <c r="C273" s="3"/>
      <c r="D273" s="4"/>
    </row>
    <row r="274" spans="2:4" ht="12" customHeight="1" x14ac:dyDescent="0.15">
      <c r="B274" s="158"/>
      <c r="C274" s="3"/>
      <c r="D274" s="75"/>
    </row>
    <row r="275" spans="2:4" ht="12" customHeight="1" x14ac:dyDescent="0.15">
      <c r="B275" s="2"/>
      <c r="C275" s="3"/>
      <c r="D275" s="4"/>
    </row>
    <row r="276" spans="2:4" ht="12" customHeight="1" x14ac:dyDescent="0.15">
      <c r="B276" s="2"/>
      <c r="C276" s="3"/>
      <c r="D276" s="4"/>
    </row>
    <row r="277" spans="2:4" ht="12" customHeight="1" x14ac:dyDescent="0.15">
      <c r="B277" s="2"/>
      <c r="C277" s="3"/>
      <c r="D277" s="4"/>
    </row>
    <row r="278" spans="2:4" ht="12" customHeight="1" x14ac:dyDescent="0.15">
      <c r="B278" s="2"/>
      <c r="C278" s="3"/>
      <c r="D278" s="4"/>
    </row>
    <row r="279" spans="2:4" ht="12" customHeight="1" x14ac:dyDescent="0.15">
      <c r="B279" s="2"/>
      <c r="C279" s="3"/>
      <c r="D279" s="4"/>
    </row>
    <row r="280" spans="2:4" ht="12" customHeight="1" x14ac:dyDescent="0.15">
      <c r="B280" s="2"/>
      <c r="C280" s="3"/>
      <c r="D280" s="4"/>
    </row>
    <row r="281" spans="2:4" ht="12" customHeight="1" x14ac:dyDescent="0.15">
      <c r="B281" s="2"/>
      <c r="C281" s="3"/>
      <c r="D281" s="4"/>
    </row>
    <row r="282" spans="2:4" ht="12" customHeight="1" x14ac:dyDescent="0.15">
      <c r="B282" s="2"/>
      <c r="C282" s="3"/>
      <c r="D282" s="4"/>
    </row>
    <row r="283" spans="2:4" ht="12" customHeight="1" x14ac:dyDescent="0.15">
      <c r="B283" s="2"/>
      <c r="C283" s="3"/>
      <c r="D283" s="4"/>
    </row>
    <row r="284" spans="2:4" ht="12" customHeight="1" x14ac:dyDescent="0.15">
      <c r="B284" s="2"/>
      <c r="C284" s="3"/>
      <c r="D284" s="4"/>
    </row>
    <row r="285" spans="2:4" ht="12" customHeight="1" x14ac:dyDescent="0.15">
      <c r="B285" s="2"/>
      <c r="C285" s="3"/>
      <c r="D285" s="4"/>
    </row>
    <row r="286" spans="2:4" ht="12" customHeight="1" x14ac:dyDescent="0.15">
      <c r="B286" s="2"/>
      <c r="C286" s="3"/>
      <c r="D286" s="4"/>
    </row>
    <row r="287" spans="2:4" ht="12" customHeight="1" x14ac:dyDescent="0.15">
      <c r="B287" s="2"/>
      <c r="C287" s="3"/>
      <c r="D287" s="4"/>
    </row>
    <row r="288" spans="2:4" ht="12" customHeight="1" x14ac:dyDescent="0.15">
      <c r="B288" s="2"/>
      <c r="C288" s="3"/>
      <c r="D288" s="4"/>
    </row>
    <row r="289" spans="2:4" ht="12" customHeight="1" x14ac:dyDescent="0.15">
      <c r="B289" s="2"/>
      <c r="C289" s="3"/>
      <c r="D289" s="4"/>
    </row>
    <row r="290" spans="2:4" ht="12" customHeight="1" x14ac:dyDescent="0.15">
      <c r="B290" s="2"/>
      <c r="C290" s="3"/>
      <c r="D290" s="4"/>
    </row>
    <row r="291" spans="2:4" ht="12" customHeight="1" x14ac:dyDescent="0.15">
      <c r="B291" s="2"/>
      <c r="C291" s="3"/>
      <c r="D291" s="4"/>
    </row>
    <row r="292" spans="2:4" ht="12" customHeight="1" x14ac:dyDescent="0.15">
      <c r="B292" s="2"/>
      <c r="C292" s="3"/>
      <c r="D292" s="4"/>
    </row>
    <row r="293" spans="2:4" ht="12" customHeight="1" x14ac:dyDescent="0.15">
      <c r="B293" s="2"/>
      <c r="C293" s="3"/>
      <c r="D293" s="4"/>
    </row>
    <row r="294" spans="2:4" ht="12" customHeight="1" x14ac:dyDescent="0.15">
      <c r="B294" s="2"/>
      <c r="C294" s="3"/>
      <c r="D294" s="4"/>
    </row>
    <row r="295" spans="2:4" ht="12" customHeight="1" x14ac:dyDescent="0.15">
      <c r="B295" s="2"/>
      <c r="C295" s="3"/>
      <c r="D295" s="4"/>
    </row>
    <row r="296" spans="2:4" ht="12" customHeight="1" x14ac:dyDescent="0.15">
      <c r="B296" s="2"/>
      <c r="C296" s="3"/>
      <c r="D296" s="4"/>
    </row>
    <row r="297" spans="2:4" ht="12" customHeight="1" x14ac:dyDescent="0.15">
      <c r="B297" s="2"/>
      <c r="C297" s="3"/>
      <c r="D297" s="4"/>
    </row>
    <row r="298" spans="2:4" ht="12" customHeight="1" x14ac:dyDescent="0.15">
      <c r="B298" s="2"/>
      <c r="C298" s="3"/>
      <c r="D298" s="4"/>
    </row>
    <row r="299" spans="2:4" ht="12" customHeight="1" x14ac:dyDescent="0.15">
      <c r="B299" s="2"/>
      <c r="C299" s="3"/>
      <c r="D299" s="4"/>
    </row>
    <row r="300" spans="2:4" ht="12" customHeight="1" x14ac:dyDescent="0.15">
      <c r="B300" s="2"/>
      <c r="C300" s="3"/>
      <c r="D300" s="4"/>
    </row>
    <row r="301" spans="2:4" ht="12" customHeight="1" x14ac:dyDescent="0.15">
      <c r="B301" s="2"/>
      <c r="C301" s="3"/>
      <c r="D301" s="4"/>
    </row>
    <row r="302" spans="2:4" ht="12" customHeight="1" x14ac:dyDescent="0.15">
      <c r="B302" s="2"/>
      <c r="C302" s="3"/>
      <c r="D302" s="4"/>
    </row>
    <row r="303" spans="2:4" ht="12" customHeight="1" x14ac:dyDescent="0.15">
      <c r="B303" s="2"/>
      <c r="C303" s="3"/>
      <c r="D303" s="4"/>
    </row>
    <row r="304" spans="2:4" ht="12" customHeight="1" x14ac:dyDescent="0.15">
      <c r="B304" s="2"/>
      <c r="C304" s="3"/>
      <c r="D304" s="4"/>
    </row>
    <row r="305" spans="2:4" ht="12" customHeight="1" x14ac:dyDescent="0.15">
      <c r="B305" s="2"/>
      <c r="C305" s="3"/>
      <c r="D305" s="4"/>
    </row>
    <row r="306" spans="2:4" ht="12" customHeight="1" x14ac:dyDescent="0.15">
      <c r="B306" s="2"/>
      <c r="C306" s="3"/>
      <c r="D306" s="4"/>
    </row>
    <row r="307" spans="2:4" ht="12" customHeight="1" x14ac:dyDescent="0.15">
      <c r="B307" s="2"/>
      <c r="C307" s="3"/>
      <c r="D307" s="4"/>
    </row>
    <row r="308" spans="2:4" ht="12" customHeight="1" x14ac:dyDescent="0.15">
      <c r="B308" s="2"/>
      <c r="C308" s="3"/>
      <c r="D308" s="4"/>
    </row>
    <row r="309" spans="2:4" ht="12" customHeight="1" x14ac:dyDescent="0.15">
      <c r="B309" s="2"/>
      <c r="C309" s="3"/>
      <c r="D309" s="4"/>
    </row>
    <row r="310" spans="2:4" ht="12" customHeight="1" x14ac:dyDescent="0.15">
      <c r="B310" s="2"/>
      <c r="C310" s="3"/>
      <c r="D310" s="4"/>
    </row>
    <row r="311" spans="2:4" ht="12" customHeight="1" x14ac:dyDescent="0.15">
      <c r="B311" s="2"/>
      <c r="C311" s="3"/>
      <c r="D311" s="4"/>
    </row>
    <row r="312" spans="2:4" ht="12" customHeight="1" x14ac:dyDescent="0.15">
      <c r="B312" s="2"/>
      <c r="C312" s="3"/>
      <c r="D312" s="4"/>
    </row>
    <row r="313" spans="2:4" ht="12" customHeight="1" x14ac:dyDescent="0.15">
      <c r="B313" s="2"/>
      <c r="C313" s="3"/>
      <c r="D313" s="4"/>
    </row>
    <row r="314" spans="2:4" ht="12" customHeight="1" x14ac:dyDescent="0.15">
      <c r="B314" s="2"/>
      <c r="C314" s="3"/>
      <c r="D314" s="4"/>
    </row>
    <row r="315" spans="2:4" ht="12" customHeight="1" x14ac:dyDescent="0.15">
      <c r="B315" s="2"/>
      <c r="C315" s="3"/>
      <c r="D315" s="4"/>
    </row>
    <row r="316" spans="2:4" ht="12" customHeight="1" x14ac:dyDescent="0.15">
      <c r="B316" s="2"/>
      <c r="C316" s="3"/>
      <c r="D316" s="4"/>
    </row>
    <row r="317" spans="2:4" ht="12" customHeight="1" x14ac:dyDescent="0.15">
      <c r="B317" s="2"/>
      <c r="C317" s="3"/>
      <c r="D317" s="4"/>
    </row>
    <row r="318" spans="2:4" ht="12" customHeight="1" x14ac:dyDescent="0.15">
      <c r="B318" s="2"/>
      <c r="C318" s="3"/>
      <c r="D318" s="4"/>
    </row>
    <row r="319" spans="2:4" ht="12" customHeight="1" x14ac:dyDescent="0.15">
      <c r="B319" s="2"/>
      <c r="C319" s="3"/>
      <c r="D319" s="4"/>
    </row>
    <row r="320" spans="2:4" ht="12" customHeight="1" x14ac:dyDescent="0.15">
      <c r="B320" s="2"/>
      <c r="C320" s="3"/>
      <c r="D320" s="4"/>
    </row>
    <row r="321" spans="2:4" ht="12" customHeight="1" x14ac:dyDescent="0.15">
      <c r="B321" s="2"/>
      <c r="C321" s="3"/>
      <c r="D321" s="4"/>
    </row>
    <row r="322" spans="2:4" ht="12" customHeight="1" x14ac:dyDescent="0.15">
      <c r="B322" s="2"/>
      <c r="C322" s="3"/>
      <c r="D322" s="4"/>
    </row>
    <row r="323" spans="2:4" ht="12" customHeight="1" x14ac:dyDescent="0.15">
      <c r="B323" s="2"/>
      <c r="C323" s="3"/>
      <c r="D323" s="4"/>
    </row>
    <row r="324" spans="2:4" ht="12" customHeight="1" x14ac:dyDescent="0.15">
      <c r="B324" s="2"/>
      <c r="C324" s="3"/>
      <c r="D324" s="4"/>
    </row>
    <row r="325" spans="2:4" ht="12" customHeight="1" x14ac:dyDescent="0.15">
      <c r="B325" s="2"/>
      <c r="C325" s="3"/>
      <c r="D325" s="4"/>
    </row>
    <row r="326" spans="2:4" ht="12" customHeight="1" x14ac:dyDescent="0.15">
      <c r="B326" s="2"/>
      <c r="C326" s="3"/>
      <c r="D326" s="4"/>
    </row>
    <row r="327" spans="2:4" ht="12" customHeight="1" x14ac:dyDescent="0.15">
      <c r="B327" s="2"/>
      <c r="C327" s="3"/>
      <c r="D327" s="4"/>
    </row>
    <row r="328" spans="2:4" ht="12" customHeight="1" x14ac:dyDescent="0.15">
      <c r="B328" s="2"/>
      <c r="C328" s="3"/>
      <c r="D328" s="4"/>
    </row>
    <row r="329" spans="2:4" ht="12" customHeight="1" x14ac:dyDescent="0.15">
      <c r="B329" s="2"/>
      <c r="C329" s="3"/>
      <c r="D329" s="4"/>
    </row>
    <row r="330" spans="2:4" ht="12" customHeight="1" x14ac:dyDescent="0.15">
      <c r="B330" s="2"/>
      <c r="C330" s="3"/>
      <c r="D330" s="4"/>
    </row>
    <row r="331" spans="2:4" ht="12" customHeight="1" x14ac:dyDescent="0.15">
      <c r="B331" s="2"/>
      <c r="C331" s="3"/>
      <c r="D331" s="4"/>
    </row>
    <row r="332" spans="2:4" ht="12" customHeight="1" x14ac:dyDescent="0.15">
      <c r="B332" s="2"/>
      <c r="C332" s="3"/>
      <c r="D332" s="4"/>
    </row>
    <row r="333" spans="2:4" ht="12" customHeight="1" x14ac:dyDescent="0.15">
      <c r="B333" s="2"/>
      <c r="C333" s="3"/>
      <c r="D333" s="4"/>
    </row>
    <row r="334" spans="2:4" ht="12" customHeight="1" x14ac:dyDescent="0.15">
      <c r="B334" s="2"/>
      <c r="C334" s="3"/>
      <c r="D334" s="4"/>
    </row>
    <row r="335" spans="2:4" ht="12" customHeight="1" x14ac:dyDescent="0.15">
      <c r="B335" s="2"/>
      <c r="C335" s="3"/>
      <c r="D335" s="4"/>
    </row>
    <row r="336" spans="2:4" ht="12" customHeight="1" x14ac:dyDescent="0.15">
      <c r="B336" s="2"/>
      <c r="C336" s="3"/>
      <c r="D336" s="4"/>
    </row>
    <row r="337" spans="2:4" ht="12" customHeight="1" x14ac:dyDescent="0.15">
      <c r="B337" s="2"/>
      <c r="C337" s="3"/>
      <c r="D337" s="4"/>
    </row>
    <row r="338" spans="2:4" ht="12" customHeight="1" x14ac:dyDescent="0.15">
      <c r="B338" s="2"/>
      <c r="C338" s="3"/>
      <c r="D338" s="4"/>
    </row>
    <row r="339" spans="2:4" ht="12" customHeight="1" x14ac:dyDescent="0.15">
      <c r="B339" s="2"/>
      <c r="C339" s="3"/>
      <c r="D339" s="4"/>
    </row>
    <row r="340" spans="2:4" ht="12" customHeight="1" x14ac:dyDescent="0.15">
      <c r="B340" s="2"/>
      <c r="C340" s="3"/>
      <c r="D340" s="4"/>
    </row>
    <row r="341" spans="2:4" ht="12" customHeight="1" x14ac:dyDescent="0.15">
      <c r="B341" s="2"/>
      <c r="C341" s="3"/>
      <c r="D341" s="4"/>
    </row>
    <row r="342" spans="2:4" ht="12" customHeight="1" x14ac:dyDescent="0.15">
      <c r="B342" s="2"/>
      <c r="C342" s="3"/>
      <c r="D342" s="4"/>
    </row>
    <row r="343" spans="2:4" ht="12" customHeight="1" x14ac:dyDescent="0.15">
      <c r="B343" s="2"/>
      <c r="C343" s="3"/>
      <c r="D343" s="4"/>
    </row>
    <row r="344" spans="2:4" ht="12" customHeight="1" x14ac:dyDescent="0.15">
      <c r="B344" s="2"/>
      <c r="C344" s="3"/>
      <c r="D344" s="4"/>
    </row>
    <row r="345" spans="2:4" ht="12" customHeight="1" x14ac:dyDescent="0.15">
      <c r="B345" s="2"/>
      <c r="C345" s="3"/>
      <c r="D345" s="4"/>
    </row>
    <row r="346" spans="2:4" ht="12" customHeight="1" x14ac:dyDescent="0.15">
      <c r="B346" s="2"/>
      <c r="C346" s="3"/>
      <c r="D346" s="4"/>
    </row>
    <row r="347" spans="2:4" ht="12" customHeight="1" x14ac:dyDescent="0.15">
      <c r="B347" s="2"/>
      <c r="C347" s="3"/>
      <c r="D347" s="4"/>
    </row>
    <row r="348" spans="2:4" ht="12" customHeight="1" x14ac:dyDescent="0.15">
      <c r="B348" s="2"/>
      <c r="C348" s="3"/>
      <c r="D348" s="4"/>
    </row>
    <row r="349" spans="2:4" ht="12" customHeight="1" x14ac:dyDescent="0.15">
      <c r="B349" s="2"/>
      <c r="C349" s="3"/>
      <c r="D349" s="4"/>
    </row>
    <row r="350" spans="2:4" ht="12" customHeight="1" x14ac:dyDescent="0.15">
      <c r="B350" s="2"/>
      <c r="C350" s="3"/>
      <c r="D350" s="4"/>
    </row>
    <row r="351" spans="2:4" ht="12" customHeight="1" x14ac:dyDescent="0.15">
      <c r="B351" s="2"/>
      <c r="C351" s="3"/>
      <c r="D351" s="4"/>
    </row>
    <row r="352" spans="2:4" ht="12" customHeight="1" x14ac:dyDescent="0.15">
      <c r="B352" s="2"/>
      <c r="C352" s="3"/>
      <c r="D352" s="4"/>
    </row>
    <row r="353" spans="2:4" ht="12" customHeight="1" x14ac:dyDescent="0.15">
      <c r="B353" s="2"/>
      <c r="C353" s="3"/>
      <c r="D353" s="4"/>
    </row>
    <row r="354" spans="2:4" ht="12" customHeight="1" x14ac:dyDescent="0.15">
      <c r="B354" s="2"/>
      <c r="C354" s="3"/>
      <c r="D354" s="4"/>
    </row>
    <row r="355" spans="2:4" ht="12" customHeight="1" x14ac:dyDescent="0.15">
      <c r="B355" s="2"/>
      <c r="C355" s="3"/>
      <c r="D355" s="4"/>
    </row>
    <row r="356" spans="2:4" ht="12" customHeight="1" x14ac:dyDescent="0.15">
      <c r="B356" s="2"/>
      <c r="C356" s="3"/>
      <c r="D356" s="4"/>
    </row>
    <row r="357" spans="2:4" ht="12" customHeight="1" x14ac:dyDescent="0.15">
      <c r="B357" s="2"/>
      <c r="C357" s="3"/>
      <c r="D357" s="4"/>
    </row>
    <row r="358" spans="2:4" ht="12" customHeight="1" x14ac:dyDescent="0.15">
      <c r="B358" s="2"/>
      <c r="C358" s="3"/>
      <c r="D358" s="4"/>
    </row>
    <row r="359" spans="2:4" ht="12" customHeight="1" x14ac:dyDescent="0.15">
      <c r="B359" s="2"/>
      <c r="C359" s="3"/>
      <c r="D359" s="4"/>
    </row>
    <row r="360" spans="2:4" ht="12" customHeight="1" x14ac:dyDescent="0.15">
      <c r="B360" s="2"/>
      <c r="C360" s="3"/>
      <c r="D360" s="4"/>
    </row>
    <row r="361" spans="2:4" ht="12" customHeight="1" x14ac:dyDescent="0.15">
      <c r="B361" s="2"/>
      <c r="C361" s="3"/>
      <c r="D361" s="4"/>
    </row>
    <row r="362" spans="2:4" ht="12" customHeight="1" x14ac:dyDescent="0.15">
      <c r="B362" s="2"/>
      <c r="C362" s="3"/>
      <c r="D362" s="4"/>
    </row>
    <row r="363" spans="2:4" ht="12" customHeight="1" x14ac:dyDescent="0.15">
      <c r="B363" s="2"/>
      <c r="C363" s="3"/>
      <c r="D363" s="4"/>
    </row>
    <row r="364" spans="2:4" ht="12" customHeight="1" x14ac:dyDescent="0.15">
      <c r="B364" s="2"/>
      <c r="C364" s="3"/>
      <c r="D364" s="4"/>
    </row>
    <row r="365" spans="2:4" ht="12" customHeight="1" x14ac:dyDescent="0.15">
      <c r="B365" s="2"/>
      <c r="C365" s="3"/>
      <c r="D365" s="4"/>
    </row>
    <row r="366" spans="2:4" ht="12" customHeight="1" x14ac:dyDescent="0.15">
      <c r="B366" s="2"/>
      <c r="C366" s="3"/>
      <c r="D366" s="4"/>
    </row>
    <row r="367" spans="2:4" ht="12" customHeight="1" x14ac:dyDescent="0.15">
      <c r="B367" s="2"/>
      <c r="C367" s="3"/>
      <c r="D367" s="4"/>
    </row>
    <row r="368" spans="2:4" ht="12" customHeight="1" x14ac:dyDescent="0.15">
      <c r="B368" s="2"/>
      <c r="C368" s="3"/>
      <c r="D368" s="4"/>
    </row>
    <row r="369" spans="2:4" ht="12" customHeight="1" x14ac:dyDescent="0.15">
      <c r="B369" s="2"/>
      <c r="C369" s="3"/>
      <c r="D369" s="4"/>
    </row>
    <row r="370" spans="2:4" ht="12" customHeight="1" x14ac:dyDescent="0.15">
      <c r="B370" s="2"/>
      <c r="C370" s="3"/>
      <c r="D370" s="4"/>
    </row>
    <row r="371" spans="2:4" ht="12" customHeight="1" x14ac:dyDescent="0.15">
      <c r="B371" s="2"/>
      <c r="C371" s="3"/>
      <c r="D371" s="4"/>
    </row>
    <row r="372" spans="2:4" ht="12" customHeight="1" x14ac:dyDescent="0.15">
      <c r="B372" s="2"/>
      <c r="C372" s="3"/>
      <c r="D372" s="4"/>
    </row>
    <row r="373" spans="2:4" ht="12" customHeight="1" x14ac:dyDescent="0.15">
      <c r="B373" s="2"/>
      <c r="C373" s="3"/>
      <c r="D373" s="4"/>
    </row>
    <row r="374" spans="2:4" ht="12" customHeight="1" x14ac:dyDescent="0.15">
      <c r="B374" s="2"/>
      <c r="C374" s="3"/>
      <c r="D374" s="4"/>
    </row>
    <row r="375" spans="2:4" ht="12" customHeight="1" x14ac:dyDescent="0.15">
      <c r="B375" s="2"/>
      <c r="C375" s="3"/>
      <c r="D375" s="4"/>
    </row>
    <row r="376" spans="2:4" ht="12" customHeight="1" x14ac:dyDescent="0.15">
      <c r="B376" s="2"/>
      <c r="C376" s="3"/>
      <c r="D376" s="4"/>
    </row>
    <row r="377" spans="2:4" ht="12" customHeight="1" x14ac:dyDescent="0.15">
      <c r="B377" s="2"/>
      <c r="C377" s="3"/>
      <c r="D377" s="4"/>
    </row>
    <row r="378" spans="2:4" ht="12" customHeight="1" x14ac:dyDescent="0.15">
      <c r="B378" s="2"/>
      <c r="C378" s="3"/>
      <c r="D378" s="4"/>
    </row>
    <row r="379" spans="2:4" ht="12" customHeight="1" x14ac:dyDescent="0.15">
      <c r="B379" s="2"/>
      <c r="C379" s="3"/>
      <c r="D379" s="4"/>
    </row>
    <row r="380" spans="2:4" ht="12" customHeight="1" x14ac:dyDescent="0.15">
      <c r="B380" s="2"/>
      <c r="C380" s="3"/>
      <c r="D380" s="4"/>
    </row>
    <row r="381" spans="2:4" ht="12" customHeight="1" x14ac:dyDescent="0.15">
      <c r="B381" s="2"/>
      <c r="C381" s="3"/>
      <c r="D381" s="4"/>
    </row>
    <row r="382" spans="2:4" ht="12" customHeight="1" x14ac:dyDescent="0.15">
      <c r="B382" s="2"/>
      <c r="C382" s="3"/>
      <c r="D382" s="4"/>
    </row>
    <row r="383" spans="2:4" ht="12" customHeight="1" x14ac:dyDescent="0.15">
      <c r="B383" s="2"/>
      <c r="C383" s="3"/>
      <c r="D383" s="4"/>
    </row>
    <row r="384" spans="2:4" ht="12" customHeight="1" x14ac:dyDescent="0.15">
      <c r="B384" s="2"/>
      <c r="C384" s="3"/>
      <c r="D384" s="4"/>
    </row>
    <row r="385" spans="2:4" ht="12" customHeight="1" x14ac:dyDescent="0.15">
      <c r="B385" s="2"/>
      <c r="C385" s="3"/>
      <c r="D385" s="4"/>
    </row>
    <row r="386" spans="2:4" ht="12" customHeight="1" x14ac:dyDescent="0.15">
      <c r="B386" s="2"/>
      <c r="C386" s="3"/>
      <c r="D386" s="4"/>
    </row>
    <row r="387" spans="2:4" ht="12" customHeight="1" x14ac:dyDescent="0.15">
      <c r="B387" s="2"/>
      <c r="C387" s="3"/>
      <c r="D387" s="4"/>
    </row>
    <row r="388" spans="2:4" ht="12" customHeight="1" x14ac:dyDescent="0.15">
      <c r="B388" s="2"/>
      <c r="C388" s="3"/>
      <c r="D388" s="4"/>
    </row>
    <row r="389" spans="2:4" ht="12" customHeight="1" x14ac:dyDescent="0.15">
      <c r="B389" s="2"/>
      <c r="C389" s="3"/>
      <c r="D389" s="4"/>
    </row>
    <row r="390" spans="2:4" ht="12" customHeight="1" x14ac:dyDescent="0.15">
      <c r="B390" s="2"/>
      <c r="C390" s="3"/>
      <c r="D390" s="4"/>
    </row>
    <row r="391" spans="2:4" ht="12" customHeight="1" x14ac:dyDescent="0.15">
      <c r="B391" s="2"/>
      <c r="C391" s="3"/>
      <c r="D391" s="4"/>
    </row>
    <row r="392" spans="2:4" ht="12" customHeight="1" x14ac:dyDescent="0.15">
      <c r="B392" s="2"/>
      <c r="C392" s="3"/>
      <c r="D392" s="4"/>
    </row>
    <row r="393" spans="2:4" ht="12" customHeight="1" x14ac:dyDescent="0.15">
      <c r="B393" s="2"/>
      <c r="C393" s="3"/>
      <c r="D393" s="4"/>
    </row>
    <row r="394" spans="2:4" ht="12" customHeight="1" x14ac:dyDescent="0.15">
      <c r="B394" s="2"/>
      <c r="C394" s="3"/>
      <c r="D394" s="4"/>
    </row>
    <row r="395" spans="2:4" ht="12" customHeight="1" x14ac:dyDescent="0.15">
      <c r="B395" s="2"/>
      <c r="C395" s="3"/>
      <c r="D395" s="4"/>
    </row>
    <row r="396" spans="2:4" ht="12" customHeight="1" x14ac:dyDescent="0.15">
      <c r="B396" s="2"/>
      <c r="C396" s="3"/>
      <c r="D396" s="4"/>
    </row>
    <row r="397" spans="2:4" ht="12" customHeight="1" x14ac:dyDescent="0.15">
      <c r="B397" s="2"/>
      <c r="C397" s="3"/>
      <c r="D397" s="4"/>
    </row>
    <row r="398" spans="2:4" ht="12" customHeight="1" x14ac:dyDescent="0.15">
      <c r="B398" s="2"/>
      <c r="C398" s="3"/>
      <c r="D398" s="4"/>
    </row>
    <row r="399" spans="2:4" ht="12" customHeight="1" x14ac:dyDescent="0.15">
      <c r="B399" s="2"/>
      <c r="C399" s="3"/>
      <c r="D399" s="4"/>
    </row>
    <row r="400" spans="2:4" ht="12" customHeight="1" x14ac:dyDescent="0.15">
      <c r="B400" s="2"/>
      <c r="C400" s="3"/>
      <c r="D400" s="4"/>
    </row>
    <row r="401" spans="2:4" ht="12" customHeight="1" x14ac:dyDescent="0.15">
      <c r="B401" s="2"/>
      <c r="C401" s="3"/>
      <c r="D401" s="4"/>
    </row>
    <row r="402" spans="2:4" ht="12" customHeight="1" x14ac:dyDescent="0.15">
      <c r="B402" s="2"/>
      <c r="C402" s="3"/>
      <c r="D402" s="4"/>
    </row>
    <row r="403" spans="2:4" ht="12" customHeight="1" x14ac:dyDescent="0.15">
      <c r="B403" s="2"/>
      <c r="C403" s="3"/>
      <c r="D403" s="4"/>
    </row>
    <row r="404" spans="2:4" ht="12" customHeight="1" x14ac:dyDescent="0.15">
      <c r="B404" s="2"/>
      <c r="C404" s="3"/>
      <c r="D404" s="4"/>
    </row>
    <row r="405" spans="2:4" ht="12" customHeight="1" x14ac:dyDescent="0.15">
      <c r="B405" s="2"/>
      <c r="C405" s="3"/>
      <c r="D405" s="4"/>
    </row>
    <row r="406" spans="2:4" ht="12" customHeight="1" x14ac:dyDescent="0.15">
      <c r="B406" s="2"/>
      <c r="C406" s="3"/>
      <c r="D406" s="4"/>
    </row>
    <row r="407" spans="2:4" ht="12" customHeight="1" x14ac:dyDescent="0.15">
      <c r="B407" s="2"/>
      <c r="C407" s="3"/>
      <c r="D407" s="4"/>
    </row>
    <row r="408" spans="2:4" ht="12" customHeight="1" x14ac:dyDescent="0.15">
      <c r="B408" s="2"/>
      <c r="C408" s="3"/>
      <c r="D408" s="4"/>
    </row>
    <row r="409" spans="2:4" ht="12" customHeight="1" x14ac:dyDescent="0.15">
      <c r="B409" s="2"/>
      <c r="C409" s="3"/>
      <c r="D409" s="4"/>
    </row>
    <row r="410" spans="2:4" ht="12" customHeight="1" x14ac:dyDescent="0.15">
      <c r="B410" s="2"/>
      <c r="C410" s="3"/>
      <c r="D410" s="4"/>
    </row>
    <row r="411" spans="2:4" ht="12" customHeight="1" x14ac:dyDescent="0.15">
      <c r="B411" s="2"/>
      <c r="C411" s="3"/>
      <c r="D411" s="4"/>
    </row>
    <row r="412" spans="2:4" ht="12" customHeight="1" x14ac:dyDescent="0.15">
      <c r="B412" s="2"/>
      <c r="C412" s="3"/>
      <c r="D412" s="4"/>
    </row>
    <row r="413" spans="2:4" ht="12" customHeight="1" x14ac:dyDescent="0.15">
      <c r="B413" s="2"/>
      <c r="C413" s="3"/>
      <c r="D413" s="4"/>
    </row>
    <row r="414" spans="2:4" ht="12" customHeight="1" x14ac:dyDescent="0.15">
      <c r="B414" s="2"/>
      <c r="C414" s="3"/>
      <c r="D414" s="4"/>
    </row>
    <row r="415" spans="2:4" ht="12" customHeight="1" x14ac:dyDescent="0.15">
      <c r="B415" s="2"/>
      <c r="C415" s="3"/>
      <c r="D415" s="4"/>
    </row>
    <row r="416" spans="2:4" ht="12" customHeight="1" x14ac:dyDescent="0.15">
      <c r="B416" s="2"/>
      <c r="C416" s="3"/>
      <c r="D416" s="4"/>
    </row>
    <row r="417" spans="2:4" ht="12" customHeight="1" x14ac:dyDescent="0.15">
      <c r="B417" s="2"/>
      <c r="C417" s="3"/>
      <c r="D417" s="4"/>
    </row>
    <row r="418" spans="2:4" ht="12" customHeight="1" x14ac:dyDescent="0.15">
      <c r="B418" s="2"/>
      <c r="C418" s="3"/>
      <c r="D418" s="4"/>
    </row>
    <row r="419" spans="2:4" ht="12" customHeight="1" x14ac:dyDescent="0.15">
      <c r="B419" s="2"/>
      <c r="C419" s="3"/>
      <c r="D419" s="4"/>
    </row>
    <row r="420" spans="2:4" ht="12" customHeight="1" x14ac:dyDescent="0.15">
      <c r="B420" s="2"/>
      <c r="C420" s="3"/>
      <c r="D420" s="4"/>
    </row>
    <row r="421" spans="2:4" ht="12" customHeight="1" x14ac:dyDescent="0.15">
      <c r="B421" s="2"/>
      <c r="C421" s="3"/>
      <c r="D421" s="4"/>
    </row>
    <row r="422" spans="2:4" ht="12" customHeight="1" x14ac:dyDescent="0.15">
      <c r="B422" s="2"/>
      <c r="C422" s="3"/>
      <c r="D422" s="4"/>
    </row>
    <row r="423" spans="2:4" ht="12" customHeight="1" x14ac:dyDescent="0.15">
      <c r="B423" s="2"/>
      <c r="C423" s="3"/>
      <c r="D423" s="4"/>
    </row>
    <row r="424" spans="2:4" ht="12" customHeight="1" x14ac:dyDescent="0.15">
      <c r="B424" s="2"/>
      <c r="C424" s="3"/>
      <c r="D424" s="4"/>
    </row>
    <row r="425" spans="2:4" ht="12" customHeight="1" x14ac:dyDescent="0.15">
      <c r="B425" s="2"/>
      <c r="C425" s="3"/>
      <c r="D425" s="4"/>
    </row>
    <row r="426" spans="2:4" ht="12" customHeight="1" x14ac:dyDescent="0.15">
      <c r="B426" s="2"/>
      <c r="C426" s="3"/>
      <c r="D426" s="4"/>
    </row>
    <row r="427" spans="2:4" ht="12" customHeight="1" x14ac:dyDescent="0.15">
      <c r="B427" s="2"/>
      <c r="C427" s="3"/>
      <c r="D427" s="4"/>
    </row>
    <row r="428" spans="2:4" ht="12" customHeight="1" x14ac:dyDescent="0.15">
      <c r="B428" s="2"/>
      <c r="C428" s="3"/>
      <c r="D428" s="4"/>
    </row>
    <row r="429" spans="2:4" ht="12" customHeight="1" x14ac:dyDescent="0.15">
      <c r="B429" s="2"/>
      <c r="C429" s="3"/>
      <c r="D429" s="4"/>
    </row>
    <row r="430" spans="2:4" ht="12" customHeight="1" x14ac:dyDescent="0.15">
      <c r="B430" s="2"/>
      <c r="C430" s="3"/>
      <c r="D430" s="4"/>
    </row>
    <row r="431" spans="2:4" ht="12" customHeight="1" x14ac:dyDescent="0.15">
      <c r="B431" s="2"/>
      <c r="C431" s="3"/>
      <c r="D431" s="4"/>
    </row>
    <row r="432" spans="2:4" ht="12" customHeight="1" x14ac:dyDescent="0.15">
      <c r="B432" s="2"/>
      <c r="C432" s="3"/>
      <c r="D432" s="4"/>
    </row>
    <row r="433" spans="2:4" ht="12" customHeight="1" x14ac:dyDescent="0.15">
      <c r="B433" s="2"/>
      <c r="C433" s="3"/>
      <c r="D433" s="4"/>
    </row>
    <row r="434" spans="2:4" ht="12" customHeight="1" x14ac:dyDescent="0.15">
      <c r="B434" s="2"/>
      <c r="C434" s="3"/>
      <c r="D434" s="4"/>
    </row>
    <row r="435" spans="2:4" ht="12" customHeight="1" x14ac:dyDescent="0.15">
      <c r="B435" s="2"/>
      <c r="C435" s="3"/>
      <c r="D435" s="4"/>
    </row>
    <row r="436" spans="2:4" ht="12" customHeight="1" x14ac:dyDescent="0.15">
      <c r="B436" s="2"/>
      <c r="C436" s="3"/>
      <c r="D436" s="4"/>
    </row>
    <row r="437" spans="2:4" ht="12" customHeight="1" x14ac:dyDescent="0.15">
      <c r="B437" s="2"/>
      <c r="C437" s="3"/>
      <c r="D437" s="4"/>
    </row>
    <row r="438" spans="2:4" ht="12" customHeight="1" x14ac:dyDescent="0.15">
      <c r="B438" s="2"/>
      <c r="C438" s="3"/>
      <c r="D438" s="4"/>
    </row>
    <row r="439" spans="2:4" ht="12" customHeight="1" x14ac:dyDescent="0.15">
      <c r="B439" s="2"/>
      <c r="C439" s="3"/>
      <c r="D439" s="4"/>
    </row>
    <row r="440" spans="2:4" ht="12" customHeight="1" x14ac:dyDescent="0.15">
      <c r="B440" s="2"/>
      <c r="C440" s="3"/>
      <c r="D440" s="4"/>
    </row>
    <row r="441" spans="2:4" ht="12" customHeight="1" x14ac:dyDescent="0.15">
      <c r="B441" s="2"/>
      <c r="C441" s="3"/>
      <c r="D441" s="4"/>
    </row>
    <row r="442" spans="2:4" ht="12" customHeight="1" x14ac:dyDescent="0.15">
      <c r="B442" s="2"/>
      <c r="C442" s="3"/>
      <c r="D442" s="4"/>
    </row>
    <row r="443" spans="2:4" ht="12" customHeight="1" x14ac:dyDescent="0.15">
      <c r="B443" s="2"/>
      <c r="C443" s="3"/>
      <c r="D443" s="4"/>
    </row>
    <row r="444" spans="2:4" ht="12" customHeight="1" x14ac:dyDescent="0.15">
      <c r="B444" s="2"/>
      <c r="C444" s="3"/>
      <c r="D444" s="4"/>
    </row>
    <row r="445" spans="2:4" ht="12" customHeight="1" x14ac:dyDescent="0.15">
      <c r="B445" s="2"/>
      <c r="C445" s="3"/>
      <c r="D445" s="4"/>
    </row>
    <row r="446" spans="2:4" ht="12" customHeight="1" x14ac:dyDescent="0.15">
      <c r="B446" s="2"/>
      <c r="C446" s="3"/>
      <c r="D446" s="4"/>
    </row>
    <row r="447" spans="2:4" ht="12" customHeight="1" x14ac:dyDescent="0.15">
      <c r="B447" s="2"/>
      <c r="C447" s="3"/>
      <c r="D447" s="4"/>
    </row>
    <row r="448" spans="2:4" ht="12" customHeight="1" x14ac:dyDescent="0.15">
      <c r="B448" s="2"/>
      <c r="C448" s="3"/>
      <c r="D448" s="4"/>
    </row>
    <row r="449" spans="2:4" ht="12" customHeight="1" x14ac:dyDescent="0.15">
      <c r="B449" s="2"/>
      <c r="C449" s="3"/>
      <c r="D449" s="4"/>
    </row>
    <row r="450" spans="2:4" ht="12" customHeight="1" x14ac:dyDescent="0.15">
      <c r="B450" s="2"/>
      <c r="C450" s="3"/>
      <c r="D450" s="4"/>
    </row>
    <row r="451" spans="2:4" ht="12" customHeight="1" x14ac:dyDescent="0.15">
      <c r="B451" s="2"/>
      <c r="C451" s="3"/>
      <c r="D451" s="4"/>
    </row>
    <row r="452" spans="2:4" ht="12" customHeight="1" x14ac:dyDescent="0.15">
      <c r="B452" s="2"/>
      <c r="C452" s="3"/>
      <c r="D452" s="4"/>
    </row>
    <row r="453" spans="2:4" ht="12" customHeight="1" x14ac:dyDescent="0.15">
      <c r="B453" s="2"/>
      <c r="C453" s="3"/>
      <c r="D453" s="4"/>
    </row>
    <row r="454" spans="2:4" ht="12" customHeight="1" x14ac:dyDescent="0.15">
      <c r="B454" s="2"/>
      <c r="C454" s="3"/>
      <c r="D454" s="4"/>
    </row>
    <row r="455" spans="2:4" ht="12" customHeight="1" x14ac:dyDescent="0.15">
      <c r="B455" s="2"/>
      <c r="C455" s="3"/>
      <c r="D455" s="4"/>
    </row>
    <row r="456" spans="2:4" ht="12" customHeight="1" x14ac:dyDescent="0.15">
      <c r="B456" s="2"/>
      <c r="C456" s="3"/>
      <c r="D456" s="4"/>
    </row>
    <row r="457" spans="2:4" ht="12" customHeight="1" x14ac:dyDescent="0.15">
      <c r="B457" s="2"/>
      <c r="C457" s="3"/>
      <c r="D457" s="4"/>
    </row>
    <row r="458" spans="2:4" ht="12" customHeight="1" x14ac:dyDescent="0.15">
      <c r="B458" s="2"/>
      <c r="C458" s="3"/>
      <c r="D458" s="4"/>
    </row>
    <row r="459" spans="2:4" ht="12" customHeight="1" x14ac:dyDescent="0.15">
      <c r="B459" s="2"/>
      <c r="C459" s="3"/>
      <c r="D459" s="4"/>
    </row>
    <row r="460" spans="2:4" ht="12" customHeight="1" x14ac:dyDescent="0.15">
      <c r="B460" s="2"/>
      <c r="C460" s="3"/>
      <c r="D460" s="4"/>
    </row>
    <row r="461" spans="2:4" ht="12" customHeight="1" x14ac:dyDescent="0.15">
      <c r="B461" s="2"/>
      <c r="C461" s="3"/>
      <c r="D461" s="4"/>
    </row>
    <row r="462" spans="2:4" ht="12" customHeight="1" x14ac:dyDescent="0.15">
      <c r="B462" s="2"/>
      <c r="C462" s="3"/>
      <c r="D462" s="4"/>
    </row>
    <row r="463" spans="2:4" ht="12" customHeight="1" x14ac:dyDescent="0.15">
      <c r="B463" s="2"/>
      <c r="C463" s="3"/>
      <c r="D463" s="4"/>
    </row>
    <row r="464" spans="2:4" ht="12" customHeight="1" x14ac:dyDescent="0.15">
      <c r="B464" s="2"/>
      <c r="C464" s="3"/>
      <c r="D464" s="4"/>
    </row>
    <row r="465" spans="2:4" ht="12" customHeight="1" x14ac:dyDescent="0.15">
      <c r="B465" s="2"/>
      <c r="C465" s="3"/>
      <c r="D465" s="4"/>
    </row>
    <row r="466" spans="2:4" ht="12" customHeight="1" x14ac:dyDescent="0.15">
      <c r="B466" s="2"/>
      <c r="C466" s="3"/>
      <c r="D466" s="4"/>
    </row>
    <row r="467" spans="2:4" ht="12" customHeight="1" x14ac:dyDescent="0.15">
      <c r="B467" s="2"/>
      <c r="C467" s="3"/>
      <c r="D467" s="4"/>
    </row>
    <row r="468" spans="2:4" ht="12" customHeight="1" x14ac:dyDescent="0.15">
      <c r="B468" s="2"/>
      <c r="C468" s="3"/>
      <c r="D468" s="4"/>
    </row>
    <row r="469" spans="2:4" ht="12" customHeight="1" x14ac:dyDescent="0.15">
      <c r="B469" s="2"/>
      <c r="C469" s="3"/>
      <c r="D469" s="4"/>
    </row>
    <row r="470" spans="2:4" ht="12" customHeight="1" x14ac:dyDescent="0.15">
      <c r="B470" s="2"/>
      <c r="C470" s="3"/>
      <c r="D470" s="4"/>
    </row>
    <row r="471" spans="2:4" ht="12" customHeight="1" x14ac:dyDescent="0.15">
      <c r="B471" s="2"/>
      <c r="C471" s="3"/>
      <c r="D471" s="4"/>
    </row>
    <row r="472" spans="2:4" ht="12" customHeight="1" x14ac:dyDescent="0.15">
      <c r="B472" s="2"/>
      <c r="C472" s="3"/>
      <c r="D472" s="4"/>
    </row>
    <row r="473" spans="2:4" ht="12" customHeight="1" x14ac:dyDescent="0.15">
      <c r="B473" s="2"/>
      <c r="C473" s="3"/>
      <c r="D473" s="4"/>
    </row>
    <row r="474" spans="2:4" ht="12" customHeight="1" x14ac:dyDescent="0.15">
      <c r="B474" s="2"/>
      <c r="C474" s="3"/>
      <c r="D474" s="4"/>
    </row>
    <row r="475" spans="2:4" ht="12" customHeight="1" x14ac:dyDescent="0.15">
      <c r="B475" s="2"/>
      <c r="C475" s="3"/>
      <c r="D475" s="4"/>
    </row>
    <row r="476" spans="2:4" ht="12" customHeight="1" x14ac:dyDescent="0.15">
      <c r="B476" s="2"/>
      <c r="C476" s="3"/>
      <c r="D476" s="4"/>
    </row>
    <row r="477" spans="2:4" ht="12" customHeight="1" x14ac:dyDescent="0.15">
      <c r="B477" s="2"/>
      <c r="C477" s="3"/>
      <c r="D477" s="4"/>
    </row>
    <row r="478" spans="2:4" ht="12" customHeight="1" x14ac:dyDescent="0.15">
      <c r="B478" s="2"/>
      <c r="C478" s="3"/>
      <c r="D478" s="4"/>
    </row>
    <row r="479" spans="2:4" ht="12" customHeight="1" x14ac:dyDescent="0.15">
      <c r="B479" s="2"/>
      <c r="C479" s="3"/>
      <c r="D479" s="4"/>
    </row>
    <row r="480" spans="2:4" ht="12" customHeight="1" x14ac:dyDescent="0.15">
      <c r="B480" s="2"/>
      <c r="C480" s="3"/>
      <c r="D480" s="4"/>
    </row>
    <row r="481" spans="2:4" ht="12" customHeight="1" x14ac:dyDescent="0.15">
      <c r="B481" s="2"/>
      <c r="C481" s="3"/>
      <c r="D481" s="4"/>
    </row>
    <row r="482" spans="2:4" ht="12" customHeight="1" x14ac:dyDescent="0.15">
      <c r="B482" s="2"/>
      <c r="C482" s="3"/>
      <c r="D482" s="4"/>
    </row>
    <row r="483" spans="2:4" ht="12" customHeight="1" x14ac:dyDescent="0.15">
      <c r="B483" s="2"/>
      <c r="C483" s="3"/>
      <c r="D483" s="4"/>
    </row>
    <row r="484" spans="2:4" ht="12" customHeight="1" x14ac:dyDescent="0.15">
      <c r="B484" s="2"/>
      <c r="C484" s="3"/>
      <c r="D484" s="4"/>
    </row>
    <row r="485" spans="2:4" ht="12" customHeight="1" x14ac:dyDescent="0.15">
      <c r="B485" s="2"/>
      <c r="C485" s="3"/>
      <c r="D485" s="4"/>
    </row>
    <row r="486" spans="2:4" ht="12" customHeight="1" x14ac:dyDescent="0.15">
      <c r="B486" s="2"/>
      <c r="C486" s="3"/>
      <c r="D486" s="4"/>
    </row>
    <row r="487" spans="2:4" ht="12" customHeight="1" x14ac:dyDescent="0.15">
      <c r="B487" s="2"/>
      <c r="C487" s="3"/>
      <c r="D487" s="4"/>
    </row>
    <row r="488" spans="2:4" ht="12" customHeight="1" x14ac:dyDescent="0.15">
      <c r="B488" s="2"/>
      <c r="C488" s="3"/>
      <c r="D488" s="4"/>
    </row>
    <row r="489" spans="2:4" ht="12" customHeight="1" x14ac:dyDescent="0.15">
      <c r="B489" s="2"/>
      <c r="C489" s="3"/>
      <c r="D489" s="4"/>
    </row>
    <row r="490" spans="2:4" ht="12" customHeight="1" x14ac:dyDescent="0.15">
      <c r="B490" s="2"/>
      <c r="C490" s="3"/>
      <c r="D490" s="4"/>
    </row>
    <row r="491" spans="2:4" ht="12" customHeight="1" x14ac:dyDescent="0.15">
      <c r="B491" s="2"/>
      <c r="C491" s="3"/>
      <c r="D491" s="4"/>
    </row>
    <row r="492" spans="2:4" ht="12" customHeight="1" x14ac:dyDescent="0.15">
      <c r="B492" s="2"/>
      <c r="C492" s="3"/>
      <c r="D492" s="4"/>
    </row>
    <row r="493" spans="2:4" ht="12" customHeight="1" x14ac:dyDescent="0.15">
      <c r="B493" s="2"/>
      <c r="C493" s="3"/>
      <c r="D493" s="4"/>
    </row>
    <row r="494" spans="2:4" ht="12" customHeight="1" x14ac:dyDescent="0.15">
      <c r="B494" s="2"/>
      <c r="C494" s="3"/>
      <c r="D494" s="4"/>
    </row>
    <row r="495" spans="2:4" ht="12" customHeight="1" x14ac:dyDescent="0.15">
      <c r="B495" s="2"/>
      <c r="C495" s="3"/>
      <c r="D495" s="4"/>
    </row>
    <row r="496" spans="2:4" ht="12" customHeight="1" x14ac:dyDescent="0.15">
      <c r="B496" s="2"/>
      <c r="C496" s="3"/>
      <c r="D496" s="4"/>
    </row>
    <row r="497" spans="2:4" ht="12" customHeight="1" x14ac:dyDescent="0.15">
      <c r="B497" s="2"/>
      <c r="C497" s="3"/>
      <c r="D497" s="4"/>
    </row>
    <row r="498" spans="2:4" ht="12" customHeight="1" x14ac:dyDescent="0.15">
      <c r="B498" s="2"/>
      <c r="C498" s="3"/>
      <c r="D498" s="4"/>
    </row>
    <row r="499" spans="2:4" ht="12" customHeight="1" x14ac:dyDescent="0.15">
      <c r="B499" s="2"/>
      <c r="C499" s="3"/>
      <c r="D499" s="4"/>
    </row>
    <row r="500" spans="2:4" ht="12" customHeight="1" x14ac:dyDescent="0.15">
      <c r="B500" s="2"/>
      <c r="C500" s="3"/>
      <c r="D500" s="4"/>
    </row>
    <row r="501" spans="2:4" ht="12" customHeight="1" x14ac:dyDescent="0.15">
      <c r="B501" s="2"/>
      <c r="C501" s="3"/>
      <c r="D501" s="4"/>
    </row>
    <row r="502" spans="2:4" ht="12" customHeight="1" x14ac:dyDescent="0.15">
      <c r="B502" s="2"/>
      <c r="C502" s="3"/>
      <c r="D502" s="4"/>
    </row>
    <row r="503" spans="2:4" ht="12" customHeight="1" x14ac:dyDescent="0.15">
      <c r="B503" s="2"/>
      <c r="C503" s="3"/>
      <c r="D503" s="4"/>
    </row>
    <row r="504" spans="2:4" ht="12" customHeight="1" x14ac:dyDescent="0.15">
      <c r="B504" s="2"/>
      <c r="C504" s="3"/>
      <c r="D504" s="4"/>
    </row>
    <row r="505" spans="2:4" ht="12" customHeight="1" x14ac:dyDescent="0.15">
      <c r="B505" s="2"/>
      <c r="C505" s="3"/>
      <c r="D505" s="4"/>
    </row>
    <row r="506" spans="2:4" ht="12" customHeight="1" x14ac:dyDescent="0.15">
      <c r="B506" s="2"/>
      <c r="C506" s="3"/>
      <c r="D506" s="4"/>
    </row>
    <row r="507" spans="2:4" ht="12" customHeight="1" x14ac:dyDescent="0.15">
      <c r="B507" s="2"/>
      <c r="C507" s="3"/>
      <c r="D507" s="4"/>
    </row>
    <row r="508" spans="2:4" ht="12" customHeight="1" x14ac:dyDescent="0.15">
      <c r="B508" s="2"/>
      <c r="C508" s="3"/>
      <c r="D508" s="4"/>
    </row>
    <row r="509" spans="2:4" ht="12" customHeight="1" x14ac:dyDescent="0.15">
      <c r="B509" s="2"/>
      <c r="C509" s="3"/>
      <c r="D509" s="4"/>
    </row>
    <row r="510" spans="2:4" ht="12" customHeight="1" x14ac:dyDescent="0.15">
      <c r="B510" s="2"/>
      <c r="C510" s="3"/>
      <c r="D510" s="4"/>
    </row>
    <row r="511" spans="2:4" ht="12" customHeight="1" x14ac:dyDescent="0.15">
      <c r="B511" s="2"/>
      <c r="C511" s="3"/>
      <c r="D511" s="4"/>
    </row>
    <row r="512" spans="2:4" ht="12" customHeight="1" x14ac:dyDescent="0.15">
      <c r="B512" s="2"/>
      <c r="C512" s="3"/>
      <c r="D512" s="4"/>
    </row>
    <row r="513" spans="2:4" ht="12" customHeight="1" x14ac:dyDescent="0.15">
      <c r="B513" s="2"/>
      <c r="C513" s="3"/>
      <c r="D513" s="4"/>
    </row>
    <row r="514" spans="2:4" ht="12" customHeight="1" x14ac:dyDescent="0.15">
      <c r="B514" s="2"/>
      <c r="C514" s="3"/>
      <c r="D514" s="4"/>
    </row>
    <row r="515" spans="2:4" ht="12" customHeight="1" x14ac:dyDescent="0.15">
      <c r="B515" s="2"/>
      <c r="C515" s="3"/>
      <c r="D515" s="4"/>
    </row>
    <row r="516" spans="2:4" ht="12" customHeight="1" x14ac:dyDescent="0.15">
      <c r="B516" s="2"/>
      <c r="C516" s="3"/>
      <c r="D516" s="4"/>
    </row>
    <row r="517" spans="2:4" ht="12" customHeight="1" x14ac:dyDescent="0.15">
      <c r="B517" s="2"/>
      <c r="C517" s="3"/>
      <c r="D517" s="4"/>
    </row>
    <row r="518" spans="2:4" ht="12" customHeight="1" x14ac:dyDescent="0.15">
      <c r="B518" s="2"/>
      <c r="C518" s="3"/>
      <c r="D518" s="4"/>
    </row>
    <row r="519" spans="2:4" ht="12" customHeight="1" x14ac:dyDescent="0.15">
      <c r="B519" s="2"/>
      <c r="C519" s="3"/>
      <c r="D519" s="4"/>
    </row>
    <row r="520" spans="2:4" ht="12" customHeight="1" x14ac:dyDescent="0.15">
      <c r="B520" s="2"/>
      <c r="C520" s="3"/>
      <c r="D520" s="4"/>
    </row>
    <row r="521" spans="2:4" ht="12" customHeight="1" x14ac:dyDescent="0.15">
      <c r="B521" s="2"/>
      <c r="C521" s="3"/>
      <c r="D521" s="4"/>
    </row>
    <row r="522" spans="2:4" ht="12" customHeight="1" x14ac:dyDescent="0.15">
      <c r="B522" s="2"/>
      <c r="C522" s="3"/>
      <c r="D522" s="4"/>
    </row>
    <row r="523" spans="2:4" ht="12" customHeight="1" x14ac:dyDescent="0.15">
      <c r="B523" s="2"/>
      <c r="C523" s="3"/>
      <c r="D523" s="4"/>
    </row>
    <row r="524" spans="2:4" ht="12" customHeight="1" x14ac:dyDescent="0.15">
      <c r="B524" s="2"/>
      <c r="C524" s="3"/>
      <c r="D524" s="4"/>
    </row>
    <row r="525" spans="2:4" ht="12" customHeight="1" x14ac:dyDescent="0.15">
      <c r="B525" s="2"/>
      <c r="C525" s="3"/>
      <c r="D525" s="4"/>
    </row>
    <row r="526" spans="2:4" ht="12" customHeight="1" x14ac:dyDescent="0.15">
      <c r="B526" s="2"/>
      <c r="C526" s="3"/>
      <c r="D526" s="4"/>
    </row>
    <row r="527" spans="2:4" ht="12" customHeight="1" x14ac:dyDescent="0.15">
      <c r="B527" s="2"/>
      <c r="C527" s="3"/>
      <c r="D527" s="4"/>
    </row>
    <row r="528" spans="2:4" ht="12" customHeight="1" x14ac:dyDescent="0.15">
      <c r="B528" s="2"/>
      <c r="C528" s="3"/>
      <c r="D528" s="4"/>
    </row>
    <row r="529" spans="2:4" ht="12" customHeight="1" x14ac:dyDescent="0.15">
      <c r="B529" s="2"/>
      <c r="C529" s="3"/>
      <c r="D529" s="4"/>
    </row>
    <row r="530" spans="2:4" ht="12" customHeight="1" x14ac:dyDescent="0.15">
      <c r="B530" s="2"/>
      <c r="C530" s="3"/>
      <c r="D530" s="4"/>
    </row>
    <row r="531" spans="2:4" ht="12" customHeight="1" x14ac:dyDescent="0.15">
      <c r="B531" s="2"/>
      <c r="C531" s="3"/>
      <c r="D531" s="4"/>
    </row>
    <row r="532" spans="2:4" ht="12" customHeight="1" x14ac:dyDescent="0.15">
      <c r="B532" s="2"/>
      <c r="C532" s="3"/>
      <c r="D532" s="4"/>
    </row>
    <row r="533" spans="2:4" ht="12" customHeight="1" x14ac:dyDescent="0.15">
      <c r="B533" s="2"/>
      <c r="C533" s="3"/>
      <c r="D533" s="4"/>
    </row>
    <row r="534" spans="2:4" ht="12" customHeight="1" x14ac:dyDescent="0.15">
      <c r="B534" s="2"/>
      <c r="C534" s="3"/>
      <c r="D534" s="4"/>
    </row>
    <row r="535" spans="2:4" ht="12" customHeight="1" x14ac:dyDescent="0.15">
      <c r="B535" s="2"/>
      <c r="C535" s="3"/>
      <c r="D535" s="4"/>
    </row>
    <row r="536" spans="2:4" ht="12" customHeight="1" x14ac:dyDescent="0.15">
      <c r="B536" s="2"/>
      <c r="C536" s="3"/>
      <c r="D536" s="4"/>
    </row>
    <row r="537" spans="2:4" ht="12" customHeight="1" x14ac:dyDescent="0.15">
      <c r="B537" s="2"/>
      <c r="C537" s="3"/>
      <c r="D537" s="4"/>
    </row>
    <row r="538" spans="2:4" ht="12" customHeight="1" x14ac:dyDescent="0.15">
      <c r="B538" s="2"/>
      <c r="C538" s="3"/>
      <c r="D538" s="4"/>
    </row>
    <row r="539" spans="2:4" ht="12" customHeight="1" x14ac:dyDescent="0.15">
      <c r="B539" s="2"/>
      <c r="C539" s="3"/>
      <c r="D539" s="4"/>
    </row>
    <row r="540" spans="2:4" ht="12" customHeight="1" x14ac:dyDescent="0.15">
      <c r="B540" s="2"/>
      <c r="C540" s="3"/>
      <c r="D540" s="4"/>
    </row>
    <row r="541" spans="2:4" ht="12" customHeight="1" x14ac:dyDescent="0.15">
      <c r="B541" s="2"/>
      <c r="C541" s="3"/>
      <c r="D541" s="4"/>
    </row>
    <row r="542" spans="2:4" ht="12" customHeight="1" x14ac:dyDescent="0.15">
      <c r="B542" s="2"/>
      <c r="C542" s="3"/>
      <c r="D542" s="4"/>
    </row>
    <row r="543" spans="2:4" ht="12" customHeight="1" x14ac:dyDescent="0.15">
      <c r="B543" s="2"/>
      <c r="C543" s="3"/>
      <c r="D543" s="4"/>
    </row>
    <row r="544" spans="2:4" ht="12" customHeight="1" x14ac:dyDescent="0.15">
      <c r="B544" s="2"/>
      <c r="C544" s="3"/>
      <c r="D544" s="4"/>
    </row>
    <row r="545" spans="2:4" ht="12" customHeight="1" x14ac:dyDescent="0.15">
      <c r="B545" s="2"/>
      <c r="C545" s="3"/>
      <c r="D545" s="4"/>
    </row>
    <row r="546" spans="2:4" ht="12" customHeight="1" x14ac:dyDescent="0.15">
      <c r="B546" s="2"/>
      <c r="C546" s="3"/>
      <c r="D546" s="4"/>
    </row>
    <row r="547" spans="2:4" ht="12" customHeight="1" x14ac:dyDescent="0.15">
      <c r="B547" s="2"/>
      <c r="C547" s="3"/>
      <c r="D547" s="4"/>
    </row>
    <row r="548" spans="2:4" ht="12" customHeight="1" x14ac:dyDescent="0.15">
      <c r="B548" s="2"/>
      <c r="C548" s="3"/>
      <c r="D548" s="4"/>
    </row>
    <row r="549" spans="2:4" ht="12" customHeight="1" x14ac:dyDescent="0.15">
      <c r="B549" s="2"/>
      <c r="C549" s="3"/>
      <c r="D549" s="4"/>
    </row>
    <row r="550" spans="2:4" ht="12" customHeight="1" x14ac:dyDescent="0.15">
      <c r="B550" s="2"/>
      <c r="C550" s="3"/>
      <c r="D550" s="4"/>
    </row>
    <row r="551" spans="2:4" ht="12" customHeight="1" x14ac:dyDescent="0.15">
      <c r="B551" s="2"/>
      <c r="C551" s="3"/>
      <c r="D551" s="4"/>
    </row>
    <row r="552" spans="2:4" ht="12" customHeight="1" x14ac:dyDescent="0.15">
      <c r="B552" s="2"/>
      <c r="C552" s="3"/>
      <c r="D552" s="4"/>
    </row>
    <row r="553" spans="2:4" ht="12" customHeight="1" x14ac:dyDescent="0.15">
      <c r="B553" s="2"/>
      <c r="C553" s="3"/>
      <c r="D553" s="4"/>
    </row>
    <row r="554" spans="2:4" ht="12" customHeight="1" x14ac:dyDescent="0.15">
      <c r="B554" s="2"/>
      <c r="C554" s="3"/>
      <c r="D554" s="4"/>
    </row>
    <row r="555" spans="2:4" ht="12" customHeight="1" x14ac:dyDescent="0.15">
      <c r="B555" s="2"/>
      <c r="C555" s="3"/>
      <c r="D555" s="4"/>
    </row>
    <row r="556" spans="2:4" ht="12" customHeight="1" x14ac:dyDescent="0.15">
      <c r="B556" s="2"/>
      <c r="C556" s="3"/>
      <c r="D556" s="4"/>
    </row>
    <row r="557" spans="2:4" ht="12" customHeight="1" x14ac:dyDescent="0.15">
      <c r="B557" s="2"/>
      <c r="C557" s="3"/>
      <c r="D557" s="4"/>
    </row>
    <row r="558" spans="2:4" ht="12" customHeight="1" x14ac:dyDescent="0.15">
      <c r="B558" s="2"/>
      <c r="C558" s="3"/>
      <c r="D558" s="4"/>
    </row>
    <row r="559" spans="2:4" ht="12" customHeight="1" x14ac:dyDescent="0.15">
      <c r="B559" s="2"/>
      <c r="C559" s="3"/>
      <c r="D559" s="4"/>
    </row>
    <row r="560" spans="2:4" ht="12" customHeight="1" x14ac:dyDescent="0.15">
      <c r="B560" s="2"/>
      <c r="C560" s="3"/>
      <c r="D560" s="4"/>
    </row>
    <row r="561" spans="2:4" ht="12" customHeight="1" x14ac:dyDescent="0.15">
      <c r="B561" s="2"/>
      <c r="C561" s="3"/>
      <c r="D561" s="4"/>
    </row>
    <row r="562" spans="2:4" ht="12" customHeight="1" x14ac:dyDescent="0.15">
      <c r="B562" s="2"/>
      <c r="C562" s="3"/>
      <c r="D562" s="4"/>
    </row>
    <row r="563" spans="2:4" ht="12" customHeight="1" x14ac:dyDescent="0.15">
      <c r="B563" s="2"/>
      <c r="C563" s="3"/>
      <c r="D563" s="4"/>
    </row>
    <row r="564" spans="2:4" ht="12" customHeight="1" x14ac:dyDescent="0.15">
      <c r="B564" s="2"/>
      <c r="C564" s="3"/>
      <c r="D564" s="4"/>
    </row>
    <row r="565" spans="2:4" ht="12" customHeight="1" x14ac:dyDescent="0.15">
      <c r="B565" s="2"/>
      <c r="C565" s="3"/>
      <c r="D565" s="4"/>
    </row>
    <row r="566" spans="2:4" ht="12" customHeight="1" x14ac:dyDescent="0.15">
      <c r="B566" s="2"/>
      <c r="C566" s="3"/>
      <c r="D566" s="4"/>
    </row>
    <row r="567" spans="2:4" ht="12" customHeight="1" x14ac:dyDescent="0.15">
      <c r="B567" s="2"/>
      <c r="C567" s="3"/>
      <c r="D567" s="4"/>
    </row>
    <row r="568" spans="2:4" ht="12" customHeight="1" x14ac:dyDescent="0.15">
      <c r="B568" s="2"/>
      <c r="C568" s="3"/>
      <c r="D568" s="4"/>
    </row>
    <row r="569" spans="2:4" ht="12" customHeight="1" x14ac:dyDescent="0.15">
      <c r="B569" s="2"/>
      <c r="C569" s="3"/>
      <c r="D569" s="4"/>
    </row>
    <row r="570" spans="2:4" ht="12" customHeight="1" x14ac:dyDescent="0.15">
      <c r="B570" s="2"/>
      <c r="C570" s="3"/>
      <c r="D570" s="4"/>
    </row>
    <row r="571" spans="2:4" ht="12" customHeight="1" x14ac:dyDescent="0.15">
      <c r="B571" s="2"/>
      <c r="C571" s="3"/>
      <c r="D571" s="4"/>
    </row>
    <row r="572" spans="2:4" ht="12" customHeight="1" x14ac:dyDescent="0.15">
      <c r="B572" s="2"/>
      <c r="C572" s="3"/>
      <c r="D572" s="4"/>
    </row>
    <row r="573" spans="2:4" ht="12" customHeight="1" x14ac:dyDescent="0.15">
      <c r="B573" s="2"/>
      <c r="C573" s="3"/>
      <c r="D573" s="4"/>
    </row>
    <row r="574" spans="2:4" ht="12" customHeight="1" x14ac:dyDescent="0.15">
      <c r="B574" s="2"/>
      <c r="C574" s="3"/>
      <c r="D574" s="4"/>
    </row>
    <row r="575" spans="2:4" ht="12" customHeight="1" x14ac:dyDescent="0.15">
      <c r="B575" s="2"/>
      <c r="C575" s="3"/>
      <c r="D575" s="4"/>
    </row>
    <row r="576" spans="2:4" ht="12" customHeight="1" x14ac:dyDescent="0.15">
      <c r="B576" s="2"/>
      <c r="C576" s="3"/>
      <c r="D576" s="4"/>
    </row>
    <row r="577" spans="2:4" ht="12" customHeight="1" x14ac:dyDescent="0.15">
      <c r="B577" s="2"/>
      <c r="C577" s="3"/>
      <c r="D577" s="4"/>
    </row>
    <row r="578" spans="2:4" ht="12" customHeight="1" x14ac:dyDescent="0.15">
      <c r="B578" s="2"/>
      <c r="C578" s="3"/>
      <c r="D578" s="4"/>
    </row>
    <row r="579" spans="2:4" ht="12" customHeight="1" x14ac:dyDescent="0.15">
      <c r="B579" s="2"/>
      <c r="C579" s="3"/>
      <c r="D579" s="4"/>
    </row>
    <row r="580" spans="2:4" ht="12" customHeight="1" x14ac:dyDescent="0.15">
      <c r="B580" s="2"/>
      <c r="C580" s="3"/>
      <c r="D580" s="4"/>
    </row>
    <row r="581" spans="2:4" ht="12" customHeight="1" x14ac:dyDescent="0.15">
      <c r="B581" s="2"/>
      <c r="C581" s="3"/>
      <c r="D581" s="4"/>
    </row>
    <row r="582" spans="2:4" ht="12" customHeight="1" x14ac:dyDescent="0.15">
      <c r="B582" s="2"/>
      <c r="C582" s="3"/>
      <c r="D582" s="4"/>
    </row>
    <row r="583" spans="2:4" ht="12" customHeight="1" x14ac:dyDescent="0.15">
      <c r="B583" s="2"/>
      <c r="C583" s="3"/>
      <c r="D583" s="4"/>
    </row>
    <row r="584" spans="2:4" ht="12" customHeight="1" x14ac:dyDescent="0.15">
      <c r="B584" s="2"/>
      <c r="C584" s="3"/>
      <c r="D584" s="4"/>
    </row>
    <row r="585" spans="2:4" ht="12" customHeight="1" x14ac:dyDescent="0.15">
      <c r="B585" s="2"/>
      <c r="C585" s="3"/>
      <c r="D585" s="4"/>
    </row>
    <row r="586" spans="2:4" ht="12" customHeight="1" x14ac:dyDescent="0.15">
      <c r="B586" s="2"/>
      <c r="C586" s="3"/>
      <c r="D586" s="4"/>
    </row>
    <row r="587" spans="2:4" ht="12" customHeight="1" x14ac:dyDescent="0.15">
      <c r="B587" s="2"/>
      <c r="C587" s="3"/>
      <c r="D587" s="4"/>
    </row>
    <row r="588" spans="2:4" ht="12" customHeight="1" x14ac:dyDescent="0.15">
      <c r="B588" s="2"/>
      <c r="C588" s="3"/>
      <c r="D588" s="4"/>
    </row>
    <row r="589" spans="2:4" ht="12" customHeight="1" x14ac:dyDescent="0.15">
      <c r="B589" s="2"/>
      <c r="C589" s="3"/>
      <c r="D589" s="4"/>
    </row>
    <row r="590" spans="2:4" ht="12" customHeight="1" x14ac:dyDescent="0.15">
      <c r="B590" s="2"/>
      <c r="C590" s="3"/>
      <c r="D590" s="4"/>
    </row>
    <row r="591" spans="2:4" ht="12" customHeight="1" x14ac:dyDescent="0.15">
      <c r="B591" s="2"/>
      <c r="C591" s="3"/>
      <c r="D591" s="4"/>
    </row>
    <row r="592" spans="2:4" ht="12" customHeight="1" x14ac:dyDescent="0.15">
      <c r="B592" s="2"/>
      <c r="C592" s="3"/>
      <c r="D592" s="4"/>
    </row>
    <row r="593" spans="2:4" ht="12" customHeight="1" x14ac:dyDescent="0.15">
      <c r="B593" s="2"/>
      <c r="C593" s="3"/>
      <c r="D593" s="4"/>
    </row>
    <row r="594" spans="2:4" ht="12" customHeight="1" x14ac:dyDescent="0.15">
      <c r="B594" s="2"/>
      <c r="C594" s="3"/>
      <c r="D594" s="4"/>
    </row>
    <row r="595" spans="2:4" ht="12" customHeight="1" x14ac:dyDescent="0.15">
      <c r="B595" s="2"/>
      <c r="C595" s="3"/>
      <c r="D595" s="4"/>
    </row>
    <row r="596" spans="2:4" ht="12" customHeight="1" x14ac:dyDescent="0.15">
      <c r="B596" s="2"/>
      <c r="C596" s="3"/>
      <c r="D596" s="4"/>
    </row>
    <row r="597" spans="2:4" ht="12" customHeight="1" x14ac:dyDescent="0.15">
      <c r="B597" s="2"/>
      <c r="C597" s="3"/>
      <c r="D597" s="4"/>
    </row>
    <row r="598" spans="2:4" ht="12" customHeight="1" x14ac:dyDescent="0.15">
      <c r="B598" s="2"/>
      <c r="C598" s="3"/>
      <c r="D598" s="4"/>
    </row>
    <row r="599" spans="2:4" ht="12" customHeight="1" x14ac:dyDescent="0.15">
      <c r="B599" s="2"/>
      <c r="C599" s="3"/>
      <c r="D599" s="4"/>
    </row>
    <row r="600" spans="2:4" ht="12" customHeight="1" x14ac:dyDescent="0.15">
      <c r="B600" s="2"/>
      <c r="C600" s="3"/>
      <c r="D600" s="4"/>
    </row>
    <row r="601" spans="2:4" ht="12" customHeight="1" x14ac:dyDescent="0.15">
      <c r="B601" s="2"/>
      <c r="C601" s="3"/>
      <c r="D601" s="4"/>
    </row>
    <row r="602" spans="2:4" ht="12" customHeight="1" x14ac:dyDescent="0.15">
      <c r="B602" s="2"/>
      <c r="C602" s="3"/>
      <c r="D602" s="4"/>
    </row>
    <row r="603" spans="2:4" ht="12" customHeight="1" x14ac:dyDescent="0.15">
      <c r="B603" s="2"/>
      <c r="C603" s="3"/>
      <c r="D603" s="4"/>
    </row>
    <row r="604" spans="2:4" ht="12" customHeight="1" x14ac:dyDescent="0.15">
      <c r="B604" s="2"/>
      <c r="C604" s="3"/>
      <c r="D604" s="4"/>
    </row>
    <row r="605" spans="2:4" ht="12" customHeight="1" x14ac:dyDescent="0.15">
      <c r="B605" s="2"/>
      <c r="C605" s="3"/>
      <c r="D605" s="4"/>
    </row>
    <row r="606" spans="2:4" ht="12" customHeight="1" x14ac:dyDescent="0.15">
      <c r="B606" s="2"/>
      <c r="C606" s="3"/>
      <c r="D606" s="4"/>
    </row>
    <row r="607" spans="2:4" ht="12" customHeight="1" x14ac:dyDescent="0.15">
      <c r="B607" s="2"/>
      <c r="C607" s="3"/>
      <c r="D607" s="4"/>
    </row>
    <row r="608" spans="2:4" ht="12" customHeight="1" x14ac:dyDescent="0.15">
      <c r="B608" s="2"/>
      <c r="C608" s="3"/>
      <c r="D608" s="4"/>
    </row>
    <row r="609" spans="2:4" ht="12" customHeight="1" x14ac:dyDescent="0.15">
      <c r="B609" s="2"/>
      <c r="C609" s="3"/>
      <c r="D609" s="4"/>
    </row>
    <row r="610" spans="2:4" ht="12" customHeight="1" x14ac:dyDescent="0.15">
      <c r="B610" s="2"/>
      <c r="C610" s="3"/>
      <c r="D610" s="4"/>
    </row>
    <row r="611" spans="2:4" ht="12" customHeight="1" x14ac:dyDescent="0.15">
      <c r="B611" s="2"/>
      <c r="C611" s="3"/>
      <c r="D611" s="4"/>
    </row>
    <row r="612" spans="2:4" ht="12" customHeight="1" x14ac:dyDescent="0.15">
      <c r="B612" s="2"/>
      <c r="C612" s="3"/>
      <c r="D612" s="4"/>
    </row>
    <row r="613" spans="2:4" ht="12" customHeight="1" x14ac:dyDescent="0.15">
      <c r="B613" s="2"/>
      <c r="C613" s="3"/>
      <c r="D613" s="4"/>
    </row>
    <row r="614" spans="2:4" ht="12" customHeight="1" x14ac:dyDescent="0.15">
      <c r="B614" s="2"/>
      <c r="C614" s="3"/>
      <c r="D614" s="4"/>
    </row>
    <row r="615" spans="2:4" ht="12" customHeight="1" x14ac:dyDescent="0.15">
      <c r="B615" s="2"/>
      <c r="C615" s="3"/>
      <c r="D615" s="4"/>
    </row>
    <row r="616" spans="2:4" ht="12" customHeight="1" x14ac:dyDescent="0.15">
      <c r="B616" s="2"/>
      <c r="C616" s="3"/>
      <c r="D616" s="4"/>
    </row>
    <row r="617" spans="2:4" ht="12" customHeight="1" x14ac:dyDescent="0.15">
      <c r="B617" s="2"/>
      <c r="C617" s="3"/>
      <c r="D617" s="4"/>
    </row>
    <row r="618" spans="2:4" ht="12" customHeight="1" x14ac:dyDescent="0.15">
      <c r="B618" s="2"/>
      <c r="C618" s="3"/>
      <c r="D618" s="4"/>
    </row>
    <row r="619" spans="2:4" ht="12" customHeight="1" x14ac:dyDescent="0.15">
      <c r="B619" s="2"/>
      <c r="C619" s="3"/>
      <c r="D619" s="4"/>
    </row>
    <row r="620" spans="2:4" ht="12" customHeight="1" x14ac:dyDescent="0.15">
      <c r="B620" s="2"/>
      <c r="C620" s="3"/>
      <c r="D620" s="4"/>
    </row>
    <row r="621" spans="2:4" ht="12" customHeight="1" x14ac:dyDescent="0.15">
      <c r="B621" s="2"/>
      <c r="C621" s="3"/>
      <c r="D621" s="4"/>
    </row>
    <row r="622" spans="2:4" ht="12" customHeight="1" x14ac:dyDescent="0.15">
      <c r="B622" s="2"/>
      <c r="C622" s="3"/>
      <c r="D622" s="4"/>
    </row>
    <row r="623" spans="2:4" ht="12" customHeight="1" x14ac:dyDescent="0.15">
      <c r="B623" s="2"/>
      <c r="C623" s="3"/>
      <c r="D623" s="4"/>
    </row>
    <row r="624" spans="2:4" ht="12" customHeight="1" x14ac:dyDescent="0.15">
      <c r="B624" s="2"/>
      <c r="C624" s="3"/>
      <c r="D624" s="4"/>
    </row>
    <row r="625" spans="2:4" ht="12" customHeight="1" x14ac:dyDescent="0.15">
      <c r="B625" s="2"/>
      <c r="C625" s="3"/>
      <c r="D625" s="4"/>
    </row>
    <row r="626" spans="2:4" ht="12" customHeight="1" x14ac:dyDescent="0.15">
      <c r="B626" s="2"/>
      <c r="C626" s="3"/>
      <c r="D626" s="4"/>
    </row>
    <row r="627" spans="2:4" ht="12" customHeight="1" x14ac:dyDescent="0.15">
      <c r="B627" s="2"/>
      <c r="C627" s="3"/>
      <c r="D627" s="4"/>
    </row>
    <row r="628" spans="2:4" ht="12" customHeight="1" x14ac:dyDescent="0.15">
      <c r="B628" s="2"/>
      <c r="C628" s="3"/>
      <c r="D628" s="4"/>
    </row>
    <row r="629" spans="2:4" ht="12" customHeight="1" x14ac:dyDescent="0.15">
      <c r="B629" s="2"/>
      <c r="C629" s="3"/>
      <c r="D629" s="4"/>
    </row>
    <row r="630" spans="2:4" ht="12" customHeight="1" x14ac:dyDescent="0.15">
      <c r="B630" s="2"/>
      <c r="C630" s="3"/>
      <c r="D630" s="4"/>
    </row>
    <row r="631" spans="2:4" ht="12" customHeight="1" x14ac:dyDescent="0.15">
      <c r="B631" s="2"/>
      <c r="C631" s="3"/>
      <c r="D631" s="4"/>
    </row>
    <row r="632" spans="2:4" ht="12" customHeight="1" x14ac:dyDescent="0.15">
      <c r="B632" s="2"/>
      <c r="C632" s="3"/>
      <c r="D632" s="4"/>
    </row>
    <row r="633" spans="2:4" ht="12" customHeight="1" x14ac:dyDescent="0.15">
      <c r="B633" s="2"/>
      <c r="C633" s="3"/>
      <c r="D633" s="4"/>
    </row>
    <row r="634" spans="2:4" ht="12" customHeight="1" x14ac:dyDescent="0.15">
      <c r="B634" s="2"/>
      <c r="C634" s="3"/>
      <c r="D634" s="4"/>
    </row>
    <row r="635" spans="2:4" ht="12" customHeight="1" x14ac:dyDescent="0.15">
      <c r="B635" s="2"/>
      <c r="C635" s="3"/>
      <c r="D635" s="4"/>
    </row>
    <row r="636" spans="2:4" ht="12" customHeight="1" x14ac:dyDescent="0.15">
      <c r="B636" s="2"/>
      <c r="C636" s="3"/>
      <c r="D636" s="4"/>
    </row>
    <row r="637" spans="2:4" ht="12" customHeight="1" x14ac:dyDescent="0.15">
      <c r="B637" s="2"/>
      <c r="C637" s="3"/>
      <c r="D637" s="4"/>
    </row>
    <row r="638" spans="2:4" ht="12" customHeight="1" x14ac:dyDescent="0.15">
      <c r="B638" s="2"/>
      <c r="C638" s="3"/>
      <c r="D638" s="4"/>
    </row>
    <row r="639" spans="2:4" ht="12" customHeight="1" x14ac:dyDescent="0.15">
      <c r="B639" s="2"/>
      <c r="C639" s="3"/>
      <c r="D639" s="4"/>
    </row>
    <row r="640" spans="2:4" ht="12" customHeight="1" x14ac:dyDescent="0.15">
      <c r="B640" s="2"/>
      <c r="C640" s="3"/>
      <c r="D640" s="4"/>
    </row>
    <row r="641" spans="2:4" ht="12" customHeight="1" x14ac:dyDescent="0.15">
      <c r="B641" s="2"/>
      <c r="C641" s="3"/>
      <c r="D641" s="4"/>
    </row>
    <row r="642" spans="2:4" ht="12" customHeight="1" x14ac:dyDescent="0.15">
      <c r="B642" s="2"/>
      <c r="C642" s="3"/>
      <c r="D642" s="4"/>
    </row>
    <row r="643" spans="2:4" ht="12" customHeight="1" x14ac:dyDescent="0.15">
      <c r="B643" s="2"/>
      <c r="C643" s="3"/>
      <c r="D643" s="4"/>
    </row>
    <row r="644" spans="2:4" ht="12" customHeight="1" x14ac:dyDescent="0.15">
      <c r="B644" s="2"/>
      <c r="C644" s="3"/>
      <c r="D644" s="4"/>
    </row>
    <row r="645" spans="2:4" ht="12" customHeight="1" x14ac:dyDescent="0.15">
      <c r="B645" s="2"/>
      <c r="C645" s="3"/>
      <c r="D645" s="4"/>
    </row>
    <row r="646" spans="2:4" ht="12" customHeight="1" x14ac:dyDescent="0.15">
      <c r="B646" s="2"/>
      <c r="C646" s="3"/>
      <c r="D646" s="4"/>
    </row>
    <row r="647" spans="2:4" ht="12" customHeight="1" x14ac:dyDescent="0.15">
      <c r="B647" s="2"/>
      <c r="C647" s="3"/>
      <c r="D647" s="4"/>
    </row>
    <row r="648" spans="2:4" ht="12" customHeight="1" x14ac:dyDescent="0.15">
      <c r="B648" s="2"/>
      <c r="C648" s="3"/>
      <c r="D648" s="4"/>
    </row>
    <row r="649" spans="2:4" ht="12" customHeight="1" x14ac:dyDescent="0.15">
      <c r="B649" s="2"/>
      <c r="C649" s="3"/>
      <c r="D649" s="4"/>
    </row>
    <row r="650" spans="2:4" ht="12" customHeight="1" x14ac:dyDescent="0.15">
      <c r="B650" s="2"/>
      <c r="C650" s="3"/>
      <c r="D650" s="4"/>
    </row>
    <row r="651" spans="2:4" ht="12" customHeight="1" x14ac:dyDescent="0.15">
      <c r="B651" s="2"/>
      <c r="C651" s="3"/>
      <c r="D651" s="4"/>
    </row>
    <row r="652" spans="2:4" ht="12" customHeight="1" x14ac:dyDescent="0.15">
      <c r="B652" s="2"/>
      <c r="C652" s="3"/>
      <c r="D652" s="4"/>
    </row>
    <row r="653" spans="2:4" ht="12" customHeight="1" x14ac:dyDescent="0.15">
      <c r="B653" s="2"/>
      <c r="C653" s="3"/>
      <c r="D653" s="4"/>
    </row>
    <row r="654" spans="2:4" ht="12" customHeight="1" x14ac:dyDescent="0.15">
      <c r="B654" s="2"/>
      <c r="C654" s="3"/>
      <c r="D654" s="4"/>
    </row>
    <row r="655" spans="2:4" ht="12" customHeight="1" x14ac:dyDescent="0.15">
      <c r="B655" s="2"/>
      <c r="C655" s="3"/>
      <c r="D655" s="4"/>
    </row>
    <row r="656" spans="2:4" ht="12" customHeight="1" x14ac:dyDescent="0.15">
      <c r="B656" s="2"/>
      <c r="C656" s="3"/>
      <c r="D656" s="4"/>
    </row>
    <row r="657" spans="2:4" ht="12" customHeight="1" x14ac:dyDescent="0.15">
      <c r="B657" s="2"/>
      <c r="C657" s="3"/>
      <c r="D657" s="4"/>
    </row>
    <row r="658" spans="2:4" ht="12" customHeight="1" x14ac:dyDescent="0.15">
      <c r="B658" s="2"/>
      <c r="C658" s="3"/>
      <c r="D658" s="4"/>
    </row>
    <row r="659" spans="2:4" ht="12" customHeight="1" x14ac:dyDescent="0.15">
      <c r="B659" s="2"/>
      <c r="C659" s="3"/>
      <c r="D659" s="4"/>
    </row>
    <row r="660" spans="2:4" ht="12" customHeight="1" x14ac:dyDescent="0.15">
      <c r="B660" s="2"/>
      <c r="C660" s="3"/>
      <c r="D660" s="4"/>
    </row>
    <row r="661" spans="2:4" ht="12" customHeight="1" x14ac:dyDescent="0.15">
      <c r="B661" s="2"/>
      <c r="C661" s="3"/>
      <c r="D661" s="4"/>
    </row>
    <row r="662" spans="2:4" ht="12" customHeight="1" x14ac:dyDescent="0.15">
      <c r="B662" s="2"/>
      <c r="C662" s="3"/>
      <c r="D662" s="4"/>
    </row>
    <row r="663" spans="2:4" ht="12" customHeight="1" x14ac:dyDescent="0.15">
      <c r="B663" s="2"/>
      <c r="C663" s="3"/>
      <c r="D663" s="4"/>
    </row>
    <row r="664" spans="2:4" ht="12" customHeight="1" x14ac:dyDescent="0.15">
      <c r="B664" s="2"/>
      <c r="C664" s="3"/>
      <c r="D664" s="4"/>
    </row>
    <row r="665" spans="2:4" ht="12" customHeight="1" x14ac:dyDescent="0.15">
      <c r="B665" s="2"/>
      <c r="C665" s="3"/>
      <c r="D665" s="4"/>
    </row>
    <row r="666" spans="2:4" ht="12" customHeight="1" x14ac:dyDescent="0.15">
      <c r="B666" s="2"/>
      <c r="C666" s="3"/>
      <c r="D666" s="4"/>
    </row>
    <row r="667" spans="2:4" ht="12" customHeight="1" x14ac:dyDescent="0.15">
      <c r="B667" s="2"/>
      <c r="C667" s="3"/>
      <c r="D667" s="4"/>
    </row>
    <row r="668" spans="2:4" ht="12" customHeight="1" x14ac:dyDescent="0.15">
      <c r="B668" s="2"/>
      <c r="C668" s="3"/>
      <c r="D668" s="4"/>
    </row>
    <row r="669" spans="2:4" ht="12" customHeight="1" x14ac:dyDescent="0.15">
      <c r="B669" s="2"/>
      <c r="C669" s="3"/>
      <c r="D669" s="4"/>
    </row>
    <row r="670" spans="2:4" ht="12" customHeight="1" x14ac:dyDescent="0.15">
      <c r="B670" s="2"/>
      <c r="C670" s="3"/>
      <c r="D670" s="4"/>
    </row>
    <row r="671" spans="2:4" ht="12" customHeight="1" x14ac:dyDescent="0.15">
      <c r="B671" s="2"/>
      <c r="C671" s="3"/>
      <c r="D671" s="4"/>
    </row>
    <row r="672" spans="2:4" ht="12" customHeight="1" x14ac:dyDescent="0.15">
      <c r="B672" s="2"/>
      <c r="C672" s="3"/>
      <c r="D672" s="4"/>
    </row>
    <row r="673" spans="2:4" ht="12" customHeight="1" x14ac:dyDescent="0.15">
      <c r="B673" s="2"/>
      <c r="C673" s="3"/>
      <c r="D673" s="4"/>
    </row>
    <row r="674" spans="2:4" ht="12" customHeight="1" x14ac:dyDescent="0.15">
      <c r="B674" s="2"/>
      <c r="C674" s="3"/>
      <c r="D674" s="4"/>
    </row>
    <row r="675" spans="2:4" ht="12" customHeight="1" x14ac:dyDescent="0.15">
      <c r="B675" s="2"/>
      <c r="C675" s="3"/>
      <c r="D675" s="4"/>
    </row>
    <row r="676" spans="2:4" ht="12" customHeight="1" x14ac:dyDescent="0.15">
      <c r="B676" s="2"/>
      <c r="C676" s="3"/>
      <c r="D676" s="4"/>
    </row>
    <row r="677" spans="2:4" ht="12" customHeight="1" x14ac:dyDescent="0.15">
      <c r="B677" s="2"/>
      <c r="C677" s="3"/>
      <c r="D677" s="4"/>
    </row>
    <row r="678" spans="2:4" ht="12" customHeight="1" x14ac:dyDescent="0.15">
      <c r="B678" s="2"/>
      <c r="C678" s="3"/>
      <c r="D678" s="4"/>
    </row>
    <row r="679" spans="2:4" ht="12" customHeight="1" x14ac:dyDescent="0.15">
      <c r="B679" s="2"/>
      <c r="C679" s="3"/>
      <c r="D679" s="4"/>
    </row>
    <row r="680" spans="2:4" ht="12" customHeight="1" x14ac:dyDescent="0.15">
      <c r="B680" s="2"/>
      <c r="C680" s="3"/>
      <c r="D680" s="4"/>
    </row>
    <row r="681" spans="2:4" ht="12" customHeight="1" x14ac:dyDescent="0.15">
      <c r="B681" s="2"/>
      <c r="C681" s="3"/>
      <c r="D681" s="4"/>
    </row>
    <row r="682" spans="2:4" ht="12" customHeight="1" x14ac:dyDescent="0.15">
      <c r="B682" s="2"/>
      <c r="C682" s="3"/>
      <c r="D682" s="4"/>
    </row>
    <row r="683" spans="2:4" ht="12" customHeight="1" x14ac:dyDescent="0.15">
      <c r="B683" s="2"/>
      <c r="C683" s="3"/>
      <c r="D683" s="4"/>
    </row>
    <row r="684" spans="2:4" ht="12" customHeight="1" x14ac:dyDescent="0.15">
      <c r="B684" s="2"/>
      <c r="C684" s="3"/>
      <c r="D684" s="4"/>
    </row>
    <row r="685" spans="2:4" ht="12" customHeight="1" x14ac:dyDescent="0.15">
      <c r="B685" s="2"/>
      <c r="C685" s="3"/>
      <c r="D685" s="4"/>
    </row>
    <row r="686" spans="2:4" ht="12" customHeight="1" x14ac:dyDescent="0.15">
      <c r="B686" s="2"/>
      <c r="C686" s="3"/>
      <c r="D686" s="4"/>
    </row>
    <row r="687" spans="2:4" ht="12" customHeight="1" x14ac:dyDescent="0.15">
      <c r="B687" s="2"/>
      <c r="C687" s="3"/>
      <c r="D687" s="4"/>
    </row>
    <row r="688" spans="2:4" ht="12" customHeight="1" x14ac:dyDescent="0.15">
      <c r="B688" s="2"/>
      <c r="C688" s="3"/>
      <c r="D688" s="4"/>
    </row>
    <row r="689" spans="2:4" ht="12" customHeight="1" x14ac:dyDescent="0.15">
      <c r="B689" s="2"/>
      <c r="C689" s="3"/>
      <c r="D689" s="4"/>
    </row>
    <row r="690" spans="2:4" ht="12" customHeight="1" x14ac:dyDescent="0.15">
      <c r="B690" s="2"/>
      <c r="C690" s="3"/>
      <c r="D690" s="4"/>
    </row>
    <row r="691" spans="2:4" ht="12" customHeight="1" x14ac:dyDescent="0.15">
      <c r="B691" s="2"/>
      <c r="C691" s="3"/>
      <c r="D691" s="4"/>
    </row>
    <row r="692" spans="2:4" ht="12" customHeight="1" x14ac:dyDescent="0.15">
      <c r="B692" s="2"/>
      <c r="C692" s="3"/>
      <c r="D692" s="4"/>
    </row>
    <row r="693" spans="2:4" ht="12" customHeight="1" x14ac:dyDescent="0.15">
      <c r="B693" s="2"/>
      <c r="C693" s="3"/>
      <c r="D693" s="4"/>
    </row>
    <row r="694" spans="2:4" ht="12" customHeight="1" x14ac:dyDescent="0.15">
      <c r="B694" s="2"/>
      <c r="C694" s="3"/>
      <c r="D694" s="4"/>
    </row>
    <row r="695" spans="2:4" ht="12" customHeight="1" x14ac:dyDescent="0.15">
      <c r="B695" s="2"/>
      <c r="C695" s="3"/>
      <c r="D695" s="4"/>
    </row>
    <row r="696" spans="2:4" ht="12" customHeight="1" x14ac:dyDescent="0.15">
      <c r="B696" s="2"/>
      <c r="C696" s="3"/>
      <c r="D696" s="4"/>
    </row>
    <row r="697" spans="2:4" ht="12" customHeight="1" x14ac:dyDescent="0.15">
      <c r="B697" s="2"/>
      <c r="C697" s="3"/>
      <c r="D697" s="4"/>
    </row>
    <row r="698" spans="2:4" ht="12" customHeight="1" x14ac:dyDescent="0.15">
      <c r="B698" s="2"/>
      <c r="C698" s="3"/>
      <c r="D698" s="4"/>
    </row>
    <row r="699" spans="2:4" ht="12" customHeight="1" x14ac:dyDescent="0.15">
      <c r="B699" s="2"/>
      <c r="C699" s="3"/>
      <c r="D699" s="4"/>
    </row>
    <row r="700" spans="2:4" ht="12" customHeight="1" x14ac:dyDescent="0.15">
      <c r="B700" s="2"/>
      <c r="C700" s="3"/>
      <c r="D700" s="4"/>
    </row>
    <row r="701" spans="2:4" ht="12" customHeight="1" x14ac:dyDescent="0.15">
      <c r="B701" s="2"/>
      <c r="C701" s="3"/>
      <c r="D701" s="4"/>
    </row>
    <row r="702" spans="2:4" ht="12" customHeight="1" x14ac:dyDescent="0.15">
      <c r="B702" s="2"/>
      <c r="C702" s="3"/>
      <c r="D702" s="4"/>
    </row>
    <row r="703" spans="2:4" ht="12" customHeight="1" x14ac:dyDescent="0.15">
      <c r="B703" s="2"/>
      <c r="C703" s="3"/>
      <c r="D703" s="4"/>
    </row>
    <row r="704" spans="2:4" ht="12" customHeight="1" x14ac:dyDescent="0.15">
      <c r="B704" s="2"/>
      <c r="C704" s="3"/>
      <c r="D704" s="4"/>
    </row>
    <row r="705" spans="2:4" ht="12" customHeight="1" x14ac:dyDescent="0.15">
      <c r="B705" s="2"/>
      <c r="C705" s="3"/>
      <c r="D705" s="4"/>
    </row>
    <row r="706" spans="2:4" ht="12" customHeight="1" x14ac:dyDescent="0.15">
      <c r="B706" s="2"/>
      <c r="C706" s="3"/>
      <c r="D706" s="4"/>
    </row>
    <row r="707" spans="2:4" ht="12" customHeight="1" x14ac:dyDescent="0.15">
      <c r="B707" s="2"/>
      <c r="C707" s="3"/>
      <c r="D707" s="4"/>
    </row>
    <row r="708" spans="2:4" ht="12" customHeight="1" x14ac:dyDescent="0.15">
      <c r="B708" s="2"/>
      <c r="C708" s="3"/>
      <c r="D708" s="4"/>
    </row>
    <row r="709" spans="2:4" ht="12" customHeight="1" x14ac:dyDescent="0.15">
      <c r="B709" s="2"/>
      <c r="C709" s="3"/>
      <c r="D709" s="4"/>
    </row>
    <row r="710" spans="2:4" ht="12" customHeight="1" x14ac:dyDescent="0.15">
      <c r="B710" s="2"/>
      <c r="C710" s="3"/>
      <c r="D710" s="4"/>
    </row>
    <row r="711" spans="2:4" ht="12" customHeight="1" x14ac:dyDescent="0.15">
      <c r="B711" s="2"/>
      <c r="C711" s="3"/>
      <c r="D711" s="4"/>
    </row>
    <row r="712" spans="2:4" ht="12" customHeight="1" x14ac:dyDescent="0.15">
      <c r="B712" s="2"/>
      <c r="C712" s="3"/>
      <c r="D712" s="4"/>
    </row>
    <row r="713" spans="2:4" ht="12" customHeight="1" x14ac:dyDescent="0.15">
      <c r="B713" s="2"/>
      <c r="C713" s="3"/>
      <c r="D713" s="4"/>
    </row>
    <row r="714" spans="2:4" ht="12" customHeight="1" x14ac:dyDescent="0.15">
      <c r="B714" s="2"/>
      <c r="C714" s="3"/>
      <c r="D714" s="4"/>
    </row>
    <row r="715" spans="2:4" ht="12" customHeight="1" x14ac:dyDescent="0.15">
      <c r="B715" s="2"/>
      <c r="C715" s="3"/>
      <c r="D715" s="4"/>
    </row>
    <row r="716" spans="2:4" ht="12" customHeight="1" x14ac:dyDescent="0.15">
      <c r="B716" s="2"/>
      <c r="C716" s="3"/>
      <c r="D716" s="4"/>
    </row>
    <row r="717" spans="2:4" ht="12" customHeight="1" x14ac:dyDescent="0.15">
      <c r="B717" s="2"/>
      <c r="C717" s="3"/>
      <c r="D717" s="4"/>
    </row>
    <row r="718" spans="2:4" ht="12" customHeight="1" x14ac:dyDescent="0.15">
      <c r="B718" s="2"/>
      <c r="C718" s="3"/>
      <c r="D718" s="4"/>
    </row>
    <row r="719" spans="2:4" ht="12" customHeight="1" x14ac:dyDescent="0.15">
      <c r="B719" s="2"/>
      <c r="C719" s="3"/>
      <c r="D719" s="4"/>
    </row>
    <row r="720" spans="2:4" ht="12" customHeight="1" x14ac:dyDescent="0.15">
      <c r="B720" s="2"/>
      <c r="C720" s="3"/>
      <c r="D720" s="4"/>
    </row>
    <row r="721" spans="2:4" ht="12" customHeight="1" x14ac:dyDescent="0.15">
      <c r="B721" s="2"/>
      <c r="C721" s="3"/>
      <c r="D721" s="4"/>
    </row>
    <row r="722" spans="2:4" ht="12" customHeight="1" x14ac:dyDescent="0.15">
      <c r="B722" s="2"/>
      <c r="C722" s="3"/>
      <c r="D722" s="4"/>
    </row>
    <row r="723" spans="2:4" ht="12" customHeight="1" x14ac:dyDescent="0.15">
      <c r="B723" s="2"/>
      <c r="C723" s="3"/>
      <c r="D723" s="4"/>
    </row>
    <row r="724" spans="2:4" ht="12" customHeight="1" x14ac:dyDescent="0.15">
      <c r="B724" s="2"/>
      <c r="C724" s="3"/>
      <c r="D724" s="4"/>
    </row>
    <row r="725" spans="2:4" ht="12" customHeight="1" x14ac:dyDescent="0.15">
      <c r="B725" s="2"/>
      <c r="C725" s="3"/>
      <c r="D725" s="4"/>
    </row>
    <row r="726" spans="2:4" ht="12" customHeight="1" x14ac:dyDescent="0.15">
      <c r="B726" s="2"/>
      <c r="C726" s="3"/>
      <c r="D726" s="4"/>
    </row>
    <row r="727" spans="2:4" ht="12" customHeight="1" x14ac:dyDescent="0.15">
      <c r="B727" s="2"/>
      <c r="C727" s="3"/>
      <c r="D727" s="4"/>
    </row>
    <row r="728" spans="2:4" ht="12" customHeight="1" x14ac:dyDescent="0.15">
      <c r="B728" s="2"/>
      <c r="C728" s="3"/>
      <c r="D728" s="4"/>
    </row>
    <row r="729" spans="2:4" ht="12" customHeight="1" x14ac:dyDescent="0.15">
      <c r="B729" s="2"/>
      <c r="C729" s="3"/>
      <c r="D729" s="4"/>
    </row>
    <row r="730" spans="2:4" ht="12" customHeight="1" x14ac:dyDescent="0.15">
      <c r="B730" s="2"/>
      <c r="C730" s="3"/>
      <c r="D730" s="4"/>
    </row>
    <row r="731" spans="2:4" ht="12" customHeight="1" x14ac:dyDescent="0.15">
      <c r="B731" s="2"/>
      <c r="C731" s="3"/>
      <c r="D731" s="4"/>
    </row>
    <row r="732" spans="2:4" ht="12" customHeight="1" x14ac:dyDescent="0.15">
      <c r="B732" s="2"/>
      <c r="C732" s="3"/>
      <c r="D732" s="4"/>
    </row>
    <row r="733" spans="2:4" ht="12" customHeight="1" x14ac:dyDescent="0.15">
      <c r="B733" s="2"/>
      <c r="C733" s="3"/>
      <c r="D733" s="4"/>
    </row>
    <row r="734" spans="2:4" ht="12" customHeight="1" x14ac:dyDescent="0.15">
      <c r="B734" s="2"/>
      <c r="C734" s="3"/>
      <c r="D734" s="4"/>
    </row>
    <row r="735" spans="2:4" ht="12" customHeight="1" x14ac:dyDescent="0.15">
      <c r="B735" s="2"/>
      <c r="C735" s="3"/>
      <c r="D735" s="4"/>
    </row>
    <row r="736" spans="2:4" ht="12" customHeight="1" x14ac:dyDescent="0.15">
      <c r="B736" s="2"/>
      <c r="C736" s="3"/>
      <c r="D736" s="4"/>
    </row>
    <row r="737" spans="2:4" ht="12" customHeight="1" x14ac:dyDescent="0.15">
      <c r="B737" s="2"/>
      <c r="C737" s="3"/>
      <c r="D737" s="4"/>
    </row>
    <row r="738" spans="2:4" ht="12" customHeight="1" x14ac:dyDescent="0.15">
      <c r="B738" s="2"/>
      <c r="C738" s="3"/>
      <c r="D738" s="4"/>
    </row>
    <row r="739" spans="2:4" ht="12" customHeight="1" x14ac:dyDescent="0.15">
      <c r="B739" s="2"/>
      <c r="C739" s="3"/>
      <c r="D739" s="4"/>
    </row>
    <row r="740" spans="2:4" ht="12" customHeight="1" x14ac:dyDescent="0.15">
      <c r="B740" s="2"/>
      <c r="C740" s="3"/>
      <c r="D740" s="4"/>
    </row>
    <row r="741" spans="2:4" ht="12" customHeight="1" x14ac:dyDescent="0.15">
      <c r="B741" s="2"/>
      <c r="C741" s="3"/>
      <c r="D741" s="4"/>
    </row>
    <row r="742" spans="2:4" ht="12" customHeight="1" x14ac:dyDescent="0.15">
      <c r="B742" s="2"/>
      <c r="C742" s="3"/>
      <c r="D742" s="4"/>
    </row>
    <row r="743" spans="2:4" ht="12" customHeight="1" x14ac:dyDescent="0.15">
      <c r="B743" s="2"/>
      <c r="C743" s="3"/>
      <c r="D743" s="4"/>
    </row>
    <row r="744" spans="2:4" ht="12" customHeight="1" x14ac:dyDescent="0.15">
      <c r="B744" s="2"/>
      <c r="C744" s="3"/>
      <c r="D744" s="4"/>
    </row>
    <row r="745" spans="2:4" ht="12" customHeight="1" x14ac:dyDescent="0.15">
      <c r="B745" s="2"/>
      <c r="C745" s="3"/>
      <c r="D745" s="4"/>
    </row>
    <row r="746" spans="2:4" ht="12" customHeight="1" x14ac:dyDescent="0.15">
      <c r="B746" s="2"/>
      <c r="C746" s="3"/>
      <c r="D746" s="4"/>
    </row>
    <row r="747" spans="2:4" ht="12" customHeight="1" x14ac:dyDescent="0.15">
      <c r="B747" s="2"/>
      <c r="C747" s="3"/>
      <c r="D747" s="4"/>
    </row>
    <row r="748" spans="2:4" ht="12" customHeight="1" x14ac:dyDescent="0.15">
      <c r="B748" s="2"/>
      <c r="C748" s="3"/>
      <c r="D748" s="4"/>
    </row>
    <row r="749" spans="2:4" ht="12" customHeight="1" x14ac:dyDescent="0.15">
      <c r="B749" s="2"/>
      <c r="C749" s="3"/>
      <c r="D749" s="4"/>
    </row>
    <row r="750" spans="2:4" ht="12" customHeight="1" x14ac:dyDescent="0.15">
      <c r="B750" s="2"/>
      <c r="C750" s="3"/>
      <c r="D750" s="4"/>
    </row>
    <row r="751" spans="2:4" ht="12" customHeight="1" x14ac:dyDescent="0.15">
      <c r="B751" s="2"/>
      <c r="C751" s="3"/>
      <c r="D751" s="4"/>
    </row>
    <row r="752" spans="2:4" ht="12" customHeight="1" x14ac:dyDescent="0.15">
      <c r="B752" s="2"/>
      <c r="C752" s="3"/>
      <c r="D752" s="4"/>
    </row>
    <row r="753" spans="2:4" ht="12" customHeight="1" x14ac:dyDescent="0.15">
      <c r="B753" s="2"/>
      <c r="C753" s="3"/>
      <c r="D753" s="4"/>
    </row>
    <row r="754" spans="2:4" ht="12" customHeight="1" x14ac:dyDescent="0.15">
      <c r="B754" s="2"/>
      <c r="C754" s="3"/>
      <c r="D754" s="4"/>
    </row>
    <row r="755" spans="2:4" ht="12" customHeight="1" x14ac:dyDescent="0.15">
      <c r="B755" s="2"/>
      <c r="C755" s="3"/>
      <c r="D755" s="4"/>
    </row>
    <row r="756" spans="2:4" ht="12" customHeight="1" x14ac:dyDescent="0.15">
      <c r="B756" s="2"/>
      <c r="C756" s="3"/>
      <c r="D756" s="4"/>
    </row>
    <row r="757" spans="2:4" ht="12" customHeight="1" x14ac:dyDescent="0.15">
      <c r="B757" s="2"/>
      <c r="C757" s="3"/>
      <c r="D757" s="4"/>
    </row>
    <row r="758" spans="2:4" ht="12" customHeight="1" x14ac:dyDescent="0.15">
      <c r="B758" s="2"/>
      <c r="C758" s="3"/>
      <c r="D758" s="4"/>
    </row>
    <row r="759" spans="2:4" ht="12" customHeight="1" x14ac:dyDescent="0.15">
      <c r="B759" s="2"/>
      <c r="C759" s="3"/>
      <c r="D759" s="4"/>
    </row>
    <row r="760" spans="2:4" ht="12" customHeight="1" x14ac:dyDescent="0.15">
      <c r="B760" s="2"/>
      <c r="C760" s="3"/>
      <c r="D760" s="4"/>
    </row>
    <row r="761" spans="2:4" ht="12" customHeight="1" x14ac:dyDescent="0.15">
      <c r="B761" s="2"/>
      <c r="C761" s="3"/>
      <c r="D761" s="4"/>
    </row>
    <row r="762" spans="2:4" ht="12" customHeight="1" x14ac:dyDescent="0.15">
      <c r="B762" s="2"/>
      <c r="C762" s="3"/>
      <c r="D762" s="4"/>
    </row>
    <row r="763" spans="2:4" ht="12" customHeight="1" x14ac:dyDescent="0.15">
      <c r="B763" s="2"/>
      <c r="C763" s="3"/>
      <c r="D763" s="4"/>
    </row>
    <row r="764" spans="2:4" ht="12" customHeight="1" x14ac:dyDescent="0.15">
      <c r="B764" s="2"/>
      <c r="C764" s="3"/>
      <c r="D764" s="4"/>
    </row>
    <row r="765" spans="2:4" ht="12" customHeight="1" x14ac:dyDescent="0.15">
      <c r="B765" s="2"/>
      <c r="C765" s="3"/>
      <c r="D765" s="4"/>
    </row>
    <row r="766" spans="2:4" ht="12" customHeight="1" x14ac:dyDescent="0.15">
      <c r="B766" s="2"/>
      <c r="C766" s="3"/>
      <c r="D766" s="4"/>
    </row>
    <row r="767" spans="2:4" ht="12" customHeight="1" x14ac:dyDescent="0.15">
      <c r="B767" s="2"/>
      <c r="C767" s="3"/>
      <c r="D767" s="4"/>
    </row>
    <row r="768" spans="2:4" ht="12" customHeight="1" x14ac:dyDescent="0.15">
      <c r="B768" s="2"/>
      <c r="C768" s="3"/>
      <c r="D768" s="4"/>
    </row>
    <row r="769" spans="2:4" ht="12" customHeight="1" x14ac:dyDescent="0.15">
      <c r="B769" s="2"/>
      <c r="C769" s="3"/>
      <c r="D769" s="4"/>
    </row>
    <row r="770" spans="2:4" ht="12" customHeight="1" x14ac:dyDescent="0.15">
      <c r="B770" s="2"/>
      <c r="C770" s="3"/>
      <c r="D770" s="4"/>
    </row>
    <row r="771" spans="2:4" ht="12" customHeight="1" x14ac:dyDescent="0.15">
      <c r="B771" s="2"/>
      <c r="C771" s="3"/>
      <c r="D771" s="4"/>
    </row>
    <row r="772" spans="2:4" ht="12" customHeight="1" x14ac:dyDescent="0.15">
      <c r="B772" s="2"/>
      <c r="C772" s="3"/>
      <c r="D772" s="4"/>
    </row>
    <row r="773" spans="2:4" ht="12" customHeight="1" x14ac:dyDescent="0.15">
      <c r="B773" s="2"/>
      <c r="C773" s="3"/>
      <c r="D773" s="4"/>
    </row>
    <row r="774" spans="2:4" ht="12" customHeight="1" x14ac:dyDescent="0.15">
      <c r="B774" s="2"/>
      <c r="C774" s="3"/>
      <c r="D774" s="4"/>
    </row>
    <row r="775" spans="2:4" ht="12" customHeight="1" x14ac:dyDescent="0.15">
      <c r="B775" s="2"/>
      <c r="C775" s="3"/>
      <c r="D775" s="4"/>
    </row>
    <row r="776" spans="2:4" ht="12" customHeight="1" x14ac:dyDescent="0.15">
      <c r="B776" s="2"/>
      <c r="C776" s="3"/>
      <c r="D776" s="4"/>
    </row>
    <row r="777" spans="2:4" ht="12" customHeight="1" x14ac:dyDescent="0.15">
      <c r="B777" s="2"/>
      <c r="C777" s="3"/>
      <c r="D777" s="4"/>
    </row>
    <row r="778" spans="2:4" ht="12" customHeight="1" x14ac:dyDescent="0.15">
      <c r="B778" s="2"/>
      <c r="C778" s="3"/>
      <c r="D778" s="4"/>
    </row>
    <row r="779" spans="2:4" ht="12" customHeight="1" x14ac:dyDescent="0.15">
      <c r="B779" s="2"/>
      <c r="C779" s="3"/>
      <c r="D779" s="4"/>
    </row>
    <row r="780" spans="2:4" ht="12" customHeight="1" x14ac:dyDescent="0.15">
      <c r="B780" s="2"/>
      <c r="C780" s="3"/>
      <c r="D780" s="4"/>
    </row>
    <row r="781" spans="2:4" ht="12" customHeight="1" x14ac:dyDescent="0.15">
      <c r="B781" s="2"/>
      <c r="C781" s="3"/>
      <c r="D781" s="4"/>
    </row>
    <row r="782" spans="2:4" ht="12" customHeight="1" x14ac:dyDescent="0.15">
      <c r="B782" s="2"/>
      <c r="C782" s="3"/>
      <c r="D782" s="4"/>
    </row>
    <row r="783" spans="2:4" ht="12" customHeight="1" x14ac:dyDescent="0.15">
      <c r="B783" s="2"/>
      <c r="C783" s="3"/>
      <c r="D783" s="4"/>
    </row>
    <row r="784" spans="2:4" ht="12" customHeight="1" x14ac:dyDescent="0.15">
      <c r="B784" s="2"/>
      <c r="C784" s="3"/>
      <c r="D784" s="4"/>
    </row>
    <row r="785" spans="2:4" ht="12" customHeight="1" x14ac:dyDescent="0.15">
      <c r="B785" s="2"/>
      <c r="C785" s="3"/>
      <c r="D785" s="4"/>
    </row>
    <row r="786" spans="2:4" ht="12" customHeight="1" x14ac:dyDescent="0.15">
      <c r="B786" s="2"/>
      <c r="C786" s="3"/>
      <c r="D786" s="4"/>
    </row>
    <row r="787" spans="2:4" ht="12" customHeight="1" x14ac:dyDescent="0.15">
      <c r="B787" s="2"/>
      <c r="C787" s="3"/>
      <c r="D787" s="4"/>
    </row>
    <row r="788" spans="2:4" ht="12" customHeight="1" x14ac:dyDescent="0.15">
      <c r="B788" s="2"/>
      <c r="C788" s="3"/>
      <c r="D788" s="4"/>
    </row>
    <row r="789" spans="2:4" ht="12" customHeight="1" x14ac:dyDescent="0.15">
      <c r="B789" s="2"/>
      <c r="C789" s="3"/>
      <c r="D789" s="4"/>
    </row>
    <row r="790" spans="2:4" ht="12" customHeight="1" x14ac:dyDescent="0.15">
      <c r="B790" s="2"/>
      <c r="C790" s="3"/>
      <c r="D790" s="4"/>
    </row>
    <row r="791" spans="2:4" ht="12" customHeight="1" x14ac:dyDescent="0.15">
      <c r="B791" s="2"/>
      <c r="C791" s="3"/>
      <c r="D791" s="4"/>
    </row>
    <row r="792" spans="2:4" ht="12" customHeight="1" x14ac:dyDescent="0.15">
      <c r="B792" s="2"/>
      <c r="C792" s="3"/>
      <c r="D792" s="4"/>
    </row>
    <row r="793" spans="2:4" ht="12" customHeight="1" x14ac:dyDescent="0.15">
      <c r="B793" s="2"/>
      <c r="C793" s="3"/>
      <c r="D793" s="4"/>
    </row>
    <row r="794" spans="2:4" ht="12" customHeight="1" x14ac:dyDescent="0.15">
      <c r="B794" s="2"/>
      <c r="C794" s="3"/>
      <c r="D794" s="4"/>
    </row>
    <row r="795" spans="2:4" ht="12" customHeight="1" x14ac:dyDescent="0.15">
      <c r="B795" s="2"/>
      <c r="C795" s="3"/>
      <c r="D795" s="4"/>
    </row>
    <row r="796" spans="2:4" ht="12" customHeight="1" x14ac:dyDescent="0.15">
      <c r="B796" s="2"/>
      <c r="C796" s="3"/>
      <c r="D796" s="4"/>
    </row>
    <row r="797" spans="2:4" ht="12" customHeight="1" x14ac:dyDescent="0.15">
      <c r="B797" s="2"/>
      <c r="C797" s="3"/>
      <c r="D797" s="4"/>
    </row>
    <row r="798" spans="2:4" ht="12" customHeight="1" x14ac:dyDescent="0.15">
      <c r="B798" s="2"/>
      <c r="C798" s="3"/>
      <c r="D798" s="4"/>
    </row>
    <row r="799" spans="2:4" ht="12" customHeight="1" x14ac:dyDescent="0.15">
      <c r="B799" s="2"/>
      <c r="C799" s="3"/>
      <c r="D799" s="4"/>
    </row>
    <row r="800" spans="2:4" ht="12" customHeight="1" x14ac:dyDescent="0.15">
      <c r="B800" s="2"/>
      <c r="C800" s="3"/>
      <c r="D800" s="4"/>
    </row>
    <row r="801" spans="2:4" ht="12" customHeight="1" x14ac:dyDescent="0.15">
      <c r="B801" s="2"/>
      <c r="C801" s="3"/>
      <c r="D801" s="4"/>
    </row>
    <row r="802" spans="2:4" ht="12" customHeight="1" x14ac:dyDescent="0.15">
      <c r="B802" s="2"/>
      <c r="C802" s="3"/>
      <c r="D802" s="4"/>
    </row>
    <row r="803" spans="2:4" ht="12" customHeight="1" x14ac:dyDescent="0.15">
      <c r="B803" s="2"/>
      <c r="C803" s="3"/>
      <c r="D803" s="4"/>
    </row>
    <row r="804" spans="2:4" ht="12" customHeight="1" x14ac:dyDescent="0.15">
      <c r="B804" s="2"/>
      <c r="C804" s="3"/>
      <c r="D804" s="4"/>
    </row>
    <row r="805" spans="2:4" ht="12" customHeight="1" x14ac:dyDescent="0.15">
      <c r="B805" s="2"/>
      <c r="C805" s="3"/>
      <c r="D805" s="4"/>
    </row>
    <row r="806" spans="2:4" ht="12" customHeight="1" x14ac:dyDescent="0.15">
      <c r="B806" s="2"/>
      <c r="C806" s="3"/>
      <c r="D806" s="4"/>
    </row>
    <row r="807" spans="2:4" ht="12" customHeight="1" x14ac:dyDescent="0.15">
      <c r="B807" s="2"/>
      <c r="C807" s="3"/>
      <c r="D807" s="4"/>
    </row>
    <row r="808" spans="2:4" ht="12" customHeight="1" x14ac:dyDescent="0.15">
      <c r="B808" s="2"/>
      <c r="C808" s="3"/>
      <c r="D808" s="4"/>
    </row>
    <row r="809" spans="2:4" ht="12" customHeight="1" x14ac:dyDescent="0.15">
      <c r="B809" s="2"/>
      <c r="C809" s="3"/>
      <c r="D809" s="4"/>
    </row>
    <row r="810" spans="2:4" ht="12" customHeight="1" x14ac:dyDescent="0.15">
      <c r="B810" s="2"/>
      <c r="C810" s="3"/>
      <c r="D810" s="4"/>
    </row>
    <row r="811" spans="2:4" ht="12" customHeight="1" x14ac:dyDescent="0.15">
      <c r="B811" s="2"/>
      <c r="C811" s="3"/>
      <c r="D811" s="4"/>
    </row>
    <row r="812" spans="2:4" ht="12" customHeight="1" x14ac:dyDescent="0.15">
      <c r="B812" s="2"/>
      <c r="C812" s="3"/>
      <c r="D812" s="4"/>
    </row>
    <row r="813" spans="2:4" ht="12" customHeight="1" x14ac:dyDescent="0.15">
      <c r="B813" s="2"/>
      <c r="C813" s="3"/>
      <c r="D813" s="4"/>
    </row>
    <row r="814" spans="2:4" ht="12" customHeight="1" x14ac:dyDescent="0.15">
      <c r="B814" s="2"/>
      <c r="C814" s="3"/>
      <c r="D814" s="4"/>
    </row>
    <row r="815" spans="2:4" ht="12" customHeight="1" x14ac:dyDescent="0.15">
      <c r="B815" s="2"/>
      <c r="C815" s="3"/>
      <c r="D815" s="4"/>
    </row>
    <row r="816" spans="2:4" ht="12" customHeight="1" x14ac:dyDescent="0.15">
      <c r="B816" s="2"/>
      <c r="C816" s="3"/>
      <c r="D816" s="4"/>
    </row>
    <row r="817" spans="2:4" ht="12" customHeight="1" x14ac:dyDescent="0.15">
      <c r="B817" s="2"/>
      <c r="C817" s="3"/>
      <c r="D817" s="4"/>
    </row>
    <row r="818" spans="2:4" ht="12" customHeight="1" x14ac:dyDescent="0.15">
      <c r="B818" s="2"/>
      <c r="C818" s="3"/>
      <c r="D818" s="4"/>
    </row>
    <row r="819" spans="2:4" ht="12" customHeight="1" x14ac:dyDescent="0.15">
      <c r="B819" s="2"/>
      <c r="C819" s="3"/>
      <c r="D819" s="4"/>
    </row>
    <row r="820" spans="2:4" ht="12" customHeight="1" x14ac:dyDescent="0.15">
      <c r="B820" s="2"/>
      <c r="C820" s="3"/>
      <c r="D820" s="4"/>
    </row>
    <row r="821" spans="2:4" ht="12" customHeight="1" x14ac:dyDescent="0.15">
      <c r="B821" s="2"/>
      <c r="C821" s="3"/>
      <c r="D821" s="4"/>
    </row>
    <row r="822" spans="2:4" ht="12" customHeight="1" x14ac:dyDescent="0.15">
      <c r="B822" s="2"/>
      <c r="C822" s="3"/>
      <c r="D822" s="4"/>
    </row>
    <row r="823" spans="2:4" ht="12" customHeight="1" x14ac:dyDescent="0.15">
      <c r="B823" s="2"/>
      <c r="C823" s="3"/>
      <c r="D823" s="4"/>
    </row>
    <row r="824" spans="2:4" ht="12" customHeight="1" x14ac:dyDescent="0.15">
      <c r="B824" s="2"/>
      <c r="C824" s="3"/>
      <c r="D824" s="4"/>
    </row>
    <row r="825" spans="2:4" ht="12" customHeight="1" x14ac:dyDescent="0.15">
      <c r="B825" s="2"/>
      <c r="C825" s="3"/>
      <c r="D825" s="4"/>
    </row>
    <row r="826" spans="2:4" ht="12" customHeight="1" x14ac:dyDescent="0.15">
      <c r="B826" s="2"/>
      <c r="C826" s="3"/>
      <c r="D826" s="4"/>
    </row>
    <row r="827" spans="2:4" ht="12" customHeight="1" x14ac:dyDescent="0.15">
      <c r="B827" s="2"/>
      <c r="C827" s="3"/>
      <c r="D827" s="4"/>
    </row>
    <row r="828" spans="2:4" ht="12" customHeight="1" x14ac:dyDescent="0.15">
      <c r="B828" s="2"/>
      <c r="C828" s="3"/>
      <c r="D828" s="4"/>
    </row>
    <row r="829" spans="2:4" ht="12" customHeight="1" x14ac:dyDescent="0.15">
      <c r="B829" s="2"/>
      <c r="C829" s="3"/>
      <c r="D829" s="4"/>
    </row>
    <row r="830" spans="2:4" ht="12" customHeight="1" x14ac:dyDescent="0.15">
      <c r="B830" s="2"/>
      <c r="C830" s="3"/>
      <c r="D830" s="4"/>
    </row>
    <row r="831" spans="2:4" ht="12" customHeight="1" x14ac:dyDescent="0.15">
      <c r="B831" s="2"/>
      <c r="C831" s="3"/>
      <c r="D831" s="4"/>
    </row>
    <row r="832" spans="2:4" ht="12" customHeight="1" x14ac:dyDescent="0.15">
      <c r="B832" s="2"/>
      <c r="C832" s="3"/>
      <c r="D832" s="4"/>
    </row>
    <row r="833" spans="2:4" ht="12" customHeight="1" x14ac:dyDescent="0.15">
      <c r="B833" s="2"/>
      <c r="C833" s="3"/>
      <c r="D833" s="4"/>
    </row>
    <row r="834" spans="2:4" ht="12" customHeight="1" x14ac:dyDescent="0.15">
      <c r="B834" s="2"/>
      <c r="C834" s="3"/>
      <c r="D834" s="4"/>
    </row>
    <row r="835" spans="2:4" ht="12" customHeight="1" x14ac:dyDescent="0.15">
      <c r="B835" s="2"/>
      <c r="C835" s="3"/>
      <c r="D835" s="4"/>
    </row>
    <row r="836" spans="2:4" ht="12" customHeight="1" x14ac:dyDescent="0.15">
      <c r="B836" s="2"/>
      <c r="C836" s="3"/>
      <c r="D836" s="4"/>
    </row>
    <row r="837" spans="2:4" ht="12" customHeight="1" x14ac:dyDescent="0.15">
      <c r="B837" s="2"/>
      <c r="C837" s="3"/>
      <c r="D837" s="4"/>
    </row>
    <row r="838" spans="2:4" ht="12" customHeight="1" x14ac:dyDescent="0.15">
      <c r="B838" s="2"/>
      <c r="C838" s="3"/>
      <c r="D838" s="4"/>
    </row>
    <row r="839" spans="2:4" ht="12" customHeight="1" x14ac:dyDescent="0.15">
      <c r="B839" s="2"/>
      <c r="C839" s="3"/>
      <c r="D839" s="4"/>
    </row>
    <row r="840" spans="2:4" ht="12" customHeight="1" x14ac:dyDescent="0.15">
      <c r="B840" s="2"/>
      <c r="C840" s="3"/>
      <c r="D840" s="4"/>
    </row>
    <row r="841" spans="2:4" ht="12" customHeight="1" x14ac:dyDescent="0.15">
      <c r="B841" s="2"/>
      <c r="C841" s="3"/>
      <c r="D841" s="4"/>
    </row>
    <row r="842" spans="2:4" ht="12" customHeight="1" x14ac:dyDescent="0.15">
      <c r="B842" s="2"/>
      <c r="C842" s="3"/>
      <c r="D842" s="4"/>
    </row>
    <row r="843" spans="2:4" ht="12" customHeight="1" x14ac:dyDescent="0.15">
      <c r="B843" s="2"/>
      <c r="C843" s="3"/>
      <c r="D843" s="4"/>
    </row>
    <row r="844" spans="2:4" ht="12" customHeight="1" x14ac:dyDescent="0.15">
      <c r="B844" s="2"/>
      <c r="C844" s="3"/>
      <c r="D844" s="4"/>
    </row>
    <row r="845" spans="2:4" ht="12" customHeight="1" x14ac:dyDescent="0.15">
      <c r="B845" s="2"/>
      <c r="C845" s="3"/>
      <c r="D845" s="4"/>
    </row>
    <row r="846" spans="2:4" ht="12" customHeight="1" x14ac:dyDescent="0.15">
      <c r="B846" s="2"/>
      <c r="C846" s="3"/>
      <c r="D846" s="4"/>
    </row>
    <row r="847" spans="2:4" ht="12" customHeight="1" x14ac:dyDescent="0.15">
      <c r="B847" s="2"/>
      <c r="C847" s="3"/>
      <c r="D847" s="4"/>
    </row>
    <row r="848" spans="2:4" ht="12" customHeight="1" x14ac:dyDescent="0.15">
      <c r="B848" s="2"/>
      <c r="C848" s="3"/>
      <c r="D848" s="4"/>
    </row>
    <row r="849" spans="2:4" ht="12" customHeight="1" x14ac:dyDescent="0.15">
      <c r="B849" s="2"/>
      <c r="C849" s="3"/>
      <c r="D849" s="4"/>
    </row>
    <row r="850" spans="2:4" ht="12" customHeight="1" x14ac:dyDescent="0.15">
      <c r="B850" s="2"/>
      <c r="C850" s="3"/>
      <c r="D850" s="4"/>
    </row>
    <row r="851" spans="2:4" ht="12" customHeight="1" x14ac:dyDescent="0.15">
      <c r="B851" s="2"/>
      <c r="C851" s="3"/>
      <c r="D851" s="4"/>
    </row>
    <row r="852" spans="2:4" ht="12" customHeight="1" x14ac:dyDescent="0.15">
      <c r="B852" s="2"/>
      <c r="C852" s="3"/>
      <c r="D852" s="4"/>
    </row>
    <row r="853" spans="2:4" ht="12" customHeight="1" x14ac:dyDescent="0.15">
      <c r="B853" s="2"/>
      <c r="C853" s="3"/>
      <c r="D853" s="4"/>
    </row>
    <row r="854" spans="2:4" ht="12" customHeight="1" x14ac:dyDescent="0.15">
      <c r="B854" s="2"/>
      <c r="C854" s="3"/>
      <c r="D854" s="4"/>
    </row>
    <row r="855" spans="2:4" ht="12" customHeight="1" x14ac:dyDescent="0.15">
      <c r="B855" s="2"/>
      <c r="C855" s="3"/>
      <c r="D855" s="4"/>
    </row>
    <row r="856" spans="2:4" ht="12" customHeight="1" x14ac:dyDescent="0.15">
      <c r="B856" s="2"/>
      <c r="C856" s="3"/>
      <c r="D856" s="4"/>
    </row>
    <row r="857" spans="2:4" ht="12" customHeight="1" x14ac:dyDescent="0.15">
      <c r="B857" s="2"/>
      <c r="C857" s="3"/>
      <c r="D857" s="4"/>
    </row>
    <row r="858" spans="2:4" ht="12" customHeight="1" x14ac:dyDescent="0.15">
      <c r="B858" s="2"/>
      <c r="C858" s="3"/>
      <c r="D858" s="4"/>
    </row>
    <row r="859" spans="2:4" ht="12" customHeight="1" x14ac:dyDescent="0.15">
      <c r="B859" s="2"/>
      <c r="C859" s="3"/>
      <c r="D859" s="4"/>
    </row>
    <row r="860" spans="2:4" ht="12" customHeight="1" x14ac:dyDescent="0.15">
      <c r="B860" s="2"/>
      <c r="C860" s="3"/>
      <c r="D860" s="4"/>
    </row>
    <row r="861" spans="2:4" ht="12" customHeight="1" x14ac:dyDescent="0.15">
      <c r="B861" s="2"/>
      <c r="C861" s="3"/>
      <c r="D861" s="4"/>
    </row>
    <row r="862" spans="2:4" ht="12" customHeight="1" x14ac:dyDescent="0.15">
      <c r="B862" s="2"/>
      <c r="C862" s="3"/>
      <c r="D862" s="4"/>
    </row>
    <row r="863" spans="2:4" ht="12" customHeight="1" x14ac:dyDescent="0.15">
      <c r="B863" s="2"/>
      <c r="C863" s="3"/>
      <c r="D863" s="4"/>
    </row>
    <row r="864" spans="2:4" ht="12" customHeight="1" x14ac:dyDescent="0.15">
      <c r="B864" s="2"/>
      <c r="C864" s="3"/>
      <c r="D864" s="4"/>
    </row>
    <row r="865" spans="2:4" ht="12" customHeight="1" x14ac:dyDescent="0.15">
      <c r="B865" s="2"/>
      <c r="C865" s="3"/>
      <c r="D865" s="4"/>
    </row>
    <row r="866" spans="2:4" ht="12" customHeight="1" x14ac:dyDescent="0.15">
      <c r="B866" s="2"/>
      <c r="C866" s="3"/>
      <c r="D866" s="4"/>
    </row>
    <row r="867" spans="2:4" ht="12" customHeight="1" x14ac:dyDescent="0.15">
      <c r="B867" s="2"/>
      <c r="C867" s="3"/>
      <c r="D867" s="4"/>
    </row>
    <row r="868" spans="2:4" ht="12" customHeight="1" x14ac:dyDescent="0.15">
      <c r="B868" s="2"/>
      <c r="C868" s="3"/>
      <c r="D868" s="4"/>
    </row>
    <row r="869" spans="2:4" ht="12" customHeight="1" x14ac:dyDescent="0.15">
      <c r="B869" s="2"/>
      <c r="C869" s="3"/>
      <c r="D869" s="4"/>
    </row>
    <row r="870" spans="2:4" ht="12" customHeight="1" x14ac:dyDescent="0.15">
      <c r="B870" s="2"/>
      <c r="C870" s="3"/>
      <c r="D870" s="4"/>
    </row>
    <row r="871" spans="2:4" ht="12" customHeight="1" x14ac:dyDescent="0.15">
      <c r="B871" s="2"/>
      <c r="C871" s="3"/>
      <c r="D871" s="4"/>
    </row>
    <row r="872" spans="2:4" ht="12" customHeight="1" x14ac:dyDescent="0.15">
      <c r="B872" s="2"/>
      <c r="C872" s="3"/>
      <c r="D872" s="4"/>
    </row>
    <row r="873" spans="2:4" ht="12" customHeight="1" x14ac:dyDescent="0.15">
      <c r="B873" s="2"/>
      <c r="C873" s="3"/>
      <c r="D873" s="4"/>
    </row>
    <row r="874" spans="2:4" ht="12" customHeight="1" x14ac:dyDescent="0.15">
      <c r="B874" s="2"/>
      <c r="C874" s="3"/>
      <c r="D874" s="4"/>
    </row>
    <row r="875" spans="2:4" ht="12" customHeight="1" x14ac:dyDescent="0.15">
      <c r="B875" s="2"/>
      <c r="C875" s="3"/>
      <c r="D875" s="4"/>
    </row>
    <row r="876" spans="2:4" ht="12" customHeight="1" x14ac:dyDescent="0.15">
      <c r="B876" s="2"/>
      <c r="C876" s="3"/>
      <c r="D876" s="4"/>
    </row>
    <row r="877" spans="2:4" ht="12" customHeight="1" x14ac:dyDescent="0.15">
      <c r="B877" s="2"/>
      <c r="C877" s="3"/>
      <c r="D877" s="4"/>
    </row>
    <row r="878" spans="2:4" ht="12" customHeight="1" x14ac:dyDescent="0.15">
      <c r="B878" s="2"/>
      <c r="C878" s="3"/>
      <c r="D878" s="4"/>
    </row>
    <row r="879" spans="2:4" ht="12" customHeight="1" x14ac:dyDescent="0.15">
      <c r="B879" s="2"/>
      <c r="C879" s="3"/>
      <c r="D879" s="4"/>
    </row>
    <row r="880" spans="2:4" ht="12" customHeight="1" x14ac:dyDescent="0.15">
      <c r="B880" s="2"/>
      <c r="C880" s="3"/>
      <c r="D880" s="4"/>
    </row>
    <row r="881" spans="2:4" ht="12" customHeight="1" x14ac:dyDescent="0.15">
      <c r="B881" s="2"/>
      <c r="C881" s="3"/>
      <c r="D881" s="4"/>
    </row>
    <row r="882" spans="2:4" ht="12" customHeight="1" x14ac:dyDescent="0.15">
      <c r="B882" s="2"/>
      <c r="C882" s="3"/>
      <c r="D882" s="4"/>
    </row>
    <row r="883" spans="2:4" ht="12" customHeight="1" x14ac:dyDescent="0.15">
      <c r="B883" s="2"/>
      <c r="C883" s="3"/>
      <c r="D883" s="4"/>
    </row>
    <row r="884" spans="2:4" ht="12" customHeight="1" x14ac:dyDescent="0.15">
      <c r="B884" s="2"/>
      <c r="C884" s="3"/>
      <c r="D884" s="4"/>
    </row>
    <row r="885" spans="2:4" ht="12" customHeight="1" x14ac:dyDescent="0.15">
      <c r="B885" s="2"/>
      <c r="C885" s="3"/>
      <c r="D885" s="4"/>
    </row>
    <row r="886" spans="2:4" ht="12" customHeight="1" x14ac:dyDescent="0.15">
      <c r="B886" s="2"/>
      <c r="C886" s="3"/>
      <c r="D886" s="4"/>
    </row>
    <row r="887" spans="2:4" ht="12" customHeight="1" x14ac:dyDescent="0.15">
      <c r="B887" s="2"/>
      <c r="C887" s="3"/>
      <c r="D887" s="4"/>
    </row>
    <row r="888" spans="2:4" ht="12" customHeight="1" x14ac:dyDescent="0.15">
      <c r="B888" s="2"/>
      <c r="C888" s="3"/>
      <c r="D888" s="4"/>
    </row>
    <row r="889" spans="2:4" ht="12" customHeight="1" x14ac:dyDescent="0.15">
      <c r="B889" s="2"/>
      <c r="C889" s="3"/>
      <c r="D889" s="4"/>
    </row>
    <row r="890" spans="2:4" ht="12" customHeight="1" x14ac:dyDescent="0.15">
      <c r="B890" s="2"/>
      <c r="C890" s="3"/>
      <c r="D890" s="4"/>
    </row>
    <row r="891" spans="2:4" ht="12" customHeight="1" x14ac:dyDescent="0.15">
      <c r="B891" s="2"/>
      <c r="C891" s="3"/>
      <c r="D891" s="4"/>
    </row>
    <row r="892" spans="2:4" ht="12" customHeight="1" x14ac:dyDescent="0.15">
      <c r="B892" s="2"/>
      <c r="C892" s="3"/>
      <c r="D892" s="4"/>
    </row>
    <row r="893" spans="2:4" ht="12" customHeight="1" x14ac:dyDescent="0.15">
      <c r="B893" s="2"/>
      <c r="C893" s="3"/>
      <c r="D893" s="4"/>
    </row>
    <row r="894" spans="2:4" ht="12" customHeight="1" x14ac:dyDescent="0.15">
      <c r="B894" s="2"/>
      <c r="C894" s="3"/>
      <c r="D894" s="4"/>
    </row>
    <row r="895" spans="2:4" ht="12" customHeight="1" x14ac:dyDescent="0.15">
      <c r="B895" s="2"/>
      <c r="C895" s="3"/>
      <c r="D895" s="4"/>
    </row>
    <row r="896" spans="2:4" ht="12" customHeight="1" x14ac:dyDescent="0.15">
      <c r="B896" s="2"/>
      <c r="C896" s="3"/>
      <c r="D896" s="4"/>
    </row>
    <row r="897" spans="2:4" ht="12" customHeight="1" x14ac:dyDescent="0.15">
      <c r="B897" s="2"/>
      <c r="C897" s="3"/>
      <c r="D897" s="4"/>
    </row>
    <row r="898" spans="2:4" ht="12" customHeight="1" x14ac:dyDescent="0.15">
      <c r="B898" s="2"/>
      <c r="C898" s="3"/>
      <c r="D898" s="4"/>
    </row>
    <row r="899" spans="2:4" ht="12" customHeight="1" x14ac:dyDescent="0.15">
      <c r="B899" s="2"/>
      <c r="C899" s="3"/>
      <c r="D899" s="4"/>
    </row>
    <row r="900" spans="2:4" ht="12" customHeight="1" x14ac:dyDescent="0.15">
      <c r="B900" s="2"/>
      <c r="C900" s="3"/>
      <c r="D900" s="4"/>
    </row>
    <row r="901" spans="2:4" ht="12" customHeight="1" x14ac:dyDescent="0.15">
      <c r="B901" s="2"/>
      <c r="C901" s="3"/>
      <c r="D901" s="4"/>
    </row>
    <row r="902" spans="2:4" ht="12" customHeight="1" x14ac:dyDescent="0.15">
      <c r="B902" s="2"/>
      <c r="C902" s="3"/>
      <c r="D902" s="4"/>
    </row>
    <row r="903" spans="2:4" ht="12" customHeight="1" x14ac:dyDescent="0.15">
      <c r="B903" s="2"/>
      <c r="C903" s="3"/>
      <c r="D903" s="4"/>
    </row>
    <row r="904" spans="2:4" ht="12" customHeight="1" x14ac:dyDescent="0.15">
      <c r="B904" s="2"/>
      <c r="C904" s="3"/>
      <c r="D904" s="4"/>
    </row>
    <row r="905" spans="2:4" ht="12" customHeight="1" x14ac:dyDescent="0.15">
      <c r="B905" s="2"/>
      <c r="C905" s="3"/>
      <c r="D905" s="4"/>
    </row>
    <row r="906" spans="2:4" ht="12" customHeight="1" x14ac:dyDescent="0.15">
      <c r="B906" s="2"/>
      <c r="C906" s="3"/>
      <c r="D906" s="4"/>
    </row>
    <row r="907" spans="2:4" ht="12" customHeight="1" x14ac:dyDescent="0.15">
      <c r="B907" s="2"/>
      <c r="C907" s="3"/>
      <c r="D907" s="4"/>
    </row>
    <row r="908" spans="2:4" ht="12" customHeight="1" x14ac:dyDescent="0.15">
      <c r="B908" s="2"/>
      <c r="C908" s="3"/>
      <c r="D908" s="4"/>
    </row>
    <row r="909" spans="2:4" ht="12" customHeight="1" x14ac:dyDescent="0.15">
      <c r="B909" s="2"/>
      <c r="C909" s="3"/>
      <c r="D909" s="4"/>
    </row>
    <row r="910" spans="2:4" ht="12" customHeight="1" x14ac:dyDescent="0.15">
      <c r="B910" s="2"/>
      <c r="C910" s="3"/>
      <c r="D910" s="4"/>
    </row>
    <row r="911" spans="2:4" ht="12" customHeight="1" x14ac:dyDescent="0.15">
      <c r="B911" s="2"/>
      <c r="C911" s="3"/>
      <c r="D911" s="4"/>
    </row>
    <row r="912" spans="2:4" ht="12" customHeight="1" x14ac:dyDescent="0.15">
      <c r="B912" s="2"/>
      <c r="C912" s="3"/>
      <c r="D912" s="4"/>
    </row>
    <row r="913" spans="2:4" ht="12" customHeight="1" x14ac:dyDescent="0.15">
      <c r="B913" s="2"/>
      <c r="C913" s="3"/>
      <c r="D913" s="4"/>
    </row>
    <row r="914" spans="2:4" ht="12" customHeight="1" x14ac:dyDescent="0.15">
      <c r="B914" s="2"/>
      <c r="C914" s="3"/>
      <c r="D914" s="4"/>
    </row>
    <row r="915" spans="2:4" ht="12" customHeight="1" x14ac:dyDescent="0.15">
      <c r="B915" s="2"/>
      <c r="C915" s="3"/>
      <c r="D915" s="4"/>
    </row>
    <row r="916" spans="2:4" ht="12" customHeight="1" x14ac:dyDescent="0.15">
      <c r="B916" s="2"/>
      <c r="C916" s="3"/>
      <c r="D916" s="4"/>
    </row>
    <row r="917" spans="2:4" ht="12" customHeight="1" x14ac:dyDescent="0.15">
      <c r="B917" s="2"/>
      <c r="C917" s="3"/>
      <c r="D917" s="4"/>
    </row>
    <row r="918" spans="2:4" ht="12" customHeight="1" x14ac:dyDescent="0.15">
      <c r="B918" s="2"/>
      <c r="C918" s="3"/>
      <c r="D918" s="4"/>
    </row>
    <row r="919" spans="2:4" ht="12" customHeight="1" x14ac:dyDescent="0.15">
      <c r="B919" s="2"/>
      <c r="C919" s="3"/>
      <c r="D919" s="4"/>
    </row>
    <row r="920" spans="2:4" ht="12" customHeight="1" x14ac:dyDescent="0.15">
      <c r="B920" s="2"/>
      <c r="C920" s="3"/>
      <c r="D920" s="4"/>
    </row>
    <row r="921" spans="2:4" ht="12" customHeight="1" x14ac:dyDescent="0.15">
      <c r="B921" s="2"/>
      <c r="C921" s="3"/>
      <c r="D921" s="4"/>
    </row>
    <row r="922" spans="2:4" ht="12" customHeight="1" x14ac:dyDescent="0.15">
      <c r="B922" s="2"/>
      <c r="C922" s="3"/>
      <c r="D922" s="4"/>
    </row>
    <row r="923" spans="2:4" ht="12" customHeight="1" x14ac:dyDescent="0.15">
      <c r="B923" s="2"/>
      <c r="C923" s="3"/>
      <c r="D923" s="4"/>
    </row>
    <row r="924" spans="2:4" ht="12" customHeight="1" x14ac:dyDescent="0.15">
      <c r="B924" s="2"/>
      <c r="C924" s="3"/>
      <c r="D924" s="4"/>
    </row>
    <row r="925" spans="2:4" ht="12" customHeight="1" x14ac:dyDescent="0.15">
      <c r="B925" s="2"/>
      <c r="C925" s="3"/>
      <c r="D925" s="4"/>
    </row>
    <row r="926" spans="2:4" ht="12" customHeight="1" x14ac:dyDescent="0.15">
      <c r="B926" s="2"/>
      <c r="C926" s="3"/>
      <c r="D926" s="4"/>
    </row>
    <row r="927" spans="2:4" ht="12" customHeight="1" x14ac:dyDescent="0.15">
      <c r="B927" s="2"/>
      <c r="C927" s="3"/>
      <c r="D927" s="4"/>
    </row>
    <row r="928" spans="2:4" ht="12" customHeight="1" x14ac:dyDescent="0.15">
      <c r="B928" s="2"/>
      <c r="C928" s="3"/>
      <c r="D928" s="4"/>
    </row>
    <row r="929" spans="2:4" ht="12" customHeight="1" x14ac:dyDescent="0.15">
      <c r="B929" s="2"/>
      <c r="C929" s="3"/>
      <c r="D929" s="4"/>
    </row>
    <row r="930" spans="2:4" ht="12" customHeight="1" x14ac:dyDescent="0.15">
      <c r="B930" s="2"/>
      <c r="C930" s="3"/>
      <c r="D930" s="4"/>
    </row>
    <row r="931" spans="2:4" ht="12" customHeight="1" x14ac:dyDescent="0.15">
      <c r="B931" s="2"/>
      <c r="C931" s="3"/>
      <c r="D931" s="4"/>
    </row>
    <row r="932" spans="2:4" ht="12" customHeight="1" x14ac:dyDescent="0.15">
      <c r="B932" s="2"/>
      <c r="C932" s="3"/>
      <c r="D932" s="4"/>
    </row>
    <row r="933" spans="2:4" ht="12" customHeight="1" x14ac:dyDescent="0.15">
      <c r="B933" s="2"/>
      <c r="C933" s="3"/>
      <c r="D933" s="4"/>
    </row>
    <row r="934" spans="2:4" ht="12" customHeight="1" x14ac:dyDescent="0.15">
      <c r="B934" s="2"/>
      <c r="C934" s="3"/>
      <c r="D934" s="4"/>
    </row>
    <row r="935" spans="2:4" ht="12" customHeight="1" x14ac:dyDescent="0.15">
      <c r="B935" s="2"/>
      <c r="C935" s="3"/>
      <c r="D935" s="4"/>
    </row>
    <row r="936" spans="2:4" ht="12" customHeight="1" x14ac:dyDescent="0.15">
      <c r="B936" s="2"/>
      <c r="C936" s="3"/>
      <c r="D936" s="4"/>
    </row>
    <row r="937" spans="2:4" ht="12" customHeight="1" x14ac:dyDescent="0.15">
      <c r="B937" s="2"/>
      <c r="C937" s="3"/>
      <c r="D937" s="4"/>
    </row>
    <row r="938" spans="2:4" ht="12" customHeight="1" x14ac:dyDescent="0.15">
      <c r="B938" s="2"/>
      <c r="C938" s="3"/>
      <c r="D938" s="4"/>
    </row>
    <row r="939" spans="2:4" ht="12" customHeight="1" x14ac:dyDescent="0.15">
      <c r="B939" s="2"/>
      <c r="C939" s="3"/>
      <c r="D939" s="4"/>
    </row>
    <row r="940" spans="2:4" ht="12" customHeight="1" x14ac:dyDescent="0.15">
      <c r="B940" s="2"/>
      <c r="C940" s="3"/>
      <c r="D940" s="4"/>
    </row>
    <row r="941" spans="2:4" ht="12" customHeight="1" x14ac:dyDescent="0.15">
      <c r="B941" s="2"/>
      <c r="C941" s="3"/>
      <c r="D941" s="4"/>
    </row>
    <row r="942" spans="2:4" ht="12" customHeight="1" x14ac:dyDescent="0.15">
      <c r="B942" s="2"/>
      <c r="C942" s="3"/>
      <c r="D942" s="4"/>
    </row>
    <row r="943" spans="2:4" ht="12" customHeight="1" x14ac:dyDescent="0.15">
      <c r="B943" s="2"/>
      <c r="C943" s="3"/>
      <c r="D943" s="4"/>
    </row>
    <row r="944" spans="2:4" ht="12" customHeight="1" x14ac:dyDescent="0.15">
      <c r="B944" s="2"/>
      <c r="C944" s="3"/>
      <c r="D944" s="4"/>
    </row>
    <row r="945" spans="2:4" ht="12" customHeight="1" x14ac:dyDescent="0.15">
      <c r="B945" s="2"/>
      <c r="C945" s="3"/>
      <c r="D945" s="4"/>
    </row>
    <row r="946" spans="2:4" ht="12" customHeight="1" x14ac:dyDescent="0.15">
      <c r="B946" s="2"/>
      <c r="C946" s="3"/>
      <c r="D946" s="4"/>
    </row>
    <row r="947" spans="2:4" ht="12" customHeight="1" x14ac:dyDescent="0.15">
      <c r="B947" s="2"/>
      <c r="C947" s="3"/>
      <c r="D947" s="4"/>
    </row>
    <row r="948" spans="2:4" ht="12" customHeight="1" x14ac:dyDescent="0.15">
      <c r="B948" s="2"/>
      <c r="C948" s="3"/>
      <c r="D948" s="4"/>
    </row>
    <row r="949" spans="2:4" ht="12" customHeight="1" x14ac:dyDescent="0.15">
      <c r="B949" s="2"/>
      <c r="C949" s="3"/>
      <c r="D949" s="4"/>
    </row>
    <row r="950" spans="2:4" ht="12" customHeight="1" x14ac:dyDescent="0.15">
      <c r="B950" s="2"/>
      <c r="C950" s="3"/>
      <c r="D950" s="4"/>
    </row>
    <row r="951" spans="2:4" ht="12" customHeight="1" x14ac:dyDescent="0.15">
      <c r="B951" s="2"/>
      <c r="C951" s="3"/>
      <c r="D951" s="4"/>
    </row>
    <row r="952" spans="2:4" ht="12" customHeight="1" x14ac:dyDescent="0.15">
      <c r="B952" s="2"/>
      <c r="C952" s="3"/>
      <c r="D952" s="4"/>
    </row>
    <row r="953" spans="2:4" ht="12" customHeight="1" x14ac:dyDescent="0.15">
      <c r="B953" s="2"/>
      <c r="C953" s="3"/>
      <c r="D953" s="4"/>
    </row>
    <row r="954" spans="2:4" ht="12" customHeight="1" x14ac:dyDescent="0.15">
      <c r="B954" s="2"/>
      <c r="C954" s="3"/>
      <c r="D954" s="4"/>
    </row>
    <row r="955" spans="2:4" ht="12" customHeight="1" x14ac:dyDescent="0.15">
      <c r="B955" s="2"/>
      <c r="C955" s="3"/>
      <c r="D955" s="4"/>
    </row>
    <row r="956" spans="2:4" ht="12" customHeight="1" x14ac:dyDescent="0.15">
      <c r="B956" s="2"/>
      <c r="C956" s="3"/>
      <c r="D956" s="4"/>
    </row>
    <row r="957" spans="2:4" ht="12" customHeight="1" x14ac:dyDescent="0.15">
      <c r="B957" s="2"/>
      <c r="C957" s="3"/>
      <c r="D957" s="4"/>
    </row>
    <row r="958" spans="2:4" ht="12" customHeight="1" x14ac:dyDescent="0.15">
      <c r="B958" s="2"/>
      <c r="C958" s="3"/>
      <c r="D958" s="4"/>
    </row>
    <row r="959" spans="2:4" ht="12" customHeight="1" x14ac:dyDescent="0.15">
      <c r="B959" s="2"/>
      <c r="C959" s="3"/>
      <c r="D959" s="4"/>
    </row>
    <row r="960" spans="2:4" ht="12" customHeight="1" x14ac:dyDescent="0.15">
      <c r="B960" s="2"/>
      <c r="C960" s="3"/>
      <c r="D960" s="4"/>
    </row>
    <row r="961" spans="2:4" ht="12" customHeight="1" x14ac:dyDescent="0.15">
      <c r="B961" s="2"/>
      <c r="C961" s="3"/>
      <c r="D961" s="4"/>
    </row>
    <row r="962" spans="2:4" ht="12" customHeight="1" x14ac:dyDescent="0.15">
      <c r="B962" s="2"/>
      <c r="C962" s="3"/>
      <c r="D962" s="4"/>
    </row>
    <row r="963" spans="2:4" ht="12" customHeight="1" x14ac:dyDescent="0.15">
      <c r="B963" s="2"/>
      <c r="C963" s="3"/>
      <c r="D963" s="4"/>
    </row>
    <row r="964" spans="2:4" ht="12" customHeight="1" x14ac:dyDescent="0.15">
      <c r="B964" s="2"/>
      <c r="C964" s="3"/>
      <c r="D964" s="4"/>
    </row>
    <row r="965" spans="2:4" ht="12" customHeight="1" x14ac:dyDescent="0.15">
      <c r="B965" s="2"/>
      <c r="C965" s="3"/>
      <c r="D965" s="4"/>
    </row>
    <row r="966" spans="2:4" ht="12" customHeight="1" x14ac:dyDescent="0.15">
      <c r="B966" s="2"/>
      <c r="C966" s="3"/>
      <c r="D966" s="4"/>
    </row>
    <row r="967" spans="2:4" ht="12" customHeight="1" x14ac:dyDescent="0.15">
      <c r="B967" s="2"/>
      <c r="C967" s="3"/>
      <c r="D967" s="4"/>
    </row>
    <row r="968" spans="2:4" ht="12" customHeight="1" x14ac:dyDescent="0.15">
      <c r="B968" s="2"/>
      <c r="C968" s="3"/>
      <c r="D968" s="4"/>
    </row>
    <row r="969" spans="2:4" ht="12" customHeight="1" x14ac:dyDescent="0.15">
      <c r="B969" s="2"/>
      <c r="C969" s="3"/>
      <c r="D969" s="4"/>
    </row>
    <row r="970" spans="2:4" ht="12" customHeight="1" x14ac:dyDescent="0.15">
      <c r="B970" s="2"/>
      <c r="C970" s="3"/>
      <c r="D970" s="4"/>
    </row>
    <row r="971" spans="2:4" ht="12" customHeight="1" x14ac:dyDescent="0.15">
      <c r="B971" s="2"/>
      <c r="C971" s="3"/>
      <c r="D971" s="4"/>
    </row>
    <row r="972" spans="2:4" ht="12" customHeight="1" x14ac:dyDescent="0.15">
      <c r="B972" s="2"/>
      <c r="C972" s="3"/>
      <c r="D972" s="4"/>
    </row>
    <row r="973" spans="2:4" ht="12" customHeight="1" x14ac:dyDescent="0.15">
      <c r="B973" s="2"/>
      <c r="C973" s="3"/>
      <c r="D973" s="4"/>
    </row>
    <row r="974" spans="2:4" ht="12" customHeight="1" x14ac:dyDescent="0.15">
      <c r="B974" s="2"/>
      <c r="C974" s="3"/>
      <c r="D974" s="4"/>
    </row>
    <row r="975" spans="2:4" ht="12" customHeight="1" x14ac:dyDescent="0.15">
      <c r="B975" s="2"/>
      <c r="C975" s="3"/>
      <c r="D975" s="4"/>
    </row>
    <row r="976" spans="2:4" ht="12" customHeight="1" x14ac:dyDescent="0.15">
      <c r="B976" s="2"/>
      <c r="C976" s="3"/>
      <c r="D976" s="4"/>
    </row>
    <row r="977" spans="2:4" ht="12" customHeight="1" x14ac:dyDescent="0.15">
      <c r="B977" s="2"/>
      <c r="C977" s="3"/>
      <c r="D977" s="4"/>
    </row>
    <row r="978" spans="2:4" ht="12" customHeight="1" x14ac:dyDescent="0.15">
      <c r="B978" s="2"/>
      <c r="C978" s="3"/>
      <c r="D978" s="4"/>
    </row>
    <row r="979" spans="2:4" ht="12" customHeight="1" x14ac:dyDescent="0.15">
      <c r="B979" s="2"/>
      <c r="C979" s="3"/>
      <c r="D979" s="4"/>
    </row>
    <row r="980" spans="2:4" ht="12" customHeight="1" x14ac:dyDescent="0.15">
      <c r="B980" s="2"/>
      <c r="C980" s="3"/>
      <c r="D980" s="4"/>
    </row>
    <row r="981" spans="2:4" ht="12" customHeight="1" x14ac:dyDescent="0.15">
      <c r="B981" s="2"/>
      <c r="C981" s="3"/>
      <c r="D981" s="4"/>
    </row>
    <row r="982" spans="2:4" ht="12" customHeight="1" x14ac:dyDescent="0.15">
      <c r="B982" s="2"/>
      <c r="C982" s="3"/>
      <c r="D982" s="4"/>
    </row>
    <row r="983" spans="2:4" ht="12" customHeight="1" x14ac:dyDescent="0.15">
      <c r="B983" s="2"/>
      <c r="C983" s="3"/>
      <c r="D983" s="4"/>
    </row>
    <row r="984" spans="2:4" ht="12" customHeight="1" x14ac:dyDescent="0.15">
      <c r="B984" s="2"/>
      <c r="C984" s="3"/>
      <c r="D984" s="4"/>
    </row>
    <row r="985" spans="2:4" ht="12" customHeight="1" x14ac:dyDescent="0.15">
      <c r="B985" s="2"/>
      <c r="C985" s="3"/>
      <c r="D985" s="4"/>
    </row>
    <row r="986" spans="2:4" ht="12" customHeight="1" x14ac:dyDescent="0.15">
      <c r="B986" s="2"/>
      <c r="C986" s="3"/>
      <c r="D986" s="4"/>
    </row>
    <row r="987" spans="2:4" ht="12" customHeight="1" x14ac:dyDescent="0.15">
      <c r="B987" s="2"/>
      <c r="C987" s="3"/>
      <c r="D987" s="4"/>
    </row>
    <row r="988" spans="2:4" ht="12" customHeight="1" x14ac:dyDescent="0.15">
      <c r="B988" s="2"/>
      <c r="C988" s="3"/>
      <c r="D988" s="4"/>
    </row>
    <row r="989" spans="2:4" ht="12" customHeight="1" x14ac:dyDescent="0.15">
      <c r="B989" s="2"/>
      <c r="C989" s="3"/>
      <c r="D989" s="4"/>
    </row>
    <row r="990" spans="2:4" ht="12" customHeight="1" x14ac:dyDescent="0.15">
      <c r="B990" s="2"/>
      <c r="C990" s="3"/>
      <c r="D990" s="4"/>
    </row>
    <row r="991" spans="2:4" ht="12" customHeight="1" x14ac:dyDescent="0.15">
      <c r="B991" s="2"/>
      <c r="C991" s="3"/>
      <c r="D991" s="4"/>
    </row>
    <row r="992" spans="2:4" ht="12" customHeight="1" x14ac:dyDescent="0.15">
      <c r="B992" s="2"/>
      <c r="C992" s="3"/>
      <c r="D992" s="4"/>
    </row>
    <row r="993" spans="2:4" ht="12" customHeight="1" x14ac:dyDescent="0.15">
      <c r="B993" s="2"/>
      <c r="C993" s="3"/>
      <c r="D993" s="4"/>
    </row>
    <row r="994" spans="2:4" ht="12" customHeight="1" x14ac:dyDescent="0.15">
      <c r="B994" s="2"/>
      <c r="C994" s="3"/>
      <c r="D994" s="4"/>
    </row>
    <row r="995" spans="2:4" ht="12" customHeight="1" x14ac:dyDescent="0.15">
      <c r="B995" s="2"/>
      <c r="C995" s="3"/>
      <c r="D995" s="4"/>
    </row>
    <row r="996" spans="2:4" ht="12" customHeight="1" x14ac:dyDescent="0.15">
      <c r="B996" s="2"/>
      <c r="C996" s="3"/>
      <c r="D996" s="4"/>
    </row>
    <row r="997" spans="2:4" ht="12" customHeight="1" x14ac:dyDescent="0.15">
      <c r="B997" s="2"/>
      <c r="C997" s="3"/>
      <c r="D997" s="4"/>
    </row>
    <row r="998" spans="2:4" ht="12" customHeight="1" x14ac:dyDescent="0.15">
      <c r="B998" s="2"/>
      <c r="C998" s="3"/>
      <c r="D998" s="4"/>
    </row>
    <row r="999" spans="2:4" ht="12" customHeight="1" x14ac:dyDescent="0.15">
      <c r="B999" s="2"/>
      <c r="C999" s="3"/>
      <c r="D999" s="4"/>
    </row>
    <row r="1000" spans="2:4" ht="12" customHeight="1" x14ac:dyDescent="0.15">
      <c r="B1000" s="2"/>
      <c r="C1000" s="3"/>
      <c r="D1000" s="4"/>
    </row>
    <row r="1001" spans="2:4" ht="12" customHeight="1" x14ac:dyDescent="0.15">
      <c r="B1001" s="2"/>
      <c r="C1001" s="3"/>
      <c r="D1001" s="4"/>
    </row>
    <row r="1002" spans="2:4" ht="12" customHeight="1" x14ac:dyDescent="0.15">
      <c r="B1002" s="2"/>
      <c r="C1002" s="3"/>
      <c r="D1002" s="4"/>
    </row>
    <row r="1003" spans="2:4" ht="12" customHeight="1" x14ac:dyDescent="0.15">
      <c r="B1003" s="2"/>
      <c r="C1003" s="3"/>
      <c r="D1003" s="4"/>
    </row>
    <row r="1004" spans="2:4" ht="12" customHeight="1" x14ac:dyDescent="0.15">
      <c r="B1004" s="2"/>
      <c r="C1004" s="3"/>
      <c r="D1004" s="4"/>
    </row>
    <row r="1005" spans="2:4" ht="12" customHeight="1" x14ac:dyDescent="0.15">
      <c r="B1005" s="2"/>
      <c r="C1005" s="3"/>
      <c r="D1005" s="4"/>
    </row>
    <row r="1006" spans="2:4" ht="12" customHeight="1" x14ac:dyDescent="0.15">
      <c r="B1006" s="2"/>
      <c r="C1006" s="3"/>
      <c r="D1006" s="4"/>
    </row>
    <row r="1007" spans="2:4" ht="12" customHeight="1" x14ac:dyDescent="0.15">
      <c r="B1007" s="2"/>
      <c r="C1007" s="3"/>
      <c r="D1007" s="4"/>
    </row>
    <row r="1008" spans="2:4" ht="12" customHeight="1" x14ac:dyDescent="0.15">
      <c r="B1008" s="2"/>
      <c r="C1008" s="3"/>
      <c r="D1008" s="4"/>
    </row>
    <row r="1009" spans="2:4" ht="12" customHeight="1" x14ac:dyDescent="0.15">
      <c r="B1009" s="2"/>
      <c r="C1009" s="3"/>
      <c r="D1009" s="4"/>
    </row>
    <row r="1010" spans="2:4" ht="12" customHeight="1" x14ac:dyDescent="0.15">
      <c r="B1010" s="2"/>
      <c r="C1010" s="3"/>
      <c r="D1010" s="4"/>
    </row>
  </sheetData>
  <mergeCells count="1">
    <mergeCell ref="A1:D1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  <rowBreaks count="1" manualBreakCount="1">
    <brk id="106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8.83203125" customWidth="1"/>
    <col min="3" max="4" width="13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1" spans="1:26" ht="54" customHeight="1" x14ac:dyDescent="0.15">
      <c r="A1" s="1"/>
      <c r="B1" s="1"/>
      <c r="C1" s="1"/>
      <c r="D1" s="1"/>
      <c r="E1" s="1"/>
      <c r="F1" s="1"/>
      <c r="G1" s="1"/>
      <c r="I1" s="135"/>
      <c r="J1" s="135"/>
      <c r="K1" s="135"/>
      <c r="L1" s="135"/>
    </row>
    <row r="2" spans="1:26" ht="12" customHeight="1" x14ac:dyDescent="0.15">
      <c r="B2" s="2"/>
      <c r="C2" s="4"/>
      <c r="D2" s="4"/>
      <c r="E2" s="4"/>
      <c r="I2" s="135"/>
      <c r="J2" s="135"/>
      <c r="K2" s="135"/>
      <c r="L2" s="135"/>
    </row>
    <row r="3" spans="1:26" ht="18.75" customHeight="1" x14ac:dyDescent="0.2">
      <c r="A3" s="5" t="s">
        <v>0</v>
      </c>
      <c r="C3" s="4"/>
      <c r="D3" s="4"/>
      <c r="E3" s="4"/>
      <c r="F3" s="5"/>
      <c r="G3" s="5"/>
      <c r="I3" s="135"/>
      <c r="J3" s="135"/>
      <c r="K3" s="135"/>
      <c r="L3" s="135"/>
    </row>
    <row r="4" spans="1:26" ht="12" customHeight="1" x14ac:dyDescent="0.15">
      <c r="A4" s="2" t="s">
        <v>1</v>
      </c>
      <c r="C4" s="4"/>
      <c r="D4" s="4"/>
      <c r="E4" s="4"/>
      <c r="F4" s="2"/>
      <c r="G4" s="2"/>
      <c r="I4" s="135"/>
      <c r="J4" s="135"/>
      <c r="K4" s="135"/>
      <c r="L4" s="135"/>
    </row>
    <row r="5" spans="1:26" ht="12" customHeight="1" x14ac:dyDescent="0.15">
      <c r="B5" s="2"/>
      <c r="C5" s="4"/>
      <c r="D5" s="4"/>
      <c r="E5" s="4"/>
      <c r="I5" s="135"/>
      <c r="J5" s="135"/>
      <c r="K5" s="135"/>
      <c r="L5" s="135"/>
    </row>
    <row r="6" spans="1:26" ht="12" customHeight="1" x14ac:dyDescent="0.15">
      <c r="B6" s="6"/>
      <c r="C6" s="4"/>
      <c r="D6" s="4"/>
      <c r="E6" s="4"/>
      <c r="F6" s="159" t="s">
        <v>284</v>
      </c>
      <c r="G6" s="160"/>
      <c r="I6" s="135"/>
      <c r="J6" s="135"/>
      <c r="K6" s="135"/>
      <c r="L6" s="135"/>
    </row>
    <row r="7" spans="1:26" ht="17.25" customHeight="1" x14ac:dyDescent="0.15">
      <c r="A7" s="8"/>
      <c r="B7" s="161" t="s">
        <v>285</v>
      </c>
      <c r="C7" s="162"/>
      <c r="D7" s="162"/>
      <c r="E7" s="163"/>
      <c r="F7" s="8"/>
      <c r="G7" s="8"/>
      <c r="H7" s="8"/>
      <c r="I7" s="164"/>
      <c r="J7" s="164"/>
      <c r="K7" s="164"/>
      <c r="L7" s="16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" customHeight="1" x14ac:dyDescent="0.15">
      <c r="B8" s="2"/>
      <c r="C8" s="4"/>
      <c r="D8" s="4"/>
      <c r="E8" s="4"/>
      <c r="I8" s="135"/>
      <c r="J8" s="135"/>
      <c r="K8" s="135"/>
      <c r="L8" s="135"/>
    </row>
    <row r="9" spans="1:26" ht="15" customHeight="1" x14ac:dyDescent="0.15">
      <c r="B9" s="165"/>
      <c r="C9" s="166"/>
      <c r="D9" s="167"/>
      <c r="E9" s="168" t="s">
        <v>225</v>
      </c>
      <c r="I9" s="135"/>
      <c r="J9" s="135"/>
      <c r="K9" s="135"/>
      <c r="L9" s="135"/>
    </row>
    <row r="10" spans="1:26" ht="7.5" customHeight="1" x14ac:dyDescent="0.15">
      <c r="B10" s="169"/>
      <c r="C10" s="170"/>
      <c r="D10" s="141"/>
      <c r="E10" s="134"/>
      <c r="I10" s="135"/>
      <c r="J10" s="135"/>
      <c r="K10" s="135"/>
      <c r="L10" s="135"/>
    </row>
    <row r="11" spans="1:26" ht="15" customHeight="1" x14ac:dyDescent="0.15">
      <c r="A11" s="7"/>
      <c r="B11" s="171" t="s">
        <v>286</v>
      </c>
      <c r="C11" s="147"/>
      <c r="D11" s="172"/>
      <c r="E11" s="173">
        <v>124000</v>
      </c>
      <c r="I11" s="135"/>
      <c r="J11" s="135"/>
      <c r="K11" s="135"/>
      <c r="L11" s="135"/>
    </row>
    <row r="12" spans="1:26" ht="15" customHeight="1" x14ac:dyDescent="0.15">
      <c r="A12" s="7"/>
      <c r="B12" s="174" t="s">
        <v>287</v>
      </c>
      <c r="C12" s="4"/>
      <c r="D12" s="175"/>
      <c r="E12" s="134"/>
      <c r="I12" s="135"/>
      <c r="J12" s="135"/>
      <c r="K12" s="135"/>
      <c r="L12" s="135"/>
    </row>
    <row r="13" spans="1:26" ht="15" customHeight="1" x14ac:dyDescent="0.15">
      <c r="A13" s="7"/>
      <c r="B13" s="174" t="s">
        <v>288</v>
      </c>
      <c r="C13" s="4"/>
      <c r="D13" s="175"/>
      <c r="E13" s="134"/>
      <c r="I13" s="135"/>
      <c r="J13" s="135"/>
      <c r="K13" s="135"/>
      <c r="L13" s="135"/>
    </row>
    <row r="14" spans="1:26" ht="7.5" customHeight="1" x14ac:dyDescent="0.15">
      <c r="A14" s="7"/>
      <c r="B14" s="64"/>
      <c r="C14" s="4"/>
      <c r="D14" s="134"/>
      <c r="E14" s="134"/>
      <c r="I14" s="135"/>
      <c r="J14" s="135"/>
      <c r="K14" s="135"/>
      <c r="L14" s="135"/>
    </row>
    <row r="15" spans="1:26" ht="15" customHeight="1" x14ac:dyDescent="0.15">
      <c r="A15" s="7"/>
      <c r="B15" s="171" t="s">
        <v>289</v>
      </c>
      <c r="C15" s="147"/>
      <c r="D15" s="176"/>
      <c r="E15" s="173">
        <v>17647.18</v>
      </c>
      <c r="I15" s="135"/>
      <c r="J15" s="135"/>
      <c r="K15" s="135"/>
      <c r="L15" s="135"/>
    </row>
    <row r="16" spans="1:26" ht="15" customHeight="1" x14ac:dyDescent="0.15">
      <c r="A16" s="7"/>
      <c r="B16" s="174" t="s">
        <v>290</v>
      </c>
      <c r="C16" s="4"/>
      <c r="D16" s="134"/>
      <c r="E16" s="134"/>
      <c r="I16" s="135"/>
      <c r="J16" s="135"/>
      <c r="K16" s="135"/>
      <c r="L16" s="135"/>
    </row>
    <row r="17" spans="1:15" ht="15" customHeight="1" x14ac:dyDescent="0.15">
      <c r="A17" s="7"/>
      <c r="B17" s="174" t="s">
        <v>288</v>
      </c>
      <c r="C17" s="4"/>
      <c r="D17" s="134"/>
      <c r="E17" s="134"/>
      <c r="I17" s="135"/>
      <c r="J17" s="135"/>
      <c r="K17" s="135"/>
      <c r="L17" s="135"/>
    </row>
    <row r="18" spans="1:15" ht="7.5" customHeight="1" x14ac:dyDescent="0.15">
      <c r="A18" s="7"/>
      <c r="B18" s="64"/>
      <c r="C18" s="4"/>
      <c r="D18" s="134"/>
      <c r="E18" s="134"/>
      <c r="I18" s="135"/>
      <c r="J18" s="135"/>
      <c r="K18" s="135"/>
      <c r="L18" s="135"/>
    </row>
    <row r="19" spans="1:15" ht="15" customHeight="1" x14ac:dyDescent="0.15">
      <c r="A19" s="7"/>
      <c r="B19" s="171" t="s">
        <v>291</v>
      </c>
      <c r="C19" s="4"/>
      <c r="D19" s="134"/>
      <c r="E19" s="173">
        <f>(E11+E15)*0.1</f>
        <v>14164.718000000001</v>
      </c>
      <c r="I19" s="135"/>
      <c r="J19" s="135"/>
      <c r="K19" s="135"/>
      <c r="L19" s="135"/>
    </row>
    <row r="20" spans="1:15" ht="7.5" customHeight="1" x14ac:dyDescent="0.15">
      <c r="B20" s="177"/>
      <c r="C20" s="178"/>
      <c r="D20" s="179"/>
      <c r="E20" s="134"/>
      <c r="I20" s="135"/>
      <c r="J20" s="135"/>
      <c r="K20" s="135"/>
      <c r="L20" s="135"/>
    </row>
    <row r="21" spans="1:15" ht="15" customHeight="1" x14ac:dyDescent="0.15">
      <c r="B21" s="180"/>
      <c r="C21" s="181"/>
      <c r="D21" s="182" t="s">
        <v>292</v>
      </c>
      <c r="E21" s="183">
        <f>SUM(E10:E20)</f>
        <v>155811.89799999999</v>
      </c>
      <c r="I21" s="135"/>
      <c r="J21" s="135"/>
      <c r="K21" s="135"/>
      <c r="L21" s="135"/>
    </row>
    <row r="22" spans="1:15" ht="15" customHeight="1" x14ac:dyDescent="0.15">
      <c r="B22" s="184" t="s">
        <v>293</v>
      </c>
      <c r="C22" s="185"/>
      <c r="D22" s="185"/>
      <c r="E22" s="185"/>
      <c r="I22" s="135"/>
      <c r="J22" s="135"/>
      <c r="K22" s="135"/>
      <c r="L22" s="135"/>
    </row>
    <row r="23" spans="1:15" ht="15" customHeight="1" x14ac:dyDescent="0.15">
      <c r="B23" s="184" t="s">
        <v>294</v>
      </c>
      <c r="C23" s="185"/>
      <c r="D23" s="185"/>
      <c r="E23" s="185"/>
      <c r="I23" s="135"/>
      <c r="J23" s="135"/>
      <c r="K23" s="135"/>
      <c r="L23" s="135"/>
    </row>
    <row r="24" spans="1:15" ht="15" customHeight="1" x14ac:dyDescent="0.15">
      <c r="B24" s="186" t="s">
        <v>295</v>
      </c>
      <c r="C24" s="4"/>
      <c r="D24" s="4"/>
      <c r="E24" s="4"/>
      <c r="I24" s="135"/>
      <c r="J24" s="135"/>
      <c r="K24" s="135"/>
      <c r="L24" s="135"/>
    </row>
    <row r="25" spans="1:15" ht="15" customHeight="1" x14ac:dyDescent="0.15">
      <c r="B25" s="186" t="s">
        <v>296</v>
      </c>
      <c r="C25" s="4"/>
      <c r="D25" s="4"/>
      <c r="E25" s="4"/>
      <c r="I25" s="135"/>
      <c r="J25" s="135"/>
      <c r="K25" s="135"/>
      <c r="L25" s="135"/>
    </row>
    <row r="26" spans="1:15" ht="15" customHeight="1" x14ac:dyDescent="0.15">
      <c r="B26" s="187"/>
      <c r="C26" s="4"/>
      <c r="D26" s="4"/>
      <c r="E26" s="4"/>
      <c r="I26" s="135"/>
      <c r="J26" s="135"/>
      <c r="K26" s="135"/>
      <c r="L26" s="135"/>
    </row>
    <row r="27" spans="1:15" ht="15" customHeight="1" x14ac:dyDescent="0.15">
      <c r="B27" s="187" t="s">
        <v>297</v>
      </c>
      <c r="C27" s="4"/>
      <c r="D27" s="4"/>
      <c r="E27" s="4"/>
      <c r="I27" s="135"/>
      <c r="J27" s="135"/>
      <c r="K27" s="135"/>
      <c r="L27" s="135"/>
    </row>
    <row r="28" spans="1:15" ht="15" customHeight="1" x14ac:dyDescent="0.15">
      <c r="B28" s="187" t="s">
        <v>298</v>
      </c>
      <c r="C28" s="4"/>
      <c r="D28" s="4"/>
      <c r="E28" s="4"/>
      <c r="I28" s="135"/>
      <c r="J28" s="135"/>
      <c r="K28" s="135"/>
      <c r="L28" s="135"/>
    </row>
    <row r="29" spans="1:15" ht="15" customHeight="1" x14ac:dyDescent="0.15">
      <c r="B29" s="187"/>
      <c r="C29" s="4"/>
      <c r="D29" s="4"/>
      <c r="E29" s="4"/>
      <c r="I29" s="135"/>
      <c r="J29" s="135"/>
      <c r="K29" s="135"/>
      <c r="L29" s="135"/>
    </row>
    <row r="30" spans="1:15" ht="15" customHeight="1" x14ac:dyDescent="0.2">
      <c r="B30" s="188" t="s">
        <v>299</v>
      </c>
      <c r="C30" s="189"/>
      <c r="D30" s="190"/>
      <c r="E30" s="191">
        <f>E21</f>
        <v>155811.89799999999</v>
      </c>
      <c r="H30" s="192" t="s">
        <v>300</v>
      </c>
      <c r="I30" s="193" t="s">
        <v>301</v>
      </c>
      <c r="J30" s="194" t="s">
        <v>302</v>
      </c>
      <c r="K30" s="194" t="s">
        <v>303</v>
      </c>
      <c r="L30" s="195" t="s">
        <v>304</v>
      </c>
      <c r="M30" s="196" t="s">
        <v>305</v>
      </c>
      <c r="N30" s="197"/>
      <c r="O30" s="198"/>
    </row>
    <row r="31" spans="1:15" ht="15" customHeight="1" x14ac:dyDescent="0.15">
      <c r="B31" s="199" t="s">
        <v>306</v>
      </c>
      <c r="C31" s="200" t="s">
        <v>307</v>
      </c>
      <c r="D31" s="201" t="s">
        <v>308</v>
      </c>
      <c r="E31" s="200" t="s">
        <v>309</v>
      </c>
      <c r="H31" s="202">
        <v>1</v>
      </c>
      <c r="I31" s="135">
        <f>E30</f>
        <v>155811.89799999999</v>
      </c>
      <c r="J31" s="135">
        <v>3386200</v>
      </c>
      <c r="K31" s="135">
        <v>26236200</v>
      </c>
      <c r="L31" s="135">
        <f>(J31/J38)*100</f>
        <v>12.906594705025881</v>
      </c>
      <c r="M31" s="135">
        <f t="shared" ref="M31:M37" si="0">(I31*J31/K31)</f>
        <v>20110.010177068325</v>
      </c>
      <c r="N31" s="203">
        <v>20110.009999999998</v>
      </c>
    </row>
    <row r="32" spans="1:15" ht="15" customHeight="1" x14ac:dyDescent="0.15">
      <c r="B32" s="204" t="s">
        <v>184</v>
      </c>
      <c r="C32" s="205" t="s">
        <v>185</v>
      </c>
      <c r="D32" s="206">
        <v>0.12909999999999999</v>
      </c>
      <c r="E32" s="207">
        <v>20110.009999999998</v>
      </c>
      <c r="H32" s="202">
        <v>2</v>
      </c>
      <c r="I32" s="135">
        <f>E30</f>
        <v>155811.89799999999</v>
      </c>
      <c r="J32" s="135">
        <v>3453400</v>
      </c>
      <c r="K32" s="135">
        <v>26236200</v>
      </c>
      <c r="L32" s="135">
        <f>(J32/J38)*100</f>
        <v>13.162729358672367</v>
      </c>
      <c r="M32" s="135">
        <f t="shared" si="0"/>
        <v>20509.098442350645</v>
      </c>
      <c r="N32" s="203">
        <v>20509.099999999999</v>
      </c>
    </row>
    <row r="33" spans="2:14" ht="12" customHeight="1" x14ac:dyDescent="0.15">
      <c r="B33" s="208" t="s">
        <v>187</v>
      </c>
      <c r="C33" s="209" t="s">
        <v>188</v>
      </c>
      <c r="D33" s="210">
        <v>0.13159999999999999</v>
      </c>
      <c r="E33" s="211">
        <v>20509.099999999999</v>
      </c>
      <c r="H33" s="202">
        <v>3</v>
      </c>
      <c r="I33" s="135">
        <f>E30</f>
        <v>155811.89799999999</v>
      </c>
      <c r="J33" s="135">
        <v>4063600</v>
      </c>
      <c r="K33" s="135">
        <v>26236200</v>
      </c>
      <c r="L33" s="135">
        <f>(J33/J38)*100</f>
        <v>15.4885234904445</v>
      </c>
      <c r="M33" s="135">
        <f t="shared" si="0"/>
        <v>24132.962422637422</v>
      </c>
      <c r="N33" s="203">
        <v>24132.959999999999</v>
      </c>
    </row>
    <row r="34" spans="2:14" ht="12" customHeight="1" x14ac:dyDescent="0.15">
      <c r="B34" s="208" t="s">
        <v>189</v>
      </c>
      <c r="C34" s="209" t="s">
        <v>190</v>
      </c>
      <c r="D34" s="210">
        <v>0.15490000000000001</v>
      </c>
      <c r="E34" s="211">
        <v>24132.959999999999</v>
      </c>
      <c r="H34" s="202">
        <v>4</v>
      </c>
      <c r="I34" s="135">
        <f>E30</f>
        <v>155811.89799999999</v>
      </c>
      <c r="J34" s="135">
        <v>2061000</v>
      </c>
      <c r="K34" s="135">
        <v>26236200</v>
      </c>
      <c r="L34" s="135">
        <f>(J34/J38)*100</f>
        <v>7.8555583506757838</v>
      </c>
      <c r="M34" s="135">
        <f t="shared" si="0"/>
        <v>12239.894564685435</v>
      </c>
      <c r="N34" s="203">
        <v>12239.9</v>
      </c>
    </row>
    <row r="35" spans="2:14" ht="12" customHeight="1" x14ac:dyDescent="0.15">
      <c r="B35" s="208" t="s">
        <v>191</v>
      </c>
      <c r="C35" s="209" t="s">
        <v>192</v>
      </c>
      <c r="D35" s="210">
        <v>7.8600000000000003E-2</v>
      </c>
      <c r="E35" s="211">
        <v>12239.9</v>
      </c>
      <c r="H35" s="202">
        <v>5</v>
      </c>
      <c r="I35" s="135">
        <f>E30</f>
        <v>155811.89799999999</v>
      </c>
      <c r="J35" s="135">
        <v>2540000</v>
      </c>
      <c r="K35" s="135">
        <v>26236200</v>
      </c>
      <c r="L35" s="135">
        <f>(J35/J38)*100</f>
        <v>9.6812800634238201</v>
      </c>
      <c r="M35" s="135">
        <f t="shared" si="0"/>
        <v>15084.586217516255</v>
      </c>
      <c r="N35" s="203">
        <v>15084.59</v>
      </c>
    </row>
    <row r="36" spans="2:14" ht="12" customHeight="1" x14ac:dyDescent="0.15">
      <c r="B36" s="208" t="s">
        <v>310</v>
      </c>
      <c r="C36" s="209" t="s">
        <v>194</v>
      </c>
      <c r="D36" s="210">
        <v>9.6799999999999997E-2</v>
      </c>
      <c r="E36" s="211">
        <v>15084.59</v>
      </c>
      <c r="H36" s="202">
        <v>6</v>
      </c>
      <c r="I36" s="135">
        <f>E30</f>
        <v>155811.89799999999</v>
      </c>
      <c r="J36" s="135">
        <v>4173600</v>
      </c>
      <c r="K36" s="135">
        <v>26236200</v>
      </c>
      <c r="L36" s="135">
        <f>(J36/J38)*100</f>
        <v>15.907791524687266</v>
      </c>
      <c r="M36" s="135">
        <f t="shared" si="0"/>
        <v>24786.231904498363</v>
      </c>
      <c r="N36" s="203">
        <v>24786.23</v>
      </c>
    </row>
    <row r="37" spans="2:14" ht="12" customHeight="1" x14ac:dyDescent="0.15">
      <c r="B37" s="208" t="s">
        <v>311</v>
      </c>
      <c r="C37" s="209" t="s">
        <v>196</v>
      </c>
      <c r="D37" s="210">
        <v>0.15909999999999999</v>
      </c>
      <c r="E37" s="211">
        <v>24786.23</v>
      </c>
      <c r="H37" s="202">
        <v>7</v>
      </c>
      <c r="I37" s="135">
        <f>E30</f>
        <v>155811.89799999999</v>
      </c>
      <c r="J37" s="135">
        <v>6558400</v>
      </c>
      <c r="K37" s="135">
        <v>26236200</v>
      </c>
      <c r="L37" s="135">
        <f>(J37/J38)*100</f>
        <v>24.997522507070382</v>
      </c>
      <c r="M37" s="135">
        <f t="shared" si="0"/>
        <v>38949.114271243547</v>
      </c>
      <c r="N37" s="203">
        <v>38949.11</v>
      </c>
    </row>
    <row r="38" spans="2:14" ht="12" customHeight="1" x14ac:dyDescent="0.15">
      <c r="B38" s="208" t="s">
        <v>197</v>
      </c>
      <c r="C38" s="209" t="s">
        <v>198</v>
      </c>
      <c r="D38" s="210">
        <v>0.25</v>
      </c>
      <c r="E38" s="211">
        <v>38949.11</v>
      </c>
      <c r="H38" s="212"/>
      <c r="I38" s="213"/>
      <c r="J38" s="214">
        <f>SUM(J31:J37)</f>
        <v>26236200</v>
      </c>
      <c r="K38" s="214"/>
      <c r="L38" s="214">
        <f t="shared" ref="L38:N38" si="1">SUM(L31:L37)</f>
        <v>100</v>
      </c>
      <c r="M38" s="214">
        <f t="shared" si="1"/>
        <v>155811.89799999999</v>
      </c>
      <c r="N38" s="215">
        <f t="shared" si="1"/>
        <v>155811.9</v>
      </c>
    </row>
    <row r="39" spans="2:14" ht="12" customHeight="1" x14ac:dyDescent="0.15">
      <c r="B39" s="216" t="s">
        <v>225</v>
      </c>
      <c r="C39" s="217"/>
      <c r="D39" s="218">
        <f t="shared" ref="D39:E39" si="2">SUM(D32:D38)</f>
        <v>1.0001</v>
      </c>
      <c r="E39" s="219">
        <f t="shared" si="2"/>
        <v>155811.9</v>
      </c>
      <c r="I39" s="135"/>
      <c r="J39" s="135"/>
      <c r="K39" s="135"/>
      <c r="L39" s="135"/>
    </row>
    <row r="40" spans="2:14" ht="12" customHeight="1" x14ac:dyDescent="0.15">
      <c r="B40" s="220"/>
      <c r="C40" s="75"/>
      <c r="D40" s="221"/>
      <c r="E40" s="185"/>
      <c r="I40" s="135"/>
      <c r="J40" s="135"/>
      <c r="K40" s="135"/>
      <c r="L40" s="135"/>
    </row>
    <row r="41" spans="2:14" ht="12" customHeight="1" x14ac:dyDescent="0.15">
      <c r="B41" s="2"/>
      <c r="C41" s="4"/>
      <c r="D41" s="4"/>
      <c r="E41" s="4"/>
      <c r="I41" s="135"/>
      <c r="J41" s="135"/>
      <c r="K41" s="135"/>
      <c r="L41" s="135"/>
    </row>
    <row r="42" spans="2:14" ht="12" customHeight="1" x14ac:dyDescent="0.15">
      <c r="B42" s="2"/>
      <c r="C42" s="4"/>
      <c r="D42" s="4"/>
      <c r="E42" s="4"/>
      <c r="I42" s="135"/>
      <c r="J42" s="135"/>
      <c r="K42" s="135"/>
      <c r="L42" s="135"/>
    </row>
    <row r="43" spans="2:14" ht="12" customHeight="1" x14ac:dyDescent="0.15">
      <c r="B43" s="2"/>
      <c r="C43" s="4"/>
      <c r="D43" s="4"/>
      <c r="E43" s="4"/>
      <c r="I43" s="135"/>
      <c r="J43" s="135"/>
      <c r="K43" s="135"/>
      <c r="L43" s="135"/>
    </row>
    <row r="44" spans="2:14" ht="12" customHeight="1" x14ac:dyDescent="0.15">
      <c r="B44" s="2"/>
      <c r="C44" s="4"/>
      <c r="D44" s="4"/>
      <c r="E44" s="4"/>
      <c r="I44" s="135"/>
      <c r="J44" s="135"/>
      <c r="K44" s="135"/>
      <c r="L44" s="135"/>
    </row>
    <row r="45" spans="2:14" ht="12" customHeight="1" x14ac:dyDescent="0.15">
      <c r="B45" s="2"/>
      <c r="C45" s="4"/>
      <c r="D45" s="4"/>
      <c r="E45" s="4"/>
      <c r="I45" s="135"/>
      <c r="J45" s="135"/>
      <c r="K45" s="135"/>
      <c r="L45" s="135"/>
    </row>
    <row r="46" spans="2:14" ht="12" customHeight="1" x14ac:dyDescent="0.15">
      <c r="B46" s="2"/>
      <c r="C46" s="4"/>
      <c r="D46" s="4"/>
      <c r="E46" s="4"/>
      <c r="I46" s="135"/>
      <c r="J46" s="135"/>
      <c r="K46" s="135"/>
      <c r="L46" s="135"/>
    </row>
    <row r="47" spans="2:14" ht="12" customHeight="1" x14ac:dyDescent="0.15">
      <c r="B47" s="2"/>
      <c r="C47" s="4"/>
      <c r="D47" s="4"/>
      <c r="E47" s="4"/>
      <c r="I47" s="135"/>
      <c r="J47" s="135"/>
      <c r="K47" s="135"/>
      <c r="L47" s="135"/>
    </row>
    <row r="48" spans="2:14" ht="12" customHeight="1" x14ac:dyDescent="0.15">
      <c r="B48" s="2"/>
      <c r="C48" s="4"/>
      <c r="D48" s="4"/>
      <c r="E48" s="4"/>
      <c r="I48" s="135"/>
      <c r="J48" s="135"/>
      <c r="K48" s="135"/>
      <c r="L48" s="135"/>
    </row>
    <row r="49" spans="2:12" ht="12" customHeight="1" x14ac:dyDescent="0.15">
      <c r="B49" s="2"/>
      <c r="C49" s="4"/>
      <c r="D49" s="4"/>
      <c r="E49" s="4"/>
      <c r="I49" s="135"/>
      <c r="J49" s="135"/>
      <c r="K49" s="135"/>
      <c r="L49" s="135"/>
    </row>
    <row r="50" spans="2:12" ht="12" customHeight="1" x14ac:dyDescent="0.15">
      <c r="B50" s="2"/>
      <c r="C50" s="4"/>
      <c r="D50" s="4"/>
      <c r="E50" s="4"/>
      <c r="I50" s="135"/>
      <c r="J50" s="135"/>
      <c r="K50" s="135"/>
      <c r="L50" s="135"/>
    </row>
    <row r="51" spans="2:12" ht="12" customHeight="1" x14ac:dyDescent="0.15">
      <c r="B51" s="2"/>
      <c r="C51" s="4"/>
      <c r="D51" s="4"/>
      <c r="E51" s="4"/>
      <c r="I51" s="135"/>
      <c r="J51" s="135"/>
      <c r="K51" s="135"/>
      <c r="L51" s="135"/>
    </row>
    <row r="52" spans="2:12" ht="12" customHeight="1" x14ac:dyDescent="0.15">
      <c r="B52" s="2"/>
      <c r="C52" s="4"/>
      <c r="D52" s="4"/>
      <c r="E52" s="4"/>
      <c r="I52" s="135"/>
      <c r="J52" s="135"/>
      <c r="K52" s="135"/>
      <c r="L52" s="135"/>
    </row>
    <row r="53" spans="2:12" ht="12" customHeight="1" x14ac:dyDescent="0.15">
      <c r="B53" s="2"/>
      <c r="C53" s="4"/>
      <c r="D53" s="4"/>
      <c r="E53" s="4"/>
      <c r="I53" s="135"/>
      <c r="J53" s="135"/>
      <c r="K53" s="135"/>
      <c r="L53" s="135"/>
    </row>
    <row r="54" spans="2:12" ht="12" customHeight="1" x14ac:dyDescent="0.15">
      <c r="B54" s="2"/>
      <c r="C54" s="4"/>
      <c r="D54" s="4"/>
      <c r="E54" s="4"/>
      <c r="I54" s="135"/>
      <c r="J54" s="135"/>
      <c r="K54" s="135"/>
      <c r="L54" s="135"/>
    </row>
    <row r="55" spans="2:12" ht="12" customHeight="1" x14ac:dyDescent="0.15">
      <c r="B55" s="2"/>
      <c r="C55" s="4"/>
      <c r="D55" s="4"/>
      <c r="E55" s="4"/>
      <c r="I55" s="135"/>
      <c r="J55" s="135"/>
      <c r="K55" s="135"/>
      <c r="L55" s="135"/>
    </row>
    <row r="56" spans="2:12" ht="12" customHeight="1" x14ac:dyDescent="0.15">
      <c r="B56" s="2"/>
      <c r="C56" s="4"/>
      <c r="D56" s="4"/>
      <c r="E56" s="4"/>
      <c r="I56" s="135"/>
      <c r="J56" s="135"/>
      <c r="K56" s="135"/>
      <c r="L56" s="135"/>
    </row>
    <row r="57" spans="2:12" ht="12" customHeight="1" x14ac:dyDescent="0.15">
      <c r="B57" s="2"/>
      <c r="C57" s="4"/>
      <c r="D57" s="4"/>
      <c r="E57" s="4"/>
      <c r="I57" s="135"/>
      <c r="J57" s="135"/>
      <c r="K57" s="135"/>
      <c r="L57" s="135"/>
    </row>
    <row r="58" spans="2:12" ht="12" customHeight="1" x14ac:dyDescent="0.15">
      <c r="B58" s="2"/>
      <c r="C58" s="4"/>
      <c r="D58" s="4"/>
      <c r="E58" s="4"/>
      <c r="I58" s="135"/>
      <c r="J58" s="135"/>
      <c r="K58" s="135"/>
      <c r="L58" s="135"/>
    </row>
    <row r="59" spans="2:12" ht="12" customHeight="1" x14ac:dyDescent="0.15">
      <c r="B59" s="2"/>
      <c r="C59" s="4"/>
      <c r="D59" s="4"/>
      <c r="E59" s="4"/>
      <c r="I59" s="135"/>
      <c r="J59" s="135"/>
      <c r="K59" s="135"/>
      <c r="L59" s="135"/>
    </row>
    <row r="60" spans="2:12" ht="12" customHeight="1" x14ac:dyDescent="0.15">
      <c r="B60" s="2"/>
      <c r="C60" s="4"/>
      <c r="D60" s="4"/>
      <c r="E60" s="4"/>
      <c r="I60" s="135"/>
      <c r="J60" s="135"/>
      <c r="K60" s="135"/>
      <c r="L60" s="135"/>
    </row>
    <row r="61" spans="2:12" ht="12" customHeight="1" x14ac:dyDescent="0.15">
      <c r="B61" s="2"/>
      <c r="C61" s="4"/>
      <c r="D61" s="4"/>
      <c r="E61" s="4"/>
      <c r="I61" s="135"/>
      <c r="J61" s="135"/>
      <c r="K61" s="135"/>
      <c r="L61" s="135"/>
    </row>
    <row r="62" spans="2:12" ht="12" customHeight="1" x14ac:dyDescent="0.15">
      <c r="B62" s="2"/>
      <c r="C62" s="4"/>
      <c r="D62" s="4"/>
      <c r="E62" s="4"/>
      <c r="I62" s="135"/>
      <c r="J62" s="135"/>
      <c r="K62" s="135"/>
      <c r="L62" s="135"/>
    </row>
    <row r="63" spans="2:12" ht="12" customHeight="1" x14ac:dyDescent="0.15">
      <c r="B63" s="2"/>
      <c r="C63" s="4"/>
      <c r="D63" s="4"/>
      <c r="E63" s="4"/>
      <c r="I63" s="135"/>
      <c r="J63" s="135"/>
      <c r="K63" s="135"/>
      <c r="L63" s="135"/>
    </row>
    <row r="64" spans="2:12" ht="12" customHeight="1" x14ac:dyDescent="0.15">
      <c r="B64" s="2"/>
      <c r="C64" s="4"/>
      <c r="D64" s="4"/>
      <c r="E64" s="4"/>
      <c r="I64" s="135"/>
      <c r="J64" s="135"/>
      <c r="K64" s="135"/>
      <c r="L64" s="135"/>
    </row>
    <row r="65" spans="2:12" ht="12" customHeight="1" x14ac:dyDescent="0.15">
      <c r="B65" s="2"/>
      <c r="C65" s="4"/>
      <c r="D65" s="4"/>
      <c r="E65" s="4"/>
      <c r="I65" s="135"/>
      <c r="J65" s="135"/>
      <c r="K65" s="135"/>
      <c r="L65" s="135"/>
    </row>
    <row r="66" spans="2:12" ht="12" customHeight="1" x14ac:dyDescent="0.15">
      <c r="B66" s="2"/>
      <c r="C66" s="4"/>
      <c r="D66" s="4"/>
      <c r="E66" s="4"/>
      <c r="I66" s="135"/>
      <c r="J66" s="135"/>
      <c r="K66" s="135"/>
      <c r="L66" s="135"/>
    </row>
    <row r="67" spans="2:12" ht="12" customHeight="1" x14ac:dyDescent="0.15">
      <c r="B67" s="2"/>
      <c r="C67" s="4"/>
      <c r="D67" s="4"/>
      <c r="E67" s="4"/>
      <c r="I67" s="135"/>
      <c r="J67" s="135"/>
      <c r="K67" s="135"/>
      <c r="L67" s="135"/>
    </row>
    <row r="68" spans="2:12" ht="12" customHeight="1" x14ac:dyDescent="0.15">
      <c r="B68" s="2"/>
      <c r="C68" s="4"/>
      <c r="D68" s="4"/>
      <c r="E68" s="4"/>
      <c r="I68" s="135"/>
      <c r="J68" s="135"/>
      <c r="K68" s="135"/>
      <c r="L68" s="135"/>
    </row>
    <row r="69" spans="2:12" ht="12" customHeight="1" x14ac:dyDescent="0.15">
      <c r="B69" s="2"/>
      <c r="C69" s="4"/>
      <c r="D69" s="4"/>
      <c r="E69" s="4"/>
      <c r="I69" s="135"/>
      <c r="J69" s="135"/>
      <c r="K69" s="135"/>
      <c r="L69" s="135"/>
    </row>
    <row r="70" spans="2:12" ht="12" customHeight="1" x14ac:dyDescent="0.15">
      <c r="B70" s="2"/>
      <c r="C70" s="4"/>
      <c r="D70" s="4"/>
      <c r="E70" s="4"/>
      <c r="I70" s="135"/>
      <c r="J70" s="135"/>
      <c r="K70" s="135"/>
      <c r="L70" s="135"/>
    </row>
    <row r="71" spans="2:12" ht="12" customHeight="1" x14ac:dyDescent="0.15">
      <c r="B71" s="2"/>
      <c r="C71" s="4"/>
      <c r="D71" s="4"/>
      <c r="E71" s="4"/>
      <c r="I71" s="135"/>
      <c r="J71" s="135"/>
      <c r="K71" s="135"/>
      <c r="L71" s="135"/>
    </row>
    <row r="72" spans="2:12" ht="12" customHeight="1" x14ac:dyDescent="0.15">
      <c r="B72" s="2"/>
      <c r="C72" s="4"/>
      <c r="D72" s="4"/>
      <c r="E72" s="4"/>
      <c r="I72" s="135"/>
      <c r="J72" s="135"/>
      <c r="K72" s="135"/>
      <c r="L72" s="135"/>
    </row>
    <row r="73" spans="2:12" ht="12" customHeight="1" x14ac:dyDescent="0.15">
      <c r="B73" s="2"/>
      <c r="C73" s="4"/>
      <c r="D73" s="4"/>
      <c r="E73" s="4"/>
      <c r="I73" s="135"/>
      <c r="J73" s="135"/>
      <c r="K73" s="135"/>
      <c r="L73" s="135"/>
    </row>
    <row r="74" spans="2:12" ht="12" customHeight="1" x14ac:dyDescent="0.15">
      <c r="B74" s="2"/>
      <c r="C74" s="4"/>
      <c r="D74" s="4"/>
      <c r="E74" s="4"/>
      <c r="I74" s="135"/>
      <c r="J74" s="135"/>
      <c r="K74" s="135"/>
      <c r="L74" s="135"/>
    </row>
    <row r="75" spans="2:12" ht="12" customHeight="1" x14ac:dyDescent="0.15">
      <c r="B75" s="2"/>
      <c r="C75" s="4"/>
      <c r="D75" s="4"/>
      <c r="E75" s="4"/>
      <c r="I75" s="135"/>
      <c r="J75" s="135"/>
      <c r="K75" s="135"/>
      <c r="L75" s="135"/>
    </row>
    <row r="76" spans="2:12" ht="12" customHeight="1" x14ac:dyDescent="0.15">
      <c r="B76" s="2"/>
      <c r="C76" s="4"/>
      <c r="D76" s="4"/>
      <c r="E76" s="4"/>
      <c r="I76" s="135"/>
      <c r="J76" s="135"/>
      <c r="K76" s="135"/>
      <c r="L76" s="135"/>
    </row>
    <row r="77" spans="2:12" ht="12" customHeight="1" x14ac:dyDescent="0.15">
      <c r="B77" s="2"/>
      <c r="C77" s="4"/>
      <c r="D77" s="4"/>
      <c r="E77" s="4"/>
      <c r="I77" s="135"/>
      <c r="J77" s="135"/>
      <c r="K77" s="135"/>
      <c r="L77" s="135"/>
    </row>
    <row r="78" spans="2:12" ht="12" customHeight="1" x14ac:dyDescent="0.15">
      <c r="B78" s="2"/>
      <c r="C78" s="4"/>
      <c r="D78" s="4"/>
      <c r="E78" s="4"/>
      <c r="I78" s="135"/>
      <c r="J78" s="135"/>
      <c r="K78" s="135"/>
      <c r="L78" s="135"/>
    </row>
    <row r="79" spans="2:12" ht="12" customHeight="1" x14ac:dyDescent="0.15">
      <c r="B79" s="2"/>
      <c r="C79" s="4"/>
      <c r="D79" s="4"/>
      <c r="E79" s="4"/>
      <c r="I79" s="135"/>
      <c r="J79" s="135"/>
      <c r="K79" s="135"/>
      <c r="L79" s="135"/>
    </row>
    <row r="80" spans="2:12" ht="12" customHeight="1" x14ac:dyDescent="0.15">
      <c r="B80" s="2"/>
      <c r="C80" s="4"/>
      <c r="D80" s="4"/>
      <c r="E80" s="4"/>
      <c r="I80" s="135"/>
      <c r="J80" s="135"/>
      <c r="K80" s="135"/>
      <c r="L80" s="135"/>
    </row>
    <row r="81" spans="2:12" ht="12" customHeight="1" x14ac:dyDescent="0.15">
      <c r="B81" s="2"/>
      <c r="C81" s="4"/>
      <c r="D81" s="4"/>
      <c r="E81" s="4"/>
      <c r="I81" s="135"/>
      <c r="J81" s="135"/>
      <c r="K81" s="135"/>
      <c r="L81" s="135"/>
    </row>
    <row r="82" spans="2:12" ht="12" customHeight="1" x14ac:dyDescent="0.15">
      <c r="B82" s="2"/>
      <c r="C82" s="4"/>
      <c r="D82" s="4"/>
      <c r="E82" s="4"/>
      <c r="I82" s="135"/>
      <c r="J82" s="135"/>
      <c r="K82" s="135"/>
      <c r="L82" s="135"/>
    </row>
    <row r="83" spans="2:12" ht="12" customHeight="1" x14ac:dyDescent="0.15">
      <c r="B83" s="2"/>
      <c r="C83" s="4"/>
      <c r="D83" s="4"/>
      <c r="E83" s="4"/>
      <c r="I83" s="135"/>
      <c r="J83" s="135"/>
      <c r="K83" s="135"/>
      <c r="L83" s="135"/>
    </row>
    <row r="84" spans="2:12" ht="12" customHeight="1" x14ac:dyDescent="0.15">
      <c r="B84" s="2"/>
      <c r="C84" s="4"/>
      <c r="D84" s="4"/>
      <c r="E84" s="4"/>
      <c r="I84" s="135"/>
      <c r="J84" s="135"/>
      <c r="K84" s="135"/>
      <c r="L84" s="135"/>
    </row>
    <row r="85" spans="2:12" ht="12" customHeight="1" x14ac:dyDescent="0.15">
      <c r="B85" s="2"/>
      <c r="C85" s="4"/>
      <c r="D85" s="4"/>
      <c r="E85" s="4"/>
      <c r="I85" s="135"/>
      <c r="J85" s="135"/>
      <c r="K85" s="135"/>
      <c r="L85" s="135"/>
    </row>
    <row r="86" spans="2:12" ht="12" customHeight="1" x14ac:dyDescent="0.15">
      <c r="B86" s="2"/>
      <c r="C86" s="4"/>
      <c r="D86" s="4"/>
      <c r="E86" s="4"/>
      <c r="I86" s="135"/>
      <c r="J86" s="135"/>
      <c r="K86" s="135"/>
      <c r="L86" s="135"/>
    </row>
    <row r="87" spans="2:12" ht="12" customHeight="1" x14ac:dyDescent="0.15">
      <c r="B87" s="2"/>
      <c r="C87" s="4"/>
      <c r="D87" s="4"/>
      <c r="E87" s="4"/>
      <c r="I87" s="135"/>
      <c r="J87" s="135"/>
      <c r="K87" s="135"/>
      <c r="L87" s="135"/>
    </row>
    <row r="88" spans="2:12" ht="12" customHeight="1" x14ac:dyDescent="0.15">
      <c r="B88" s="2"/>
      <c r="C88" s="4"/>
      <c r="D88" s="4"/>
      <c r="E88" s="4"/>
      <c r="I88" s="135"/>
      <c r="J88" s="135"/>
      <c r="K88" s="135"/>
      <c r="L88" s="135"/>
    </row>
    <row r="89" spans="2:12" ht="12" customHeight="1" x14ac:dyDescent="0.15">
      <c r="B89" s="2"/>
      <c r="C89" s="4"/>
      <c r="D89" s="4"/>
      <c r="E89" s="4"/>
      <c r="I89" s="135"/>
      <c r="J89" s="135"/>
      <c r="K89" s="135"/>
      <c r="L89" s="135"/>
    </row>
    <row r="90" spans="2:12" ht="12" customHeight="1" x14ac:dyDescent="0.15">
      <c r="B90" s="2"/>
      <c r="C90" s="4"/>
      <c r="D90" s="4"/>
      <c r="E90" s="4"/>
      <c r="I90" s="135"/>
      <c r="J90" s="135"/>
      <c r="K90" s="135"/>
      <c r="L90" s="135"/>
    </row>
    <row r="91" spans="2:12" ht="12" customHeight="1" x14ac:dyDescent="0.15">
      <c r="B91" s="2"/>
      <c r="C91" s="4"/>
      <c r="D91" s="4"/>
      <c r="E91" s="4"/>
      <c r="I91" s="135"/>
      <c r="J91" s="135"/>
      <c r="K91" s="135"/>
      <c r="L91" s="135"/>
    </row>
    <row r="92" spans="2:12" ht="12" customHeight="1" x14ac:dyDescent="0.15">
      <c r="B92" s="2"/>
      <c r="C92" s="4"/>
      <c r="D92" s="4"/>
      <c r="E92" s="4"/>
      <c r="I92" s="135"/>
      <c r="J92" s="135"/>
      <c r="K92" s="135"/>
      <c r="L92" s="135"/>
    </row>
    <row r="93" spans="2:12" ht="12" customHeight="1" x14ac:dyDescent="0.15">
      <c r="B93" s="2"/>
      <c r="C93" s="4"/>
      <c r="D93" s="4"/>
      <c r="E93" s="4"/>
      <c r="I93" s="135"/>
      <c r="J93" s="135"/>
      <c r="K93" s="135"/>
      <c r="L93" s="135"/>
    </row>
    <row r="94" spans="2:12" ht="12" customHeight="1" x14ac:dyDescent="0.15">
      <c r="B94" s="2"/>
      <c r="C94" s="4"/>
      <c r="D94" s="4"/>
      <c r="E94" s="4"/>
      <c r="I94" s="135"/>
      <c r="J94" s="135"/>
      <c r="K94" s="135"/>
      <c r="L94" s="135"/>
    </row>
    <row r="95" spans="2:12" ht="12" customHeight="1" x14ac:dyDescent="0.15">
      <c r="B95" s="2"/>
      <c r="C95" s="4"/>
      <c r="D95" s="4"/>
      <c r="E95" s="4"/>
      <c r="I95" s="135"/>
      <c r="J95" s="135"/>
      <c r="K95" s="135"/>
      <c r="L95" s="135"/>
    </row>
    <row r="96" spans="2:12" ht="12" customHeight="1" x14ac:dyDescent="0.15">
      <c r="B96" s="2"/>
      <c r="C96" s="4"/>
      <c r="D96" s="4"/>
      <c r="E96" s="4"/>
      <c r="I96" s="135"/>
      <c r="J96" s="135"/>
      <c r="K96" s="135"/>
      <c r="L96" s="135"/>
    </row>
    <row r="97" spans="2:12" ht="12" customHeight="1" x14ac:dyDescent="0.15">
      <c r="B97" s="2"/>
      <c r="C97" s="4"/>
      <c r="D97" s="4"/>
      <c r="E97" s="4"/>
      <c r="I97" s="135"/>
      <c r="J97" s="135"/>
      <c r="K97" s="135"/>
      <c r="L97" s="135"/>
    </row>
    <row r="98" spans="2:12" ht="12" customHeight="1" x14ac:dyDescent="0.15">
      <c r="B98" s="2"/>
      <c r="C98" s="4"/>
      <c r="D98" s="4"/>
      <c r="E98" s="4"/>
      <c r="I98" s="135"/>
      <c r="J98" s="135"/>
      <c r="K98" s="135"/>
      <c r="L98" s="135"/>
    </row>
    <row r="99" spans="2:12" ht="12" customHeight="1" x14ac:dyDescent="0.15">
      <c r="B99" s="2"/>
      <c r="C99" s="4"/>
      <c r="D99" s="4"/>
      <c r="E99" s="4"/>
      <c r="I99" s="135"/>
      <c r="J99" s="135"/>
      <c r="K99" s="135"/>
      <c r="L99" s="135"/>
    </row>
    <row r="100" spans="2:12" ht="12" customHeight="1" x14ac:dyDescent="0.15">
      <c r="B100" s="2"/>
      <c r="C100" s="4"/>
      <c r="D100" s="4"/>
      <c r="E100" s="4"/>
      <c r="I100" s="135"/>
      <c r="J100" s="135"/>
      <c r="K100" s="135"/>
      <c r="L100" s="135"/>
    </row>
    <row r="101" spans="2:12" ht="12" customHeight="1" x14ac:dyDescent="0.15">
      <c r="B101" s="2"/>
      <c r="C101" s="4"/>
      <c r="D101" s="4"/>
      <c r="E101" s="4"/>
      <c r="I101" s="135"/>
      <c r="J101" s="135"/>
      <c r="K101" s="135"/>
      <c r="L101" s="135"/>
    </row>
    <row r="102" spans="2:12" ht="12" customHeight="1" x14ac:dyDescent="0.15">
      <c r="B102" s="2"/>
      <c r="C102" s="4"/>
      <c r="D102" s="4"/>
      <c r="E102" s="4"/>
      <c r="I102" s="135"/>
      <c r="J102" s="135"/>
      <c r="K102" s="135"/>
      <c r="L102" s="135"/>
    </row>
    <row r="103" spans="2:12" ht="12" customHeight="1" x14ac:dyDescent="0.15">
      <c r="B103" s="2"/>
      <c r="C103" s="4"/>
      <c r="D103" s="4"/>
      <c r="E103" s="4"/>
      <c r="I103" s="135"/>
      <c r="J103" s="135"/>
      <c r="K103" s="135"/>
      <c r="L103" s="135"/>
    </row>
    <row r="104" spans="2:12" ht="12" customHeight="1" x14ac:dyDescent="0.15">
      <c r="B104" s="2"/>
      <c r="C104" s="4"/>
      <c r="D104" s="4"/>
      <c r="E104" s="4"/>
      <c r="I104" s="135"/>
      <c r="J104" s="135"/>
      <c r="K104" s="135"/>
      <c r="L104" s="135"/>
    </row>
    <row r="105" spans="2:12" ht="12" customHeight="1" x14ac:dyDescent="0.15">
      <c r="B105" s="2"/>
      <c r="C105" s="4"/>
      <c r="D105" s="4"/>
      <c r="E105" s="4"/>
      <c r="I105" s="135"/>
      <c r="J105" s="135"/>
      <c r="K105" s="135"/>
      <c r="L105" s="135"/>
    </row>
    <row r="106" spans="2:12" ht="12" customHeight="1" x14ac:dyDescent="0.15">
      <c r="B106" s="2"/>
      <c r="C106" s="4"/>
      <c r="D106" s="4"/>
      <c r="E106" s="4"/>
      <c r="I106" s="135"/>
      <c r="J106" s="135"/>
      <c r="K106" s="135"/>
      <c r="L106" s="135"/>
    </row>
    <row r="107" spans="2:12" ht="12" customHeight="1" x14ac:dyDescent="0.15">
      <c r="B107" s="2"/>
      <c r="C107" s="4"/>
      <c r="D107" s="4"/>
      <c r="E107" s="4"/>
      <c r="I107" s="135"/>
      <c r="J107" s="135"/>
      <c r="K107" s="135"/>
      <c r="L107" s="135"/>
    </row>
    <row r="108" spans="2:12" ht="12" customHeight="1" x14ac:dyDescent="0.15">
      <c r="B108" s="2"/>
      <c r="C108" s="4"/>
      <c r="D108" s="4"/>
      <c r="E108" s="4"/>
      <c r="I108" s="135"/>
      <c r="J108" s="135"/>
      <c r="K108" s="135"/>
      <c r="L108" s="135"/>
    </row>
    <row r="109" spans="2:12" ht="12" customHeight="1" x14ac:dyDescent="0.15">
      <c r="B109" s="2"/>
      <c r="C109" s="4"/>
      <c r="D109" s="4"/>
      <c r="E109" s="4"/>
      <c r="I109" s="135"/>
      <c r="J109" s="135"/>
      <c r="K109" s="135"/>
      <c r="L109" s="135"/>
    </row>
    <row r="110" spans="2:12" ht="12" customHeight="1" x14ac:dyDescent="0.15">
      <c r="B110" s="2"/>
      <c r="C110" s="4"/>
      <c r="D110" s="4"/>
      <c r="E110" s="4"/>
      <c r="I110" s="135"/>
      <c r="J110" s="135"/>
      <c r="K110" s="135"/>
      <c r="L110" s="135"/>
    </row>
    <row r="111" spans="2:12" ht="12" customHeight="1" x14ac:dyDescent="0.15">
      <c r="B111" s="2"/>
      <c r="C111" s="4"/>
      <c r="D111" s="4"/>
      <c r="E111" s="4"/>
      <c r="I111" s="135"/>
      <c r="J111" s="135"/>
      <c r="K111" s="135"/>
      <c r="L111" s="135"/>
    </row>
    <row r="112" spans="2:12" ht="12" customHeight="1" x14ac:dyDescent="0.15">
      <c r="B112" s="2"/>
      <c r="C112" s="4"/>
      <c r="D112" s="4"/>
      <c r="E112" s="4"/>
      <c r="I112" s="135"/>
      <c r="J112" s="135"/>
      <c r="K112" s="135"/>
      <c r="L112" s="135"/>
    </row>
    <row r="113" spans="2:12" ht="12" customHeight="1" x14ac:dyDescent="0.15">
      <c r="B113" s="2"/>
      <c r="C113" s="4"/>
      <c r="D113" s="4"/>
      <c r="E113" s="4"/>
      <c r="I113" s="135"/>
      <c r="J113" s="135"/>
      <c r="K113" s="135"/>
      <c r="L113" s="135"/>
    </row>
    <row r="114" spans="2:12" ht="12" customHeight="1" x14ac:dyDescent="0.15">
      <c r="B114" s="2"/>
      <c r="C114" s="4"/>
      <c r="D114" s="4"/>
      <c r="E114" s="4"/>
      <c r="I114" s="135"/>
      <c r="J114" s="135"/>
      <c r="K114" s="135"/>
      <c r="L114" s="135"/>
    </row>
    <row r="115" spans="2:12" ht="12" customHeight="1" x14ac:dyDescent="0.15">
      <c r="B115" s="2"/>
      <c r="C115" s="4"/>
      <c r="D115" s="4"/>
      <c r="E115" s="4"/>
      <c r="I115" s="135"/>
      <c r="J115" s="135"/>
      <c r="K115" s="135"/>
      <c r="L115" s="135"/>
    </row>
    <row r="116" spans="2:12" ht="12" customHeight="1" x14ac:dyDescent="0.15">
      <c r="B116" s="2"/>
      <c r="C116" s="4"/>
      <c r="D116" s="4"/>
      <c r="E116" s="4"/>
      <c r="I116" s="135"/>
      <c r="J116" s="135"/>
      <c r="K116" s="135"/>
      <c r="L116" s="135"/>
    </row>
    <row r="117" spans="2:12" ht="12" customHeight="1" x14ac:dyDescent="0.15">
      <c r="B117" s="2"/>
      <c r="C117" s="4"/>
      <c r="D117" s="4"/>
      <c r="E117" s="4"/>
      <c r="I117" s="135"/>
      <c r="J117" s="135"/>
      <c r="K117" s="135"/>
      <c r="L117" s="135"/>
    </row>
    <row r="118" spans="2:12" ht="12" customHeight="1" x14ac:dyDescent="0.15">
      <c r="B118" s="2"/>
      <c r="C118" s="4"/>
      <c r="D118" s="4"/>
      <c r="E118" s="4"/>
      <c r="I118" s="135"/>
      <c r="J118" s="135"/>
      <c r="K118" s="135"/>
      <c r="L118" s="135"/>
    </row>
    <row r="119" spans="2:12" ht="12" customHeight="1" x14ac:dyDescent="0.15">
      <c r="B119" s="2"/>
      <c r="C119" s="4"/>
      <c r="D119" s="4"/>
      <c r="E119" s="4"/>
      <c r="I119" s="135"/>
      <c r="J119" s="135"/>
      <c r="K119" s="135"/>
      <c r="L119" s="135"/>
    </row>
    <row r="120" spans="2:12" ht="12" customHeight="1" x14ac:dyDescent="0.15">
      <c r="B120" s="2"/>
      <c r="C120" s="4"/>
      <c r="D120" s="4"/>
      <c r="E120" s="4"/>
      <c r="I120" s="135"/>
      <c r="J120" s="135"/>
      <c r="K120" s="135"/>
      <c r="L120" s="135"/>
    </row>
    <row r="121" spans="2:12" ht="12" customHeight="1" x14ac:dyDescent="0.15">
      <c r="B121" s="2"/>
      <c r="C121" s="4"/>
      <c r="D121" s="4"/>
      <c r="E121" s="4"/>
      <c r="I121" s="135"/>
      <c r="J121" s="135"/>
      <c r="K121" s="135"/>
      <c r="L121" s="135"/>
    </row>
    <row r="122" spans="2:12" ht="12" customHeight="1" x14ac:dyDescent="0.15">
      <c r="B122" s="2"/>
      <c r="C122" s="4"/>
      <c r="D122" s="4"/>
      <c r="E122" s="4"/>
      <c r="I122" s="135"/>
      <c r="J122" s="135"/>
      <c r="K122" s="135"/>
      <c r="L122" s="135"/>
    </row>
    <row r="123" spans="2:12" ht="12" customHeight="1" x14ac:dyDescent="0.15">
      <c r="B123" s="2"/>
      <c r="C123" s="4"/>
      <c r="D123" s="4"/>
      <c r="E123" s="4"/>
      <c r="I123" s="135"/>
      <c r="J123" s="135"/>
      <c r="K123" s="135"/>
      <c r="L123" s="135"/>
    </row>
    <row r="124" spans="2:12" ht="12" customHeight="1" x14ac:dyDescent="0.15">
      <c r="B124" s="2"/>
      <c r="C124" s="4"/>
      <c r="D124" s="4"/>
      <c r="E124" s="4"/>
      <c r="I124" s="135"/>
      <c r="J124" s="135"/>
      <c r="K124" s="135"/>
      <c r="L124" s="135"/>
    </row>
    <row r="125" spans="2:12" ht="12" customHeight="1" x14ac:dyDescent="0.15">
      <c r="B125" s="2"/>
      <c r="C125" s="4"/>
      <c r="D125" s="4"/>
      <c r="E125" s="4"/>
      <c r="I125" s="135"/>
      <c r="J125" s="135"/>
      <c r="K125" s="135"/>
      <c r="L125" s="135"/>
    </row>
    <row r="126" spans="2:12" ht="12" customHeight="1" x14ac:dyDescent="0.15">
      <c r="B126" s="2"/>
      <c r="C126" s="4"/>
      <c r="D126" s="4"/>
      <c r="E126" s="4"/>
      <c r="I126" s="135"/>
      <c r="J126" s="135"/>
      <c r="K126" s="135"/>
      <c r="L126" s="135"/>
    </row>
    <row r="127" spans="2:12" ht="12" customHeight="1" x14ac:dyDescent="0.15">
      <c r="B127" s="2"/>
      <c r="C127" s="4"/>
      <c r="D127" s="4"/>
      <c r="E127" s="4"/>
      <c r="I127" s="135"/>
      <c r="J127" s="135"/>
      <c r="K127" s="135"/>
      <c r="L127" s="135"/>
    </row>
    <row r="128" spans="2:12" ht="12" customHeight="1" x14ac:dyDescent="0.15">
      <c r="B128" s="2"/>
      <c r="C128" s="4"/>
      <c r="D128" s="4"/>
      <c r="E128" s="4"/>
      <c r="I128" s="135"/>
      <c r="J128" s="135"/>
      <c r="K128" s="135"/>
      <c r="L128" s="135"/>
    </row>
    <row r="129" spans="2:12" ht="12" customHeight="1" x14ac:dyDescent="0.15">
      <c r="B129" s="2"/>
      <c r="C129" s="4"/>
      <c r="D129" s="4"/>
      <c r="E129" s="4"/>
      <c r="I129" s="135"/>
      <c r="J129" s="135"/>
      <c r="K129" s="135"/>
      <c r="L129" s="135"/>
    </row>
    <row r="130" spans="2:12" ht="12" customHeight="1" x14ac:dyDescent="0.15">
      <c r="B130" s="2"/>
      <c r="C130" s="4"/>
      <c r="D130" s="4"/>
      <c r="E130" s="4"/>
      <c r="I130" s="135"/>
      <c r="J130" s="135"/>
      <c r="K130" s="135"/>
      <c r="L130" s="135"/>
    </row>
    <row r="131" spans="2:12" ht="12" customHeight="1" x14ac:dyDescent="0.15">
      <c r="B131" s="2"/>
      <c r="C131" s="4"/>
      <c r="D131" s="4"/>
      <c r="E131" s="4"/>
      <c r="I131" s="135"/>
      <c r="J131" s="135"/>
      <c r="K131" s="135"/>
      <c r="L131" s="135"/>
    </row>
    <row r="132" spans="2:12" ht="12" customHeight="1" x14ac:dyDescent="0.15">
      <c r="B132" s="2"/>
      <c r="C132" s="4"/>
      <c r="D132" s="4"/>
      <c r="E132" s="4"/>
      <c r="I132" s="135"/>
      <c r="J132" s="135"/>
      <c r="K132" s="135"/>
      <c r="L132" s="135"/>
    </row>
    <row r="133" spans="2:12" ht="12" customHeight="1" x14ac:dyDescent="0.15">
      <c r="B133" s="2"/>
      <c r="C133" s="4"/>
      <c r="D133" s="4"/>
      <c r="E133" s="4"/>
      <c r="I133" s="135"/>
      <c r="J133" s="135"/>
      <c r="K133" s="135"/>
      <c r="L133" s="135"/>
    </row>
    <row r="134" spans="2:12" ht="12" customHeight="1" x14ac:dyDescent="0.15">
      <c r="B134" s="2"/>
      <c r="C134" s="4"/>
      <c r="D134" s="4"/>
      <c r="E134" s="4"/>
      <c r="I134" s="135"/>
      <c r="J134" s="135"/>
      <c r="K134" s="135"/>
      <c r="L134" s="135"/>
    </row>
    <row r="135" spans="2:12" ht="12" customHeight="1" x14ac:dyDescent="0.15">
      <c r="B135" s="2"/>
      <c r="C135" s="4"/>
      <c r="D135" s="4"/>
      <c r="E135" s="4"/>
      <c r="I135" s="135"/>
      <c r="J135" s="135"/>
      <c r="K135" s="135"/>
      <c r="L135" s="135"/>
    </row>
    <row r="136" spans="2:12" ht="12" customHeight="1" x14ac:dyDescent="0.15">
      <c r="B136" s="2"/>
      <c r="C136" s="4"/>
      <c r="D136" s="4"/>
      <c r="E136" s="4"/>
      <c r="I136" s="135"/>
      <c r="J136" s="135"/>
      <c r="K136" s="135"/>
      <c r="L136" s="135"/>
    </row>
    <row r="137" spans="2:12" ht="12" customHeight="1" x14ac:dyDescent="0.15">
      <c r="B137" s="2"/>
      <c r="C137" s="4"/>
      <c r="D137" s="4"/>
      <c r="E137" s="4"/>
      <c r="I137" s="135"/>
      <c r="J137" s="135"/>
      <c r="K137" s="135"/>
      <c r="L137" s="135"/>
    </row>
    <row r="138" spans="2:12" ht="12" customHeight="1" x14ac:dyDescent="0.15">
      <c r="B138" s="2"/>
      <c r="C138" s="4"/>
      <c r="D138" s="4"/>
      <c r="E138" s="4"/>
      <c r="I138" s="135"/>
      <c r="J138" s="135"/>
      <c r="K138" s="135"/>
      <c r="L138" s="135"/>
    </row>
    <row r="139" spans="2:12" ht="12" customHeight="1" x14ac:dyDescent="0.15">
      <c r="B139" s="2"/>
      <c r="C139" s="4"/>
      <c r="D139" s="4"/>
      <c r="E139" s="4"/>
      <c r="I139" s="135"/>
      <c r="J139" s="135"/>
      <c r="K139" s="135"/>
      <c r="L139" s="135"/>
    </row>
    <row r="140" spans="2:12" ht="12" customHeight="1" x14ac:dyDescent="0.15">
      <c r="B140" s="2"/>
      <c r="C140" s="4"/>
      <c r="D140" s="4"/>
      <c r="E140" s="4"/>
      <c r="I140" s="135"/>
      <c r="J140" s="135"/>
      <c r="K140" s="135"/>
      <c r="L140" s="135"/>
    </row>
    <row r="141" spans="2:12" ht="12" customHeight="1" x14ac:dyDescent="0.15">
      <c r="B141" s="2"/>
      <c r="C141" s="4"/>
      <c r="D141" s="4"/>
      <c r="E141" s="4"/>
      <c r="I141" s="135"/>
      <c r="J141" s="135"/>
      <c r="K141" s="135"/>
      <c r="L141" s="135"/>
    </row>
    <row r="142" spans="2:12" ht="12" customHeight="1" x14ac:dyDescent="0.15">
      <c r="B142" s="2"/>
      <c r="C142" s="4"/>
      <c r="D142" s="4"/>
      <c r="E142" s="4"/>
      <c r="I142" s="135"/>
      <c r="J142" s="135"/>
      <c r="K142" s="135"/>
      <c r="L142" s="135"/>
    </row>
    <row r="143" spans="2:12" ht="12" customHeight="1" x14ac:dyDescent="0.15">
      <c r="B143" s="2"/>
      <c r="C143" s="4"/>
      <c r="D143" s="4"/>
      <c r="E143" s="4"/>
      <c r="I143" s="135"/>
      <c r="J143" s="135"/>
      <c r="K143" s="135"/>
      <c r="L143" s="135"/>
    </row>
    <row r="144" spans="2:12" ht="12" customHeight="1" x14ac:dyDescent="0.15">
      <c r="B144" s="2"/>
      <c r="C144" s="4"/>
      <c r="D144" s="4"/>
      <c r="E144" s="4"/>
      <c r="I144" s="135"/>
      <c r="J144" s="135"/>
      <c r="K144" s="135"/>
      <c r="L144" s="135"/>
    </row>
    <row r="145" spans="2:12" ht="12" customHeight="1" x14ac:dyDescent="0.15">
      <c r="B145" s="2"/>
      <c r="C145" s="4"/>
      <c r="D145" s="4"/>
      <c r="E145" s="4"/>
      <c r="I145" s="135"/>
      <c r="J145" s="135"/>
      <c r="K145" s="135"/>
      <c r="L145" s="135"/>
    </row>
    <row r="146" spans="2:12" ht="12" customHeight="1" x14ac:dyDescent="0.15">
      <c r="B146" s="2"/>
      <c r="C146" s="4"/>
      <c r="D146" s="4"/>
      <c r="E146" s="4"/>
      <c r="I146" s="135"/>
      <c r="J146" s="135"/>
      <c r="K146" s="135"/>
      <c r="L146" s="135"/>
    </row>
    <row r="147" spans="2:12" ht="12" customHeight="1" x14ac:dyDescent="0.15">
      <c r="B147" s="2"/>
      <c r="C147" s="4"/>
      <c r="D147" s="4"/>
      <c r="E147" s="4"/>
      <c r="I147" s="135"/>
      <c r="J147" s="135"/>
      <c r="K147" s="135"/>
      <c r="L147" s="135"/>
    </row>
    <row r="148" spans="2:12" ht="12" customHeight="1" x14ac:dyDescent="0.15">
      <c r="B148" s="2"/>
      <c r="C148" s="4"/>
      <c r="D148" s="4"/>
      <c r="E148" s="4"/>
      <c r="I148" s="135"/>
      <c r="J148" s="135"/>
      <c r="K148" s="135"/>
      <c r="L148" s="135"/>
    </row>
    <row r="149" spans="2:12" ht="12" customHeight="1" x14ac:dyDescent="0.15">
      <c r="B149" s="2"/>
      <c r="C149" s="4"/>
      <c r="D149" s="4"/>
      <c r="E149" s="4"/>
      <c r="I149" s="135"/>
      <c r="J149" s="135"/>
      <c r="K149" s="135"/>
      <c r="L149" s="135"/>
    </row>
    <row r="150" spans="2:12" ht="12" customHeight="1" x14ac:dyDescent="0.15">
      <c r="B150" s="2"/>
      <c r="C150" s="4"/>
      <c r="D150" s="4"/>
      <c r="E150" s="4"/>
      <c r="I150" s="135"/>
      <c r="J150" s="135"/>
      <c r="K150" s="135"/>
      <c r="L150" s="135"/>
    </row>
    <row r="151" spans="2:12" ht="12" customHeight="1" x14ac:dyDescent="0.15">
      <c r="B151" s="2"/>
      <c r="C151" s="4"/>
      <c r="D151" s="4"/>
      <c r="E151" s="4"/>
      <c r="I151" s="135"/>
      <c r="J151" s="135"/>
      <c r="K151" s="135"/>
      <c r="L151" s="135"/>
    </row>
    <row r="152" spans="2:12" ht="12" customHeight="1" x14ac:dyDescent="0.15">
      <c r="B152" s="2"/>
      <c r="C152" s="4"/>
      <c r="D152" s="4"/>
      <c r="E152" s="4"/>
      <c r="I152" s="135"/>
      <c r="J152" s="135"/>
      <c r="K152" s="135"/>
      <c r="L152" s="135"/>
    </row>
    <row r="153" spans="2:12" ht="12" customHeight="1" x14ac:dyDescent="0.15">
      <c r="B153" s="2"/>
      <c r="C153" s="4"/>
      <c r="D153" s="4"/>
      <c r="E153" s="4"/>
      <c r="I153" s="135"/>
      <c r="J153" s="135"/>
      <c r="K153" s="135"/>
      <c r="L153" s="135"/>
    </row>
    <row r="154" spans="2:12" ht="12" customHeight="1" x14ac:dyDescent="0.15">
      <c r="B154" s="2"/>
      <c r="C154" s="4"/>
      <c r="D154" s="4"/>
      <c r="E154" s="4"/>
      <c r="I154" s="135"/>
      <c r="J154" s="135"/>
      <c r="K154" s="135"/>
      <c r="L154" s="135"/>
    </row>
    <row r="155" spans="2:12" ht="12" customHeight="1" x14ac:dyDescent="0.15">
      <c r="B155" s="2"/>
      <c r="C155" s="4"/>
      <c r="D155" s="4"/>
      <c r="E155" s="4"/>
      <c r="I155" s="135"/>
      <c r="J155" s="135"/>
      <c r="K155" s="135"/>
      <c r="L155" s="135"/>
    </row>
    <row r="156" spans="2:12" ht="12" customHeight="1" x14ac:dyDescent="0.15">
      <c r="B156" s="2"/>
      <c r="C156" s="4"/>
      <c r="D156" s="4"/>
      <c r="E156" s="4"/>
      <c r="I156" s="135"/>
      <c r="J156" s="135"/>
      <c r="K156" s="135"/>
      <c r="L156" s="135"/>
    </row>
    <row r="157" spans="2:12" ht="12" customHeight="1" x14ac:dyDescent="0.15">
      <c r="B157" s="2"/>
      <c r="C157" s="4"/>
      <c r="D157" s="4"/>
      <c r="E157" s="4"/>
      <c r="I157" s="135"/>
      <c r="J157" s="135"/>
      <c r="K157" s="135"/>
      <c r="L157" s="135"/>
    </row>
    <row r="158" spans="2:12" ht="12" customHeight="1" x14ac:dyDescent="0.15">
      <c r="B158" s="2"/>
      <c r="C158" s="4"/>
      <c r="D158" s="4"/>
      <c r="E158" s="4"/>
      <c r="I158" s="135"/>
      <c r="J158" s="135"/>
      <c r="K158" s="135"/>
      <c r="L158" s="135"/>
    </row>
    <row r="159" spans="2:12" ht="12" customHeight="1" x14ac:dyDescent="0.15">
      <c r="B159" s="2"/>
      <c r="C159" s="4"/>
      <c r="D159" s="4"/>
      <c r="E159" s="4"/>
      <c r="I159" s="135"/>
      <c r="J159" s="135"/>
      <c r="K159" s="135"/>
      <c r="L159" s="135"/>
    </row>
    <row r="160" spans="2:12" ht="12" customHeight="1" x14ac:dyDescent="0.15">
      <c r="B160" s="2"/>
      <c r="C160" s="4"/>
      <c r="D160" s="4"/>
      <c r="E160" s="4"/>
      <c r="I160" s="135"/>
      <c r="J160" s="135"/>
      <c r="K160" s="135"/>
      <c r="L160" s="135"/>
    </row>
    <row r="161" spans="2:12" ht="12" customHeight="1" x14ac:dyDescent="0.15">
      <c r="B161" s="2"/>
      <c r="C161" s="4"/>
      <c r="D161" s="4"/>
      <c r="E161" s="4"/>
      <c r="I161" s="135"/>
      <c r="J161" s="135"/>
      <c r="K161" s="135"/>
      <c r="L161" s="135"/>
    </row>
    <row r="162" spans="2:12" ht="12" customHeight="1" x14ac:dyDescent="0.15">
      <c r="B162" s="2"/>
      <c r="C162" s="4"/>
      <c r="D162" s="4"/>
      <c r="E162" s="4"/>
      <c r="I162" s="135"/>
      <c r="J162" s="135"/>
      <c r="K162" s="135"/>
      <c r="L162" s="135"/>
    </row>
    <row r="163" spans="2:12" ht="12" customHeight="1" x14ac:dyDescent="0.15">
      <c r="B163" s="2"/>
      <c r="C163" s="4"/>
      <c r="D163" s="4"/>
      <c r="E163" s="4"/>
      <c r="I163" s="135"/>
      <c r="J163" s="135"/>
      <c r="K163" s="135"/>
      <c r="L163" s="135"/>
    </row>
    <row r="164" spans="2:12" ht="12" customHeight="1" x14ac:dyDescent="0.15">
      <c r="B164" s="2"/>
      <c r="C164" s="4"/>
      <c r="D164" s="4"/>
      <c r="E164" s="4"/>
      <c r="I164" s="135"/>
      <c r="J164" s="135"/>
      <c r="K164" s="135"/>
      <c r="L164" s="135"/>
    </row>
    <row r="165" spans="2:12" ht="12" customHeight="1" x14ac:dyDescent="0.15">
      <c r="B165" s="2"/>
      <c r="C165" s="4"/>
      <c r="D165" s="4"/>
      <c r="E165" s="4"/>
      <c r="I165" s="135"/>
      <c r="J165" s="135"/>
      <c r="K165" s="135"/>
      <c r="L165" s="135"/>
    </row>
    <row r="166" spans="2:12" ht="12" customHeight="1" x14ac:dyDescent="0.15">
      <c r="B166" s="2"/>
      <c r="C166" s="4"/>
      <c r="D166" s="4"/>
      <c r="E166" s="4"/>
      <c r="I166" s="135"/>
      <c r="J166" s="135"/>
      <c r="K166" s="135"/>
      <c r="L166" s="135"/>
    </row>
    <row r="167" spans="2:12" ht="12" customHeight="1" x14ac:dyDescent="0.15">
      <c r="B167" s="2"/>
      <c r="C167" s="4"/>
      <c r="D167" s="4"/>
      <c r="E167" s="4"/>
      <c r="I167" s="135"/>
      <c r="J167" s="135"/>
      <c r="K167" s="135"/>
      <c r="L167" s="135"/>
    </row>
    <row r="168" spans="2:12" ht="12" customHeight="1" x14ac:dyDescent="0.15">
      <c r="B168" s="2"/>
      <c r="C168" s="4"/>
      <c r="D168" s="4"/>
      <c r="E168" s="4"/>
      <c r="I168" s="135"/>
      <c r="J168" s="135"/>
      <c r="K168" s="135"/>
      <c r="L168" s="135"/>
    </row>
    <row r="169" spans="2:12" ht="12" customHeight="1" x14ac:dyDescent="0.15">
      <c r="B169" s="2"/>
      <c r="C169" s="4"/>
      <c r="D169" s="4"/>
      <c r="E169" s="4"/>
      <c r="I169" s="135"/>
      <c r="J169" s="135"/>
      <c r="K169" s="135"/>
      <c r="L169" s="135"/>
    </row>
    <row r="170" spans="2:12" ht="12" customHeight="1" x14ac:dyDescent="0.15">
      <c r="B170" s="2"/>
      <c r="C170" s="4"/>
      <c r="D170" s="4"/>
      <c r="E170" s="4"/>
      <c r="I170" s="135"/>
      <c r="J170" s="135"/>
      <c r="K170" s="135"/>
      <c r="L170" s="135"/>
    </row>
    <row r="171" spans="2:12" ht="12" customHeight="1" x14ac:dyDescent="0.15">
      <c r="B171" s="2"/>
      <c r="C171" s="4"/>
      <c r="D171" s="4"/>
      <c r="E171" s="4"/>
      <c r="I171" s="135"/>
      <c r="J171" s="135"/>
      <c r="K171" s="135"/>
      <c r="L171" s="135"/>
    </row>
    <row r="172" spans="2:12" ht="12" customHeight="1" x14ac:dyDescent="0.15">
      <c r="B172" s="2"/>
      <c r="C172" s="4"/>
      <c r="D172" s="4"/>
      <c r="E172" s="4"/>
      <c r="I172" s="135"/>
      <c r="J172" s="135"/>
      <c r="K172" s="135"/>
      <c r="L172" s="135"/>
    </row>
    <row r="173" spans="2:12" ht="12" customHeight="1" x14ac:dyDescent="0.15">
      <c r="B173" s="2"/>
      <c r="C173" s="4"/>
      <c r="D173" s="4"/>
      <c r="E173" s="4"/>
      <c r="I173" s="135"/>
      <c r="J173" s="135"/>
      <c r="K173" s="135"/>
      <c r="L173" s="135"/>
    </row>
    <row r="174" spans="2:12" ht="12" customHeight="1" x14ac:dyDescent="0.15">
      <c r="B174" s="2"/>
      <c r="C174" s="4"/>
      <c r="D174" s="4"/>
      <c r="E174" s="4"/>
      <c r="I174" s="135"/>
      <c r="J174" s="135"/>
      <c r="K174" s="135"/>
      <c r="L174" s="135"/>
    </row>
    <row r="175" spans="2:12" ht="12" customHeight="1" x14ac:dyDescent="0.15">
      <c r="B175" s="2"/>
      <c r="C175" s="4"/>
      <c r="D175" s="4"/>
      <c r="E175" s="4"/>
      <c r="I175" s="135"/>
      <c r="J175" s="135"/>
      <c r="K175" s="135"/>
      <c r="L175" s="135"/>
    </row>
    <row r="176" spans="2:12" ht="12" customHeight="1" x14ac:dyDescent="0.15">
      <c r="B176" s="2"/>
      <c r="C176" s="4"/>
      <c r="D176" s="4"/>
      <c r="E176" s="4"/>
      <c r="I176" s="135"/>
      <c r="J176" s="135"/>
      <c r="K176" s="135"/>
      <c r="L176" s="135"/>
    </row>
    <row r="177" spans="2:12" ht="12" customHeight="1" x14ac:dyDescent="0.15">
      <c r="B177" s="2"/>
      <c r="C177" s="4"/>
      <c r="D177" s="4"/>
      <c r="E177" s="4"/>
      <c r="I177" s="135"/>
      <c r="J177" s="135"/>
      <c r="K177" s="135"/>
      <c r="L177" s="135"/>
    </row>
    <row r="178" spans="2:12" ht="12" customHeight="1" x14ac:dyDescent="0.15">
      <c r="B178" s="2"/>
      <c r="C178" s="4"/>
      <c r="D178" s="4"/>
      <c r="E178" s="4"/>
      <c r="I178" s="135"/>
      <c r="J178" s="135"/>
      <c r="K178" s="135"/>
      <c r="L178" s="135"/>
    </row>
    <row r="179" spans="2:12" ht="12" customHeight="1" x14ac:dyDescent="0.15">
      <c r="B179" s="2"/>
      <c r="C179" s="4"/>
      <c r="D179" s="4"/>
      <c r="E179" s="4"/>
      <c r="I179" s="135"/>
      <c r="J179" s="135"/>
      <c r="K179" s="135"/>
      <c r="L179" s="135"/>
    </row>
    <row r="180" spans="2:12" ht="12" customHeight="1" x14ac:dyDescent="0.15">
      <c r="B180" s="2"/>
      <c r="C180" s="4"/>
      <c r="D180" s="4"/>
      <c r="E180" s="4"/>
      <c r="I180" s="135"/>
      <c r="J180" s="135"/>
      <c r="K180" s="135"/>
      <c r="L180" s="135"/>
    </row>
    <row r="181" spans="2:12" ht="12" customHeight="1" x14ac:dyDescent="0.15">
      <c r="B181" s="2"/>
      <c r="C181" s="4"/>
      <c r="D181" s="4"/>
      <c r="E181" s="4"/>
      <c r="I181" s="135"/>
      <c r="J181" s="135"/>
      <c r="K181" s="135"/>
      <c r="L181" s="135"/>
    </row>
    <row r="182" spans="2:12" ht="12" customHeight="1" x14ac:dyDescent="0.15">
      <c r="B182" s="2"/>
      <c r="C182" s="4"/>
      <c r="D182" s="4"/>
      <c r="E182" s="4"/>
      <c r="I182" s="135"/>
      <c r="J182" s="135"/>
      <c r="K182" s="135"/>
      <c r="L182" s="135"/>
    </row>
    <row r="183" spans="2:12" ht="12" customHeight="1" x14ac:dyDescent="0.15">
      <c r="B183" s="2"/>
      <c r="C183" s="4"/>
      <c r="D183" s="4"/>
      <c r="E183" s="4"/>
      <c r="I183" s="135"/>
      <c r="J183" s="135"/>
      <c r="K183" s="135"/>
      <c r="L183" s="135"/>
    </row>
    <row r="184" spans="2:12" ht="12" customHeight="1" x14ac:dyDescent="0.15">
      <c r="B184" s="2"/>
      <c r="C184" s="4"/>
      <c r="D184" s="4"/>
      <c r="E184" s="4"/>
      <c r="I184" s="135"/>
      <c r="J184" s="135"/>
      <c r="K184" s="135"/>
      <c r="L184" s="135"/>
    </row>
    <row r="185" spans="2:12" ht="12" customHeight="1" x14ac:dyDescent="0.15">
      <c r="B185" s="2"/>
      <c r="C185" s="4"/>
      <c r="D185" s="4"/>
      <c r="E185" s="4"/>
      <c r="I185" s="135"/>
      <c r="J185" s="135"/>
      <c r="K185" s="135"/>
      <c r="L185" s="135"/>
    </row>
    <row r="186" spans="2:12" ht="12" customHeight="1" x14ac:dyDescent="0.15">
      <c r="B186" s="2"/>
      <c r="C186" s="4"/>
      <c r="D186" s="4"/>
      <c r="E186" s="4"/>
      <c r="I186" s="135"/>
      <c r="J186" s="135"/>
      <c r="K186" s="135"/>
      <c r="L186" s="135"/>
    </row>
    <row r="187" spans="2:12" ht="12" customHeight="1" x14ac:dyDescent="0.15">
      <c r="B187" s="2"/>
      <c r="C187" s="4"/>
      <c r="D187" s="4"/>
      <c r="E187" s="4"/>
      <c r="I187" s="135"/>
      <c r="J187" s="135"/>
      <c r="K187" s="135"/>
      <c r="L187" s="135"/>
    </row>
    <row r="188" spans="2:12" ht="12" customHeight="1" x14ac:dyDescent="0.15">
      <c r="B188" s="2"/>
      <c r="C188" s="4"/>
      <c r="D188" s="4"/>
      <c r="E188" s="4"/>
      <c r="I188" s="135"/>
      <c r="J188" s="135"/>
      <c r="K188" s="135"/>
      <c r="L188" s="135"/>
    </row>
    <row r="189" spans="2:12" ht="12" customHeight="1" x14ac:dyDescent="0.15">
      <c r="B189" s="2"/>
      <c r="C189" s="4"/>
      <c r="D189" s="4"/>
      <c r="E189" s="4"/>
      <c r="I189" s="135"/>
      <c r="J189" s="135"/>
      <c r="K189" s="135"/>
      <c r="L189" s="135"/>
    </row>
    <row r="190" spans="2:12" ht="12" customHeight="1" x14ac:dyDescent="0.15">
      <c r="B190" s="2"/>
      <c r="C190" s="4"/>
      <c r="D190" s="4"/>
      <c r="E190" s="4"/>
      <c r="I190" s="135"/>
      <c r="J190" s="135"/>
      <c r="K190" s="135"/>
      <c r="L190" s="135"/>
    </row>
    <row r="191" spans="2:12" ht="12" customHeight="1" x14ac:dyDescent="0.15">
      <c r="B191" s="2"/>
      <c r="C191" s="4"/>
      <c r="D191" s="4"/>
      <c r="E191" s="4"/>
      <c r="I191" s="135"/>
      <c r="J191" s="135"/>
      <c r="K191" s="135"/>
      <c r="L191" s="135"/>
    </row>
    <row r="192" spans="2:12" ht="12" customHeight="1" x14ac:dyDescent="0.15">
      <c r="B192" s="2"/>
      <c r="C192" s="4"/>
      <c r="D192" s="4"/>
      <c r="E192" s="4"/>
      <c r="I192" s="135"/>
      <c r="J192" s="135"/>
      <c r="K192" s="135"/>
      <c r="L192" s="135"/>
    </row>
    <row r="193" spans="2:12" ht="12" customHeight="1" x14ac:dyDescent="0.15">
      <c r="B193" s="2"/>
      <c r="C193" s="4"/>
      <c r="D193" s="4"/>
      <c r="E193" s="4"/>
      <c r="I193" s="135"/>
      <c r="J193" s="135"/>
      <c r="K193" s="135"/>
      <c r="L193" s="135"/>
    </row>
    <row r="194" spans="2:12" ht="12" customHeight="1" x14ac:dyDescent="0.15">
      <c r="B194" s="2"/>
      <c r="C194" s="4"/>
      <c r="D194" s="4"/>
      <c r="E194" s="4"/>
      <c r="I194" s="135"/>
      <c r="J194" s="135"/>
      <c r="K194" s="135"/>
      <c r="L194" s="135"/>
    </row>
    <row r="195" spans="2:12" ht="12" customHeight="1" x14ac:dyDescent="0.15">
      <c r="B195" s="2"/>
      <c r="C195" s="4"/>
      <c r="D195" s="4"/>
      <c r="E195" s="4"/>
      <c r="I195" s="135"/>
      <c r="J195" s="135"/>
      <c r="K195" s="135"/>
      <c r="L195" s="135"/>
    </row>
    <row r="196" spans="2:12" ht="12" customHeight="1" x14ac:dyDescent="0.15">
      <c r="B196" s="2"/>
      <c r="C196" s="4"/>
      <c r="D196" s="4"/>
      <c r="E196" s="4"/>
      <c r="I196" s="135"/>
      <c r="J196" s="135"/>
      <c r="K196" s="135"/>
      <c r="L196" s="135"/>
    </row>
    <row r="197" spans="2:12" ht="12" customHeight="1" x14ac:dyDescent="0.15">
      <c r="B197" s="2"/>
      <c r="C197" s="4"/>
      <c r="D197" s="4"/>
      <c r="E197" s="4"/>
      <c r="I197" s="135"/>
      <c r="J197" s="135"/>
      <c r="K197" s="135"/>
      <c r="L197" s="135"/>
    </row>
    <row r="198" spans="2:12" ht="12" customHeight="1" x14ac:dyDescent="0.15">
      <c r="B198" s="2"/>
      <c r="C198" s="4"/>
      <c r="D198" s="4"/>
      <c r="E198" s="4"/>
      <c r="I198" s="135"/>
      <c r="J198" s="135"/>
      <c r="K198" s="135"/>
      <c r="L198" s="135"/>
    </row>
    <row r="199" spans="2:12" ht="12" customHeight="1" x14ac:dyDescent="0.15">
      <c r="B199" s="2"/>
      <c r="C199" s="4"/>
      <c r="D199" s="4"/>
      <c r="E199" s="4"/>
      <c r="I199" s="135"/>
      <c r="J199" s="135"/>
      <c r="K199" s="135"/>
      <c r="L199" s="135"/>
    </row>
    <row r="200" spans="2:12" ht="12" customHeight="1" x14ac:dyDescent="0.15">
      <c r="B200" s="2"/>
      <c r="C200" s="4"/>
      <c r="D200" s="4"/>
      <c r="E200" s="4"/>
      <c r="I200" s="135"/>
      <c r="J200" s="135"/>
      <c r="K200" s="135"/>
      <c r="L200" s="135"/>
    </row>
    <row r="201" spans="2:12" ht="12" customHeight="1" x14ac:dyDescent="0.15">
      <c r="B201" s="2"/>
      <c r="C201" s="4"/>
      <c r="D201" s="4"/>
      <c r="E201" s="4"/>
      <c r="I201" s="135"/>
      <c r="J201" s="135"/>
      <c r="K201" s="135"/>
      <c r="L201" s="135"/>
    </row>
    <row r="202" spans="2:12" ht="12" customHeight="1" x14ac:dyDescent="0.15">
      <c r="B202" s="2"/>
      <c r="C202" s="4"/>
      <c r="D202" s="4"/>
      <c r="E202" s="4"/>
      <c r="I202" s="135"/>
      <c r="J202" s="135"/>
      <c r="K202" s="135"/>
      <c r="L202" s="135"/>
    </row>
    <row r="203" spans="2:12" ht="12" customHeight="1" x14ac:dyDescent="0.15">
      <c r="B203" s="2"/>
      <c r="C203" s="4"/>
      <c r="D203" s="4"/>
      <c r="E203" s="4"/>
      <c r="I203" s="135"/>
      <c r="J203" s="135"/>
      <c r="K203" s="135"/>
      <c r="L203" s="135"/>
    </row>
    <row r="204" spans="2:12" ht="12" customHeight="1" x14ac:dyDescent="0.15">
      <c r="B204" s="2"/>
      <c r="C204" s="4"/>
      <c r="D204" s="4"/>
      <c r="E204" s="4"/>
      <c r="I204" s="135"/>
      <c r="J204" s="135"/>
      <c r="K204" s="135"/>
      <c r="L204" s="135"/>
    </row>
    <row r="205" spans="2:12" ht="12" customHeight="1" x14ac:dyDescent="0.15">
      <c r="B205" s="2"/>
      <c r="C205" s="4"/>
      <c r="D205" s="4"/>
      <c r="E205" s="4"/>
      <c r="I205" s="135"/>
      <c r="J205" s="135"/>
      <c r="K205" s="135"/>
      <c r="L205" s="135"/>
    </row>
    <row r="206" spans="2:12" ht="12" customHeight="1" x14ac:dyDescent="0.15">
      <c r="B206" s="2"/>
      <c r="C206" s="4"/>
      <c r="D206" s="4"/>
      <c r="E206" s="4"/>
      <c r="I206" s="135"/>
      <c r="J206" s="135"/>
      <c r="K206" s="135"/>
      <c r="L206" s="135"/>
    </row>
    <row r="207" spans="2:12" ht="12" customHeight="1" x14ac:dyDescent="0.15">
      <c r="B207" s="2"/>
      <c r="C207" s="4"/>
      <c r="D207" s="4"/>
      <c r="E207" s="4"/>
      <c r="I207" s="135"/>
      <c r="J207" s="135"/>
      <c r="K207" s="135"/>
      <c r="L207" s="135"/>
    </row>
    <row r="208" spans="2:12" ht="12" customHeight="1" x14ac:dyDescent="0.15">
      <c r="B208" s="2"/>
      <c r="C208" s="4"/>
      <c r="D208" s="4"/>
      <c r="E208" s="4"/>
      <c r="I208" s="135"/>
      <c r="J208" s="135"/>
      <c r="K208" s="135"/>
      <c r="L208" s="135"/>
    </row>
    <row r="209" spans="2:12" ht="12" customHeight="1" x14ac:dyDescent="0.15">
      <c r="B209" s="2"/>
      <c r="C209" s="4"/>
      <c r="D209" s="4"/>
      <c r="E209" s="4"/>
      <c r="I209" s="135"/>
      <c r="J209" s="135"/>
      <c r="K209" s="135"/>
      <c r="L209" s="135"/>
    </row>
    <row r="210" spans="2:12" ht="12" customHeight="1" x14ac:dyDescent="0.15">
      <c r="B210" s="2"/>
      <c r="C210" s="4"/>
      <c r="D210" s="4"/>
      <c r="E210" s="4"/>
      <c r="I210" s="135"/>
      <c r="J210" s="135"/>
      <c r="K210" s="135"/>
      <c r="L210" s="135"/>
    </row>
    <row r="211" spans="2:12" ht="12" customHeight="1" x14ac:dyDescent="0.15">
      <c r="B211" s="2"/>
      <c r="C211" s="4"/>
      <c r="D211" s="4"/>
      <c r="E211" s="4"/>
      <c r="I211" s="135"/>
      <c r="J211" s="135"/>
      <c r="K211" s="135"/>
      <c r="L211" s="135"/>
    </row>
    <row r="212" spans="2:12" ht="12" customHeight="1" x14ac:dyDescent="0.15">
      <c r="B212" s="2"/>
      <c r="C212" s="4"/>
      <c r="D212" s="4"/>
      <c r="E212" s="4"/>
      <c r="I212" s="135"/>
      <c r="J212" s="135"/>
      <c r="K212" s="135"/>
      <c r="L212" s="135"/>
    </row>
    <row r="213" spans="2:12" ht="12" customHeight="1" x14ac:dyDescent="0.15">
      <c r="B213" s="2"/>
      <c r="C213" s="4"/>
      <c r="D213" s="4"/>
      <c r="E213" s="4"/>
      <c r="I213" s="135"/>
      <c r="J213" s="135"/>
      <c r="K213" s="135"/>
      <c r="L213" s="135"/>
    </row>
    <row r="214" spans="2:12" ht="12" customHeight="1" x14ac:dyDescent="0.15">
      <c r="B214" s="2"/>
      <c r="C214" s="4"/>
      <c r="D214" s="4"/>
      <c r="E214" s="4"/>
      <c r="I214" s="135"/>
      <c r="J214" s="135"/>
      <c r="K214" s="135"/>
      <c r="L214" s="135"/>
    </row>
    <row r="215" spans="2:12" ht="12" customHeight="1" x14ac:dyDescent="0.15">
      <c r="B215" s="2"/>
      <c r="C215" s="4"/>
      <c r="D215" s="4"/>
      <c r="E215" s="4"/>
      <c r="I215" s="135"/>
      <c r="J215" s="135"/>
      <c r="K215" s="135"/>
      <c r="L215" s="135"/>
    </row>
    <row r="216" spans="2:12" ht="12" customHeight="1" x14ac:dyDescent="0.15">
      <c r="B216" s="2"/>
      <c r="C216" s="4"/>
      <c r="D216" s="4"/>
      <c r="E216" s="4"/>
      <c r="I216" s="135"/>
      <c r="J216" s="135"/>
      <c r="K216" s="135"/>
      <c r="L216" s="135"/>
    </row>
    <row r="217" spans="2:12" ht="12" customHeight="1" x14ac:dyDescent="0.15">
      <c r="B217" s="2"/>
      <c r="C217" s="4"/>
      <c r="D217" s="4"/>
      <c r="E217" s="4"/>
      <c r="I217" s="135"/>
      <c r="J217" s="135"/>
      <c r="K217" s="135"/>
      <c r="L217" s="135"/>
    </row>
    <row r="218" spans="2:12" ht="12" customHeight="1" x14ac:dyDescent="0.15">
      <c r="B218" s="2"/>
      <c r="C218" s="4"/>
      <c r="D218" s="4"/>
      <c r="E218" s="4"/>
      <c r="I218" s="135"/>
      <c r="J218" s="135"/>
      <c r="K218" s="135"/>
      <c r="L218" s="135"/>
    </row>
    <row r="219" spans="2:12" ht="12" customHeight="1" x14ac:dyDescent="0.15">
      <c r="B219" s="2"/>
      <c r="C219" s="4"/>
      <c r="D219" s="4"/>
      <c r="E219" s="4"/>
      <c r="I219" s="135"/>
      <c r="J219" s="135"/>
      <c r="K219" s="135"/>
      <c r="L219" s="135"/>
    </row>
    <row r="220" spans="2:12" ht="12" customHeight="1" x14ac:dyDescent="0.15">
      <c r="B220" s="2"/>
      <c r="C220" s="4"/>
      <c r="D220" s="4"/>
      <c r="E220" s="4"/>
      <c r="I220" s="135"/>
      <c r="J220" s="135"/>
      <c r="K220" s="135"/>
      <c r="L220" s="135"/>
    </row>
    <row r="221" spans="2:12" ht="12" customHeight="1" x14ac:dyDescent="0.15">
      <c r="B221" s="2"/>
      <c r="C221" s="4"/>
      <c r="D221" s="4"/>
      <c r="E221" s="4"/>
      <c r="I221" s="135"/>
      <c r="J221" s="135"/>
      <c r="K221" s="135"/>
      <c r="L221" s="135"/>
    </row>
    <row r="222" spans="2:12" ht="12" customHeight="1" x14ac:dyDescent="0.15">
      <c r="B222" s="2"/>
      <c r="C222" s="4"/>
      <c r="D222" s="4"/>
      <c r="E222" s="4"/>
      <c r="I222" s="135"/>
      <c r="J222" s="135"/>
      <c r="K222" s="135"/>
      <c r="L222" s="135"/>
    </row>
    <row r="223" spans="2:12" ht="12" customHeight="1" x14ac:dyDescent="0.15">
      <c r="B223" s="2"/>
      <c r="C223" s="4"/>
      <c r="D223" s="4"/>
      <c r="E223" s="4"/>
      <c r="I223" s="135"/>
      <c r="J223" s="135"/>
      <c r="K223" s="135"/>
      <c r="L223" s="135"/>
    </row>
    <row r="224" spans="2:12" ht="12" customHeight="1" x14ac:dyDescent="0.15">
      <c r="B224" s="2"/>
      <c r="C224" s="4"/>
      <c r="D224" s="4"/>
      <c r="E224" s="4"/>
      <c r="I224" s="135"/>
      <c r="J224" s="135"/>
      <c r="K224" s="135"/>
      <c r="L224" s="135"/>
    </row>
    <row r="225" spans="2:12" ht="12" customHeight="1" x14ac:dyDescent="0.15">
      <c r="B225" s="2"/>
      <c r="C225" s="4"/>
      <c r="D225" s="4"/>
      <c r="E225" s="4"/>
      <c r="I225" s="135"/>
      <c r="J225" s="135"/>
      <c r="K225" s="135"/>
      <c r="L225" s="135"/>
    </row>
    <row r="226" spans="2:12" ht="12" customHeight="1" x14ac:dyDescent="0.15">
      <c r="B226" s="2"/>
      <c r="C226" s="4"/>
      <c r="D226" s="4"/>
      <c r="E226" s="4"/>
      <c r="I226" s="135"/>
      <c r="J226" s="135"/>
      <c r="K226" s="135"/>
      <c r="L226" s="135"/>
    </row>
    <row r="227" spans="2:12" ht="12" customHeight="1" x14ac:dyDescent="0.15">
      <c r="B227" s="2"/>
      <c r="C227" s="4"/>
      <c r="D227" s="4"/>
      <c r="E227" s="4"/>
      <c r="I227" s="135"/>
      <c r="J227" s="135"/>
      <c r="K227" s="135"/>
      <c r="L227" s="135"/>
    </row>
    <row r="228" spans="2:12" ht="12" customHeight="1" x14ac:dyDescent="0.15">
      <c r="B228" s="2"/>
      <c r="C228" s="4"/>
      <c r="D228" s="4"/>
      <c r="E228" s="4"/>
      <c r="I228" s="135"/>
      <c r="J228" s="135"/>
      <c r="K228" s="135"/>
      <c r="L228" s="135"/>
    </row>
    <row r="229" spans="2:12" ht="12" customHeight="1" x14ac:dyDescent="0.15">
      <c r="B229" s="2"/>
      <c r="C229" s="4"/>
      <c r="D229" s="4"/>
      <c r="E229" s="4"/>
      <c r="I229" s="135"/>
      <c r="J229" s="135"/>
      <c r="K229" s="135"/>
      <c r="L229" s="135"/>
    </row>
    <row r="230" spans="2:12" ht="12" customHeight="1" x14ac:dyDescent="0.15">
      <c r="B230" s="2"/>
      <c r="C230" s="4"/>
      <c r="D230" s="4"/>
      <c r="E230" s="4"/>
      <c r="I230" s="135"/>
      <c r="J230" s="135"/>
      <c r="K230" s="135"/>
      <c r="L230" s="135"/>
    </row>
    <row r="231" spans="2:12" ht="12" customHeight="1" x14ac:dyDescent="0.15">
      <c r="B231" s="2"/>
      <c r="C231" s="4"/>
      <c r="D231" s="4"/>
      <c r="E231" s="4"/>
      <c r="I231" s="135"/>
      <c r="J231" s="135"/>
      <c r="K231" s="135"/>
      <c r="L231" s="135"/>
    </row>
    <row r="232" spans="2:12" ht="12" customHeight="1" x14ac:dyDescent="0.15">
      <c r="B232" s="2"/>
      <c r="C232" s="4"/>
      <c r="D232" s="4"/>
      <c r="E232" s="4"/>
      <c r="I232" s="135"/>
      <c r="J232" s="135"/>
      <c r="K232" s="135"/>
      <c r="L232" s="135"/>
    </row>
    <row r="233" spans="2:12" ht="12" customHeight="1" x14ac:dyDescent="0.15">
      <c r="B233" s="2"/>
      <c r="C233" s="4"/>
      <c r="D233" s="4"/>
      <c r="E233" s="4"/>
      <c r="I233" s="135"/>
      <c r="J233" s="135"/>
      <c r="K233" s="135"/>
      <c r="L233" s="135"/>
    </row>
    <row r="234" spans="2:12" ht="12" customHeight="1" x14ac:dyDescent="0.15">
      <c r="B234" s="2"/>
      <c r="C234" s="4"/>
      <c r="D234" s="4"/>
      <c r="E234" s="4"/>
      <c r="I234" s="135"/>
      <c r="J234" s="135"/>
      <c r="K234" s="135"/>
      <c r="L234" s="135"/>
    </row>
    <row r="235" spans="2:12" ht="12" customHeight="1" x14ac:dyDescent="0.15">
      <c r="B235" s="2"/>
      <c r="C235" s="4"/>
      <c r="D235" s="4"/>
      <c r="E235" s="4"/>
      <c r="I235" s="135"/>
      <c r="J235" s="135"/>
      <c r="K235" s="135"/>
      <c r="L235" s="135"/>
    </row>
    <row r="236" spans="2:12" ht="12" customHeight="1" x14ac:dyDescent="0.15">
      <c r="B236" s="2"/>
      <c r="C236" s="4"/>
      <c r="D236" s="4"/>
      <c r="E236" s="4"/>
      <c r="I236" s="135"/>
      <c r="J236" s="135"/>
      <c r="K236" s="135"/>
      <c r="L236" s="135"/>
    </row>
    <row r="237" spans="2:12" ht="12" customHeight="1" x14ac:dyDescent="0.15">
      <c r="B237" s="2"/>
      <c r="C237" s="4"/>
      <c r="D237" s="4"/>
      <c r="E237" s="4"/>
      <c r="I237" s="135"/>
      <c r="J237" s="135"/>
      <c r="K237" s="135"/>
      <c r="L237" s="135"/>
    </row>
    <row r="238" spans="2:12" ht="12" customHeight="1" x14ac:dyDescent="0.15">
      <c r="B238" s="2"/>
      <c r="C238" s="4"/>
      <c r="D238" s="4"/>
      <c r="E238" s="4"/>
      <c r="I238" s="135"/>
      <c r="J238" s="135"/>
      <c r="K238" s="135"/>
      <c r="L238" s="135"/>
    </row>
    <row r="239" spans="2:12" ht="12" customHeight="1" x14ac:dyDescent="0.15">
      <c r="B239" s="2"/>
      <c r="C239" s="4"/>
      <c r="D239" s="4"/>
      <c r="E239" s="4"/>
      <c r="I239" s="135"/>
      <c r="J239" s="135"/>
      <c r="K239" s="135"/>
      <c r="L239" s="135"/>
    </row>
    <row r="240" spans="2:12" ht="12" customHeight="1" x14ac:dyDescent="0.15">
      <c r="B240" s="2"/>
      <c r="C240" s="4"/>
      <c r="D240" s="4"/>
      <c r="E240" s="4"/>
      <c r="I240" s="135"/>
      <c r="J240" s="135"/>
      <c r="K240" s="135"/>
      <c r="L240" s="135"/>
    </row>
    <row r="241" spans="2:12" ht="12" customHeight="1" x14ac:dyDescent="0.15">
      <c r="B241" s="2"/>
      <c r="C241" s="4"/>
      <c r="D241" s="4"/>
      <c r="E241" s="4"/>
      <c r="I241" s="135"/>
      <c r="J241" s="135"/>
      <c r="K241" s="135"/>
      <c r="L241" s="135"/>
    </row>
    <row r="242" spans="2:12" ht="12" customHeight="1" x14ac:dyDescent="0.15">
      <c r="B242" s="2"/>
      <c r="C242" s="4"/>
      <c r="D242" s="4"/>
      <c r="E242" s="4"/>
      <c r="I242" s="135"/>
      <c r="J242" s="135"/>
      <c r="K242" s="135"/>
      <c r="L242" s="135"/>
    </row>
    <row r="243" spans="2:12" ht="12" customHeight="1" x14ac:dyDescent="0.15">
      <c r="B243" s="2"/>
      <c r="C243" s="4"/>
      <c r="D243" s="4"/>
      <c r="E243" s="4"/>
      <c r="I243" s="135"/>
      <c r="J243" s="135"/>
      <c r="K243" s="135"/>
      <c r="L243" s="135"/>
    </row>
    <row r="244" spans="2:12" ht="12" customHeight="1" x14ac:dyDescent="0.15">
      <c r="B244" s="2"/>
      <c r="C244" s="4"/>
      <c r="D244" s="4"/>
      <c r="E244" s="4"/>
      <c r="I244" s="135"/>
      <c r="J244" s="135"/>
      <c r="K244" s="135"/>
      <c r="L244" s="135"/>
    </row>
    <row r="245" spans="2:12" ht="12" customHeight="1" x14ac:dyDescent="0.15">
      <c r="B245" s="2"/>
      <c r="C245" s="4"/>
      <c r="D245" s="4"/>
      <c r="E245" s="4"/>
      <c r="I245" s="135"/>
      <c r="J245" s="135"/>
      <c r="K245" s="135"/>
      <c r="L245" s="135"/>
    </row>
    <row r="246" spans="2:12" ht="12" customHeight="1" x14ac:dyDescent="0.15">
      <c r="B246" s="2"/>
      <c r="C246" s="4"/>
      <c r="D246" s="4"/>
      <c r="E246" s="4"/>
      <c r="I246" s="135"/>
      <c r="J246" s="135"/>
      <c r="K246" s="135"/>
      <c r="L246" s="135"/>
    </row>
    <row r="247" spans="2:12" ht="12" customHeight="1" x14ac:dyDescent="0.15">
      <c r="B247" s="2"/>
      <c r="C247" s="4"/>
      <c r="D247" s="4"/>
      <c r="E247" s="4"/>
      <c r="I247" s="135"/>
      <c r="J247" s="135"/>
      <c r="K247" s="135"/>
      <c r="L247" s="135"/>
    </row>
    <row r="248" spans="2:12" ht="12" customHeight="1" x14ac:dyDescent="0.15">
      <c r="B248" s="2"/>
      <c r="C248" s="4"/>
      <c r="D248" s="4"/>
      <c r="E248" s="4"/>
      <c r="I248" s="135"/>
      <c r="J248" s="135"/>
      <c r="K248" s="135"/>
      <c r="L248" s="135"/>
    </row>
    <row r="249" spans="2:12" ht="12" customHeight="1" x14ac:dyDescent="0.15">
      <c r="B249" s="2"/>
      <c r="C249" s="4"/>
      <c r="D249" s="4"/>
      <c r="E249" s="4"/>
      <c r="I249" s="135"/>
      <c r="J249" s="135"/>
      <c r="K249" s="135"/>
      <c r="L249" s="135"/>
    </row>
    <row r="250" spans="2:12" ht="12" customHeight="1" x14ac:dyDescent="0.15">
      <c r="B250" s="2"/>
      <c r="C250" s="4"/>
      <c r="D250" s="4"/>
      <c r="E250" s="4"/>
      <c r="I250" s="135"/>
      <c r="J250" s="135"/>
      <c r="K250" s="135"/>
      <c r="L250" s="135"/>
    </row>
    <row r="251" spans="2:12" ht="12" customHeight="1" x14ac:dyDescent="0.15">
      <c r="B251" s="2"/>
      <c r="C251" s="4"/>
      <c r="D251" s="4"/>
      <c r="E251" s="4"/>
      <c r="I251" s="135"/>
      <c r="J251" s="135"/>
      <c r="K251" s="135"/>
      <c r="L251" s="135"/>
    </row>
    <row r="252" spans="2:12" ht="12" customHeight="1" x14ac:dyDescent="0.15">
      <c r="B252" s="2"/>
      <c r="C252" s="4"/>
      <c r="D252" s="4"/>
      <c r="E252" s="4"/>
      <c r="I252" s="135"/>
      <c r="J252" s="135"/>
      <c r="K252" s="135"/>
      <c r="L252" s="135"/>
    </row>
    <row r="253" spans="2:12" ht="12" customHeight="1" x14ac:dyDescent="0.15">
      <c r="B253" s="2"/>
      <c r="C253" s="4"/>
      <c r="D253" s="4"/>
      <c r="E253" s="4"/>
      <c r="I253" s="135"/>
      <c r="J253" s="135"/>
      <c r="K253" s="135"/>
      <c r="L253" s="135"/>
    </row>
    <row r="254" spans="2:12" ht="12" customHeight="1" x14ac:dyDescent="0.15">
      <c r="B254" s="2"/>
      <c r="C254" s="4"/>
      <c r="D254" s="4"/>
      <c r="E254" s="4"/>
      <c r="I254" s="135"/>
      <c r="J254" s="135"/>
      <c r="K254" s="135"/>
      <c r="L254" s="135"/>
    </row>
    <row r="255" spans="2:12" ht="12" customHeight="1" x14ac:dyDescent="0.15">
      <c r="B255" s="2"/>
      <c r="C255" s="4"/>
      <c r="D255" s="4"/>
      <c r="E255" s="4"/>
      <c r="I255" s="135"/>
      <c r="J255" s="135"/>
      <c r="K255" s="135"/>
      <c r="L255" s="135"/>
    </row>
    <row r="256" spans="2:12" ht="12" customHeight="1" x14ac:dyDescent="0.15">
      <c r="B256" s="2"/>
      <c r="C256" s="4"/>
      <c r="D256" s="4"/>
      <c r="E256" s="4"/>
      <c r="I256" s="135"/>
      <c r="J256" s="135"/>
      <c r="K256" s="135"/>
      <c r="L256" s="135"/>
    </row>
    <row r="257" spans="2:12" ht="12" customHeight="1" x14ac:dyDescent="0.15">
      <c r="B257" s="2"/>
      <c r="C257" s="4"/>
      <c r="D257" s="4"/>
      <c r="E257" s="4"/>
      <c r="I257" s="135"/>
      <c r="J257" s="135"/>
      <c r="K257" s="135"/>
      <c r="L257" s="135"/>
    </row>
    <row r="258" spans="2:12" ht="12" customHeight="1" x14ac:dyDescent="0.15">
      <c r="B258" s="2"/>
      <c r="C258" s="4"/>
      <c r="D258" s="4"/>
      <c r="E258" s="4"/>
      <c r="I258" s="135"/>
      <c r="J258" s="135"/>
      <c r="K258" s="135"/>
      <c r="L258" s="135"/>
    </row>
    <row r="259" spans="2:12" ht="12" customHeight="1" x14ac:dyDescent="0.15">
      <c r="B259" s="2"/>
      <c r="C259" s="4"/>
      <c r="D259" s="4"/>
      <c r="E259" s="4"/>
      <c r="I259" s="135"/>
      <c r="J259" s="135"/>
      <c r="K259" s="135"/>
      <c r="L259" s="135"/>
    </row>
    <row r="260" spans="2:12" ht="12" customHeight="1" x14ac:dyDescent="0.15">
      <c r="B260" s="2"/>
      <c r="C260" s="4"/>
      <c r="D260" s="4"/>
      <c r="E260" s="4"/>
      <c r="I260" s="135"/>
      <c r="J260" s="135"/>
      <c r="K260" s="135"/>
      <c r="L260" s="135"/>
    </row>
    <row r="261" spans="2:12" ht="12" customHeight="1" x14ac:dyDescent="0.15">
      <c r="B261" s="2"/>
      <c r="C261" s="4"/>
      <c r="D261" s="4"/>
      <c r="E261" s="4"/>
      <c r="I261" s="135"/>
      <c r="J261" s="135"/>
      <c r="K261" s="135"/>
      <c r="L261" s="135"/>
    </row>
    <row r="262" spans="2:12" ht="12" customHeight="1" x14ac:dyDescent="0.15">
      <c r="B262" s="2"/>
      <c r="C262" s="4"/>
      <c r="D262" s="4"/>
      <c r="E262" s="4"/>
      <c r="I262" s="135"/>
      <c r="J262" s="135"/>
      <c r="K262" s="135"/>
      <c r="L262" s="135"/>
    </row>
    <row r="263" spans="2:12" ht="12" customHeight="1" x14ac:dyDescent="0.15">
      <c r="B263" s="2"/>
      <c r="C263" s="4"/>
      <c r="D263" s="4"/>
      <c r="E263" s="4"/>
      <c r="I263" s="135"/>
      <c r="J263" s="135"/>
      <c r="K263" s="135"/>
      <c r="L263" s="135"/>
    </row>
    <row r="264" spans="2:12" ht="12" customHeight="1" x14ac:dyDescent="0.15">
      <c r="B264" s="2"/>
      <c r="C264" s="4"/>
      <c r="D264" s="4"/>
      <c r="E264" s="4"/>
      <c r="I264" s="135"/>
      <c r="J264" s="135"/>
      <c r="K264" s="135"/>
      <c r="L264" s="135"/>
    </row>
    <row r="265" spans="2:12" ht="12" customHeight="1" x14ac:dyDescent="0.15">
      <c r="B265" s="2"/>
      <c r="C265" s="4"/>
      <c r="D265" s="4"/>
      <c r="E265" s="4"/>
      <c r="I265" s="135"/>
      <c r="J265" s="135"/>
      <c r="K265" s="135"/>
      <c r="L265" s="135"/>
    </row>
    <row r="266" spans="2:12" ht="12" customHeight="1" x14ac:dyDescent="0.15">
      <c r="B266" s="2"/>
      <c r="C266" s="4"/>
      <c r="D266" s="4"/>
      <c r="E266" s="4"/>
      <c r="I266" s="135"/>
      <c r="J266" s="135"/>
      <c r="K266" s="135"/>
      <c r="L266" s="135"/>
    </row>
    <row r="267" spans="2:12" ht="12" customHeight="1" x14ac:dyDescent="0.15">
      <c r="B267" s="2"/>
      <c r="C267" s="4"/>
      <c r="D267" s="4"/>
      <c r="E267" s="4"/>
      <c r="I267" s="135"/>
      <c r="J267" s="135"/>
      <c r="K267" s="135"/>
      <c r="L267" s="135"/>
    </row>
    <row r="268" spans="2:12" ht="12" customHeight="1" x14ac:dyDescent="0.15">
      <c r="B268" s="2"/>
      <c r="C268" s="4"/>
      <c r="D268" s="4"/>
      <c r="E268" s="4"/>
      <c r="I268" s="135"/>
      <c r="J268" s="135"/>
      <c r="K268" s="135"/>
      <c r="L268" s="135"/>
    </row>
    <row r="269" spans="2:12" ht="12" customHeight="1" x14ac:dyDescent="0.15">
      <c r="B269" s="2"/>
      <c r="C269" s="4"/>
      <c r="D269" s="4"/>
      <c r="E269" s="4"/>
      <c r="I269" s="135"/>
      <c r="J269" s="135"/>
      <c r="K269" s="135"/>
      <c r="L269" s="135"/>
    </row>
    <row r="270" spans="2:12" ht="12" customHeight="1" x14ac:dyDescent="0.15">
      <c r="B270" s="2"/>
      <c r="C270" s="4"/>
      <c r="D270" s="4"/>
      <c r="E270" s="4"/>
      <c r="I270" s="135"/>
      <c r="J270" s="135"/>
      <c r="K270" s="135"/>
      <c r="L270" s="135"/>
    </row>
    <row r="271" spans="2:12" ht="12" customHeight="1" x14ac:dyDescent="0.15">
      <c r="B271" s="2"/>
      <c r="C271" s="4"/>
      <c r="D271" s="4"/>
      <c r="E271" s="4"/>
      <c r="I271" s="135"/>
      <c r="J271" s="135"/>
      <c r="K271" s="135"/>
      <c r="L271" s="135"/>
    </row>
    <row r="272" spans="2:12" ht="12" customHeight="1" x14ac:dyDescent="0.15">
      <c r="B272" s="2"/>
      <c r="C272" s="4"/>
      <c r="D272" s="4"/>
      <c r="E272" s="4"/>
      <c r="I272" s="135"/>
      <c r="J272" s="135"/>
      <c r="K272" s="135"/>
      <c r="L272" s="135"/>
    </row>
    <row r="273" spans="2:12" ht="12" customHeight="1" x14ac:dyDescent="0.15">
      <c r="B273" s="2"/>
      <c r="C273" s="4"/>
      <c r="D273" s="4"/>
      <c r="E273" s="4"/>
      <c r="I273" s="135"/>
      <c r="J273" s="135"/>
      <c r="K273" s="135"/>
      <c r="L273" s="135"/>
    </row>
    <row r="274" spans="2:12" ht="12" customHeight="1" x14ac:dyDescent="0.15">
      <c r="B274" s="2"/>
      <c r="C274" s="4"/>
      <c r="D274" s="4"/>
      <c r="E274" s="4"/>
      <c r="I274" s="135"/>
      <c r="J274" s="135"/>
      <c r="K274" s="135"/>
      <c r="L274" s="135"/>
    </row>
    <row r="275" spans="2:12" ht="12" customHeight="1" x14ac:dyDescent="0.15">
      <c r="B275" s="2"/>
      <c r="C275" s="4"/>
      <c r="D275" s="4"/>
      <c r="E275" s="4"/>
      <c r="I275" s="135"/>
      <c r="J275" s="135"/>
      <c r="K275" s="135"/>
      <c r="L275" s="135"/>
    </row>
    <row r="276" spans="2:12" ht="12" customHeight="1" x14ac:dyDescent="0.15">
      <c r="B276" s="2"/>
      <c r="C276" s="4"/>
      <c r="D276" s="4"/>
      <c r="E276" s="4"/>
      <c r="I276" s="135"/>
      <c r="J276" s="135"/>
      <c r="K276" s="135"/>
      <c r="L276" s="135"/>
    </row>
    <row r="277" spans="2:12" ht="12" customHeight="1" x14ac:dyDescent="0.15">
      <c r="B277" s="2"/>
      <c r="C277" s="4"/>
      <c r="D277" s="4"/>
      <c r="E277" s="4"/>
      <c r="I277" s="135"/>
      <c r="J277" s="135"/>
      <c r="K277" s="135"/>
      <c r="L277" s="135"/>
    </row>
    <row r="278" spans="2:12" ht="12" customHeight="1" x14ac:dyDescent="0.15">
      <c r="B278" s="2"/>
      <c r="C278" s="4"/>
      <c r="D278" s="4"/>
      <c r="E278" s="4"/>
      <c r="I278" s="135"/>
      <c r="J278" s="135"/>
      <c r="K278" s="135"/>
      <c r="L278" s="135"/>
    </row>
    <row r="279" spans="2:12" ht="12" customHeight="1" x14ac:dyDescent="0.15">
      <c r="B279" s="2"/>
      <c r="C279" s="4"/>
      <c r="D279" s="4"/>
      <c r="E279" s="4"/>
      <c r="I279" s="135"/>
      <c r="J279" s="135"/>
      <c r="K279" s="135"/>
      <c r="L279" s="135"/>
    </row>
    <row r="280" spans="2:12" ht="12" customHeight="1" x14ac:dyDescent="0.15">
      <c r="B280" s="2"/>
      <c r="C280" s="4"/>
      <c r="D280" s="4"/>
      <c r="E280" s="4"/>
      <c r="I280" s="135"/>
      <c r="J280" s="135"/>
      <c r="K280" s="135"/>
      <c r="L280" s="135"/>
    </row>
    <row r="281" spans="2:12" ht="12" customHeight="1" x14ac:dyDescent="0.15">
      <c r="B281" s="2"/>
      <c r="C281" s="4"/>
      <c r="D281" s="4"/>
      <c r="E281" s="4"/>
      <c r="I281" s="135"/>
      <c r="J281" s="135"/>
      <c r="K281" s="135"/>
      <c r="L281" s="135"/>
    </row>
    <row r="282" spans="2:12" ht="12" customHeight="1" x14ac:dyDescent="0.15">
      <c r="B282" s="2"/>
      <c r="C282" s="4"/>
      <c r="D282" s="4"/>
      <c r="E282" s="4"/>
      <c r="I282" s="135"/>
      <c r="J282" s="135"/>
      <c r="K282" s="135"/>
      <c r="L282" s="135"/>
    </row>
    <row r="283" spans="2:12" ht="12" customHeight="1" x14ac:dyDescent="0.15">
      <c r="B283" s="2"/>
      <c r="C283" s="4"/>
      <c r="D283" s="4"/>
      <c r="E283" s="4"/>
      <c r="I283" s="135"/>
      <c r="J283" s="135"/>
      <c r="K283" s="135"/>
      <c r="L283" s="135"/>
    </row>
    <row r="284" spans="2:12" ht="12" customHeight="1" x14ac:dyDescent="0.15">
      <c r="B284" s="2"/>
      <c r="C284" s="4"/>
      <c r="D284" s="4"/>
      <c r="E284" s="4"/>
      <c r="I284" s="135"/>
      <c r="J284" s="135"/>
      <c r="K284" s="135"/>
      <c r="L284" s="135"/>
    </row>
    <row r="285" spans="2:12" ht="12" customHeight="1" x14ac:dyDescent="0.15">
      <c r="B285" s="2"/>
      <c r="C285" s="4"/>
      <c r="D285" s="4"/>
      <c r="E285" s="4"/>
      <c r="I285" s="135"/>
      <c r="J285" s="135"/>
      <c r="K285" s="135"/>
      <c r="L285" s="135"/>
    </row>
    <row r="286" spans="2:12" ht="12" customHeight="1" x14ac:dyDescent="0.15">
      <c r="B286" s="2"/>
      <c r="C286" s="4"/>
      <c r="D286" s="4"/>
      <c r="E286" s="4"/>
      <c r="I286" s="135"/>
      <c r="J286" s="135"/>
      <c r="K286" s="135"/>
      <c r="L286" s="135"/>
    </row>
    <row r="287" spans="2:12" ht="12" customHeight="1" x14ac:dyDescent="0.15">
      <c r="B287" s="2"/>
      <c r="C287" s="4"/>
      <c r="D287" s="4"/>
      <c r="E287" s="4"/>
      <c r="I287" s="135"/>
      <c r="J287" s="135"/>
      <c r="K287" s="135"/>
      <c r="L287" s="135"/>
    </row>
    <row r="288" spans="2:12" ht="12" customHeight="1" x14ac:dyDescent="0.15">
      <c r="B288" s="2"/>
      <c r="C288" s="4"/>
      <c r="D288" s="4"/>
      <c r="E288" s="4"/>
      <c r="I288" s="135"/>
      <c r="J288" s="135"/>
      <c r="K288" s="135"/>
      <c r="L288" s="135"/>
    </row>
    <row r="289" spans="2:12" ht="12" customHeight="1" x14ac:dyDescent="0.15">
      <c r="B289" s="2"/>
      <c r="C289" s="4"/>
      <c r="D289" s="4"/>
      <c r="E289" s="4"/>
      <c r="I289" s="135"/>
      <c r="J289" s="135"/>
      <c r="K289" s="135"/>
      <c r="L289" s="135"/>
    </row>
    <row r="290" spans="2:12" ht="12" customHeight="1" x14ac:dyDescent="0.15">
      <c r="B290" s="2"/>
      <c r="C290" s="4"/>
      <c r="D290" s="4"/>
      <c r="E290" s="4"/>
      <c r="I290" s="135"/>
      <c r="J290" s="135"/>
      <c r="K290" s="135"/>
      <c r="L290" s="135"/>
    </row>
    <row r="291" spans="2:12" ht="12" customHeight="1" x14ac:dyDescent="0.15">
      <c r="B291" s="2"/>
      <c r="C291" s="4"/>
      <c r="D291" s="4"/>
      <c r="E291" s="4"/>
      <c r="I291" s="135"/>
      <c r="J291" s="135"/>
      <c r="K291" s="135"/>
      <c r="L291" s="135"/>
    </row>
    <row r="292" spans="2:12" ht="12" customHeight="1" x14ac:dyDescent="0.15">
      <c r="B292" s="2"/>
      <c r="C292" s="4"/>
      <c r="D292" s="4"/>
      <c r="E292" s="4"/>
      <c r="I292" s="135"/>
      <c r="J292" s="135"/>
      <c r="K292" s="135"/>
      <c r="L292" s="135"/>
    </row>
    <row r="293" spans="2:12" ht="12" customHeight="1" x14ac:dyDescent="0.15">
      <c r="B293" s="2"/>
      <c r="C293" s="4"/>
      <c r="D293" s="4"/>
      <c r="E293" s="4"/>
      <c r="I293" s="135"/>
      <c r="J293" s="135"/>
      <c r="K293" s="135"/>
      <c r="L293" s="135"/>
    </row>
    <row r="294" spans="2:12" ht="12" customHeight="1" x14ac:dyDescent="0.15">
      <c r="B294" s="2"/>
      <c r="C294" s="4"/>
      <c r="D294" s="4"/>
      <c r="E294" s="4"/>
      <c r="I294" s="135"/>
      <c r="J294" s="135"/>
      <c r="K294" s="135"/>
      <c r="L294" s="135"/>
    </row>
    <row r="295" spans="2:12" ht="12" customHeight="1" x14ac:dyDescent="0.15">
      <c r="B295" s="2"/>
      <c r="C295" s="4"/>
      <c r="D295" s="4"/>
      <c r="E295" s="4"/>
      <c r="I295" s="135"/>
      <c r="J295" s="135"/>
      <c r="K295" s="135"/>
      <c r="L295" s="135"/>
    </row>
    <row r="296" spans="2:12" ht="12" customHeight="1" x14ac:dyDescent="0.15">
      <c r="B296" s="2"/>
      <c r="C296" s="4"/>
      <c r="D296" s="4"/>
      <c r="E296" s="4"/>
      <c r="I296" s="135"/>
      <c r="J296" s="135"/>
      <c r="K296" s="135"/>
      <c r="L296" s="135"/>
    </row>
    <row r="297" spans="2:12" ht="12" customHeight="1" x14ac:dyDescent="0.15">
      <c r="B297" s="2"/>
      <c r="C297" s="4"/>
      <c r="D297" s="4"/>
      <c r="E297" s="4"/>
      <c r="I297" s="135"/>
      <c r="J297" s="135"/>
      <c r="K297" s="135"/>
      <c r="L297" s="135"/>
    </row>
    <row r="298" spans="2:12" ht="12" customHeight="1" x14ac:dyDescent="0.15">
      <c r="B298" s="2"/>
      <c r="C298" s="4"/>
      <c r="D298" s="4"/>
      <c r="E298" s="4"/>
      <c r="I298" s="135"/>
      <c r="J298" s="135"/>
      <c r="K298" s="135"/>
      <c r="L298" s="135"/>
    </row>
    <row r="299" spans="2:12" ht="12" customHeight="1" x14ac:dyDescent="0.15">
      <c r="B299" s="2"/>
      <c r="C299" s="4"/>
      <c r="D299" s="4"/>
      <c r="E299" s="4"/>
      <c r="I299" s="135"/>
      <c r="J299" s="135"/>
      <c r="K299" s="135"/>
      <c r="L299" s="135"/>
    </row>
    <row r="300" spans="2:12" ht="12" customHeight="1" x14ac:dyDescent="0.15">
      <c r="B300" s="2"/>
      <c r="C300" s="4"/>
      <c r="D300" s="4"/>
      <c r="E300" s="4"/>
      <c r="I300" s="135"/>
      <c r="J300" s="135"/>
      <c r="K300" s="135"/>
      <c r="L300" s="135"/>
    </row>
    <row r="301" spans="2:12" ht="12" customHeight="1" x14ac:dyDescent="0.15">
      <c r="B301" s="2"/>
      <c r="C301" s="4"/>
      <c r="D301" s="4"/>
      <c r="E301" s="4"/>
      <c r="I301" s="135"/>
      <c r="J301" s="135"/>
      <c r="K301" s="135"/>
      <c r="L301" s="135"/>
    </row>
    <row r="302" spans="2:12" ht="12" customHeight="1" x14ac:dyDescent="0.15">
      <c r="B302" s="2"/>
      <c r="C302" s="4"/>
      <c r="D302" s="4"/>
      <c r="E302" s="4"/>
      <c r="I302" s="135"/>
      <c r="J302" s="135"/>
      <c r="K302" s="135"/>
      <c r="L302" s="135"/>
    </row>
    <row r="303" spans="2:12" ht="12" customHeight="1" x14ac:dyDescent="0.15">
      <c r="B303" s="2"/>
      <c r="C303" s="4"/>
      <c r="D303" s="4"/>
      <c r="E303" s="4"/>
      <c r="I303" s="135"/>
      <c r="J303" s="135"/>
      <c r="K303" s="135"/>
      <c r="L303" s="135"/>
    </row>
    <row r="304" spans="2:12" ht="12" customHeight="1" x14ac:dyDescent="0.15">
      <c r="B304" s="2"/>
      <c r="C304" s="4"/>
      <c r="D304" s="4"/>
      <c r="E304" s="4"/>
      <c r="I304" s="135"/>
      <c r="J304" s="135"/>
      <c r="K304" s="135"/>
      <c r="L304" s="135"/>
    </row>
    <row r="305" spans="2:12" ht="12" customHeight="1" x14ac:dyDescent="0.15">
      <c r="B305" s="2"/>
      <c r="C305" s="4"/>
      <c r="D305" s="4"/>
      <c r="E305" s="4"/>
      <c r="I305" s="135"/>
      <c r="J305" s="135"/>
      <c r="K305" s="135"/>
      <c r="L305" s="135"/>
    </row>
    <row r="306" spans="2:12" ht="12" customHeight="1" x14ac:dyDescent="0.15">
      <c r="B306" s="2"/>
      <c r="C306" s="4"/>
      <c r="D306" s="4"/>
      <c r="E306" s="4"/>
      <c r="I306" s="135"/>
      <c r="J306" s="135"/>
      <c r="K306" s="135"/>
      <c r="L306" s="135"/>
    </row>
    <row r="307" spans="2:12" ht="12" customHeight="1" x14ac:dyDescent="0.15">
      <c r="B307" s="2"/>
      <c r="C307" s="4"/>
      <c r="D307" s="4"/>
      <c r="E307" s="4"/>
      <c r="I307" s="135"/>
      <c r="J307" s="135"/>
      <c r="K307" s="135"/>
      <c r="L307" s="135"/>
    </row>
    <row r="308" spans="2:12" ht="12" customHeight="1" x14ac:dyDescent="0.15">
      <c r="B308" s="2"/>
      <c r="C308" s="4"/>
      <c r="D308" s="4"/>
      <c r="E308" s="4"/>
      <c r="I308" s="135"/>
      <c r="J308" s="135"/>
      <c r="K308" s="135"/>
      <c r="L308" s="135"/>
    </row>
    <row r="309" spans="2:12" ht="12" customHeight="1" x14ac:dyDescent="0.15">
      <c r="B309" s="2"/>
      <c r="C309" s="4"/>
      <c r="D309" s="4"/>
      <c r="E309" s="4"/>
      <c r="I309" s="135"/>
      <c r="J309" s="135"/>
      <c r="K309" s="135"/>
      <c r="L309" s="135"/>
    </row>
    <row r="310" spans="2:12" ht="12" customHeight="1" x14ac:dyDescent="0.15">
      <c r="B310" s="2"/>
      <c r="C310" s="4"/>
      <c r="D310" s="4"/>
      <c r="E310" s="4"/>
      <c r="I310" s="135"/>
      <c r="J310" s="135"/>
      <c r="K310" s="135"/>
      <c r="L310" s="135"/>
    </row>
    <row r="311" spans="2:12" ht="12" customHeight="1" x14ac:dyDescent="0.15">
      <c r="B311" s="2"/>
      <c r="C311" s="4"/>
      <c r="D311" s="4"/>
      <c r="E311" s="4"/>
      <c r="I311" s="135"/>
      <c r="J311" s="135"/>
      <c r="K311" s="135"/>
      <c r="L311" s="135"/>
    </row>
    <row r="312" spans="2:12" ht="12" customHeight="1" x14ac:dyDescent="0.15">
      <c r="B312" s="2"/>
      <c r="C312" s="4"/>
      <c r="D312" s="4"/>
      <c r="E312" s="4"/>
      <c r="I312" s="135"/>
      <c r="J312" s="135"/>
      <c r="K312" s="135"/>
      <c r="L312" s="135"/>
    </row>
    <row r="313" spans="2:12" ht="12" customHeight="1" x14ac:dyDescent="0.15">
      <c r="B313" s="2"/>
      <c r="C313" s="4"/>
      <c r="D313" s="4"/>
      <c r="E313" s="4"/>
      <c r="I313" s="135"/>
      <c r="J313" s="135"/>
      <c r="K313" s="135"/>
      <c r="L313" s="135"/>
    </row>
    <row r="314" spans="2:12" ht="12" customHeight="1" x14ac:dyDescent="0.15">
      <c r="B314" s="2"/>
      <c r="C314" s="4"/>
      <c r="D314" s="4"/>
      <c r="E314" s="4"/>
      <c r="I314" s="135"/>
      <c r="J314" s="135"/>
      <c r="K314" s="135"/>
      <c r="L314" s="135"/>
    </row>
    <row r="315" spans="2:12" ht="12" customHeight="1" x14ac:dyDescent="0.15">
      <c r="B315" s="2"/>
      <c r="C315" s="4"/>
      <c r="D315" s="4"/>
      <c r="E315" s="4"/>
      <c r="I315" s="135"/>
      <c r="J315" s="135"/>
      <c r="K315" s="135"/>
      <c r="L315" s="135"/>
    </row>
    <row r="316" spans="2:12" ht="12" customHeight="1" x14ac:dyDescent="0.15">
      <c r="B316" s="2"/>
      <c r="C316" s="4"/>
      <c r="D316" s="4"/>
      <c r="E316" s="4"/>
      <c r="I316" s="135"/>
      <c r="J316" s="135"/>
      <c r="K316" s="135"/>
      <c r="L316" s="135"/>
    </row>
    <row r="317" spans="2:12" ht="12" customHeight="1" x14ac:dyDescent="0.15">
      <c r="B317" s="2"/>
      <c r="C317" s="4"/>
      <c r="D317" s="4"/>
      <c r="E317" s="4"/>
      <c r="I317" s="135"/>
      <c r="J317" s="135"/>
      <c r="K317" s="135"/>
      <c r="L317" s="135"/>
    </row>
    <row r="318" spans="2:12" ht="12" customHeight="1" x14ac:dyDescent="0.15">
      <c r="B318" s="2"/>
      <c r="C318" s="4"/>
      <c r="D318" s="4"/>
      <c r="E318" s="4"/>
      <c r="I318" s="135"/>
      <c r="J318" s="135"/>
      <c r="K318" s="135"/>
      <c r="L318" s="135"/>
    </row>
    <row r="319" spans="2:12" ht="12" customHeight="1" x14ac:dyDescent="0.15">
      <c r="B319" s="2"/>
      <c r="C319" s="4"/>
      <c r="D319" s="4"/>
      <c r="E319" s="4"/>
      <c r="I319" s="135"/>
      <c r="J319" s="135"/>
      <c r="K319" s="135"/>
      <c r="L319" s="135"/>
    </row>
    <row r="320" spans="2:12" ht="12" customHeight="1" x14ac:dyDescent="0.15">
      <c r="B320" s="2"/>
      <c r="C320" s="4"/>
      <c r="D320" s="4"/>
      <c r="E320" s="4"/>
      <c r="I320" s="135"/>
      <c r="J320" s="135"/>
      <c r="K320" s="135"/>
      <c r="L320" s="135"/>
    </row>
    <row r="321" spans="2:12" ht="12" customHeight="1" x14ac:dyDescent="0.15">
      <c r="B321" s="2"/>
      <c r="C321" s="4"/>
      <c r="D321" s="4"/>
      <c r="E321" s="4"/>
      <c r="I321" s="135"/>
      <c r="J321" s="135"/>
      <c r="K321" s="135"/>
      <c r="L321" s="135"/>
    </row>
    <row r="322" spans="2:12" ht="12" customHeight="1" x14ac:dyDescent="0.15">
      <c r="B322" s="2"/>
      <c r="C322" s="4"/>
      <c r="D322" s="4"/>
      <c r="E322" s="4"/>
      <c r="I322" s="135"/>
      <c r="J322" s="135"/>
      <c r="K322" s="135"/>
      <c r="L322" s="135"/>
    </row>
    <row r="323" spans="2:12" ht="12" customHeight="1" x14ac:dyDescent="0.15">
      <c r="B323" s="2"/>
      <c r="C323" s="4"/>
      <c r="D323" s="4"/>
      <c r="E323" s="4"/>
      <c r="I323" s="135"/>
      <c r="J323" s="135"/>
      <c r="K323" s="135"/>
      <c r="L323" s="135"/>
    </row>
    <row r="324" spans="2:12" ht="12" customHeight="1" x14ac:dyDescent="0.15">
      <c r="B324" s="2"/>
      <c r="C324" s="4"/>
      <c r="D324" s="4"/>
      <c r="E324" s="4"/>
      <c r="I324" s="135"/>
      <c r="J324" s="135"/>
      <c r="K324" s="135"/>
      <c r="L324" s="135"/>
    </row>
    <row r="325" spans="2:12" ht="12" customHeight="1" x14ac:dyDescent="0.15">
      <c r="B325" s="2"/>
      <c r="C325" s="4"/>
      <c r="D325" s="4"/>
      <c r="E325" s="4"/>
      <c r="I325" s="135"/>
      <c r="J325" s="135"/>
      <c r="K325" s="135"/>
      <c r="L325" s="135"/>
    </row>
    <row r="326" spans="2:12" ht="12" customHeight="1" x14ac:dyDescent="0.15">
      <c r="B326" s="2"/>
      <c r="C326" s="4"/>
      <c r="D326" s="4"/>
      <c r="E326" s="4"/>
      <c r="I326" s="135"/>
      <c r="J326" s="135"/>
      <c r="K326" s="135"/>
      <c r="L326" s="135"/>
    </row>
    <row r="327" spans="2:12" ht="12" customHeight="1" x14ac:dyDescent="0.15">
      <c r="B327" s="2"/>
      <c r="C327" s="4"/>
      <c r="D327" s="4"/>
      <c r="E327" s="4"/>
      <c r="I327" s="135"/>
      <c r="J327" s="135"/>
      <c r="K327" s="135"/>
      <c r="L327" s="135"/>
    </row>
    <row r="328" spans="2:12" ht="12" customHeight="1" x14ac:dyDescent="0.15">
      <c r="B328" s="2"/>
      <c r="C328" s="4"/>
      <c r="D328" s="4"/>
      <c r="E328" s="4"/>
      <c r="I328" s="135"/>
      <c r="J328" s="135"/>
      <c r="K328" s="135"/>
      <c r="L328" s="135"/>
    </row>
    <row r="329" spans="2:12" ht="12" customHeight="1" x14ac:dyDescent="0.15">
      <c r="B329" s="2"/>
      <c r="C329" s="4"/>
      <c r="D329" s="4"/>
      <c r="E329" s="4"/>
      <c r="I329" s="135"/>
      <c r="J329" s="135"/>
      <c r="K329" s="135"/>
      <c r="L329" s="135"/>
    </row>
    <row r="330" spans="2:12" ht="12" customHeight="1" x14ac:dyDescent="0.15">
      <c r="B330" s="2"/>
      <c r="C330" s="4"/>
      <c r="D330" s="4"/>
      <c r="E330" s="4"/>
      <c r="I330" s="135"/>
      <c r="J330" s="135"/>
      <c r="K330" s="135"/>
      <c r="L330" s="135"/>
    </row>
    <row r="331" spans="2:12" ht="12" customHeight="1" x14ac:dyDescent="0.15">
      <c r="B331" s="2"/>
      <c r="C331" s="4"/>
      <c r="D331" s="4"/>
      <c r="E331" s="4"/>
      <c r="I331" s="135"/>
      <c r="J331" s="135"/>
      <c r="K331" s="135"/>
      <c r="L331" s="135"/>
    </row>
    <row r="332" spans="2:12" ht="12" customHeight="1" x14ac:dyDescent="0.15">
      <c r="B332" s="2"/>
      <c r="C332" s="4"/>
      <c r="D332" s="4"/>
      <c r="E332" s="4"/>
      <c r="I332" s="135"/>
      <c r="J332" s="135"/>
      <c r="K332" s="135"/>
      <c r="L332" s="135"/>
    </row>
    <row r="333" spans="2:12" ht="12" customHeight="1" x14ac:dyDescent="0.15">
      <c r="B333" s="2"/>
      <c r="C333" s="4"/>
      <c r="D333" s="4"/>
      <c r="E333" s="4"/>
      <c r="I333" s="135"/>
      <c r="J333" s="135"/>
      <c r="K333" s="135"/>
      <c r="L333" s="135"/>
    </row>
    <row r="334" spans="2:12" ht="12" customHeight="1" x14ac:dyDescent="0.15">
      <c r="B334" s="2"/>
      <c r="C334" s="4"/>
      <c r="D334" s="4"/>
      <c r="E334" s="4"/>
      <c r="I334" s="135"/>
      <c r="J334" s="135"/>
      <c r="K334" s="135"/>
      <c r="L334" s="135"/>
    </row>
    <row r="335" spans="2:12" ht="12" customHeight="1" x14ac:dyDescent="0.15">
      <c r="B335" s="2"/>
      <c r="C335" s="4"/>
      <c r="D335" s="4"/>
      <c r="E335" s="4"/>
      <c r="I335" s="135"/>
      <c r="J335" s="135"/>
      <c r="K335" s="135"/>
      <c r="L335" s="135"/>
    </row>
    <row r="336" spans="2:12" ht="12" customHeight="1" x14ac:dyDescent="0.15">
      <c r="B336" s="2"/>
      <c r="C336" s="4"/>
      <c r="D336" s="4"/>
      <c r="E336" s="4"/>
      <c r="I336" s="135"/>
      <c r="J336" s="135"/>
      <c r="K336" s="135"/>
      <c r="L336" s="135"/>
    </row>
    <row r="337" spans="2:12" ht="12" customHeight="1" x14ac:dyDescent="0.15">
      <c r="B337" s="2"/>
      <c r="C337" s="4"/>
      <c r="D337" s="4"/>
      <c r="E337" s="4"/>
      <c r="I337" s="135"/>
      <c r="J337" s="135"/>
      <c r="K337" s="135"/>
      <c r="L337" s="135"/>
    </row>
    <row r="338" spans="2:12" ht="12" customHeight="1" x14ac:dyDescent="0.15">
      <c r="B338" s="2"/>
      <c r="C338" s="4"/>
      <c r="D338" s="4"/>
      <c r="E338" s="4"/>
      <c r="I338" s="135"/>
      <c r="J338" s="135"/>
      <c r="K338" s="135"/>
      <c r="L338" s="135"/>
    </row>
    <row r="339" spans="2:12" ht="12" customHeight="1" x14ac:dyDescent="0.15">
      <c r="B339" s="2"/>
      <c r="C339" s="4"/>
      <c r="D339" s="4"/>
      <c r="E339" s="4"/>
      <c r="I339" s="135"/>
      <c r="J339" s="135"/>
      <c r="K339" s="135"/>
      <c r="L339" s="135"/>
    </row>
    <row r="340" spans="2:12" ht="12" customHeight="1" x14ac:dyDescent="0.15">
      <c r="B340" s="2"/>
      <c r="C340" s="4"/>
      <c r="D340" s="4"/>
      <c r="E340" s="4"/>
      <c r="I340" s="135"/>
      <c r="J340" s="135"/>
      <c r="K340" s="135"/>
      <c r="L340" s="135"/>
    </row>
    <row r="341" spans="2:12" ht="12" customHeight="1" x14ac:dyDescent="0.15">
      <c r="B341" s="2"/>
      <c r="C341" s="4"/>
      <c r="D341" s="4"/>
      <c r="E341" s="4"/>
      <c r="I341" s="135"/>
      <c r="J341" s="135"/>
      <c r="K341" s="135"/>
      <c r="L341" s="135"/>
    </row>
    <row r="342" spans="2:12" ht="12" customHeight="1" x14ac:dyDescent="0.15">
      <c r="B342" s="2"/>
      <c r="C342" s="4"/>
      <c r="D342" s="4"/>
      <c r="E342" s="4"/>
      <c r="I342" s="135"/>
      <c r="J342" s="135"/>
      <c r="K342" s="135"/>
      <c r="L342" s="135"/>
    </row>
    <row r="343" spans="2:12" ht="12" customHeight="1" x14ac:dyDescent="0.15">
      <c r="B343" s="2"/>
      <c r="C343" s="4"/>
      <c r="D343" s="4"/>
      <c r="E343" s="4"/>
      <c r="I343" s="135"/>
      <c r="J343" s="135"/>
      <c r="K343" s="135"/>
      <c r="L343" s="135"/>
    </row>
    <row r="344" spans="2:12" ht="12" customHeight="1" x14ac:dyDescent="0.15">
      <c r="B344" s="2"/>
      <c r="C344" s="4"/>
      <c r="D344" s="4"/>
      <c r="E344" s="4"/>
      <c r="I344" s="135"/>
      <c r="J344" s="135"/>
      <c r="K344" s="135"/>
      <c r="L344" s="135"/>
    </row>
    <row r="345" spans="2:12" ht="12" customHeight="1" x14ac:dyDescent="0.15">
      <c r="B345" s="2"/>
      <c r="C345" s="4"/>
      <c r="D345" s="4"/>
      <c r="E345" s="4"/>
      <c r="I345" s="135"/>
      <c r="J345" s="135"/>
      <c r="K345" s="135"/>
      <c r="L345" s="135"/>
    </row>
    <row r="346" spans="2:12" ht="12" customHeight="1" x14ac:dyDescent="0.15">
      <c r="B346" s="2"/>
      <c r="C346" s="4"/>
      <c r="D346" s="4"/>
      <c r="E346" s="4"/>
      <c r="I346" s="135"/>
      <c r="J346" s="135"/>
      <c r="K346" s="135"/>
      <c r="L346" s="135"/>
    </row>
    <row r="347" spans="2:12" ht="12" customHeight="1" x14ac:dyDescent="0.15">
      <c r="B347" s="2"/>
      <c r="C347" s="4"/>
      <c r="D347" s="4"/>
      <c r="E347" s="4"/>
      <c r="I347" s="135"/>
      <c r="J347" s="135"/>
      <c r="K347" s="135"/>
      <c r="L347" s="135"/>
    </row>
    <row r="348" spans="2:12" ht="12" customHeight="1" x14ac:dyDescent="0.15">
      <c r="B348" s="2"/>
      <c r="C348" s="4"/>
      <c r="D348" s="4"/>
      <c r="E348" s="4"/>
      <c r="I348" s="135"/>
      <c r="J348" s="135"/>
      <c r="K348" s="135"/>
      <c r="L348" s="135"/>
    </row>
    <row r="349" spans="2:12" ht="12" customHeight="1" x14ac:dyDescent="0.15">
      <c r="B349" s="2"/>
      <c r="C349" s="4"/>
      <c r="D349" s="4"/>
      <c r="E349" s="4"/>
      <c r="I349" s="135"/>
      <c r="J349" s="135"/>
      <c r="K349" s="135"/>
      <c r="L349" s="135"/>
    </row>
    <row r="350" spans="2:12" ht="12" customHeight="1" x14ac:dyDescent="0.15">
      <c r="B350" s="2"/>
      <c r="C350" s="4"/>
      <c r="D350" s="4"/>
      <c r="E350" s="4"/>
      <c r="I350" s="135"/>
      <c r="J350" s="135"/>
      <c r="K350" s="135"/>
      <c r="L350" s="135"/>
    </row>
    <row r="351" spans="2:12" ht="12" customHeight="1" x14ac:dyDescent="0.15">
      <c r="B351" s="2"/>
      <c r="C351" s="4"/>
      <c r="D351" s="4"/>
      <c r="E351" s="4"/>
      <c r="I351" s="135"/>
      <c r="J351" s="135"/>
      <c r="K351" s="135"/>
      <c r="L351" s="135"/>
    </row>
    <row r="352" spans="2:12" ht="12" customHeight="1" x14ac:dyDescent="0.15">
      <c r="B352" s="2"/>
      <c r="C352" s="4"/>
      <c r="D352" s="4"/>
      <c r="E352" s="4"/>
      <c r="I352" s="135"/>
      <c r="J352" s="135"/>
      <c r="K352" s="135"/>
      <c r="L352" s="135"/>
    </row>
    <row r="353" spans="2:12" ht="12" customHeight="1" x14ac:dyDescent="0.15">
      <c r="B353" s="2"/>
      <c r="C353" s="4"/>
      <c r="D353" s="4"/>
      <c r="E353" s="4"/>
      <c r="I353" s="135"/>
      <c r="J353" s="135"/>
      <c r="K353" s="135"/>
      <c r="L353" s="135"/>
    </row>
    <row r="354" spans="2:12" ht="12" customHeight="1" x14ac:dyDescent="0.15">
      <c r="B354" s="2"/>
      <c r="C354" s="4"/>
      <c r="D354" s="4"/>
      <c r="E354" s="4"/>
      <c r="I354" s="135"/>
      <c r="J354" s="135"/>
      <c r="K354" s="135"/>
      <c r="L354" s="135"/>
    </row>
    <row r="355" spans="2:12" ht="12" customHeight="1" x14ac:dyDescent="0.15">
      <c r="B355" s="2"/>
      <c r="C355" s="4"/>
      <c r="D355" s="4"/>
      <c r="E355" s="4"/>
      <c r="I355" s="135"/>
      <c r="J355" s="135"/>
      <c r="K355" s="135"/>
      <c r="L355" s="135"/>
    </row>
    <row r="356" spans="2:12" ht="12" customHeight="1" x14ac:dyDescent="0.15">
      <c r="B356" s="2"/>
      <c r="C356" s="4"/>
      <c r="D356" s="4"/>
      <c r="E356" s="4"/>
      <c r="I356" s="135"/>
      <c r="J356" s="135"/>
      <c r="K356" s="135"/>
      <c r="L356" s="135"/>
    </row>
    <row r="357" spans="2:12" ht="12" customHeight="1" x14ac:dyDescent="0.15">
      <c r="B357" s="2"/>
      <c r="C357" s="4"/>
      <c r="D357" s="4"/>
      <c r="E357" s="4"/>
      <c r="I357" s="135"/>
      <c r="J357" s="135"/>
      <c r="K357" s="135"/>
      <c r="L357" s="135"/>
    </row>
    <row r="358" spans="2:12" ht="12" customHeight="1" x14ac:dyDescent="0.15">
      <c r="B358" s="2"/>
      <c r="C358" s="4"/>
      <c r="D358" s="4"/>
      <c r="E358" s="4"/>
      <c r="I358" s="135"/>
      <c r="J358" s="135"/>
      <c r="K358" s="135"/>
      <c r="L358" s="135"/>
    </row>
    <row r="359" spans="2:12" ht="12" customHeight="1" x14ac:dyDescent="0.15">
      <c r="B359" s="2"/>
      <c r="C359" s="4"/>
      <c r="D359" s="4"/>
      <c r="E359" s="4"/>
      <c r="I359" s="135"/>
      <c r="J359" s="135"/>
      <c r="K359" s="135"/>
      <c r="L359" s="135"/>
    </row>
    <row r="360" spans="2:12" ht="12" customHeight="1" x14ac:dyDescent="0.15">
      <c r="B360" s="2"/>
      <c r="C360" s="4"/>
      <c r="D360" s="4"/>
      <c r="E360" s="4"/>
      <c r="I360" s="135"/>
      <c r="J360" s="135"/>
      <c r="K360" s="135"/>
      <c r="L360" s="135"/>
    </row>
    <row r="361" spans="2:12" ht="12" customHeight="1" x14ac:dyDescent="0.15">
      <c r="B361" s="2"/>
      <c r="C361" s="4"/>
      <c r="D361" s="4"/>
      <c r="E361" s="4"/>
      <c r="I361" s="135"/>
      <c r="J361" s="135"/>
      <c r="K361" s="135"/>
      <c r="L361" s="135"/>
    </row>
    <row r="362" spans="2:12" ht="12" customHeight="1" x14ac:dyDescent="0.15">
      <c r="B362" s="2"/>
      <c r="C362" s="4"/>
      <c r="D362" s="4"/>
      <c r="E362" s="4"/>
      <c r="I362" s="135"/>
      <c r="J362" s="135"/>
      <c r="K362" s="135"/>
      <c r="L362" s="135"/>
    </row>
    <row r="363" spans="2:12" ht="12" customHeight="1" x14ac:dyDescent="0.15">
      <c r="B363" s="2"/>
      <c r="C363" s="4"/>
      <c r="D363" s="4"/>
      <c r="E363" s="4"/>
      <c r="I363" s="135"/>
      <c r="J363" s="135"/>
      <c r="K363" s="135"/>
      <c r="L363" s="135"/>
    </row>
    <row r="364" spans="2:12" ht="12" customHeight="1" x14ac:dyDescent="0.15">
      <c r="B364" s="2"/>
      <c r="C364" s="4"/>
      <c r="D364" s="4"/>
      <c r="E364" s="4"/>
      <c r="I364" s="135"/>
      <c r="J364" s="135"/>
      <c r="K364" s="135"/>
      <c r="L364" s="135"/>
    </row>
    <row r="365" spans="2:12" ht="12" customHeight="1" x14ac:dyDescent="0.15">
      <c r="B365" s="2"/>
      <c r="C365" s="4"/>
      <c r="D365" s="4"/>
      <c r="E365" s="4"/>
      <c r="I365" s="135"/>
      <c r="J365" s="135"/>
      <c r="K365" s="135"/>
      <c r="L365" s="135"/>
    </row>
    <row r="366" spans="2:12" ht="12" customHeight="1" x14ac:dyDescent="0.15">
      <c r="B366" s="2"/>
      <c r="C366" s="4"/>
      <c r="D366" s="4"/>
      <c r="E366" s="4"/>
      <c r="I366" s="135"/>
      <c r="J366" s="135"/>
      <c r="K366" s="135"/>
      <c r="L366" s="135"/>
    </row>
    <row r="367" spans="2:12" ht="12" customHeight="1" x14ac:dyDescent="0.15">
      <c r="B367" s="2"/>
      <c r="C367" s="4"/>
      <c r="D367" s="4"/>
      <c r="E367" s="4"/>
      <c r="I367" s="135"/>
      <c r="J367" s="135"/>
      <c r="K367" s="135"/>
      <c r="L367" s="135"/>
    </row>
    <row r="368" spans="2:12" ht="12" customHeight="1" x14ac:dyDescent="0.15">
      <c r="B368" s="2"/>
      <c r="C368" s="4"/>
      <c r="D368" s="4"/>
      <c r="E368" s="4"/>
      <c r="I368" s="135"/>
      <c r="J368" s="135"/>
      <c r="K368" s="135"/>
      <c r="L368" s="135"/>
    </row>
    <row r="369" spans="2:12" ht="12" customHeight="1" x14ac:dyDescent="0.15">
      <c r="B369" s="2"/>
      <c r="C369" s="4"/>
      <c r="D369" s="4"/>
      <c r="E369" s="4"/>
      <c r="I369" s="135"/>
      <c r="J369" s="135"/>
      <c r="K369" s="135"/>
      <c r="L369" s="135"/>
    </row>
    <row r="370" spans="2:12" ht="12" customHeight="1" x14ac:dyDescent="0.15">
      <c r="B370" s="2"/>
      <c r="C370" s="4"/>
      <c r="D370" s="4"/>
      <c r="E370" s="4"/>
      <c r="I370" s="135"/>
      <c r="J370" s="135"/>
      <c r="K370" s="135"/>
      <c r="L370" s="135"/>
    </row>
    <row r="371" spans="2:12" ht="12" customHeight="1" x14ac:dyDescent="0.15">
      <c r="B371" s="2"/>
      <c r="C371" s="4"/>
      <c r="D371" s="4"/>
      <c r="E371" s="4"/>
      <c r="I371" s="135"/>
      <c r="J371" s="135"/>
      <c r="K371" s="135"/>
      <c r="L371" s="135"/>
    </row>
    <row r="372" spans="2:12" ht="12" customHeight="1" x14ac:dyDescent="0.15">
      <c r="B372" s="2"/>
      <c r="C372" s="4"/>
      <c r="D372" s="4"/>
      <c r="E372" s="4"/>
      <c r="I372" s="135"/>
      <c r="J372" s="135"/>
      <c r="K372" s="135"/>
      <c r="L372" s="135"/>
    </row>
    <row r="373" spans="2:12" ht="12" customHeight="1" x14ac:dyDescent="0.15">
      <c r="B373" s="2"/>
      <c r="C373" s="4"/>
      <c r="D373" s="4"/>
      <c r="E373" s="4"/>
      <c r="I373" s="135"/>
      <c r="J373" s="135"/>
      <c r="K373" s="135"/>
      <c r="L373" s="135"/>
    </row>
    <row r="374" spans="2:12" ht="12" customHeight="1" x14ac:dyDescent="0.15">
      <c r="B374" s="2"/>
      <c r="C374" s="4"/>
      <c r="D374" s="4"/>
      <c r="E374" s="4"/>
      <c r="I374" s="135"/>
      <c r="J374" s="135"/>
      <c r="K374" s="135"/>
      <c r="L374" s="135"/>
    </row>
    <row r="375" spans="2:12" ht="12" customHeight="1" x14ac:dyDescent="0.15">
      <c r="B375" s="2"/>
      <c r="C375" s="4"/>
      <c r="D375" s="4"/>
      <c r="E375" s="4"/>
      <c r="I375" s="135"/>
      <c r="J375" s="135"/>
      <c r="K375" s="135"/>
      <c r="L375" s="135"/>
    </row>
    <row r="376" spans="2:12" ht="12" customHeight="1" x14ac:dyDescent="0.15">
      <c r="B376" s="2"/>
      <c r="C376" s="4"/>
      <c r="D376" s="4"/>
      <c r="E376" s="4"/>
      <c r="I376" s="135"/>
      <c r="J376" s="135"/>
      <c r="K376" s="135"/>
      <c r="L376" s="135"/>
    </row>
    <row r="377" spans="2:12" ht="12" customHeight="1" x14ac:dyDescent="0.15">
      <c r="B377" s="2"/>
      <c r="C377" s="4"/>
      <c r="D377" s="4"/>
      <c r="E377" s="4"/>
      <c r="I377" s="135"/>
      <c r="J377" s="135"/>
      <c r="K377" s="135"/>
      <c r="L377" s="135"/>
    </row>
    <row r="378" spans="2:12" ht="12" customHeight="1" x14ac:dyDescent="0.15">
      <c r="B378" s="2"/>
      <c r="C378" s="4"/>
      <c r="D378" s="4"/>
      <c r="E378" s="4"/>
      <c r="I378" s="135"/>
      <c r="J378" s="135"/>
      <c r="K378" s="135"/>
      <c r="L378" s="135"/>
    </row>
    <row r="379" spans="2:12" ht="12" customHeight="1" x14ac:dyDescent="0.15">
      <c r="B379" s="2"/>
      <c r="C379" s="4"/>
      <c r="D379" s="4"/>
      <c r="E379" s="4"/>
      <c r="I379" s="135"/>
      <c r="J379" s="135"/>
      <c r="K379" s="135"/>
      <c r="L379" s="135"/>
    </row>
    <row r="380" spans="2:12" ht="12" customHeight="1" x14ac:dyDescent="0.15">
      <c r="B380" s="2"/>
      <c r="C380" s="4"/>
      <c r="D380" s="4"/>
      <c r="E380" s="4"/>
      <c r="I380" s="135"/>
      <c r="J380" s="135"/>
      <c r="K380" s="135"/>
      <c r="L380" s="135"/>
    </row>
    <row r="381" spans="2:12" ht="12" customHeight="1" x14ac:dyDescent="0.15">
      <c r="B381" s="2"/>
      <c r="C381" s="4"/>
      <c r="D381" s="4"/>
      <c r="E381" s="4"/>
      <c r="I381" s="135"/>
      <c r="J381" s="135"/>
      <c r="K381" s="135"/>
      <c r="L381" s="135"/>
    </row>
    <row r="382" spans="2:12" ht="12" customHeight="1" x14ac:dyDescent="0.15">
      <c r="B382" s="2"/>
      <c r="C382" s="4"/>
      <c r="D382" s="4"/>
      <c r="E382" s="4"/>
      <c r="I382" s="135"/>
      <c r="J382" s="135"/>
      <c r="K382" s="135"/>
      <c r="L382" s="135"/>
    </row>
    <row r="383" spans="2:12" ht="12" customHeight="1" x14ac:dyDescent="0.15">
      <c r="B383" s="2"/>
      <c r="C383" s="4"/>
      <c r="D383" s="4"/>
      <c r="E383" s="4"/>
      <c r="I383" s="135"/>
      <c r="J383" s="135"/>
      <c r="K383" s="135"/>
      <c r="L383" s="135"/>
    </row>
    <row r="384" spans="2:12" ht="12" customHeight="1" x14ac:dyDescent="0.15">
      <c r="B384" s="2"/>
      <c r="C384" s="4"/>
      <c r="D384" s="4"/>
      <c r="E384" s="4"/>
      <c r="I384" s="135"/>
      <c r="J384" s="135"/>
      <c r="K384" s="135"/>
      <c r="L384" s="135"/>
    </row>
    <row r="385" spans="2:12" ht="12" customHeight="1" x14ac:dyDescent="0.15">
      <c r="B385" s="2"/>
      <c r="C385" s="4"/>
      <c r="D385" s="4"/>
      <c r="E385" s="4"/>
      <c r="I385" s="135"/>
      <c r="J385" s="135"/>
      <c r="K385" s="135"/>
      <c r="L385" s="135"/>
    </row>
    <row r="386" spans="2:12" ht="12" customHeight="1" x14ac:dyDescent="0.15">
      <c r="B386" s="2"/>
      <c r="C386" s="4"/>
      <c r="D386" s="4"/>
      <c r="E386" s="4"/>
      <c r="I386" s="135"/>
      <c r="J386" s="135"/>
      <c r="K386" s="135"/>
      <c r="L386" s="135"/>
    </row>
    <row r="387" spans="2:12" ht="12" customHeight="1" x14ac:dyDescent="0.15">
      <c r="B387" s="2"/>
      <c r="C387" s="4"/>
      <c r="D387" s="4"/>
      <c r="E387" s="4"/>
      <c r="I387" s="135"/>
      <c r="J387" s="135"/>
      <c r="K387" s="135"/>
      <c r="L387" s="135"/>
    </row>
    <row r="388" spans="2:12" ht="12" customHeight="1" x14ac:dyDescent="0.15">
      <c r="B388" s="2"/>
      <c r="C388" s="4"/>
      <c r="D388" s="4"/>
      <c r="E388" s="4"/>
      <c r="I388" s="135"/>
      <c r="J388" s="135"/>
      <c r="K388" s="135"/>
      <c r="L388" s="135"/>
    </row>
    <row r="389" spans="2:12" ht="12" customHeight="1" x14ac:dyDescent="0.15">
      <c r="B389" s="2"/>
      <c r="C389" s="4"/>
      <c r="D389" s="4"/>
      <c r="E389" s="4"/>
      <c r="I389" s="135"/>
      <c r="J389" s="135"/>
      <c r="K389" s="135"/>
      <c r="L389" s="135"/>
    </row>
    <row r="390" spans="2:12" ht="12" customHeight="1" x14ac:dyDescent="0.15">
      <c r="B390" s="2"/>
      <c r="C390" s="4"/>
      <c r="D390" s="4"/>
      <c r="E390" s="4"/>
      <c r="I390" s="135"/>
      <c r="J390" s="135"/>
      <c r="K390" s="135"/>
      <c r="L390" s="135"/>
    </row>
    <row r="391" spans="2:12" ht="12" customHeight="1" x14ac:dyDescent="0.15">
      <c r="B391" s="2"/>
      <c r="C391" s="4"/>
      <c r="D391" s="4"/>
      <c r="E391" s="4"/>
      <c r="I391" s="135"/>
      <c r="J391" s="135"/>
      <c r="K391" s="135"/>
      <c r="L391" s="135"/>
    </row>
    <row r="392" spans="2:12" ht="12" customHeight="1" x14ac:dyDescent="0.15">
      <c r="B392" s="2"/>
      <c r="C392" s="4"/>
      <c r="D392" s="4"/>
      <c r="E392" s="4"/>
      <c r="I392" s="135"/>
      <c r="J392" s="135"/>
      <c r="K392" s="135"/>
      <c r="L392" s="135"/>
    </row>
    <row r="393" spans="2:12" ht="12" customHeight="1" x14ac:dyDescent="0.15">
      <c r="B393" s="2"/>
      <c r="C393" s="4"/>
      <c r="D393" s="4"/>
      <c r="E393" s="4"/>
      <c r="I393" s="135"/>
      <c r="J393" s="135"/>
      <c r="K393" s="135"/>
      <c r="L393" s="135"/>
    </row>
    <row r="394" spans="2:12" ht="12" customHeight="1" x14ac:dyDescent="0.15">
      <c r="B394" s="2"/>
      <c r="C394" s="4"/>
      <c r="D394" s="4"/>
      <c r="E394" s="4"/>
      <c r="I394" s="135"/>
      <c r="J394" s="135"/>
      <c r="K394" s="135"/>
      <c r="L394" s="135"/>
    </row>
    <row r="395" spans="2:12" ht="12" customHeight="1" x14ac:dyDescent="0.15">
      <c r="B395" s="2"/>
      <c r="C395" s="4"/>
      <c r="D395" s="4"/>
      <c r="E395" s="4"/>
      <c r="I395" s="135"/>
      <c r="J395" s="135"/>
      <c r="K395" s="135"/>
      <c r="L395" s="135"/>
    </row>
    <row r="396" spans="2:12" ht="12" customHeight="1" x14ac:dyDescent="0.15">
      <c r="B396" s="2"/>
      <c r="C396" s="4"/>
      <c r="D396" s="4"/>
      <c r="E396" s="4"/>
      <c r="I396" s="135"/>
      <c r="J396" s="135"/>
      <c r="K396" s="135"/>
      <c r="L396" s="135"/>
    </row>
    <row r="397" spans="2:12" ht="12" customHeight="1" x14ac:dyDescent="0.15">
      <c r="B397" s="2"/>
      <c r="C397" s="4"/>
      <c r="D397" s="4"/>
      <c r="E397" s="4"/>
      <c r="I397" s="135"/>
      <c r="J397" s="135"/>
      <c r="K397" s="135"/>
      <c r="L397" s="135"/>
    </row>
    <row r="398" spans="2:12" ht="12" customHeight="1" x14ac:dyDescent="0.15">
      <c r="B398" s="2"/>
      <c r="C398" s="4"/>
      <c r="D398" s="4"/>
      <c r="E398" s="4"/>
      <c r="I398" s="135"/>
      <c r="J398" s="135"/>
      <c r="K398" s="135"/>
      <c r="L398" s="135"/>
    </row>
    <row r="399" spans="2:12" ht="12" customHeight="1" x14ac:dyDescent="0.15">
      <c r="B399" s="2"/>
      <c r="C399" s="4"/>
      <c r="D399" s="4"/>
      <c r="E399" s="4"/>
      <c r="I399" s="135"/>
      <c r="J399" s="135"/>
      <c r="K399" s="135"/>
      <c r="L399" s="135"/>
    </row>
    <row r="400" spans="2:12" ht="12" customHeight="1" x14ac:dyDescent="0.15">
      <c r="B400" s="2"/>
      <c r="C400" s="4"/>
      <c r="D400" s="4"/>
      <c r="E400" s="4"/>
      <c r="I400" s="135"/>
      <c r="J400" s="135"/>
      <c r="K400" s="135"/>
      <c r="L400" s="135"/>
    </row>
    <row r="401" spans="2:12" ht="12" customHeight="1" x14ac:dyDescent="0.15">
      <c r="B401" s="2"/>
      <c r="C401" s="4"/>
      <c r="D401" s="4"/>
      <c r="E401" s="4"/>
      <c r="I401" s="135"/>
      <c r="J401" s="135"/>
      <c r="K401" s="135"/>
      <c r="L401" s="135"/>
    </row>
    <row r="402" spans="2:12" ht="12" customHeight="1" x14ac:dyDescent="0.15">
      <c r="B402" s="2"/>
      <c r="C402" s="4"/>
      <c r="D402" s="4"/>
      <c r="E402" s="4"/>
      <c r="I402" s="135"/>
      <c r="J402" s="135"/>
      <c r="K402" s="135"/>
      <c r="L402" s="135"/>
    </row>
    <row r="403" spans="2:12" ht="12" customHeight="1" x14ac:dyDescent="0.15">
      <c r="B403" s="2"/>
      <c r="C403" s="4"/>
      <c r="D403" s="4"/>
      <c r="E403" s="4"/>
      <c r="I403" s="135"/>
      <c r="J403" s="135"/>
      <c r="K403" s="135"/>
      <c r="L403" s="135"/>
    </row>
    <row r="404" spans="2:12" ht="12" customHeight="1" x14ac:dyDescent="0.15">
      <c r="B404" s="2"/>
      <c r="C404" s="4"/>
      <c r="D404" s="4"/>
      <c r="E404" s="4"/>
      <c r="I404" s="135"/>
      <c r="J404" s="135"/>
      <c r="K404" s="135"/>
      <c r="L404" s="135"/>
    </row>
    <row r="405" spans="2:12" ht="12" customHeight="1" x14ac:dyDescent="0.15">
      <c r="B405" s="2"/>
      <c r="C405" s="4"/>
      <c r="D405" s="4"/>
      <c r="E405" s="4"/>
      <c r="I405" s="135"/>
      <c r="J405" s="135"/>
      <c r="K405" s="135"/>
      <c r="L405" s="135"/>
    </row>
    <row r="406" spans="2:12" ht="12" customHeight="1" x14ac:dyDescent="0.15">
      <c r="B406" s="2"/>
      <c r="C406" s="4"/>
      <c r="D406" s="4"/>
      <c r="E406" s="4"/>
      <c r="I406" s="135"/>
      <c r="J406" s="135"/>
      <c r="K406" s="135"/>
      <c r="L406" s="135"/>
    </row>
    <row r="407" spans="2:12" ht="12" customHeight="1" x14ac:dyDescent="0.15">
      <c r="B407" s="2"/>
      <c r="C407" s="4"/>
      <c r="D407" s="4"/>
      <c r="E407" s="4"/>
      <c r="I407" s="135"/>
      <c r="J407" s="135"/>
      <c r="K407" s="135"/>
      <c r="L407" s="135"/>
    </row>
    <row r="408" spans="2:12" ht="12" customHeight="1" x14ac:dyDescent="0.15">
      <c r="B408" s="2"/>
      <c r="C408" s="4"/>
      <c r="D408" s="4"/>
      <c r="E408" s="4"/>
      <c r="I408" s="135"/>
      <c r="J408" s="135"/>
      <c r="K408" s="135"/>
      <c r="L408" s="135"/>
    </row>
    <row r="409" spans="2:12" ht="12" customHeight="1" x14ac:dyDescent="0.15">
      <c r="B409" s="2"/>
      <c r="C409" s="4"/>
      <c r="D409" s="4"/>
      <c r="E409" s="4"/>
      <c r="I409" s="135"/>
      <c r="J409" s="135"/>
      <c r="K409" s="135"/>
      <c r="L409" s="135"/>
    </row>
    <row r="410" spans="2:12" ht="12" customHeight="1" x14ac:dyDescent="0.15">
      <c r="B410" s="2"/>
      <c r="C410" s="4"/>
      <c r="D410" s="4"/>
      <c r="E410" s="4"/>
      <c r="I410" s="135"/>
      <c r="J410" s="135"/>
      <c r="K410" s="135"/>
      <c r="L410" s="135"/>
    </row>
    <row r="411" spans="2:12" ht="12" customHeight="1" x14ac:dyDescent="0.15">
      <c r="B411" s="2"/>
      <c r="C411" s="4"/>
      <c r="D411" s="4"/>
      <c r="E411" s="4"/>
      <c r="I411" s="135"/>
      <c r="J411" s="135"/>
      <c r="K411" s="135"/>
      <c r="L411" s="135"/>
    </row>
    <row r="412" spans="2:12" ht="12" customHeight="1" x14ac:dyDescent="0.15">
      <c r="B412" s="2"/>
      <c r="C412" s="4"/>
      <c r="D412" s="4"/>
      <c r="E412" s="4"/>
      <c r="I412" s="135"/>
      <c r="J412" s="135"/>
      <c r="K412" s="135"/>
      <c r="L412" s="135"/>
    </row>
    <row r="413" spans="2:12" ht="12" customHeight="1" x14ac:dyDescent="0.15">
      <c r="B413" s="2"/>
      <c r="C413" s="4"/>
      <c r="D413" s="4"/>
      <c r="E413" s="4"/>
      <c r="I413" s="135"/>
      <c r="J413" s="135"/>
      <c r="K413" s="135"/>
      <c r="L413" s="135"/>
    </row>
    <row r="414" spans="2:12" ht="12" customHeight="1" x14ac:dyDescent="0.15">
      <c r="B414" s="2"/>
      <c r="C414" s="4"/>
      <c r="D414" s="4"/>
      <c r="E414" s="4"/>
      <c r="I414" s="135"/>
      <c r="J414" s="135"/>
      <c r="K414" s="135"/>
      <c r="L414" s="135"/>
    </row>
    <row r="415" spans="2:12" ht="12" customHeight="1" x14ac:dyDescent="0.15">
      <c r="B415" s="2"/>
      <c r="C415" s="4"/>
      <c r="D415" s="4"/>
      <c r="E415" s="4"/>
      <c r="I415" s="135"/>
      <c r="J415" s="135"/>
      <c r="K415" s="135"/>
      <c r="L415" s="135"/>
    </row>
    <row r="416" spans="2:12" ht="12" customHeight="1" x14ac:dyDescent="0.15">
      <c r="B416" s="2"/>
      <c r="C416" s="4"/>
      <c r="D416" s="4"/>
      <c r="E416" s="4"/>
      <c r="I416" s="135"/>
      <c r="J416" s="135"/>
      <c r="K416" s="135"/>
      <c r="L416" s="135"/>
    </row>
    <row r="417" spans="2:12" ht="12" customHeight="1" x14ac:dyDescent="0.15">
      <c r="B417" s="2"/>
      <c r="C417" s="4"/>
      <c r="D417" s="4"/>
      <c r="E417" s="4"/>
      <c r="I417" s="135"/>
      <c r="J417" s="135"/>
      <c r="K417" s="135"/>
      <c r="L417" s="135"/>
    </row>
    <row r="418" spans="2:12" ht="12" customHeight="1" x14ac:dyDescent="0.15">
      <c r="B418" s="2"/>
      <c r="C418" s="4"/>
      <c r="D418" s="4"/>
      <c r="E418" s="4"/>
      <c r="I418" s="135"/>
      <c r="J418" s="135"/>
      <c r="K418" s="135"/>
      <c r="L418" s="135"/>
    </row>
    <row r="419" spans="2:12" ht="12" customHeight="1" x14ac:dyDescent="0.15">
      <c r="B419" s="2"/>
      <c r="C419" s="4"/>
      <c r="D419" s="4"/>
      <c r="E419" s="4"/>
      <c r="I419" s="135"/>
      <c r="J419" s="135"/>
      <c r="K419" s="135"/>
      <c r="L419" s="135"/>
    </row>
    <row r="420" spans="2:12" ht="12" customHeight="1" x14ac:dyDescent="0.15">
      <c r="B420" s="2"/>
      <c r="C420" s="4"/>
      <c r="D420" s="4"/>
      <c r="E420" s="4"/>
      <c r="I420" s="135"/>
      <c r="J420" s="135"/>
      <c r="K420" s="135"/>
      <c r="L420" s="135"/>
    </row>
    <row r="421" spans="2:12" ht="12" customHeight="1" x14ac:dyDescent="0.15">
      <c r="B421" s="2"/>
      <c r="C421" s="4"/>
      <c r="D421" s="4"/>
      <c r="E421" s="4"/>
      <c r="I421" s="135"/>
      <c r="J421" s="135"/>
      <c r="K421" s="135"/>
      <c r="L421" s="135"/>
    </row>
    <row r="422" spans="2:12" ht="12" customHeight="1" x14ac:dyDescent="0.15">
      <c r="B422" s="2"/>
      <c r="C422" s="4"/>
      <c r="D422" s="4"/>
      <c r="E422" s="4"/>
      <c r="I422" s="135"/>
      <c r="J422" s="135"/>
      <c r="K422" s="135"/>
      <c r="L422" s="135"/>
    </row>
    <row r="423" spans="2:12" ht="12" customHeight="1" x14ac:dyDescent="0.15">
      <c r="B423" s="2"/>
      <c r="C423" s="4"/>
      <c r="D423" s="4"/>
      <c r="E423" s="4"/>
      <c r="I423" s="135"/>
      <c r="J423" s="135"/>
      <c r="K423" s="135"/>
      <c r="L423" s="135"/>
    </row>
    <row r="424" spans="2:12" ht="12" customHeight="1" x14ac:dyDescent="0.15">
      <c r="B424" s="2"/>
      <c r="C424" s="4"/>
      <c r="D424" s="4"/>
      <c r="E424" s="4"/>
      <c r="I424" s="135"/>
      <c r="J424" s="135"/>
      <c r="K424" s="135"/>
      <c r="L424" s="135"/>
    </row>
    <row r="425" spans="2:12" ht="12" customHeight="1" x14ac:dyDescent="0.15">
      <c r="B425" s="2"/>
      <c r="C425" s="4"/>
      <c r="D425" s="4"/>
      <c r="E425" s="4"/>
      <c r="I425" s="135"/>
      <c r="J425" s="135"/>
      <c r="K425" s="135"/>
      <c r="L425" s="135"/>
    </row>
    <row r="426" spans="2:12" ht="12" customHeight="1" x14ac:dyDescent="0.15">
      <c r="B426" s="2"/>
      <c r="C426" s="4"/>
      <c r="D426" s="4"/>
      <c r="E426" s="4"/>
      <c r="I426" s="135"/>
      <c r="J426" s="135"/>
      <c r="K426" s="135"/>
      <c r="L426" s="135"/>
    </row>
    <row r="427" spans="2:12" ht="12" customHeight="1" x14ac:dyDescent="0.15">
      <c r="B427" s="2"/>
      <c r="C427" s="4"/>
      <c r="D427" s="4"/>
      <c r="E427" s="4"/>
      <c r="I427" s="135"/>
      <c r="J427" s="135"/>
      <c r="K427" s="135"/>
      <c r="L427" s="135"/>
    </row>
    <row r="428" spans="2:12" ht="12" customHeight="1" x14ac:dyDescent="0.15">
      <c r="B428" s="2"/>
      <c r="C428" s="4"/>
      <c r="D428" s="4"/>
      <c r="E428" s="4"/>
      <c r="I428" s="135"/>
      <c r="J428" s="135"/>
      <c r="K428" s="135"/>
      <c r="L428" s="135"/>
    </row>
    <row r="429" spans="2:12" ht="12" customHeight="1" x14ac:dyDescent="0.15">
      <c r="B429" s="2"/>
      <c r="C429" s="4"/>
      <c r="D429" s="4"/>
      <c r="E429" s="4"/>
      <c r="I429" s="135"/>
      <c r="J429" s="135"/>
      <c r="K429" s="135"/>
      <c r="L429" s="135"/>
    </row>
    <row r="430" spans="2:12" ht="12" customHeight="1" x14ac:dyDescent="0.15">
      <c r="B430" s="2"/>
      <c r="C430" s="4"/>
      <c r="D430" s="4"/>
      <c r="E430" s="4"/>
      <c r="I430" s="135"/>
      <c r="J430" s="135"/>
      <c r="K430" s="135"/>
      <c r="L430" s="135"/>
    </row>
    <row r="431" spans="2:12" ht="12" customHeight="1" x14ac:dyDescent="0.15">
      <c r="B431" s="2"/>
      <c r="C431" s="4"/>
      <c r="D431" s="4"/>
      <c r="E431" s="4"/>
      <c r="I431" s="135"/>
      <c r="J431" s="135"/>
      <c r="K431" s="135"/>
      <c r="L431" s="135"/>
    </row>
    <row r="432" spans="2:12" ht="12" customHeight="1" x14ac:dyDescent="0.15">
      <c r="B432" s="2"/>
      <c r="C432" s="4"/>
      <c r="D432" s="4"/>
      <c r="E432" s="4"/>
      <c r="I432" s="135"/>
      <c r="J432" s="135"/>
      <c r="K432" s="135"/>
      <c r="L432" s="135"/>
    </row>
    <row r="433" spans="2:12" ht="12" customHeight="1" x14ac:dyDescent="0.15">
      <c r="B433" s="2"/>
      <c r="C433" s="4"/>
      <c r="D433" s="4"/>
      <c r="E433" s="4"/>
      <c r="I433" s="135"/>
      <c r="J433" s="135"/>
      <c r="K433" s="135"/>
      <c r="L433" s="135"/>
    </row>
    <row r="434" spans="2:12" ht="12" customHeight="1" x14ac:dyDescent="0.15">
      <c r="B434" s="2"/>
      <c r="C434" s="4"/>
      <c r="D434" s="4"/>
      <c r="E434" s="4"/>
      <c r="I434" s="135"/>
      <c r="J434" s="135"/>
      <c r="K434" s="135"/>
      <c r="L434" s="135"/>
    </row>
    <row r="435" spans="2:12" ht="12" customHeight="1" x14ac:dyDescent="0.15">
      <c r="B435" s="2"/>
      <c r="C435" s="4"/>
      <c r="D435" s="4"/>
      <c r="E435" s="4"/>
      <c r="I435" s="135"/>
      <c r="J435" s="135"/>
      <c r="K435" s="135"/>
      <c r="L435" s="135"/>
    </row>
    <row r="436" spans="2:12" ht="12" customHeight="1" x14ac:dyDescent="0.15">
      <c r="B436" s="2"/>
      <c r="C436" s="4"/>
      <c r="D436" s="4"/>
      <c r="E436" s="4"/>
      <c r="I436" s="135"/>
      <c r="J436" s="135"/>
      <c r="K436" s="135"/>
      <c r="L436" s="135"/>
    </row>
    <row r="437" spans="2:12" ht="12" customHeight="1" x14ac:dyDescent="0.15">
      <c r="B437" s="2"/>
      <c r="C437" s="4"/>
      <c r="D437" s="4"/>
      <c r="E437" s="4"/>
      <c r="I437" s="135"/>
      <c r="J437" s="135"/>
      <c r="K437" s="135"/>
      <c r="L437" s="135"/>
    </row>
    <row r="438" spans="2:12" ht="12" customHeight="1" x14ac:dyDescent="0.15">
      <c r="B438" s="2"/>
      <c r="C438" s="4"/>
      <c r="D438" s="4"/>
      <c r="E438" s="4"/>
      <c r="I438" s="135"/>
      <c r="J438" s="135"/>
      <c r="K438" s="135"/>
      <c r="L438" s="135"/>
    </row>
    <row r="439" spans="2:12" ht="12" customHeight="1" x14ac:dyDescent="0.15">
      <c r="B439" s="2"/>
      <c r="C439" s="4"/>
      <c r="D439" s="4"/>
      <c r="E439" s="4"/>
      <c r="I439" s="135"/>
      <c r="J439" s="135"/>
      <c r="K439" s="135"/>
      <c r="L439" s="135"/>
    </row>
    <row r="440" spans="2:12" ht="12" customHeight="1" x14ac:dyDescent="0.15">
      <c r="B440" s="2"/>
      <c r="C440" s="4"/>
      <c r="D440" s="4"/>
      <c r="E440" s="4"/>
      <c r="I440" s="135"/>
      <c r="J440" s="135"/>
      <c r="K440" s="135"/>
      <c r="L440" s="135"/>
    </row>
    <row r="441" spans="2:12" ht="12" customHeight="1" x14ac:dyDescent="0.15">
      <c r="B441" s="2"/>
      <c r="C441" s="4"/>
      <c r="D441" s="4"/>
      <c r="E441" s="4"/>
      <c r="I441" s="135"/>
      <c r="J441" s="135"/>
      <c r="K441" s="135"/>
      <c r="L441" s="135"/>
    </row>
    <row r="442" spans="2:12" ht="12" customHeight="1" x14ac:dyDescent="0.15">
      <c r="B442" s="2"/>
      <c r="C442" s="4"/>
      <c r="D442" s="4"/>
      <c r="E442" s="4"/>
      <c r="I442" s="135"/>
      <c r="J442" s="135"/>
      <c r="K442" s="135"/>
      <c r="L442" s="135"/>
    </row>
    <row r="443" spans="2:12" ht="12" customHeight="1" x14ac:dyDescent="0.15">
      <c r="B443" s="2"/>
      <c r="C443" s="4"/>
      <c r="D443" s="4"/>
      <c r="E443" s="4"/>
      <c r="I443" s="135"/>
      <c r="J443" s="135"/>
      <c r="K443" s="135"/>
      <c r="L443" s="135"/>
    </row>
    <row r="444" spans="2:12" ht="12" customHeight="1" x14ac:dyDescent="0.15">
      <c r="B444" s="2"/>
      <c r="C444" s="4"/>
      <c r="D444" s="4"/>
      <c r="E444" s="4"/>
      <c r="I444" s="135"/>
      <c r="J444" s="135"/>
      <c r="K444" s="135"/>
      <c r="L444" s="135"/>
    </row>
    <row r="445" spans="2:12" ht="12" customHeight="1" x14ac:dyDescent="0.15">
      <c r="B445" s="2"/>
      <c r="C445" s="4"/>
      <c r="D445" s="4"/>
      <c r="E445" s="4"/>
      <c r="I445" s="135"/>
      <c r="J445" s="135"/>
      <c r="K445" s="135"/>
      <c r="L445" s="135"/>
    </row>
    <row r="446" spans="2:12" ht="12" customHeight="1" x14ac:dyDescent="0.15">
      <c r="B446" s="2"/>
      <c r="C446" s="4"/>
      <c r="D446" s="4"/>
      <c r="E446" s="4"/>
      <c r="I446" s="135"/>
      <c r="J446" s="135"/>
      <c r="K446" s="135"/>
      <c r="L446" s="135"/>
    </row>
    <row r="447" spans="2:12" ht="12" customHeight="1" x14ac:dyDescent="0.15">
      <c r="B447" s="2"/>
      <c r="C447" s="4"/>
      <c r="D447" s="4"/>
      <c r="E447" s="4"/>
      <c r="I447" s="135"/>
      <c r="J447" s="135"/>
      <c r="K447" s="135"/>
      <c r="L447" s="135"/>
    </row>
    <row r="448" spans="2:12" ht="12" customHeight="1" x14ac:dyDescent="0.15">
      <c r="B448" s="2"/>
      <c r="C448" s="4"/>
      <c r="D448" s="4"/>
      <c r="E448" s="4"/>
      <c r="I448" s="135"/>
      <c r="J448" s="135"/>
      <c r="K448" s="135"/>
      <c r="L448" s="135"/>
    </row>
    <row r="449" spans="2:12" ht="12" customHeight="1" x14ac:dyDescent="0.15">
      <c r="B449" s="2"/>
      <c r="C449" s="4"/>
      <c r="D449" s="4"/>
      <c r="E449" s="4"/>
      <c r="I449" s="135"/>
      <c r="J449" s="135"/>
      <c r="K449" s="135"/>
      <c r="L449" s="135"/>
    </row>
    <row r="450" spans="2:12" ht="12" customHeight="1" x14ac:dyDescent="0.15">
      <c r="B450" s="2"/>
      <c r="C450" s="4"/>
      <c r="D450" s="4"/>
      <c r="E450" s="4"/>
      <c r="I450" s="135"/>
      <c r="J450" s="135"/>
      <c r="K450" s="135"/>
      <c r="L450" s="135"/>
    </row>
    <row r="451" spans="2:12" ht="12" customHeight="1" x14ac:dyDescent="0.15">
      <c r="B451" s="2"/>
      <c r="C451" s="4"/>
      <c r="D451" s="4"/>
      <c r="E451" s="4"/>
      <c r="I451" s="135"/>
      <c r="J451" s="135"/>
      <c r="K451" s="135"/>
      <c r="L451" s="135"/>
    </row>
    <row r="452" spans="2:12" ht="12" customHeight="1" x14ac:dyDescent="0.15">
      <c r="B452" s="2"/>
      <c r="C452" s="4"/>
      <c r="D452" s="4"/>
      <c r="E452" s="4"/>
      <c r="I452" s="135"/>
      <c r="J452" s="135"/>
      <c r="K452" s="135"/>
      <c r="L452" s="135"/>
    </row>
    <row r="453" spans="2:12" ht="12" customHeight="1" x14ac:dyDescent="0.15">
      <c r="B453" s="2"/>
      <c r="C453" s="4"/>
      <c r="D453" s="4"/>
      <c r="E453" s="4"/>
      <c r="I453" s="135"/>
      <c r="J453" s="135"/>
      <c r="K453" s="135"/>
      <c r="L453" s="135"/>
    </row>
    <row r="454" spans="2:12" ht="12" customHeight="1" x14ac:dyDescent="0.15">
      <c r="B454" s="2"/>
      <c r="C454" s="4"/>
      <c r="D454" s="4"/>
      <c r="E454" s="4"/>
      <c r="I454" s="135"/>
      <c r="J454" s="135"/>
      <c r="K454" s="135"/>
      <c r="L454" s="135"/>
    </row>
    <row r="455" spans="2:12" ht="12" customHeight="1" x14ac:dyDescent="0.15">
      <c r="B455" s="2"/>
      <c r="C455" s="4"/>
      <c r="D455" s="4"/>
      <c r="E455" s="4"/>
      <c r="I455" s="135"/>
      <c r="J455" s="135"/>
      <c r="K455" s="135"/>
      <c r="L455" s="135"/>
    </row>
    <row r="456" spans="2:12" ht="12" customHeight="1" x14ac:dyDescent="0.15">
      <c r="B456" s="2"/>
      <c r="C456" s="4"/>
      <c r="D456" s="4"/>
      <c r="E456" s="4"/>
      <c r="I456" s="135"/>
      <c r="J456" s="135"/>
      <c r="K456" s="135"/>
      <c r="L456" s="135"/>
    </row>
    <row r="457" spans="2:12" ht="12" customHeight="1" x14ac:dyDescent="0.15">
      <c r="B457" s="2"/>
      <c r="C457" s="4"/>
      <c r="D457" s="4"/>
      <c r="E457" s="4"/>
      <c r="I457" s="135"/>
      <c r="J457" s="135"/>
      <c r="K457" s="135"/>
      <c r="L457" s="135"/>
    </row>
    <row r="458" spans="2:12" ht="12" customHeight="1" x14ac:dyDescent="0.15">
      <c r="B458" s="2"/>
      <c r="C458" s="4"/>
      <c r="D458" s="4"/>
      <c r="E458" s="4"/>
      <c r="I458" s="135"/>
      <c r="J458" s="135"/>
      <c r="K458" s="135"/>
      <c r="L458" s="135"/>
    </row>
    <row r="459" spans="2:12" ht="12" customHeight="1" x14ac:dyDescent="0.15">
      <c r="B459" s="2"/>
      <c r="C459" s="4"/>
      <c r="D459" s="4"/>
      <c r="E459" s="4"/>
      <c r="I459" s="135"/>
      <c r="J459" s="135"/>
      <c r="K459" s="135"/>
      <c r="L459" s="135"/>
    </row>
    <row r="460" spans="2:12" ht="12" customHeight="1" x14ac:dyDescent="0.15">
      <c r="B460" s="2"/>
      <c r="C460" s="4"/>
      <c r="D460" s="4"/>
      <c r="E460" s="4"/>
      <c r="I460" s="135"/>
      <c r="J460" s="135"/>
      <c r="K460" s="135"/>
      <c r="L460" s="135"/>
    </row>
    <row r="461" spans="2:12" ht="12" customHeight="1" x14ac:dyDescent="0.15">
      <c r="B461" s="2"/>
      <c r="C461" s="4"/>
      <c r="D461" s="4"/>
      <c r="E461" s="4"/>
      <c r="I461" s="135"/>
      <c r="J461" s="135"/>
      <c r="K461" s="135"/>
      <c r="L461" s="135"/>
    </row>
    <row r="462" spans="2:12" ht="12" customHeight="1" x14ac:dyDescent="0.15">
      <c r="B462" s="2"/>
      <c r="C462" s="4"/>
      <c r="D462" s="4"/>
      <c r="E462" s="4"/>
      <c r="I462" s="135"/>
      <c r="J462" s="135"/>
      <c r="K462" s="135"/>
      <c r="L462" s="135"/>
    </row>
    <row r="463" spans="2:12" ht="12" customHeight="1" x14ac:dyDescent="0.15">
      <c r="B463" s="2"/>
      <c r="C463" s="4"/>
      <c r="D463" s="4"/>
      <c r="E463" s="4"/>
      <c r="I463" s="135"/>
      <c r="J463" s="135"/>
      <c r="K463" s="135"/>
      <c r="L463" s="135"/>
    </row>
    <row r="464" spans="2:12" ht="12" customHeight="1" x14ac:dyDescent="0.15">
      <c r="B464" s="2"/>
      <c r="C464" s="4"/>
      <c r="D464" s="4"/>
      <c r="E464" s="4"/>
      <c r="I464" s="135"/>
      <c r="J464" s="135"/>
      <c r="K464" s="135"/>
      <c r="L464" s="135"/>
    </row>
    <row r="465" spans="2:12" ht="12" customHeight="1" x14ac:dyDescent="0.15">
      <c r="B465" s="2"/>
      <c r="C465" s="4"/>
      <c r="D465" s="4"/>
      <c r="E465" s="4"/>
      <c r="I465" s="135"/>
      <c r="J465" s="135"/>
      <c r="K465" s="135"/>
      <c r="L465" s="135"/>
    </row>
    <row r="466" spans="2:12" ht="12" customHeight="1" x14ac:dyDescent="0.15">
      <c r="B466" s="2"/>
      <c r="C466" s="4"/>
      <c r="D466" s="4"/>
      <c r="E466" s="4"/>
      <c r="I466" s="135"/>
      <c r="J466" s="135"/>
      <c r="K466" s="135"/>
      <c r="L466" s="135"/>
    </row>
    <row r="467" spans="2:12" ht="12" customHeight="1" x14ac:dyDescent="0.15">
      <c r="B467" s="2"/>
      <c r="C467" s="4"/>
      <c r="D467" s="4"/>
      <c r="E467" s="4"/>
      <c r="I467" s="135"/>
      <c r="J467" s="135"/>
      <c r="K467" s="135"/>
      <c r="L467" s="135"/>
    </row>
    <row r="468" spans="2:12" ht="12" customHeight="1" x14ac:dyDescent="0.15">
      <c r="B468" s="2"/>
      <c r="C468" s="4"/>
      <c r="D468" s="4"/>
      <c r="E468" s="4"/>
      <c r="I468" s="135"/>
      <c r="J468" s="135"/>
      <c r="K468" s="135"/>
      <c r="L468" s="135"/>
    </row>
    <row r="469" spans="2:12" ht="12" customHeight="1" x14ac:dyDescent="0.15">
      <c r="B469" s="2"/>
      <c r="C469" s="4"/>
      <c r="D469" s="4"/>
      <c r="E469" s="4"/>
      <c r="I469" s="135"/>
      <c r="J469" s="135"/>
      <c r="K469" s="135"/>
      <c r="L469" s="135"/>
    </row>
    <row r="470" spans="2:12" ht="12" customHeight="1" x14ac:dyDescent="0.15">
      <c r="B470" s="2"/>
      <c r="C470" s="4"/>
      <c r="D470" s="4"/>
      <c r="E470" s="4"/>
      <c r="I470" s="135"/>
      <c r="J470" s="135"/>
      <c r="K470" s="135"/>
      <c r="L470" s="135"/>
    </row>
    <row r="471" spans="2:12" ht="12" customHeight="1" x14ac:dyDescent="0.15">
      <c r="B471" s="2"/>
      <c r="C471" s="4"/>
      <c r="D471" s="4"/>
      <c r="E471" s="4"/>
      <c r="I471" s="135"/>
      <c r="J471" s="135"/>
      <c r="K471" s="135"/>
      <c r="L471" s="135"/>
    </row>
    <row r="472" spans="2:12" ht="12" customHeight="1" x14ac:dyDescent="0.15">
      <c r="B472" s="2"/>
      <c r="C472" s="4"/>
      <c r="D472" s="4"/>
      <c r="E472" s="4"/>
      <c r="I472" s="135"/>
      <c r="J472" s="135"/>
      <c r="K472" s="135"/>
      <c r="L472" s="135"/>
    </row>
    <row r="473" spans="2:12" ht="12" customHeight="1" x14ac:dyDescent="0.15">
      <c r="B473" s="2"/>
      <c r="C473" s="4"/>
      <c r="D473" s="4"/>
      <c r="E473" s="4"/>
      <c r="I473" s="135"/>
      <c r="J473" s="135"/>
      <c r="K473" s="135"/>
      <c r="L473" s="135"/>
    </row>
    <row r="474" spans="2:12" ht="12" customHeight="1" x14ac:dyDescent="0.15">
      <c r="B474" s="2"/>
      <c r="C474" s="4"/>
      <c r="D474" s="4"/>
      <c r="E474" s="4"/>
      <c r="I474" s="135"/>
      <c r="J474" s="135"/>
      <c r="K474" s="135"/>
      <c r="L474" s="135"/>
    </row>
    <row r="475" spans="2:12" ht="12" customHeight="1" x14ac:dyDescent="0.15">
      <c r="B475" s="2"/>
      <c r="C475" s="4"/>
      <c r="D475" s="4"/>
      <c r="E475" s="4"/>
      <c r="I475" s="135"/>
      <c r="J475" s="135"/>
      <c r="K475" s="135"/>
      <c r="L475" s="135"/>
    </row>
    <row r="476" spans="2:12" ht="12" customHeight="1" x14ac:dyDescent="0.15">
      <c r="B476" s="2"/>
      <c r="C476" s="4"/>
      <c r="D476" s="4"/>
      <c r="E476" s="4"/>
      <c r="I476" s="135"/>
      <c r="J476" s="135"/>
      <c r="K476" s="135"/>
      <c r="L476" s="135"/>
    </row>
    <row r="477" spans="2:12" ht="12" customHeight="1" x14ac:dyDescent="0.15">
      <c r="B477" s="2"/>
      <c r="C477" s="4"/>
      <c r="D477" s="4"/>
      <c r="E477" s="4"/>
      <c r="I477" s="135"/>
      <c r="J477" s="135"/>
      <c r="K477" s="135"/>
      <c r="L477" s="135"/>
    </row>
    <row r="478" spans="2:12" ht="12" customHeight="1" x14ac:dyDescent="0.15">
      <c r="B478" s="2"/>
      <c r="C478" s="4"/>
      <c r="D478" s="4"/>
      <c r="E478" s="4"/>
      <c r="I478" s="135"/>
      <c r="J478" s="135"/>
      <c r="K478" s="135"/>
      <c r="L478" s="135"/>
    </row>
    <row r="479" spans="2:12" ht="12" customHeight="1" x14ac:dyDescent="0.15">
      <c r="B479" s="2"/>
      <c r="C479" s="4"/>
      <c r="D479" s="4"/>
      <c r="E479" s="4"/>
      <c r="I479" s="135"/>
      <c r="J479" s="135"/>
      <c r="K479" s="135"/>
      <c r="L479" s="135"/>
    </row>
    <row r="480" spans="2:12" ht="12" customHeight="1" x14ac:dyDescent="0.15">
      <c r="B480" s="2"/>
      <c r="C480" s="4"/>
      <c r="D480" s="4"/>
      <c r="E480" s="4"/>
      <c r="I480" s="135"/>
      <c r="J480" s="135"/>
      <c r="K480" s="135"/>
      <c r="L480" s="135"/>
    </row>
    <row r="481" spans="2:12" ht="12" customHeight="1" x14ac:dyDescent="0.15">
      <c r="B481" s="2"/>
      <c r="C481" s="4"/>
      <c r="D481" s="4"/>
      <c r="E481" s="4"/>
      <c r="I481" s="135"/>
      <c r="J481" s="135"/>
      <c r="K481" s="135"/>
      <c r="L481" s="135"/>
    </row>
    <row r="482" spans="2:12" ht="12" customHeight="1" x14ac:dyDescent="0.15">
      <c r="B482" s="2"/>
      <c r="C482" s="4"/>
      <c r="D482" s="4"/>
      <c r="E482" s="4"/>
      <c r="I482" s="135"/>
      <c r="J482" s="135"/>
      <c r="K482" s="135"/>
      <c r="L482" s="135"/>
    </row>
    <row r="483" spans="2:12" ht="12" customHeight="1" x14ac:dyDescent="0.15">
      <c r="B483" s="2"/>
      <c r="C483" s="4"/>
      <c r="D483" s="4"/>
      <c r="E483" s="4"/>
      <c r="I483" s="135"/>
      <c r="J483" s="135"/>
      <c r="K483" s="135"/>
      <c r="L483" s="135"/>
    </row>
    <row r="484" spans="2:12" ht="12" customHeight="1" x14ac:dyDescent="0.15">
      <c r="B484" s="2"/>
      <c r="C484" s="4"/>
      <c r="D484" s="4"/>
      <c r="E484" s="4"/>
      <c r="I484" s="135"/>
      <c r="J484" s="135"/>
      <c r="K484" s="135"/>
      <c r="L484" s="135"/>
    </row>
    <row r="485" spans="2:12" ht="12" customHeight="1" x14ac:dyDescent="0.15">
      <c r="B485" s="2"/>
      <c r="C485" s="4"/>
      <c r="D485" s="4"/>
      <c r="E485" s="4"/>
      <c r="I485" s="135"/>
      <c r="J485" s="135"/>
      <c r="K485" s="135"/>
      <c r="L485" s="135"/>
    </row>
    <row r="486" spans="2:12" ht="12" customHeight="1" x14ac:dyDescent="0.15">
      <c r="B486" s="2"/>
      <c r="C486" s="4"/>
      <c r="D486" s="4"/>
      <c r="E486" s="4"/>
      <c r="I486" s="135"/>
      <c r="J486" s="135"/>
      <c r="K486" s="135"/>
      <c r="L486" s="135"/>
    </row>
    <row r="487" spans="2:12" ht="12" customHeight="1" x14ac:dyDescent="0.15">
      <c r="B487" s="2"/>
      <c r="C487" s="4"/>
      <c r="D487" s="4"/>
      <c r="E487" s="4"/>
      <c r="I487" s="135"/>
      <c r="J487" s="135"/>
      <c r="K487" s="135"/>
      <c r="L487" s="135"/>
    </row>
    <row r="488" spans="2:12" ht="12" customHeight="1" x14ac:dyDescent="0.15">
      <c r="B488" s="2"/>
      <c r="C488" s="4"/>
      <c r="D488" s="4"/>
      <c r="E488" s="4"/>
      <c r="I488" s="135"/>
      <c r="J488" s="135"/>
      <c r="K488" s="135"/>
      <c r="L488" s="135"/>
    </row>
    <row r="489" spans="2:12" ht="12" customHeight="1" x14ac:dyDescent="0.15">
      <c r="B489" s="2"/>
      <c r="C489" s="4"/>
      <c r="D489" s="4"/>
      <c r="E489" s="4"/>
      <c r="I489" s="135"/>
      <c r="J489" s="135"/>
      <c r="K489" s="135"/>
      <c r="L489" s="135"/>
    </row>
    <row r="490" spans="2:12" ht="12" customHeight="1" x14ac:dyDescent="0.15">
      <c r="B490" s="2"/>
      <c r="C490" s="4"/>
      <c r="D490" s="4"/>
      <c r="E490" s="4"/>
      <c r="I490" s="135"/>
      <c r="J490" s="135"/>
      <c r="K490" s="135"/>
      <c r="L490" s="135"/>
    </row>
    <row r="491" spans="2:12" ht="12" customHeight="1" x14ac:dyDescent="0.15">
      <c r="B491" s="2"/>
      <c r="C491" s="4"/>
      <c r="D491" s="4"/>
      <c r="E491" s="4"/>
      <c r="I491" s="135"/>
      <c r="J491" s="135"/>
      <c r="K491" s="135"/>
      <c r="L491" s="135"/>
    </row>
    <row r="492" spans="2:12" ht="12" customHeight="1" x14ac:dyDescent="0.15">
      <c r="B492" s="2"/>
      <c r="C492" s="4"/>
      <c r="D492" s="4"/>
      <c r="E492" s="4"/>
      <c r="I492" s="135"/>
      <c r="J492" s="135"/>
      <c r="K492" s="135"/>
      <c r="L492" s="135"/>
    </row>
    <row r="493" spans="2:12" ht="12" customHeight="1" x14ac:dyDescent="0.15">
      <c r="B493" s="2"/>
      <c r="C493" s="4"/>
      <c r="D493" s="4"/>
      <c r="E493" s="4"/>
      <c r="I493" s="135"/>
      <c r="J493" s="135"/>
      <c r="K493" s="135"/>
      <c r="L493" s="135"/>
    </row>
    <row r="494" spans="2:12" ht="12" customHeight="1" x14ac:dyDescent="0.15">
      <c r="B494" s="2"/>
      <c r="C494" s="4"/>
      <c r="D494" s="4"/>
      <c r="E494" s="4"/>
      <c r="I494" s="135"/>
      <c r="J494" s="135"/>
      <c r="K494" s="135"/>
      <c r="L494" s="135"/>
    </row>
    <row r="495" spans="2:12" ht="12" customHeight="1" x14ac:dyDescent="0.15">
      <c r="B495" s="2"/>
      <c r="C495" s="4"/>
      <c r="D495" s="4"/>
      <c r="E495" s="4"/>
      <c r="I495" s="135"/>
      <c r="J495" s="135"/>
      <c r="K495" s="135"/>
      <c r="L495" s="135"/>
    </row>
    <row r="496" spans="2:12" ht="12" customHeight="1" x14ac:dyDescent="0.15">
      <c r="B496" s="2"/>
      <c r="C496" s="4"/>
      <c r="D496" s="4"/>
      <c r="E496" s="4"/>
      <c r="I496" s="135"/>
      <c r="J496" s="135"/>
      <c r="K496" s="135"/>
      <c r="L496" s="135"/>
    </row>
    <row r="497" spans="2:12" ht="12" customHeight="1" x14ac:dyDescent="0.15">
      <c r="B497" s="2"/>
      <c r="C497" s="4"/>
      <c r="D497" s="4"/>
      <c r="E497" s="4"/>
      <c r="I497" s="135"/>
      <c r="J497" s="135"/>
      <c r="K497" s="135"/>
      <c r="L497" s="135"/>
    </row>
    <row r="498" spans="2:12" ht="12" customHeight="1" x14ac:dyDescent="0.15">
      <c r="B498" s="2"/>
      <c r="C498" s="4"/>
      <c r="D498" s="4"/>
      <c r="E498" s="4"/>
      <c r="I498" s="135"/>
      <c r="J498" s="135"/>
      <c r="K498" s="135"/>
      <c r="L498" s="135"/>
    </row>
    <row r="499" spans="2:12" ht="12" customHeight="1" x14ac:dyDescent="0.15">
      <c r="B499" s="2"/>
      <c r="C499" s="4"/>
      <c r="D499" s="4"/>
      <c r="E499" s="4"/>
      <c r="I499" s="135"/>
      <c r="J499" s="135"/>
      <c r="K499" s="135"/>
      <c r="L499" s="135"/>
    </row>
    <row r="500" spans="2:12" ht="12" customHeight="1" x14ac:dyDescent="0.15">
      <c r="B500" s="2"/>
      <c r="C500" s="4"/>
      <c r="D500" s="4"/>
      <c r="E500" s="4"/>
      <c r="I500" s="135"/>
      <c r="J500" s="135"/>
      <c r="K500" s="135"/>
      <c r="L500" s="135"/>
    </row>
    <row r="501" spans="2:12" ht="12" customHeight="1" x14ac:dyDescent="0.15">
      <c r="B501" s="2"/>
      <c r="C501" s="4"/>
      <c r="D501" s="4"/>
      <c r="E501" s="4"/>
      <c r="I501" s="135"/>
      <c r="J501" s="135"/>
      <c r="K501" s="135"/>
      <c r="L501" s="135"/>
    </row>
    <row r="502" spans="2:12" ht="12" customHeight="1" x14ac:dyDescent="0.15">
      <c r="B502" s="2"/>
      <c r="C502" s="4"/>
      <c r="D502" s="4"/>
      <c r="E502" s="4"/>
      <c r="I502" s="135"/>
      <c r="J502" s="135"/>
      <c r="K502" s="135"/>
      <c r="L502" s="135"/>
    </row>
    <row r="503" spans="2:12" ht="12" customHeight="1" x14ac:dyDescent="0.15">
      <c r="B503" s="2"/>
      <c r="C503" s="4"/>
      <c r="D503" s="4"/>
      <c r="E503" s="4"/>
      <c r="I503" s="135"/>
      <c r="J503" s="135"/>
      <c r="K503" s="135"/>
      <c r="L503" s="135"/>
    </row>
    <row r="504" spans="2:12" ht="12" customHeight="1" x14ac:dyDescent="0.15">
      <c r="B504" s="2"/>
      <c r="C504" s="4"/>
      <c r="D504" s="4"/>
      <c r="E504" s="4"/>
      <c r="I504" s="135"/>
      <c r="J504" s="135"/>
      <c r="K504" s="135"/>
      <c r="L504" s="135"/>
    </row>
    <row r="505" spans="2:12" ht="12" customHeight="1" x14ac:dyDescent="0.15">
      <c r="B505" s="2"/>
      <c r="C505" s="4"/>
      <c r="D505" s="4"/>
      <c r="E505" s="4"/>
      <c r="I505" s="135"/>
      <c r="J505" s="135"/>
      <c r="K505" s="135"/>
      <c r="L505" s="135"/>
    </row>
    <row r="506" spans="2:12" ht="12" customHeight="1" x14ac:dyDescent="0.15">
      <c r="B506" s="2"/>
      <c r="C506" s="4"/>
      <c r="D506" s="4"/>
      <c r="E506" s="4"/>
      <c r="I506" s="135"/>
      <c r="J506" s="135"/>
      <c r="K506" s="135"/>
      <c r="L506" s="135"/>
    </row>
    <row r="507" spans="2:12" ht="12" customHeight="1" x14ac:dyDescent="0.15">
      <c r="B507" s="2"/>
      <c r="C507" s="4"/>
      <c r="D507" s="4"/>
      <c r="E507" s="4"/>
      <c r="I507" s="135"/>
      <c r="J507" s="135"/>
      <c r="K507" s="135"/>
      <c r="L507" s="135"/>
    </row>
    <row r="508" spans="2:12" ht="12" customHeight="1" x14ac:dyDescent="0.15">
      <c r="B508" s="2"/>
      <c r="C508" s="4"/>
      <c r="D508" s="4"/>
      <c r="E508" s="4"/>
      <c r="I508" s="135"/>
      <c r="J508" s="135"/>
      <c r="K508" s="135"/>
      <c r="L508" s="135"/>
    </row>
    <row r="509" spans="2:12" ht="12" customHeight="1" x14ac:dyDescent="0.15">
      <c r="B509" s="2"/>
      <c r="C509" s="4"/>
      <c r="D509" s="4"/>
      <c r="E509" s="4"/>
      <c r="I509" s="135"/>
      <c r="J509" s="135"/>
      <c r="K509" s="135"/>
      <c r="L509" s="135"/>
    </row>
    <row r="510" spans="2:12" ht="12" customHeight="1" x14ac:dyDescent="0.15">
      <c r="B510" s="2"/>
      <c r="C510" s="4"/>
      <c r="D510" s="4"/>
      <c r="E510" s="4"/>
      <c r="I510" s="135"/>
      <c r="J510" s="135"/>
      <c r="K510" s="135"/>
      <c r="L510" s="135"/>
    </row>
    <row r="511" spans="2:12" ht="12" customHeight="1" x14ac:dyDescent="0.15">
      <c r="B511" s="2"/>
      <c r="C511" s="4"/>
      <c r="D511" s="4"/>
      <c r="E511" s="4"/>
      <c r="I511" s="135"/>
      <c r="J511" s="135"/>
      <c r="K511" s="135"/>
      <c r="L511" s="135"/>
    </row>
    <row r="512" spans="2:12" ht="12" customHeight="1" x14ac:dyDescent="0.15">
      <c r="B512" s="2"/>
      <c r="C512" s="4"/>
      <c r="D512" s="4"/>
      <c r="E512" s="4"/>
      <c r="I512" s="135"/>
      <c r="J512" s="135"/>
      <c r="K512" s="135"/>
      <c r="L512" s="135"/>
    </row>
    <row r="513" spans="2:12" ht="12" customHeight="1" x14ac:dyDescent="0.15">
      <c r="B513" s="2"/>
      <c r="C513" s="4"/>
      <c r="D513" s="4"/>
      <c r="E513" s="4"/>
      <c r="I513" s="135"/>
      <c r="J513" s="135"/>
      <c r="K513" s="135"/>
      <c r="L513" s="135"/>
    </row>
    <row r="514" spans="2:12" ht="12" customHeight="1" x14ac:dyDescent="0.15">
      <c r="B514" s="2"/>
      <c r="C514" s="4"/>
      <c r="D514" s="4"/>
      <c r="E514" s="4"/>
      <c r="I514" s="135"/>
      <c r="J514" s="135"/>
      <c r="K514" s="135"/>
      <c r="L514" s="135"/>
    </row>
    <row r="515" spans="2:12" ht="12" customHeight="1" x14ac:dyDescent="0.15">
      <c r="B515" s="2"/>
      <c r="C515" s="4"/>
      <c r="D515" s="4"/>
      <c r="E515" s="4"/>
      <c r="I515" s="135"/>
      <c r="J515" s="135"/>
      <c r="K515" s="135"/>
      <c r="L515" s="135"/>
    </row>
    <row r="516" spans="2:12" ht="12" customHeight="1" x14ac:dyDescent="0.15">
      <c r="B516" s="2"/>
      <c r="C516" s="4"/>
      <c r="D516" s="4"/>
      <c r="E516" s="4"/>
      <c r="I516" s="135"/>
      <c r="J516" s="135"/>
      <c r="K516" s="135"/>
      <c r="L516" s="135"/>
    </row>
    <row r="517" spans="2:12" ht="12" customHeight="1" x14ac:dyDescent="0.15">
      <c r="B517" s="2"/>
      <c r="C517" s="4"/>
      <c r="D517" s="4"/>
      <c r="E517" s="4"/>
      <c r="I517" s="135"/>
      <c r="J517" s="135"/>
      <c r="K517" s="135"/>
      <c r="L517" s="135"/>
    </row>
    <row r="518" spans="2:12" ht="12" customHeight="1" x14ac:dyDescent="0.15">
      <c r="B518" s="2"/>
      <c r="C518" s="4"/>
      <c r="D518" s="4"/>
      <c r="E518" s="4"/>
      <c r="I518" s="135"/>
      <c r="J518" s="135"/>
      <c r="K518" s="135"/>
      <c r="L518" s="135"/>
    </row>
    <row r="519" spans="2:12" ht="12" customHeight="1" x14ac:dyDescent="0.15">
      <c r="B519" s="2"/>
      <c r="C519" s="4"/>
      <c r="D519" s="4"/>
      <c r="E519" s="4"/>
      <c r="I519" s="135"/>
      <c r="J519" s="135"/>
      <c r="K519" s="135"/>
      <c r="L519" s="135"/>
    </row>
    <row r="520" spans="2:12" ht="12" customHeight="1" x14ac:dyDescent="0.15">
      <c r="B520" s="2"/>
      <c r="C520" s="4"/>
      <c r="D520" s="4"/>
      <c r="E520" s="4"/>
      <c r="I520" s="135"/>
      <c r="J520" s="135"/>
      <c r="K520" s="135"/>
      <c r="L520" s="135"/>
    </row>
    <row r="521" spans="2:12" ht="12" customHeight="1" x14ac:dyDescent="0.15">
      <c r="B521" s="2"/>
      <c r="C521" s="4"/>
      <c r="D521" s="4"/>
      <c r="E521" s="4"/>
      <c r="I521" s="135"/>
      <c r="J521" s="135"/>
      <c r="K521" s="135"/>
      <c r="L521" s="135"/>
    </row>
    <row r="522" spans="2:12" ht="12" customHeight="1" x14ac:dyDescent="0.15">
      <c r="B522" s="2"/>
      <c r="C522" s="4"/>
      <c r="D522" s="4"/>
      <c r="E522" s="4"/>
      <c r="I522" s="135"/>
      <c r="J522" s="135"/>
      <c r="K522" s="135"/>
      <c r="L522" s="135"/>
    </row>
    <row r="523" spans="2:12" ht="12" customHeight="1" x14ac:dyDescent="0.15">
      <c r="B523" s="2"/>
      <c r="C523" s="4"/>
      <c r="D523" s="4"/>
      <c r="E523" s="4"/>
      <c r="I523" s="135"/>
      <c r="J523" s="135"/>
      <c r="K523" s="135"/>
      <c r="L523" s="135"/>
    </row>
    <row r="524" spans="2:12" ht="12" customHeight="1" x14ac:dyDescent="0.15">
      <c r="B524" s="2"/>
      <c r="C524" s="4"/>
      <c r="D524" s="4"/>
      <c r="E524" s="4"/>
      <c r="I524" s="135"/>
      <c r="J524" s="135"/>
      <c r="K524" s="135"/>
      <c r="L524" s="135"/>
    </row>
    <row r="525" spans="2:12" ht="12" customHeight="1" x14ac:dyDescent="0.15">
      <c r="B525" s="2"/>
      <c r="C525" s="4"/>
      <c r="D525" s="4"/>
      <c r="E525" s="4"/>
      <c r="I525" s="135"/>
      <c r="J525" s="135"/>
      <c r="K525" s="135"/>
      <c r="L525" s="135"/>
    </row>
    <row r="526" spans="2:12" ht="12" customHeight="1" x14ac:dyDescent="0.15">
      <c r="B526" s="2"/>
      <c r="C526" s="4"/>
      <c r="D526" s="4"/>
      <c r="E526" s="4"/>
      <c r="I526" s="135"/>
      <c r="J526" s="135"/>
      <c r="K526" s="135"/>
      <c r="L526" s="135"/>
    </row>
    <row r="527" spans="2:12" ht="12" customHeight="1" x14ac:dyDescent="0.15">
      <c r="B527" s="2"/>
      <c r="C527" s="4"/>
      <c r="D527" s="4"/>
      <c r="E527" s="4"/>
      <c r="I527" s="135"/>
      <c r="J527" s="135"/>
      <c r="K527" s="135"/>
      <c r="L527" s="135"/>
    </row>
    <row r="528" spans="2:12" ht="12" customHeight="1" x14ac:dyDescent="0.15">
      <c r="B528" s="2"/>
      <c r="C528" s="4"/>
      <c r="D528" s="4"/>
      <c r="E528" s="4"/>
      <c r="I528" s="135"/>
      <c r="J528" s="135"/>
      <c r="K528" s="135"/>
      <c r="L528" s="135"/>
    </row>
    <row r="529" spans="2:12" ht="12" customHeight="1" x14ac:dyDescent="0.15">
      <c r="B529" s="2"/>
      <c r="C529" s="4"/>
      <c r="D529" s="4"/>
      <c r="E529" s="4"/>
      <c r="I529" s="135"/>
      <c r="J529" s="135"/>
      <c r="K529" s="135"/>
      <c r="L529" s="135"/>
    </row>
    <row r="530" spans="2:12" ht="12" customHeight="1" x14ac:dyDescent="0.15">
      <c r="B530" s="2"/>
      <c r="C530" s="4"/>
      <c r="D530" s="4"/>
      <c r="E530" s="4"/>
      <c r="I530" s="135"/>
      <c r="J530" s="135"/>
      <c r="K530" s="135"/>
      <c r="L530" s="135"/>
    </row>
    <row r="531" spans="2:12" ht="12" customHeight="1" x14ac:dyDescent="0.15">
      <c r="B531" s="2"/>
      <c r="C531" s="4"/>
      <c r="D531" s="4"/>
      <c r="E531" s="4"/>
      <c r="I531" s="135"/>
      <c r="J531" s="135"/>
      <c r="K531" s="135"/>
      <c r="L531" s="135"/>
    </row>
    <row r="532" spans="2:12" ht="12" customHeight="1" x14ac:dyDescent="0.15">
      <c r="B532" s="2"/>
      <c r="C532" s="4"/>
      <c r="D532" s="4"/>
      <c r="E532" s="4"/>
      <c r="I532" s="135"/>
      <c r="J532" s="135"/>
      <c r="K532" s="135"/>
      <c r="L532" s="135"/>
    </row>
    <row r="533" spans="2:12" ht="12" customHeight="1" x14ac:dyDescent="0.15">
      <c r="B533" s="2"/>
      <c r="C533" s="4"/>
      <c r="D533" s="4"/>
      <c r="E533" s="4"/>
      <c r="I533" s="135"/>
      <c r="J533" s="135"/>
      <c r="K533" s="135"/>
      <c r="L533" s="135"/>
    </row>
    <row r="534" spans="2:12" ht="12" customHeight="1" x14ac:dyDescent="0.15">
      <c r="B534" s="2"/>
      <c r="C534" s="4"/>
      <c r="D534" s="4"/>
      <c r="E534" s="4"/>
      <c r="I534" s="135"/>
      <c r="J534" s="135"/>
      <c r="K534" s="135"/>
      <c r="L534" s="135"/>
    </row>
    <row r="535" spans="2:12" ht="12" customHeight="1" x14ac:dyDescent="0.15">
      <c r="B535" s="2"/>
      <c r="C535" s="4"/>
      <c r="D535" s="4"/>
      <c r="E535" s="4"/>
      <c r="I535" s="135"/>
      <c r="J535" s="135"/>
      <c r="K535" s="135"/>
      <c r="L535" s="135"/>
    </row>
    <row r="536" spans="2:12" ht="12" customHeight="1" x14ac:dyDescent="0.15">
      <c r="B536" s="2"/>
      <c r="C536" s="4"/>
      <c r="D536" s="4"/>
      <c r="E536" s="4"/>
      <c r="I536" s="135"/>
      <c r="J536" s="135"/>
      <c r="K536" s="135"/>
      <c r="L536" s="135"/>
    </row>
    <row r="537" spans="2:12" ht="12" customHeight="1" x14ac:dyDescent="0.15">
      <c r="B537" s="2"/>
      <c r="C537" s="4"/>
      <c r="D537" s="4"/>
      <c r="E537" s="4"/>
      <c r="I537" s="135"/>
      <c r="J537" s="135"/>
      <c r="K537" s="135"/>
      <c r="L537" s="135"/>
    </row>
    <row r="538" spans="2:12" ht="12" customHeight="1" x14ac:dyDescent="0.15">
      <c r="B538" s="2"/>
      <c r="C538" s="4"/>
      <c r="D538" s="4"/>
      <c r="E538" s="4"/>
      <c r="I538" s="135"/>
      <c r="J538" s="135"/>
      <c r="K538" s="135"/>
      <c r="L538" s="135"/>
    </row>
    <row r="539" spans="2:12" ht="12" customHeight="1" x14ac:dyDescent="0.15">
      <c r="B539" s="2"/>
      <c r="C539" s="4"/>
      <c r="D539" s="4"/>
      <c r="E539" s="4"/>
      <c r="I539" s="135"/>
      <c r="J539" s="135"/>
      <c r="K539" s="135"/>
      <c r="L539" s="135"/>
    </row>
    <row r="540" spans="2:12" ht="12" customHeight="1" x14ac:dyDescent="0.15">
      <c r="B540" s="2"/>
      <c r="C540" s="4"/>
      <c r="D540" s="4"/>
      <c r="E540" s="4"/>
      <c r="I540" s="135"/>
      <c r="J540" s="135"/>
      <c r="K540" s="135"/>
      <c r="L540" s="135"/>
    </row>
    <row r="541" spans="2:12" ht="12" customHeight="1" x14ac:dyDescent="0.15">
      <c r="B541" s="2"/>
      <c r="C541" s="4"/>
      <c r="D541" s="4"/>
      <c r="E541" s="4"/>
      <c r="I541" s="135"/>
      <c r="J541" s="135"/>
      <c r="K541" s="135"/>
      <c r="L541" s="135"/>
    </row>
    <row r="542" spans="2:12" ht="12" customHeight="1" x14ac:dyDescent="0.15">
      <c r="B542" s="2"/>
      <c r="C542" s="4"/>
      <c r="D542" s="4"/>
      <c r="E542" s="4"/>
      <c r="I542" s="135"/>
      <c r="J542" s="135"/>
      <c r="K542" s="135"/>
      <c r="L542" s="135"/>
    </row>
    <row r="543" spans="2:12" ht="12" customHeight="1" x14ac:dyDescent="0.15">
      <c r="B543" s="2"/>
      <c r="C543" s="4"/>
      <c r="D543" s="4"/>
      <c r="E543" s="4"/>
      <c r="I543" s="135"/>
      <c r="J543" s="135"/>
      <c r="K543" s="135"/>
      <c r="L543" s="135"/>
    </row>
    <row r="544" spans="2:12" ht="12" customHeight="1" x14ac:dyDescent="0.15">
      <c r="B544" s="2"/>
      <c r="C544" s="4"/>
      <c r="D544" s="4"/>
      <c r="E544" s="4"/>
      <c r="I544" s="135"/>
      <c r="J544" s="135"/>
      <c r="K544" s="135"/>
      <c r="L544" s="135"/>
    </row>
    <row r="545" spans="2:12" ht="12" customHeight="1" x14ac:dyDescent="0.15">
      <c r="B545" s="2"/>
      <c r="C545" s="4"/>
      <c r="D545" s="4"/>
      <c r="E545" s="4"/>
      <c r="I545" s="135"/>
      <c r="J545" s="135"/>
      <c r="K545" s="135"/>
      <c r="L545" s="135"/>
    </row>
    <row r="546" spans="2:12" ht="12" customHeight="1" x14ac:dyDescent="0.15">
      <c r="B546" s="2"/>
      <c r="C546" s="4"/>
      <c r="D546" s="4"/>
      <c r="E546" s="4"/>
      <c r="I546" s="135"/>
      <c r="J546" s="135"/>
      <c r="K546" s="135"/>
      <c r="L546" s="135"/>
    </row>
    <row r="547" spans="2:12" ht="12" customHeight="1" x14ac:dyDescent="0.15">
      <c r="B547" s="2"/>
      <c r="C547" s="4"/>
      <c r="D547" s="4"/>
      <c r="E547" s="4"/>
      <c r="I547" s="135"/>
      <c r="J547" s="135"/>
      <c r="K547" s="135"/>
      <c r="L547" s="135"/>
    </row>
    <row r="548" spans="2:12" ht="12" customHeight="1" x14ac:dyDescent="0.15">
      <c r="B548" s="2"/>
      <c r="C548" s="4"/>
      <c r="D548" s="4"/>
      <c r="E548" s="4"/>
      <c r="I548" s="135"/>
      <c r="J548" s="135"/>
      <c r="K548" s="135"/>
      <c r="L548" s="135"/>
    </row>
    <row r="549" spans="2:12" ht="12" customHeight="1" x14ac:dyDescent="0.15">
      <c r="B549" s="2"/>
      <c r="C549" s="4"/>
      <c r="D549" s="4"/>
      <c r="E549" s="4"/>
      <c r="I549" s="135"/>
      <c r="J549" s="135"/>
      <c r="K549" s="135"/>
      <c r="L549" s="135"/>
    </row>
    <row r="550" spans="2:12" ht="12" customHeight="1" x14ac:dyDescent="0.15">
      <c r="B550" s="2"/>
      <c r="C550" s="4"/>
      <c r="D550" s="4"/>
      <c r="E550" s="4"/>
      <c r="I550" s="135"/>
      <c r="J550" s="135"/>
      <c r="K550" s="135"/>
      <c r="L550" s="135"/>
    </row>
    <row r="551" spans="2:12" ht="12" customHeight="1" x14ac:dyDescent="0.15">
      <c r="B551" s="2"/>
      <c r="C551" s="4"/>
      <c r="D551" s="4"/>
      <c r="E551" s="4"/>
      <c r="I551" s="135"/>
      <c r="J551" s="135"/>
      <c r="K551" s="135"/>
      <c r="L551" s="135"/>
    </row>
    <row r="552" spans="2:12" ht="12" customHeight="1" x14ac:dyDescent="0.15">
      <c r="B552" s="2"/>
      <c r="C552" s="4"/>
      <c r="D552" s="4"/>
      <c r="E552" s="4"/>
      <c r="I552" s="135"/>
      <c r="J552" s="135"/>
      <c r="K552" s="135"/>
      <c r="L552" s="135"/>
    </row>
    <row r="553" spans="2:12" ht="12" customHeight="1" x14ac:dyDescent="0.15">
      <c r="B553" s="2"/>
      <c r="C553" s="4"/>
      <c r="D553" s="4"/>
      <c r="E553" s="4"/>
      <c r="I553" s="135"/>
      <c r="J553" s="135"/>
      <c r="K553" s="135"/>
      <c r="L553" s="135"/>
    </row>
    <row r="554" spans="2:12" ht="12" customHeight="1" x14ac:dyDescent="0.15">
      <c r="B554" s="2"/>
      <c r="C554" s="4"/>
      <c r="D554" s="4"/>
      <c r="E554" s="4"/>
      <c r="I554" s="135"/>
      <c r="J554" s="135"/>
      <c r="K554" s="135"/>
      <c r="L554" s="135"/>
    </row>
    <row r="555" spans="2:12" ht="12" customHeight="1" x14ac:dyDescent="0.15">
      <c r="B555" s="2"/>
      <c r="C555" s="4"/>
      <c r="D555" s="4"/>
      <c r="E555" s="4"/>
      <c r="I555" s="135"/>
      <c r="J555" s="135"/>
      <c r="K555" s="135"/>
      <c r="L555" s="135"/>
    </row>
    <row r="556" spans="2:12" ht="12" customHeight="1" x14ac:dyDescent="0.15">
      <c r="B556" s="2"/>
      <c r="C556" s="4"/>
      <c r="D556" s="4"/>
      <c r="E556" s="4"/>
      <c r="I556" s="135"/>
      <c r="J556" s="135"/>
      <c r="K556" s="135"/>
      <c r="L556" s="135"/>
    </row>
    <row r="557" spans="2:12" ht="12" customHeight="1" x14ac:dyDescent="0.15">
      <c r="B557" s="2"/>
      <c r="C557" s="4"/>
      <c r="D557" s="4"/>
      <c r="E557" s="4"/>
      <c r="I557" s="135"/>
      <c r="J557" s="135"/>
      <c r="K557" s="135"/>
      <c r="L557" s="135"/>
    </row>
    <row r="558" spans="2:12" ht="12" customHeight="1" x14ac:dyDescent="0.15">
      <c r="B558" s="2"/>
      <c r="C558" s="4"/>
      <c r="D558" s="4"/>
      <c r="E558" s="4"/>
      <c r="I558" s="135"/>
      <c r="J558" s="135"/>
      <c r="K558" s="135"/>
      <c r="L558" s="135"/>
    </row>
    <row r="559" spans="2:12" ht="12" customHeight="1" x14ac:dyDescent="0.15">
      <c r="B559" s="2"/>
      <c r="C559" s="4"/>
      <c r="D559" s="4"/>
      <c r="E559" s="4"/>
      <c r="I559" s="135"/>
      <c r="J559" s="135"/>
      <c r="K559" s="135"/>
      <c r="L559" s="135"/>
    </row>
    <row r="560" spans="2:12" ht="12" customHeight="1" x14ac:dyDescent="0.15">
      <c r="B560" s="2"/>
      <c r="C560" s="4"/>
      <c r="D560" s="4"/>
      <c r="E560" s="4"/>
      <c r="I560" s="135"/>
      <c r="J560" s="135"/>
      <c r="K560" s="135"/>
      <c r="L560" s="135"/>
    </row>
    <row r="561" spans="2:12" ht="12" customHeight="1" x14ac:dyDescent="0.15">
      <c r="B561" s="2"/>
      <c r="C561" s="4"/>
      <c r="D561" s="4"/>
      <c r="E561" s="4"/>
      <c r="I561" s="135"/>
      <c r="J561" s="135"/>
      <c r="K561" s="135"/>
      <c r="L561" s="135"/>
    </row>
    <row r="562" spans="2:12" ht="12" customHeight="1" x14ac:dyDescent="0.15">
      <c r="B562" s="2"/>
      <c r="C562" s="4"/>
      <c r="D562" s="4"/>
      <c r="E562" s="4"/>
      <c r="I562" s="135"/>
      <c r="J562" s="135"/>
      <c r="K562" s="135"/>
      <c r="L562" s="135"/>
    </row>
    <row r="563" spans="2:12" ht="12" customHeight="1" x14ac:dyDescent="0.15">
      <c r="B563" s="2"/>
      <c r="C563" s="4"/>
      <c r="D563" s="4"/>
      <c r="E563" s="4"/>
      <c r="I563" s="135"/>
      <c r="J563" s="135"/>
      <c r="K563" s="135"/>
      <c r="L563" s="135"/>
    </row>
    <row r="564" spans="2:12" ht="12" customHeight="1" x14ac:dyDescent="0.15">
      <c r="B564" s="2"/>
      <c r="C564" s="4"/>
      <c r="D564" s="4"/>
      <c r="E564" s="4"/>
      <c r="I564" s="135"/>
      <c r="J564" s="135"/>
      <c r="K564" s="135"/>
      <c r="L564" s="135"/>
    </row>
    <row r="565" spans="2:12" ht="12" customHeight="1" x14ac:dyDescent="0.15">
      <c r="B565" s="2"/>
      <c r="C565" s="4"/>
      <c r="D565" s="4"/>
      <c r="E565" s="4"/>
      <c r="I565" s="135"/>
      <c r="J565" s="135"/>
      <c r="K565" s="135"/>
      <c r="L565" s="135"/>
    </row>
    <row r="566" spans="2:12" ht="12" customHeight="1" x14ac:dyDescent="0.15">
      <c r="B566" s="2"/>
      <c r="C566" s="4"/>
      <c r="D566" s="4"/>
      <c r="E566" s="4"/>
      <c r="I566" s="135"/>
      <c r="J566" s="135"/>
      <c r="K566" s="135"/>
      <c r="L566" s="135"/>
    </row>
    <row r="567" spans="2:12" ht="12" customHeight="1" x14ac:dyDescent="0.15">
      <c r="B567" s="2"/>
      <c r="C567" s="4"/>
      <c r="D567" s="4"/>
      <c r="E567" s="4"/>
      <c r="I567" s="135"/>
      <c r="J567" s="135"/>
      <c r="K567" s="135"/>
      <c r="L567" s="135"/>
    </row>
    <row r="568" spans="2:12" ht="12" customHeight="1" x14ac:dyDescent="0.15">
      <c r="B568" s="2"/>
      <c r="C568" s="4"/>
      <c r="D568" s="4"/>
      <c r="E568" s="4"/>
      <c r="I568" s="135"/>
      <c r="J568" s="135"/>
      <c r="K568" s="135"/>
      <c r="L568" s="135"/>
    </row>
    <row r="569" spans="2:12" ht="12" customHeight="1" x14ac:dyDescent="0.15">
      <c r="B569" s="2"/>
      <c r="C569" s="4"/>
      <c r="D569" s="4"/>
      <c r="E569" s="4"/>
      <c r="I569" s="135"/>
      <c r="J569" s="135"/>
      <c r="K569" s="135"/>
      <c r="L569" s="135"/>
    </row>
    <row r="570" spans="2:12" ht="12" customHeight="1" x14ac:dyDescent="0.15">
      <c r="B570" s="2"/>
      <c r="C570" s="4"/>
      <c r="D570" s="4"/>
      <c r="E570" s="4"/>
      <c r="I570" s="135"/>
      <c r="J570" s="135"/>
      <c r="K570" s="135"/>
      <c r="L570" s="135"/>
    </row>
    <row r="571" spans="2:12" ht="12" customHeight="1" x14ac:dyDescent="0.15">
      <c r="B571" s="2"/>
      <c r="C571" s="4"/>
      <c r="D571" s="4"/>
      <c r="E571" s="4"/>
      <c r="I571" s="135"/>
      <c r="J571" s="135"/>
      <c r="K571" s="135"/>
      <c r="L571" s="135"/>
    </row>
    <row r="572" spans="2:12" ht="12" customHeight="1" x14ac:dyDescent="0.15">
      <c r="B572" s="2"/>
      <c r="C572" s="4"/>
      <c r="D572" s="4"/>
      <c r="E572" s="4"/>
      <c r="I572" s="135"/>
      <c r="J572" s="135"/>
      <c r="K572" s="135"/>
      <c r="L572" s="135"/>
    </row>
    <row r="573" spans="2:12" ht="12" customHeight="1" x14ac:dyDescent="0.15">
      <c r="B573" s="2"/>
      <c r="C573" s="4"/>
      <c r="D573" s="4"/>
      <c r="E573" s="4"/>
      <c r="I573" s="135"/>
      <c r="J573" s="135"/>
      <c r="K573" s="135"/>
      <c r="L573" s="135"/>
    </row>
    <row r="574" spans="2:12" ht="12" customHeight="1" x14ac:dyDescent="0.15">
      <c r="B574" s="2"/>
      <c r="C574" s="4"/>
      <c r="D574" s="4"/>
      <c r="E574" s="4"/>
      <c r="I574" s="135"/>
      <c r="J574" s="135"/>
      <c r="K574" s="135"/>
      <c r="L574" s="135"/>
    </row>
    <row r="575" spans="2:12" ht="12" customHeight="1" x14ac:dyDescent="0.15">
      <c r="B575" s="2"/>
      <c r="C575" s="4"/>
      <c r="D575" s="4"/>
      <c r="E575" s="4"/>
      <c r="I575" s="135"/>
      <c r="J575" s="135"/>
      <c r="K575" s="135"/>
      <c r="L575" s="135"/>
    </row>
    <row r="576" spans="2:12" ht="12" customHeight="1" x14ac:dyDescent="0.15">
      <c r="B576" s="2"/>
      <c r="C576" s="4"/>
      <c r="D576" s="4"/>
      <c r="E576" s="4"/>
      <c r="I576" s="135"/>
      <c r="J576" s="135"/>
      <c r="K576" s="135"/>
      <c r="L576" s="135"/>
    </row>
    <row r="577" spans="2:12" ht="12" customHeight="1" x14ac:dyDescent="0.15">
      <c r="B577" s="2"/>
      <c r="C577" s="4"/>
      <c r="D577" s="4"/>
      <c r="E577" s="4"/>
      <c r="I577" s="135"/>
      <c r="J577" s="135"/>
      <c r="K577" s="135"/>
      <c r="L577" s="135"/>
    </row>
    <row r="578" spans="2:12" ht="12" customHeight="1" x14ac:dyDescent="0.15">
      <c r="B578" s="2"/>
      <c r="C578" s="4"/>
      <c r="D578" s="4"/>
      <c r="E578" s="4"/>
      <c r="I578" s="135"/>
      <c r="J578" s="135"/>
      <c r="K578" s="135"/>
      <c r="L578" s="135"/>
    </row>
    <row r="579" spans="2:12" ht="12" customHeight="1" x14ac:dyDescent="0.15">
      <c r="B579" s="2"/>
      <c r="C579" s="4"/>
      <c r="D579" s="4"/>
      <c r="E579" s="4"/>
      <c r="I579" s="135"/>
      <c r="J579" s="135"/>
      <c r="K579" s="135"/>
      <c r="L579" s="135"/>
    </row>
    <row r="580" spans="2:12" ht="12" customHeight="1" x14ac:dyDescent="0.15">
      <c r="B580" s="2"/>
      <c r="C580" s="4"/>
      <c r="D580" s="4"/>
      <c r="E580" s="4"/>
      <c r="I580" s="135"/>
      <c r="J580" s="135"/>
      <c r="K580" s="135"/>
      <c r="L580" s="135"/>
    </row>
    <row r="581" spans="2:12" ht="12" customHeight="1" x14ac:dyDescent="0.15">
      <c r="B581" s="2"/>
      <c r="C581" s="4"/>
      <c r="D581" s="4"/>
      <c r="E581" s="4"/>
      <c r="I581" s="135"/>
      <c r="J581" s="135"/>
      <c r="K581" s="135"/>
      <c r="L581" s="135"/>
    </row>
    <row r="582" spans="2:12" ht="12" customHeight="1" x14ac:dyDescent="0.15">
      <c r="B582" s="2"/>
      <c r="C582" s="4"/>
      <c r="D582" s="4"/>
      <c r="E582" s="4"/>
      <c r="I582" s="135"/>
      <c r="J582" s="135"/>
      <c r="K582" s="135"/>
      <c r="L582" s="135"/>
    </row>
    <row r="583" spans="2:12" ht="12" customHeight="1" x14ac:dyDescent="0.15">
      <c r="B583" s="2"/>
      <c r="C583" s="4"/>
      <c r="D583" s="4"/>
      <c r="E583" s="4"/>
      <c r="I583" s="135"/>
      <c r="J583" s="135"/>
      <c r="K583" s="135"/>
      <c r="L583" s="135"/>
    </row>
    <row r="584" spans="2:12" ht="12" customHeight="1" x14ac:dyDescent="0.15">
      <c r="B584" s="2"/>
      <c r="C584" s="4"/>
      <c r="D584" s="4"/>
      <c r="E584" s="4"/>
      <c r="I584" s="135"/>
      <c r="J584" s="135"/>
      <c r="K584" s="135"/>
      <c r="L584" s="135"/>
    </row>
    <row r="585" spans="2:12" ht="12" customHeight="1" x14ac:dyDescent="0.15">
      <c r="B585" s="2"/>
      <c r="C585" s="4"/>
      <c r="D585" s="4"/>
      <c r="E585" s="4"/>
      <c r="I585" s="135"/>
      <c r="J585" s="135"/>
      <c r="K585" s="135"/>
      <c r="L585" s="135"/>
    </row>
    <row r="586" spans="2:12" ht="12" customHeight="1" x14ac:dyDescent="0.15">
      <c r="B586" s="2"/>
      <c r="C586" s="4"/>
      <c r="D586" s="4"/>
      <c r="E586" s="4"/>
      <c r="I586" s="135"/>
      <c r="J586" s="135"/>
      <c r="K586" s="135"/>
      <c r="L586" s="135"/>
    </row>
    <row r="587" spans="2:12" ht="12" customHeight="1" x14ac:dyDescent="0.15">
      <c r="B587" s="2"/>
      <c r="C587" s="4"/>
      <c r="D587" s="4"/>
      <c r="E587" s="4"/>
      <c r="I587" s="135"/>
      <c r="J587" s="135"/>
      <c r="K587" s="135"/>
      <c r="L587" s="135"/>
    </row>
    <row r="588" spans="2:12" ht="12" customHeight="1" x14ac:dyDescent="0.15">
      <c r="B588" s="2"/>
      <c r="C588" s="4"/>
      <c r="D588" s="4"/>
      <c r="E588" s="4"/>
      <c r="I588" s="135"/>
      <c r="J588" s="135"/>
      <c r="K588" s="135"/>
      <c r="L588" s="135"/>
    </row>
    <row r="589" spans="2:12" ht="12" customHeight="1" x14ac:dyDescent="0.15">
      <c r="B589" s="2"/>
      <c r="C589" s="4"/>
      <c r="D589" s="4"/>
      <c r="E589" s="4"/>
      <c r="I589" s="135"/>
      <c r="J589" s="135"/>
      <c r="K589" s="135"/>
      <c r="L589" s="135"/>
    </row>
    <row r="590" spans="2:12" ht="12" customHeight="1" x14ac:dyDescent="0.15">
      <c r="B590" s="2"/>
      <c r="C590" s="4"/>
      <c r="D590" s="4"/>
      <c r="E590" s="4"/>
      <c r="I590" s="135"/>
      <c r="J590" s="135"/>
      <c r="K590" s="135"/>
      <c r="L590" s="135"/>
    </row>
    <row r="591" spans="2:12" ht="12" customHeight="1" x14ac:dyDescent="0.15">
      <c r="B591" s="2"/>
      <c r="C591" s="4"/>
      <c r="D591" s="4"/>
      <c r="E591" s="4"/>
      <c r="I591" s="135"/>
      <c r="J591" s="135"/>
      <c r="K591" s="135"/>
      <c r="L591" s="135"/>
    </row>
    <row r="592" spans="2:12" ht="12" customHeight="1" x14ac:dyDescent="0.15">
      <c r="B592" s="2"/>
      <c r="C592" s="4"/>
      <c r="D592" s="4"/>
      <c r="E592" s="4"/>
      <c r="I592" s="135"/>
      <c r="J592" s="135"/>
      <c r="K592" s="135"/>
      <c r="L592" s="135"/>
    </row>
    <row r="593" spans="2:12" ht="12" customHeight="1" x14ac:dyDescent="0.15">
      <c r="B593" s="2"/>
      <c r="C593" s="4"/>
      <c r="D593" s="4"/>
      <c r="E593" s="4"/>
      <c r="I593" s="135"/>
      <c r="J593" s="135"/>
      <c r="K593" s="135"/>
      <c r="L593" s="135"/>
    </row>
    <row r="594" spans="2:12" ht="12" customHeight="1" x14ac:dyDescent="0.15">
      <c r="B594" s="2"/>
      <c r="C594" s="4"/>
      <c r="D594" s="4"/>
      <c r="E594" s="4"/>
      <c r="I594" s="135"/>
      <c r="J594" s="135"/>
      <c r="K594" s="135"/>
      <c r="L594" s="135"/>
    </row>
    <row r="595" spans="2:12" ht="12" customHeight="1" x14ac:dyDescent="0.15">
      <c r="B595" s="2"/>
      <c r="C595" s="4"/>
      <c r="D595" s="4"/>
      <c r="E595" s="4"/>
      <c r="I595" s="135"/>
      <c r="J595" s="135"/>
      <c r="K595" s="135"/>
      <c r="L595" s="135"/>
    </row>
    <row r="596" spans="2:12" ht="12" customHeight="1" x14ac:dyDescent="0.15">
      <c r="B596" s="2"/>
      <c r="C596" s="4"/>
      <c r="D596" s="4"/>
      <c r="E596" s="4"/>
      <c r="I596" s="135"/>
      <c r="J596" s="135"/>
      <c r="K596" s="135"/>
      <c r="L596" s="135"/>
    </row>
    <row r="597" spans="2:12" ht="12" customHeight="1" x14ac:dyDescent="0.15">
      <c r="B597" s="2"/>
      <c r="C597" s="4"/>
      <c r="D597" s="4"/>
      <c r="E597" s="4"/>
      <c r="I597" s="135"/>
      <c r="J597" s="135"/>
      <c r="K597" s="135"/>
      <c r="L597" s="135"/>
    </row>
    <row r="598" spans="2:12" ht="12" customHeight="1" x14ac:dyDescent="0.15">
      <c r="B598" s="2"/>
      <c r="C598" s="4"/>
      <c r="D598" s="4"/>
      <c r="E598" s="4"/>
      <c r="I598" s="135"/>
      <c r="J598" s="135"/>
      <c r="K598" s="135"/>
      <c r="L598" s="135"/>
    </row>
    <row r="599" spans="2:12" ht="12" customHeight="1" x14ac:dyDescent="0.15">
      <c r="B599" s="2"/>
      <c r="C599" s="4"/>
      <c r="D599" s="4"/>
      <c r="E599" s="4"/>
      <c r="I599" s="135"/>
      <c r="J599" s="135"/>
      <c r="K599" s="135"/>
      <c r="L599" s="135"/>
    </row>
    <row r="600" spans="2:12" ht="12" customHeight="1" x14ac:dyDescent="0.15">
      <c r="B600" s="2"/>
      <c r="C600" s="4"/>
      <c r="D600" s="4"/>
      <c r="E600" s="4"/>
      <c r="I600" s="135"/>
      <c r="J600" s="135"/>
      <c r="K600" s="135"/>
      <c r="L600" s="135"/>
    </row>
    <row r="601" spans="2:12" ht="12" customHeight="1" x14ac:dyDescent="0.15">
      <c r="B601" s="2"/>
      <c r="C601" s="4"/>
      <c r="D601" s="4"/>
      <c r="E601" s="4"/>
      <c r="I601" s="135"/>
      <c r="J601" s="135"/>
      <c r="K601" s="135"/>
      <c r="L601" s="135"/>
    </row>
    <row r="602" spans="2:12" ht="12" customHeight="1" x14ac:dyDescent="0.15">
      <c r="B602" s="2"/>
      <c r="C602" s="4"/>
      <c r="D602" s="4"/>
      <c r="E602" s="4"/>
      <c r="I602" s="135"/>
      <c r="J602" s="135"/>
      <c r="K602" s="135"/>
      <c r="L602" s="135"/>
    </row>
    <row r="603" spans="2:12" ht="12" customHeight="1" x14ac:dyDescent="0.15">
      <c r="B603" s="2"/>
      <c r="C603" s="4"/>
      <c r="D603" s="4"/>
      <c r="E603" s="4"/>
      <c r="I603" s="135"/>
      <c r="J603" s="135"/>
      <c r="K603" s="135"/>
      <c r="L603" s="135"/>
    </row>
    <row r="604" spans="2:12" ht="12" customHeight="1" x14ac:dyDescent="0.15">
      <c r="B604" s="2"/>
      <c r="C604" s="4"/>
      <c r="D604" s="4"/>
      <c r="E604" s="4"/>
      <c r="I604" s="135"/>
      <c r="J604" s="135"/>
      <c r="K604" s="135"/>
      <c r="L604" s="135"/>
    </row>
    <row r="605" spans="2:12" ht="12" customHeight="1" x14ac:dyDescent="0.15">
      <c r="B605" s="2"/>
      <c r="C605" s="4"/>
      <c r="D605" s="4"/>
      <c r="E605" s="4"/>
      <c r="I605" s="135"/>
      <c r="J605" s="135"/>
      <c r="K605" s="135"/>
      <c r="L605" s="135"/>
    </row>
    <row r="606" spans="2:12" ht="12" customHeight="1" x14ac:dyDescent="0.15">
      <c r="B606" s="2"/>
      <c r="C606" s="4"/>
      <c r="D606" s="4"/>
      <c r="E606" s="4"/>
      <c r="I606" s="135"/>
      <c r="J606" s="135"/>
      <c r="K606" s="135"/>
      <c r="L606" s="135"/>
    </row>
    <row r="607" spans="2:12" ht="12" customHeight="1" x14ac:dyDescent="0.15">
      <c r="B607" s="2"/>
      <c r="C607" s="4"/>
      <c r="D607" s="4"/>
      <c r="E607" s="4"/>
      <c r="I607" s="135"/>
      <c r="J607" s="135"/>
      <c r="K607" s="135"/>
      <c r="L607" s="135"/>
    </row>
    <row r="608" spans="2:12" ht="12" customHeight="1" x14ac:dyDescent="0.15">
      <c r="B608" s="2"/>
      <c r="C608" s="4"/>
      <c r="D608" s="4"/>
      <c r="E608" s="4"/>
      <c r="I608" s="135"/>
      <c r="J608" s="135"/>
      <c r="K608" s="135"/>
      <c r="L608" s="135"/>
    </row>
    <row r="609" spans="2:12" ht="12" customHeight="1" x14ac:dyDescent="0.15">
      <c r="B609" s="2"/>
      <c r="C609" s="4"/>
      <c r="D609" s="4"/>
      <c r="E609" s="4"/>
      <c r="I609" s="135"/>
      <c r="J609" s="135"/>
      <c r="K609" s="135"/>
      <c r="L609" s="135"/>
    </row>
    <row r="610" spans="2:12" ht="12" customHeight="1" x14ac:dyDescent="0.15">
      <c r="B610" s="2"/>
      <c r="C610" s="4"/>
      <c r="D610" s="4"/>
      <c r="E610" s="4"/>
      <c r="I610" s="135"/>
      <c r="J610" s="135"/>
      <c r="K610" s="135"/>
      <c r="L610" s="135"/>
    </row>
    <row r="611" spans="2:12" ht="12" customHeight="1" x14ac:dyDescent="0.15">
      <c r="B611" s="2"/>
      <c r="C611" s="4"/>
      <c r="D611" s="4"/>
      <c r="E611" s="4"/>
      <c r="I611" s="135"/>
      <c r="J611" s="135"/>
      <c r="K611" s="135"/>
      <c r="L611" s="135"/>
    </row>
    <row r="612" spans="2:12" ht="12" customHeight="1" x14ac:dyDescent="0.15">
      <c r="B612" s="2"/>
      <c r="C612" s="4"/>
      <c r="D612" s="4"/>
      <c r="E612" s="4"/>
      <c r="I612" s="135"/>
      <c r="J612" s="135"/>
      <c r="K612" s="135"/>
      <c r="L612" s="135"/>
    </row>
    <row r="613" spans="2:12" ht="12" customHeight="1" x14ac:dyDescent="0.15">
      <c r="B613" s="2"/>
      <c r="C613" s="4"/>
      <c r="D613" s="4"/>
      <c r="E613" s="4"/>
      <c r="I613" s="135"/>
      <c r="J613" s="135"/>
      <c r="K613" s="135"/>
      <c r="L613" s="135"/>
    </row>
    <row r="614" spans="2:12" ht="12" customHeight="1" x14ac:dyDescent="0.15">
      <c r="B614" s="2"/>
      <c r="C614" s="4"/>
      <c r="D614" s="4"/>
      <c r="E614" s="4"/>
      <c r="I614" s="135"/>
      <c r="J614" s="135"/>
      <c r="K614" s="135"/>
      <c r="L614" s="135"/>
    </row>
    <row r="615" spans="2:12" ht="12" customHeight="1" x14ac:dyDescent="0.15">
      <c r="B615" s="2"/>
      <c r="C615" s="4"/>
      <c r="D615" s="4"/>
      <c r="E615" s="4"/>
      <c r="I615" s="135"/>
      <c r="J615" s="135"/>
      <c r="K615" s="135"/>
      <c r="L615" s="135"/>
    </row>
    <row r="616" spans="2:12" ht="12" customHeight="1" x14ac:dyDescent="0.15">
      <c r="B616" s="2"/>
      <c r="C616" s="4"/>
      <c r="D616" s="4"/>
      <c r="E616" s="4"/>
      <c r="I616" s="135"/>
      <c r="J616" s="135"/>
      <c r="K616" s="135"/>
      <c r="L616" s="135"/>
    </row>
    <row r="617" spans="2:12" ht="12" customHeight="1" x14ac:dyDescent="0.15">
      <c r="B617" s="2"/>
      <c r="C617" s="4"/>
      <c r="D617" s="4"/>
      <c r="E617" s="4"/>
      <c r="I617" s="135"/>
      <c r="J617" s="135"/>
      <c r="K617" s="135"/>
      <c r="L617" s="135"/>
    </row>
    <row r="618" spans="2:12" ht="12" customHeight="1" x14ac:dyDescent="0.15">
      <c r="B618" s="2"/>
      <c r="C618" s="4"/>
      <c r="D618" s="4"/>
      <c r="E618" s="4"/>
      <c r="I618" s="135"/>
      <c r="J618" s="135"/>
      <c r="K618" s="135"/>
      <c r="L618" s="135"/>
    </row>
    <row r="619" spans="2:12" ht="12" customHeight="1" x14ac:dyDescent="0.15">
      <c r="B619" s="2"/>
      <c r="C619" s="4"/>
      <c r="D619" s="4"/>
      <c r="E619" s="4"/>
      <c r="I619" s="135"/>
      <c r="J619" s="135"/>
      <c r="K619" s="135"/>
      <c r="L619" s="135"/>
    </row>
    <row r="620" spans="2:12" ht="12" customHeight="1" x14ac:dyDescent="0.15">
      <c r="B620" s="2"/>
      <c r="C620" s="4"/>
      <c r="D620" s="4"/>
      <c r="E620" s="4"/>
      <c r="I620" s="135"/>
      <c r="J620" s="135"/>
      <c r="K620" s="135"/>
      <c r="L620" s="135"/>
    </row>
    <row r="621" spans="2:12" ht="12" customHeight="1" x14ac:dyDescent="0.15">
      <c r="B621" s="2"/>
      <c r="C621" s="4"/>
      <c r="D621" s="4"/>
      <c r="E621" s="4"/>
      <c r="I621" s="135"/>
      <c r="J621" s="135"/>
      <c r="K621" s="135"/>
      <c r="L621" s="135"/>
    </row>
    <row r="622" spans="2:12" ht="12" customHeight="1" x14ac:dyDescent="0.15">
      <c r="B622" s="2"/>
      <c r="C622" s="4"/>
      <c r="D622" s="4"/>
      <c r="E622" s="4"/>
      <c r="I622" s="135"/>
      <c r="J622" s="135"/>
      <c r="K622" s="135"/>
      <c r="L622" s="135"/>
    </row>
    <row r="623" spans="2:12" ht="12" customHeight="1" x14ac:dyDescent="0.15">
      <c r="B623" s="2"/>
      <c r="C623" s="4"/>
      <c r="D623" s="4"/>
      <c r="E623" s="4"/>
      <c r="I623" s="135"/>
      <c r="J623" s="135"/>
      <c r="K623" s="135"/>
      <c r="L623" s="135"/>
    </row>
    <row r="624" spans="2:12" ht="12" customHeight="1" x14ac:dyDescent="0.15">
      <c r="B624" s="2"/>
      <c r="C624" s="4"/>
      <c r="D624" s="4"/>
      <c r="E624" s="4"/>
      <c r="I624" s="135"/>
      <c r="J624" s="135"/>
      <c r="K624" s="135"/>
      <c r="L624" s="135"/>
    </row>
    <row r="625" spans="2:12" ht="12" customHeight="1" x14ac:dyDescent="0.15">
      <c r="B625" s="2"/>
      <c r="C625" s="4"/>
      <c r="D625" s="4"/>
      <c r="E625" s="4"/>
      <c r="I625" s="135"/>
      <c r="J625" s="135"/>
      <c r="K625" s="135"/>
      <c r="L625" s="135"/>
    </row>
    <row r="626" spans="2:12" ht="12" customHeight="1" x14ac:dyDescent="0.15">
      <c r="B626" s="2"/>
      <c r="C626" s="4"/>
      <c r="D626" s="4"/>
      <c r="E626" s="4"/>
      <c r="I626" s="135"/>
      <c r="J626" s="135"/>
      <c r="K626" s="135"/>
      <c r="L626" s="135"/>
    </row>
    <row r="627" spans="2:12" ht="12" customHeight="1" x14ac:dyDescent="0.15">
      <c r="B627" s="2"/>
      <c r="C627" s="4"/>
      <c r="D627" s="4"/>
      <c r="E627" s="4"/>
      <c r="I627" s="135"/>
      <c r="J627" s="135"/>
      <c r="K627" s="135"/>
      <c r="L627" s="135"/>
    </row>
    <row r="628" spans="2:12" ht="12" customHeight="1" x14ac:dyDescent="0.15">
      <c r="B628" s="2"/>
      <c r="C628" s="4"/>
      <c r="D628" s="4"/>
      <c r="E628" s="4"/>
      <c r="I628" s="135"/>
      <c r="J628" s="135"/>
      <c r="K628" s="135"/>
      <c r="L628" s="135"/>
    </row>
    <row r="629" spans="2:12" ht="12" customHeight="1" x14ac:dyDescent="0.15">
      <c r="B629" s="2"/>
      <c r="C629" s="4"/>
      <c r="D629" s="4"/>
      <c r="E629" s="4"/>
      <c r="I629" s="135"/>
      <c r="J629" s="135"/>
      <c r="K629" s="135"/>
      <c r="L629" s="135"/>
    </row>
    <row r="630" spans="2:12" ht="12" customHeight="1" x14ac:dyDescent="0.15">
      <c r="B630" s="2"/>
      <c r="C630" s="4"/>
      <c r="D630" s="4"/>
      <c r="E630" s="4"/>
      <c r="I630" s="135"/>
      <c r="J630" s="135"/>
      <c r="K630" s="135"/>
      <c r="L630" s="135"/>
    </row>
    <row r="631" spans="2:12" ht="12" customHeight="1" x14ac:dyDescent="0.15">
      <c r="B631" s="2"/>
      <c r="C631" s="4"/>
      <c r="D631" s="4"/>
      <c r="E631" s="4"/>
      <c r="I631" s="135"/>
      <c r="J631" s="135"/>
      <c r="K631" s="135"/>
      <c r="L631" s="135"/>
    </row>
    <row r="632" spans="2:12" ht="12" customHeight="1" x14ac:dyDescent="0.15">
      <c r="B632" s="2"/>
      <c r="C632" s="4"/>
      <c r="D632" s="4"/>
      <c r="E632" s="4"/>
      <c r="I632" s="135"/>
      <c r="J632" s="135"/>
      <c r="K632" s="135"/>
      <c r="L632" s="135"/>
    </row>
    <row r="633" spans="2:12" ht="12" customHeight="1" x14ac:dyDescent="0.15">
      <c r="B633" s="2"/>
      <c r="C633" s="4"/>
      <c r="D633" s="4"/>
      <c r="E633" s="4"/>
      <c r="I633" s="135"/>
      <c r="J633" s="135"/>
      <c r="K633" s="135"/>
      <c r="L633" s="135"/>
    </row>
    <row r="634" spans="2:12" ht="12" customHeight="1" x14ac:dyDescent="0.15">
      <c r="B634" s="2"/>
      <c r="C634" s="4"/>
      <c r="D634" s="4"/>
      <c r="E634" s="4"/>
      <c r="I634" s="135"/>
      <c r="J634" s="135"/>
      <c r="K634" s="135"/>
      <c r="L634" s="135"/>
    </row>
    <row r="635" spans="2:12" ht="12" customHeight="1" x14ac:dyDescent="0.15">
      <c r="B635" s="2"/>
      <c r="C635" s="4"/>
      <c r="D635" s="4"/>
      <c r="E635" s="4"/>
      <c r="I635" s="135"/>
      <c r="J635" s="135"/>
      <c r="K635" s="135"/>
      <c r="L635" s="135"/>
    </row>
    <row r="636" spans="2:12" ht="12" customHeight="1" x14ac:dyDescent="0.15">
      <c r="B636" s="2"/>
      <c r="C636" s="4"/>
      <c r="D636" s="4"/>
      <c r="E636" s="4"/>
      <c r="I636" s="135"/>
      <c r="J636" s="135"/>
      <c r="K636" s="135"/>
      <c r="L636" s="135"/>
    </row>
    <row r="637" spans="2:12" ht="12" customHeight="1" x14ac:dyDescent="0.15">
      <c r="B637" s="2"/>
      <c r="C637" s="4"/>
      <c r="D637" s="4"/>
      <c r="E637" s="4"/>
      <c r="I637" s="135"/>
      <c r="J637" s="135"/>
      <c r="K637" s="135"/>
      <c r="L637" s="135"/>
    </row>
    <row r="638" spans="2:12" ht="12" customHeight="1" x14ac:dyDescent="0.15">
      <c r="B638" s="2"/>
      <c r="C638" s="4"/>
      <c r="D638" s="4"/>
      <c r="E638" s="4"/>
      <c r="I638" s="135"/>
      <c r="J638" s="135"/>
      <c r="K638" s="135"/>
      <c r="L638" s="135"/>
    </row>
    <row r="639" spans="2:12" ht="12" customHeight="1" x14ac:dyDescent="0.15">
      <c r="B639" s="2"/>
      <c r="C639" s="4"/>
      <c r="D639" s="4"/>
      <c r="E639" s="4"/>
      <c r="I639" s="135"/>
      <c r="J639" s="135"/>
      <c r="K639" s="135"/>
      <c r="L639" s="135"/>
    </row>
    <row r="640" spans="2:12" ht="12" customHeight="1" x14ac:dyDescent="0.15">
      <c r="B640" s="2"/>
      <c r="C640" s="4"/>
      <c r="D640" s="4"/>
      <c r="E640" s="4"/>
      <c r="I640" s="135"/>
      <c r="J640" s="135"/>
      <c r="K640" s="135"/>
      <c r="L640" s="135"/>
    </row>
    <row r="641" spans="2:12" ht="12" customHeight="1" x14ac:dyDescent="0.15">
      <c r="B641" s="2"/>
      <c r="C641" s="4"/>
      <c r="D641" s="4"/>
      <c r="E641" s="4"/>
      <c r="I641" s="135"/>
      <c r="J641" s="135"/>
      <c r="K641" s="135"/>
      <c r="L641" s="135"/>
    </row>
    <row r="642" spans="2:12" ht="12" customHeight="1" x14ac:dyDescent="0.15">
      <c r="B642" s="2"/>
      <c r="C642" s="4"/>
      <c r="D642" s="4"/>
      <c r="E642" s="4"/>
      <c r="I642" s="135"/>
      <c r="J642" s="135"/>
      <c r="K642" s="135"/>
      <c r="L642" s="135"/>
    </row>
    <row r="643" spans="2:12" ht="12" customHeight="1" x14ac:dyDescent="0.15">
      <c r="B643" s="2"/>
      <c r="C643" s="4"/>
      <c r="D643" s="4"/>
      <c r="E643" s="4"/>
      <c r="I643" s="135"/>
      <c r="J643" s="135"/>
      <c r="K643" s="135"/>
      <c r="L643" s="135"/>
    </row>
    <row r="644" spans="2:12" ht="12" customHeight="1" x14ac:dyDescent="0.15">
      <c r="B644" s="2"/>
      <c r="C644" s="4"/>
      <c r="D644" s="4"/>
      <c r="E644" s="4"/>
      <c r="I644" s="135"/>
      <c r="J644" s="135"/>
      <c r="K644" s="135"/>
      <c r="L644" s="135"/>
    </row>
    <row r="645" spans="2:12" ht="12" customHeight="1" x14ac:dyDescent="0.15">
      <c r="B645" s="2"/>
      <c r="C645" s="4"/>
      <c r="D645" s="4"/>
      <c r="E645" s="4"/>
      <c r="I645" s="135"/>
      <c r="J645" s="135"/>
      <c r="K645" s="135"/>
      <c r="L645" s="135"/>
    </row>
    <row r="646" spans="2:12" ht="12" customHeight="1" x14ac:dyDescent="0.15">
      <c r="B646" s="2"/>
      <c r="C646" s="4"/>
      <c r="D646" s="4"/>
      <c r="E646" s="4"/>
      <c r="I646" s="135"/>
      <c r="J646" s="135"/>
      <c r="K646" s="135"/>
      <c r="L646" s="135"/>
    </row>
    <row r="647" spans="2:12" ht="12" customHeight="1" x14ac:dyDescent="0.15">
      <c r="B647" s="2"/>
      <c r="C647" s="4"/>
      <c r="D647" s="4"/>
      <c r="E647" s="4"/>
      <c r="I647" s="135"/>
      <c r="J647" s="135"/>
      <c r="K647" s="135"/>
      <c r="L647" s="135"/>
    </row>
    <row r="648" spans="2:12" ht="12" customHeight="1" x14ac:dyDescent="0.15">
      <c r="B648" s="2"/>
      <c r="C648" s="4"/>
      <c r="D648" s="4"/>
      <c r="E648" s="4"/>
      <c r="I648" s="135"/>
      <c r="J648" s="135"/>
      <c r="K648" s="135"/>
      <c r="L648" s="135"/>
    </row>
    <row r="649" spans="2:12" ht="12" customHeight="1" x14ac:dyDescent="0.15">
      <c r="B649" s="2"/>
      <c r="C649" s="4"/>
      <c r="D649" s="4"/>
      <c r="E649" s="4"/>
      <c r="I649" s="135"/>
      <c r="J649" s="135"/>
      <c r="K649" s="135"/>
      <c r="L649" s="135"/>
    </row>
    <row r="650" spans="2:12" ht="12" customHeight="1" x14ac:dyDescent="0.15">
      <c r="B650" s="2"/>
      <c r="C650" s="4"/>
      <c r="D650" s="4"/>
      <c r="E650" s="4"/>
      <c r="I650" s="135"/>
      <c r="J650" s="135"/>
      <c r="K650" s="135"/>
      <c r="L650" s="135"/>
    </row>
    <row r="651" spans="2:12" ht="12" customHeight="1" x14ac:dyDescent="0.15">
      <c r="B651" s="2"/>
      <c r="C651" s="4"/>
      <c r="D651" s="4"/>
      <c r="E651" s="4"/>
      <c r="I651" s="135"/>
      <c r="J651" s="135"/>
      <c r="K651" s="135"/>
      <c r="L651" s="135"/>
    </row>
    <row r="652" spans="2:12" ht="12" customHeight="1" x14ac:dyDescent="0.15">
      <c r="B652" s="2"/>
      <c r="C652" s="4"/>
      <c r="D652" s="4"/>
      <c r="E652" s="4"/>
      <c r="I652" s="135"/>
      <c r="J652" s="135"/>
      <c r="K652" s="135"/>
      <c r="L652" s="135"/>
    </row>
    <row r="653" spans="2:12" ht="12" customHeight="1" x14ac:dyDescent="0.15">
      <c r="B653" s="2"/>
      <c r="C653" s="4"/>
      <c r="D653" s="4"/>
      <c r="E653" s="4"/>
      <c r="I653" s="135"/>
      <c r="J653" s="135"/>
      <c r="K653" s="135"/>
      <c r="L653" s="135"/>
    </row>
    <row r="654" spans="2:12" ht="12" customHeight="1" x14ac:dyDescent="0.15">
      <c r="B654" s="2"/>
      <c r="C654" s="4"/>
      <c r="D654" s="4"/>
      <c r="E654" s="4"/>
      <c r="I654" s="135"/>
      <c r="J654" s="135"/>
      <c r="K654" s="135"/>
      <c r="L654" s="135"/>
    </row>
    <row r="655" spans="2:12" ht="12" customHeight="1" x14ac:dyDescent="0.15">
      <c r="B655" s="2"/>
      <c r="C655" s="4"/>
      <c r="D655" s="4"/>
      <c r="E655" s="4"/>
      <c r="I655" s="135"/>
      <c r="J655" s="135"/>
      <c r="K655" s="135"/>
      <c r="L655" s="135"/>
    </row>
    <row r="656" spans="2:12" ht="12" customHeight="1" x14ac:dyDescent="0.15">
      <c r="B656" s="2"/>
      <c r="C656" s="4"/>
      <c r="D656" s="4"/>
      <c r="E656" s="4"/>
      <c r="I656" s="135"/>
      <c r="J656" s="135"/>
      <c r="K656" s="135"/>
      <c r="L656" s="135"/>
    </row>
    <row r="657" spans="2:12" ht="12" customHeight="1" x14ac:dyDescent="0.15">
      <c r="B657" s="2"/>
      <c r="C657" s="4"/>
      <c r="D657" s="4"/>
      <c r="E657" s="4"/>
      <c r="I657" s="135"/>
      <c r="J657" s="135"/>
      <c r="K657" s="135"/>
      <c r="L657" s="135"/>
    </row>
    <row r="658" spans="2:12" ht="12" customHeight="1" x14ac:dyDescent="0.15">
      <c r="B658" s="2"/>
      <c r="C658" s="4"/>
      <c r="D658" s="4"/>
      <c r="E658" s="4"/>
      <c r="I658" s="135"/>
      <c r="J658" s="135"/>
      <c r="K658" s="135"/>
      <c r="L658" s="135"/>
    </row>
    <row r="659" spans="2:12" ht="12" customHeight="1" x14ac:dyDescent="0.15">
      <c r="B659" s="2"/>
      <c r="C659" s="4"/>
      <c r="D659" s="4"/>
      <c r="E659" s="4"/>
      <c r="I659" s="135"/>
      <c r="J659" s="135"/>
      <c r="K659" s="135"/>
      <c r="L659" s="135"/>
    </row>
    <row r="660" spans="2:12" ht="12" customHeight="1" x14ac:dyDescent="0.15">
      <c r="B660" s="2"/>
      <c r="C660" s="4"/>
      <c r="D660" s="4"/>
      <c r="E660" s="4"/>
      <c r="I660" s="135"/>
      <c r="J660" s="135"/>
      <c r="K660" s="135"/>
      <c r="L660" s="135"/>
    </row>
    <row r="661" spans="2:12" ht="12" customHeight="1" x14ac:dyDescent="0.15">
      <c r="B661" s="2"/>
      <c r="C661" s="4"/>
      <c r="D661" s="4"/>
      <c r="E661" s="4"/>
      <c r="I661" s="135"/>
      <c r="J661" s="135"/>
      <c r="K661" s="135"/>
      <c r="L661" s="135"/>
    </row>
    <row r="662" spans="2:12" ht="12" customHeight="1" x14ac:dyDescent="0.15">
      <c r="B662" s="2"/>
      <c r="C662" s="4"/>
      <c r="D662" s="4"/>
      <c r="E662" s="4"/>
      <c r="I662" s="135"/>
      <c r="J662" s="135"/>
      <c r="K662" s="135"/>
      <c r="L662" s="135"/>
    </row>
    <row r="663" spans="2:12" ht="12" customHeight="1" x14ac:dyDescent="0.15">
      <c r="B663" s="2"/>
      <c r="C663" s="4"/>
      <c r="D663" s="4"/>
      <c r="E663" s="4"/>
      <c r="I663" s="135"/>
      <c r="J663" s="135"/>
      <c r="K663" s="135"/>
      <c r="L663" s="135"/>
    </row>
    <row r="664" spans="2:12" ht="12" customHeight="1" x14ac:dyDescent="0.15">
      <c r="B664" s="2"/>
      <c r="C664" s="4"/>
      <c r="D664" s="4"/>
      <c r="E664" s="4"/>
      <c r="I664" s="135"/>
      <c r="J664" s="135"/>
      <c r="K664" s="135"/>
      <c r="L664" s="135"/>
    </row>
    <row r="665" spans="2:12" ht="12" customHeight="1" x14ac:dyDescent="0.15">
      <c r="B665" s="2"/>
      <c r="C665" s="4"/>
      <c r="D665" s="4"/>
      <c r="E665" s="4"/>
      <c r="I665" s="135"/>
      <c r="J665" s="135"/>
      <c r="K665" s="135"/>
      <c r="L665" s="135"/>
    </row>
    <row r="666" spans="2:12" ht="12" customHeight="1" x14ac:dyDescent="0.15">
      <c r="B666" s="2"/>
      <c r="C666" s="4"/>
      <c r="D666" s="4"/>
      <c r="E666" s="4"/>
      <c r="I666" s="135"/>
      <c r="J666" s="135"/>
      <c r="K666" s="135"/>
      <c r="L666" s="135"/>
    </row>
    <row r="667" spans="2:12" ht="12" customHeight="1" x14ac:dyDescent="0.15">
      <c r="B667" s="2"/>
      <c r="C667" s="4"/>
      <c r="D667" s="4"/>
      <c r="E667" s="4"/>
      <c r="I667" s="135"/>
      <c r="J667" s="135"/>
      <c r="K667" s="135"/>
      <c r="L667" s="135"/>
    </row>
    <row r="668" spans="2:12" ht="12" customHeight="1" x14ac:dyDescent="0.15">
      <c r="B668" s="2"/>
      <c r="C668" s="4"/>
      <c r="D668" s="4"/>
      <c r="E668" s="4"/>
      <c r="I668" s="135"/>
      <c r="J668" s="135"/>
      <c r="K668" s="135"/>
      <c r="L668" s="135"/>
    </row>
    <row r="669" spans="2:12" ht="12" customHeight="1" x14ac:dyDescent="0.15">
      <c r="B669" s="2"/>
      <c r="C669" s="4"/>
      <c r="D669" s="4"/>
      <c r="E669" s="4"/>
      <c r="I669" s="135"/>
      <c r="J669" s="135"/>
      <c r="K669" s="135"/>
      <c r="L669" s="135"/>
    </row>
    <row r="670" spans="2:12" ht="12" customHeight="1" x14ac:dyDescent="0.15">
      <c r="B670" s="2"/>
      <c r="C670" s="4"/>
      <c r="D670" s="4"/>
      <c r="E670" s="4"/>
      <c r="I670" s="135"/>
      <c r="J670" s="135"/>
      <c r="K670" s="135"/>
      <c r="L670" s="135"/>
    </row>
    <row r="671" spans="2:12" ht="12" customHeight="1" x14ac:dyDescent="0.15">
      <c r="B671" s="2"/>
      <c r="C671" s="4"/>
      <c r="D671" s="4"/>
      <c r="E671" s="4"/>
      <c r="I671" s="135"/>
      <c r="J671" s="135"/>
      <c r="K671" s="135"/>
      <c r="L671" s="135"/>
    </row>
    <row r="672" spans="2:12" ht="12" customHeight="1" x14ac:dyDescent="0.15">
      <c r="B672" s="2"/>
      <c r="C672" s="4"/>
      <c r="D672" s="4"/>
      <c r="E672" s="4"/>
      <c r="I672" s="135"/>
      <c r="J672" s="135"/>
      <c r="K672" s="135"/>
      <c r="L672" s="135"/>
    </row>
    <row r="673" spans="2:12" ht="12" customHeight="1" x14ac:dyDescent="0.15">
      <c r="B673" s="2"/>
      <c r="C673" s="4"/>
      <c r="D673" s="4"/>
      <c r="E673" s="4"/>
      <c r="I673" s="135"/>
      <c r="J673" s="135"/>
      <c r="K673" s="135"/>
      <c r="L673" s="135"/>
    </row>
    <row r="674" spans="2:12" ht="12" customHeight="1" x14ac:dyDescent="0.15">
      <c r="B674" s="2"/>
      <c r="C674" s="4"/>
      <c r="D674" s="4"/>
      <c r="E674" s="4"/>
      <c r="I674" s="135"/>
      <c r="J674" s="135"/>
      <c r="K674" s="135"/>
      <c r="L674" s="135"/>
    </row>
    <row r="675" spans="2:12" ht="12" customHeight="1" x14ac:dyDescent="0.15">
      <c r="B675" s="2"/>
      <c r="C675" s="4"/>
      <c r="D675" s="4"/>
      <c r="E675" s="4"/>
      <c r="I675" s="135"/>
      <c r="J675" s="135"/>
      <c r="K675" s="135"/>
      <c r="L675" s="135"/>
    </row>
    <row r="676" spans="2:12" ht="12" customHeight="1" x14ac:dyDescent="0.15">
      <c r="B676" s="2"/>
      <c r="C676" s="4"/>
      <c r="D676" s="4"/>
      <c r="E676" s="4"/>
      <c r="I676" s="135"/>
      <c r="J676" s="135"/>
      <c r="K676" s="135"/>
      <c r="L676" s="135"/>
    </row>
    <row r="677" spans="2:12" ht="12" customHeight="1" x14ac:dyDescent="0.15">
      <c r="B677" s="2"/>
      <c r="C677" s="4"/>
      <c r="D677" s="4"/>
      <c r="E677" s="4"/>
      <c r="I677" s="135"/>
      <c r="J677" s="135"/>
      <c r="K677" s="135"/>
      <c r="L677" s="135"/>
    </row>
    <row r="678" spans="2:12" ht="12" customHeight="1" x14ac:dyDescent="0.15">
      <c r="B678" s="2"/>
      <c r="C678" s="4"/>
      <c r="D678" s="4"/>
      <c r="E678" s="4"/>
      <c r="I678" s="135"/>
      <c r="J678" s="135"/>
      <c r="K678" s="135"/>
      <c r="L678" s="135"/>
    </row>
    <row r="679" spans="2:12" ht="12" customHeight="1" x14ac:dyDescent="0.15">
      <c r="B679" s="2"/>
      <c r="C679" s="4"/>
      <c r="D679" s="4"/>
      <c r="E679" s="4"/>
      <c r="I679" s="135"/>
      <c r="J679" s="135"/>
      <c r="K679" s="135"/>
      <c r="L679" s="135"/>
    </row>
    <row r="680" spans="2:12" ht="12" customHeight="1" x14ac:dyDescent="0.15">
      <c r="B680" s="2"/>
      <c r="C680" s="4"/>
      <c r="D680" s="4"/>
      <c r="E680" s="4"/>
      <c r="I680" s="135"/>
      <c r="J680" s="135"/>
      <c r="K680" s="135"/>
      <c r="L680" s="135"/>
    </row>
    <row r="681" spans="2:12" ht="12" customHeight="1" x14ac:dyDescent="0.15">
      <c r="B681" s="2"/>
      <c r="C681" s="4"/>
      <c r="D681" s="4"/>
      <c r="E681" s="4"/>
      <c r="I681" s="135"/>
      <c r="J681" s="135"/>
      <c r="K681" s="135"/>
      <c r="L681" s="135"/>
    </row>
    <row r="682" spans="2:12" ht="12" customHeight="1" x14ac:dyDescent="0.15">
      <c r="B682" s="2"/>
      <c r="C682" s="4"/>
      <c r="D682" s="4"/>
      <c r="E682" s="4"/>
      <c r="I682" s="135"/>
      <c r="J682" s="135"/>
      <c r="K682" s="135"/>
      <c r="L682" s="135"/>
    </row>
    <row r="683" spans="2:12" ht="12" customHeight="1" x14ac:dyDescent="0.15">
      <c r="B683" s="2"/>
      <c r="C683" s="4"/>
      <c r="D683" s="4"/>
      <c r="E683" s="4"/>
      <c r="I683" s="135"/>
      <c r="J683" s="135"/>
      <c r="K683" s="135"/>
      <c r="L683" s="135"/>
    </row>
    <row r="684" spans="2:12" ht="12" customHeight="1" x14ac:dyDescent="0.15">
      <c r="B684" s="2"/>
      <c r="C684" s="4"/>
      <c r="D684" s="4"/>
      <c r="E684" s="4"/>
      <c r="I684" s="135"/>
      <c r="J684" s="135"/>
      <c r="K684" s="135"/>
      <c r="L684" s="135"/>
    </row>
    <row r="685" spans="2:12" ht="12" customHeight="1" x14ac:dyDescent="0.15">
      <c r="B685" s="2"/>
      <c r="C685" s="4"/>
      <c r="D685" s="4"/>
      <c r="E685" s="4"/>
      <c r="I685" s="135"/>
      <c r="J685" s="135"/>
      <c r="K685" s="135"/>
      <c r="L685" s="135"/>
    </row>
    <row r="686" spans="2:12" ht="12" customHeight="1" x14ac:dyDescent="0.15">
      <c r="B686" s="2"/>
      <c r="C686" s="4"/>
      <c r="D686" s="4"/>
      <c r="E686" s="4"/>
      <c r="I686" s="135"/>
      <c r="J686" s="135"/>
      <c r="K686" s="135"/>
      <c r="L686" s="135"/>
    </row>
    <row r="687" spans="2:12" ht="12" customHeight="1" x14ac:dyDescent="0.15">
      <c r="B687" s="2"/>
      <c r="C687" s="4"/>
      <c r="D687" s="4"/>
      <c r="E687" s="4"/>
      <c r="I687" s="135"/>
      <c r="J687" s="135"/>
      <c r="K687" s="135"/>
      <c r="L687" s="135"/>
    </row>
    <row r="688" spans="2:12" ht="12" customHeight="1" x14ac:dyDescent="0.15">
      <c r="B688" s="2"/>
      <c r="C688" s="4"/>
      <c r="D688" s="4"/>
      <c r="E688" s="4"/>
      <c r="I688" s="135"/>
      <c r="J688" s="135"/>
      <c r="K688" s="135"/>
      <c r="L688" s="135"/>
    </row>
    <row r="689" spans="2:12" ht="12" customHeight="1" x14ac:dyDescent="0.15">
      <c r="B689" s="2"/>
      <c r="C689" s="4"/>
      <c r="D689" s="4"/>
      <c r="E689" s="4"/>
      <c r="I689" s="135"/>
      <c r="J689" s="135"/>
      <c r="K689" s="135"/>
      <c r="L689" s="135"/>
    </row>
    <row r="690" spans="2:12" ht="12" customHeight="1" x14ac:dyDescent="0.15">
      <c r="B690" s="2"/>
      <c r="C690" s="4"/>
      <c r="D690" s="4"/>
      <c r="E690" s="4"/>
      <c r="I690" s="135"/>
      <c r="J690" s="135"/>
      <c r="K690" s="135"/>
      <c r="L690" s="135"/>
    </row>
    <row r="691" spans="2:12" ht="12" customHeight="1" x14ac:dyDescent="0.15">
      <c r="B691" s="2"/>
      <c r="C691" s="4"/>
      <c r="D691" s="4"/>
      <c r="E691" s="4"/>
      <c r="I691" s="135"/>
      <c r="J691" s="135"/>
      <c r="K691" s="135"/>
      <c r="L691" s="135"/>
    </row>
    <row r="692" spans="2:12" ht="12" customHeight="1" x14ac:dyDescent="0.15">
      <c r="B692" s="2"/>
      <c r="C692" s="4"/>
      <c r="D692" s="4"/>
      <c r="E692" s="4"/>
      <c r="I692" s="135"/>
      <c r="J692" s="135"/>
      <c r="K692" s="135"/>
      <c r="L692" s="135"/>
    </row>
    <row r="693" spans="2:12" ht="12" customHeight="1" x14ac:dyDescent="0.15">
      <c r="B693" s="2"/>
      <c r="C693" s="4"/>
      <c r="D693" s="4"/>
      <c r="E693" s="4"/>
      <c r="I693" s="135"/>
      <c r="J693" s="135"/>
      <c r="K693" s="135"/>
      <c r="L693" s="135"/>
    </row>
    <row r="694" spans="2:12" ht="12" customHeight="1" x14ac:dyDescent="0.15">
      <c r="B694" s="2"/>
      <c r="C694" s="4"/>
      <c r="D694" s="4"/>
      <c r="E694" s="4"/>
      <c r="I694" s="135"/>
      <c r="J694" s="135"/>
      <c r="K694" s="135"/>
      <c r="L694" s="135"/>
    </row>
    <row r="695" spans="2:12" ht="12" customHeight="1" x14ac:dyDescent="0.15">
      <c r="B695" s="2"/>
      <c r="C695" s="4"/>
      <c r="D695" s="4"/>
      <c r="E695" s="4"/>
      <c r="I695" s="135"/>
      <c r="J695" s="135"/>
      <c r="K695" s="135"/>
      <c r="L695" s="135"/>
    </row>
    <row r="696" spans="2:12" ht="12" customHeight="1" x14ac:dyDescent="0.15">
      <c r="B696" s="2"/>
      <c r="C696" s="4"/>
      <c r="D696" s="4"/>
      <c r="E696" s="4"/>
      <c r="I696" s="135"/>
      <c r="J696" s="135"/>
      <c r="K696" s="135"/>
      <c r="L696" s="135"/>
    </row>
    <row r="697" spans="2:12" ht="12" customHeight="1" x14ac:dyDescent="0.15">
      <c r="B697" s="2"/>
      <c r="C697" s="4"/>
      <c r="D697" s="4"/>
      <c r="E697" s="4"/>
      <c r="I697" s="135"/>
      <c r="J697" s="135"/>
      <c r="K697" s="135"/>
      <c r="L697" s="135"/>
    </row>
    <row r="698" spans="2:12" ht="12" customHeight="1" x14ac:dyDescent="0.15">
      <c r="B698" s="2"/>
      <c r="C698" s="4"/>
      <c r="D698" s="4"/>
      <c r="E698" s="4"/>
      <c r="I698" s="135"/>
      <c r="J698" s="135"/>
      <c r="K698" s="135"/>
      <c r="L698" s="135"/>
    </row>
    <row r="699" spans="2:12" ht="12" customHeight="1" x14ac:dyDescent="0.15">
      <c r="B699" s="2"/>
      <c r="C699" s="4"/>
      <c r="D699" s="4"/>
      <c r="E699" s="4"/>
      <c r="I699" s="135"/>
      <c r="J699" s="135"/>
      <c r="K699" s="135"/>
      <c r="L699" s="135"/>
    </row>
    <row r="700" spans="2:12" ht="12" customHeight="1" x14ac:dyDescent="0.15">
      <c r="B700" s="2"/>
      <c r="C700" s="4"/>
      <c r="D700" s="4"/>
      <c r="E700" s="4"/>
      <c r="I700" s="135"/>
      <c r="J700" s="135"/>
      <c r="K700" s="135"/>
      <c r="L700" s="135"/>
    </row>
    <row r="701" spans="2:12" ht="12" customHeight="1" x14ac:dyDescent="0.15">
      <c r="B701" s="2"/>
      <c r="C701" s="4"/>
      <c r="D701" s="4"/>
      <c r="E701" s="4"/>
      <c r="I701" s="135"/>
      <c r="J701" s="135"/>
      <c r="K701" s="135"/>
      <c r="L701" s="135"/>
    </row>
    <row r="702" spans="2:12" ht="12" customHeight="1" x14ac:dyDescent="0.15">
      <c r="B702" s="2"/>
      <c r="C702" s="4"/>
      <c r="D702" s="4"/>
      <c r="E702" s="4"/>
      <c r="I702" s="135"/>
      <c r="J702" s="135"/>
      <c r="K702" s="135"/>
      <c r="L702" s="135"/>
    </row>
    <row r="703" spans="2:12" ht="12" customHeight="1" x14ac:dyDescent="0.15">
      <c r="B703" s="2"/>
      <c r="C703" s="4"/>
      <c r="D703" s="4"/>
      <c r="E703" s="4"/>
      <c r="I703" s="135"/>
      <c r="J703" s="135"/>
      <c r="K703" s="135"/>
      <c r="L703" s="135"/>
    </row>
    <row r="704" spans="2:12" ht="12" customHeight="1" x14ac:dyDescent="0.15">
      <c r="B704" s="2"/>
      <c r="C704" s="4"/>
      <c r="D704" s="4"/>
      <c r="E704" s="4"/>
      <c r="I704" s="135"/>
      <c r="J704" s="135"/>
      <c r="K704" s="135"/>
      <c r="L704" s="135"/>
    </row>
    <row r="705" spans="2:12" ht="12" customHeight="1" x14ac:dyDescent="0.15">
      <c r="B705" s="2"/>
      <c r="C705" s="4"/>
      <c r="D705" s="4"/>
      <c r="E705" s="4"/>
      <c r="I705" s="135"/>
      <c r="J705" s="135"/>
      <c r="K705" s="135"/>
      <c r="L705" s="135"/>
    </row>
    <row r="706" spans="2:12" ht="12" customHeight="1" x14ac:dyDescent="0.15">
      <c r="B706" s="2"/>
      <c r="C706" s="4"/>
      <c r="D706" s="4"/>
      <c r="E706" s="4"/>
      <c r="I706" s="135"/>
      <c r="J706" s="135"/>
      <c r="K706" s="135"/>
      <c r="L706" s="135"/>
    </row>
    <row r="707" spans="2:12" ht="12" customHeight="1" x14ac:dyDescent="0.15">
      <c r="B707" s="2"/>
      <c r="C707" s="4"/>
      <c r="D707" s="4"/>
      <c r="E707" s="4"/>
      <c r="I707" s="135"/>
      <c r="J707" s="135"/>
      <c r="K707" s="135"/>
      <c r="L707" s="135"/>
    </row>
    <row r="708" spans="2:12" ht="12" customHeight="1" x14ac:dyDescent="0.15">
      <c r="B708" s="2"/>
      <c r="C708" s="4"/>
      <c r="D708" s="4"/>
      <c r="E708" s="4"/>
      <c r="I708" s="135"/>
      <c r="J708" s="135"/>
      <c r="K708" s="135"/>
      <c r="L708" s="135"/>
    </row>
    <row r="709" spans="2:12" ht="12" customHeight="1" x14ac:dyDescent="0.15">
      <c r="B709" s="2"/>
      <c r="C709" s="4"/>
      <c r="D709" s="4"/>
      <c r="E709" s="4"/>
      <c r="I709" s="135"/>
      <c r="J709" s="135"/>
      <c r="K709" s="135"/>
      <c r="L709" s="135"/>
    </row>
    <row r="710" spans="2:12" ht="12" customHeight="1" x14ac:dyDescent="0.15">
      <c r="B710" s="2"/>
      <c r="C710" s="4"/>
      <c r="D710" s="4"/>
      <c r="E710" s="4"/>
      <c r="I710" s="135"/>
      <c r="J710" s="135"/>
      <c r="K710" s="135"/>
      <c r="L710" s="135"/>
    </row>
    <row r="711" spans="2:12" ht="12" customHeight="1" x14ac:dyDescent="0.15">
      <c r="B711" s="2"/>
      <c r="C711" s="4"/>
      <c r="D711" s="4"/>
      <c r="E711" s="4"/>
      <c r="I711" s="135"/>
      <c r="J711" s="135"/>
      <c r="K711" s="135"/>
      <c r="L711" s="135"/>
    </row>
    <row r="712" spans="2:12" ht="12" customHeight="1" x14ac:dyDescent="0.15">
      <c r="B712" s="2"/>
      <c r="C712" s="4"/>
      <c r="D712" s="4"/>
      <c r="E712" s="4"/>
      <c r="I712" s="135"/>
      <c r="J712" s="135"/>
      <c r="K712" s="135"/>
      <c r="L712" s="135"/>
    </row>
    <row r="713" spans="2:12" ht="12" customHeight="1" x14ac:dyDescent="0.15">
      <c r="B713" s="2"/>
      <c r="C713" s="4"/>
      <c r="D713" s="4"/>
      <c r="E713" s="4"/>
      <c r="I713" s="135"/>
      <c r="J713" s="135"/>
      <c r="K713" s="135"/>
      <c r="L713" s="135"/>
    </row>
    <row r="714" spans="2:12" ht="12" customHeight="1" x14ac:dyDescent="0.15">
      <c r="B714" s="2"/>
      <c r="C714" s="4"/>
      <c r="D714" s="4"/>
      <c r="E714" s="4"/>
      <c r="I714" s="135"/>
      <c r="J714" s="135"/>
      <c r="K714" s="135"/>
      <c r="L714" s="135"/>
    </row>
    <row r="715" spans="2:12" ht="12" customHeight="1" x14ac:dyDescent="0.15">
      <c r="B715" s="2"/>
      <c r="C715" s="4"/>
      <c r="D715" s="4"/>
      <c r="E715" s="4"/>
      <c r="I715" s="135"/>
      <c r="J715" s="135"/>
      <c r="K715" s="135"/>
      <c r="L715" s="135"/>
    </row>
    <row r="716" spans="2:12" ht="12" customHeight="1" x14ac:dyDescent="0.15">
      <c r="B716" s="2"/>
      <c r="C716" s="4"/>
      <c r="D716" s="4"/>
      <c r="E716" s="4"/>
      <c r="I716" s="135"/>
      <c r="J716" s="135"/>
      <c r="K716" s="135"/>
      <c r="L716" s="135"/>
    </row>
    <row r="717" spans="2:12" ht="12" customHeight="1" x14ac:dyDescent="0.15">
      <c r="B717" s="2"/>
      <c r="C717" s="4"/>
      <c r="D717" s="4"/>
      <c r="E717" s="4"/>
      <c r="I717" s="135"/>
      <c r="J717" s="135"/>
      <c r="K717" s="135"/>
      <c r="L717" s="135"/>
    </row>
    <row r="718" spans="2:12" ht="12" customHeight="1" x14ac:dyDescent="0.15">
      <c r="B718" s="2"/>
      <c r="C718" s="4"/>
      <c r="D718" s="4"/>
      <c r="E718" s="4"/>
      <c r="I718" s="135"/>
      <c r="J718" s="135"/>
      <c r="K718" s="135"/>
      <c r="L718" s="135"/>
    </row>
    <row r="719" spans="2:12" ht="12" customHeight="1" x14ac:dyDescent="0.15">
      <c r="B719" s="2"/>
      <c r="C719" s="4"/>
      <c r="D719" s="4"/>
      <c r="E719" s="4"/>
      <c r="I719" s="135"/>
      <c r="J719" s="135"/>
      <c r="K719" s="135"/>
      <c r="L719" s="135"/>
    </row>
    <row r="720" spans="2:12" ht="12" customHeight="1" x14ac:dyDescent="0.15">
      <c r="B720" s="2"/>
      <c r="C720" s="4"/>
      <c r="D720" s="4"/>
      <c r="E720" s="4"/>
      <c r="I720" s="135"/>
      <c r="J720" s="135"/>
      <c r="K720" s="135"/>
      <c r="L720" s="135"/>
    </row>
    <row r="721" spans="2:12" ht="12" customHeight="1" x14ac:dyDescent="0.15">
      <c r="B721" s="2"/>
      <c r="C721" s="4"/>
      <c r="D721" s="4"/>
      <c r="E721" s="4"/>
      <c r="I721" s="135"/>
      <c r="J721" s="135"/>
      <c r="K721" s="135"/>
      <c r="L721" s="135"/>
    </row>
    <row r="722" spans="2:12" ht="12" customHeight="1" x14ac:dyDescent="0.15">
      <c r="B722" s="2"/>
      <c r="C722" s="4"/>
      <c r="D722" s="4"/>
      <c r="E722" s="4"/>
      <c r="I722" s="135"/>
      <c r="J722" s="135"/>
      <c r="K722" s="135"/>
      <c r="L722" s="135"/>
    </row>
    <row r="723" spans="2:12" ht="12" customHeight="1" x14ac:dyDescent="0.15">
      <c r="B723" s="2"/>
      <c r="C723" s="4"/>
      <c r="D723" s="4"/>
      <c r="E723" s="4"/>
      <c r="I723" s="135"/>
      <c r="J723" s="135"/>
      <c r="K723" s="135"/>
      <c r="L723" s="135"/>
    </row>
    <row r="724" spans="2:12" ht="12" customHeight="1" x14ac:dyDescent="0.15">
      <c r="B724" s="2"/>
      <c r="C724" s="4"/>
      <c r="D724" s="4"/>
      <c r="E724" s="4"/>
      <c r="I724" s="135"/>
      <c r="J724" s="135"/>
      <c r="K724" s="135"/>
      <c r="L724" s="135"/>
    </row>
    <row r="725" spans="2:12" ht="12" customHeight="1" x14ac:dyDescent="0.15">
      <c r="B725" s="2"/>
      <c r="C725" s="4"/>
      <c r="D725" s="4"/>
      <c r="E725" s="4"/>
      <c r="I725" s="135"/>
      <c r="J725" s="135"/>
      <c r="K725" s="135"/>
      <c r="L725" s="135"/>
    </row>
    <row r="726" spans="2:12" ht="12" customHeight="1" x14ac:dyDescent="0.15">
      <c r="B726" s="2"/>
      <c r="C726" s="4"/>
      <c r="D726" s="4"/>
      <c r="E726" s="4"/>
      <c r="I726" s="135"/>
      <c r="J726" s="135"/>
      <c r="K726" s="135"/>
      <c r="L726" s="135"/>
    </row>
    <row r="727" spans="2:12" ht="12" customHeight="1" x14ac:dyDescent="0.15">
      <c r="B727" s="2"/>
      <c r="C727" s="4"/>
      <c r="D727" s="4"/>
      <c r="E727" s="4"/>
      <c r="I727" s="135"/>
      <c r="J727" s="135"/>
      <c r="K727" s="135"/>
      <c r="L727" s="135"/>
    </row>
    <row r="728" spans="2:12" ht="12" customHeight="1" x14ac:dyDescent="0.15">
      <c r="B728" s="2"/>
      <c r="C728" s="4"/>
      <c r="D728" s="4"/>
      <c r="E728" s="4"/>
      <c r="I728" s="135"/>
      <c r="J728" s="135"/>
      <c r="K728" s="135"/>
      <c r="L728" s="135"/>
    </row>
    <row r="729" spans="2:12" ht="12" customHeight="1" x14ac:dyDescent="0.15">
      <c r="B729" s="2"/>
      <c r="C729" s="4"/>
      <c r="D729" s="4"/>
      <c r="E729" s="4"/>
      <c r="I729" s="135"/>
      <c r="J729" s="135"/>
      <c r="K729" s="135"/>
      <c r="L729" s="135"/>
    </row>
    <row r="730" spans="2:12" ht="12" customHeight="1" x14ac:dyDescent="0.15">
      <c r="B730" s="2"/>
      <c r="C730" s="4"/>
      <c r="D730" s="4"/>
      <c r="E730" s="4"/>
      <c r="I730" s="135"/>
      <c r="J730" s="135"/>
      <c r="K730" s="135"/>
      <c r="L730" s="135"/>
    </row>
    <row r="731" spans="2:12" ht="12" customHeight="1" x14ac:dyDescent="0.15">
      <c r="B731" s="2"/>
      <c r="C731" s="4"/>
      <c r="D731" s="4"/>
      <c r="E731" s="4"/>
      <c r="I731" s="135"/>
      <c r="J731" s="135"/>
      <c r="K731" s="135"/>
      <c r="L731" s="135"/>
    </row>
    <row r="732" spans="2:12" ht="12" customHeight="1" x14ac:dyDescent="0.15">
      <c r="B732" s="2"/>
      <c r="C732" s="4"/>
      <c r="D732" s="4"/>
      <c r="E732" s="4"/>
      <c r="I732" s="135"/>
      <c r="J732" s="135"/>
      <c r="K732" s="135"/>
      <c r="L732" s="135"/>
    </row>
    <row r="733" spans="2:12" ht="12" customHeight="1" x14ac:dyDescent="0.15">
      <c r="B733" s="2"/>
      <c r="C733" s="4"/>
      <c r="D733" s="4"/>
      <c r="E733" s="4"/>
      <c r="I733" s="135"/>
      <c r="J733" s="135"/>
      <c r="K733" s="135"/>
      <c r="L733" s="135"/>
    </row>
    <row r="734" spans="2:12" ht="12" customHeight="1" x14ac:dyDescent="0.15">
      <c r="B734" s="2"/>
      <c r="C734" s="4"/>
      <c r="D734" s="4"/>
      <c r="E734" s="4"/>
      <c r="I734" s="135"/>
      <c r="J734" s="135"/>
      <c r="K734" s="135"/>
      <c r="L734" s="135"/>
    </row>
    <row r="735" spans="2:12" ht="12" customHeight="1" x14ac:dyDescent="0.15">
      <c r="B735" s="2"/>
      <c r="C735" s="4"/>
      <c r="D735" s="4"/>
      <c r="E735" s="4"/>
      <c r="I735" s="135"/>
      <c r="J735" s="135"/>
      <c r="K735" s="135"/>
      <c r="L735" s="135"/>
    </row>
    <row r="736" spans="2:12" ht="12" customHeight="1" x14ac:dyDescent="0.15">
      <c r="B736" s="2"/>
      <c r="C736" s="4"/>
      <c r="D736" s="4"/>
      <c r="E736" s="4"/>
      <c r="I736" s="135"/>
      <c r="J736" s="135"/>
      <c r="K736" s="135"/>
      <c r="L736" s="135"/>
    </row>
    <row r="737" spans="2:12" ht="12" customHeight="1" x14ac:dyDescent="0.15">
      <c r="B737" s="2"/>
      <c r="C737" s="4"/>
      <c r="D737" s="4"/>
      <c r="E737" s="4"/>
      <c r="I737" s="135"/>
      <c r="J737" s="135"/>
      <c r="K737" s="135"/>
      <c r="L737" s="135"/>
    </row>
    <row r="738" spans="2:12" ht="12" customHeight="1" x14ac:dyDescent="0.15">
      <c r="B738" s="2"/>
      <c r="C738" s="4"/>
      <c r="D738" s="4"/>
      <c r="E738" s="4"/>
      <c r="I738" s="135"/>
      <c r="J738" s="135"/>
      <c r="K738" s="135"/>
      <c r="L738" s="135"/>
    </row>
    <row r="739" spans="2:12" ht="12" customHeight="1" x14ac:dyDescent="0.15">
      <c r="B739" s="2"/>
      <c r="C739" s="4"/>
      <c r="D739" s="4"/>
      <c r="E739" s="4"/>
      <c r="I739" s="135"/>
      <c r="J739" s="135"/>
      <c r="K739" s="135"/>
      <c r="L739" s="135"/>
    </row>
    <row r="740" spans="2:12" ht="12" customHeight="1" x14ac:dyDescent="0.15">
      <c r="B740" s="2"/>
      <c r="C740" s="4"/>
      <c r="D740" s="4"/>
      <c r="E740" s="4"/>
      <c r="I740" s="135"/>
      <c r="J740" s="135"/>
      <c r="K740" s="135"/>
      <c r="L740" s="135"/>
    </row>
    <row r="741" spans="2:12" ht="12" customHeight="1" x14ac:dyDescent="0.15">
      <c r="B741" s="2"/>
      <c r="C741" s="4"/>
      <c r="D741" s="4"/>
      <c r="E741" s="4"/>
      <c r="I741" s="135"/>
      <c r="J741" s="135"/>
      <c r="K741" s="135"/>
      <c r="L741" s="135"/>
    </row>
    <row r="742" spans="2:12" ht="12" customHeight="1" x14ac:dyDescent="0.15">
      <c r="B742" s="2"/>
      <c r="C742" s="4"/>
      <c r="D742" s="4"/>
      <c r="E742" s="4"/>
      <c r="I742" s="135"/>
      <c r="J742" s="135"/>
      <c r="K742" s="135"/>
      <c r="L742" s="135"/>
    </row>
    <row r="743" spans="2:12" ht="12" customHeight="1" x14ac:dyDescent="0.15">
      <c r="B743" s="2"/>
      <c r="C743" s="4"/>
      <c r="D743" s="4"/>
      <c r="E743" s="4"/>
      <c r="I743" s="135"/>
      <c r="J743" s="135"/>
      <c r="K743" s="135"/>
      <c r="L743" s="135"/>
    </row>
    <row r="744" spans="2:12" ht="12" customHeight="1" x14ac:dyDescent="0.15">
      <c r="B744" s="2"/>
      <c r="C744" s="4"/>
      <c r="D744" s="4"/>
      <c r="E744" s="4"/>
      <c r="I744" s="135"/>
      <c r="J744" s="135"/>
      <c r="K744" s="135"/>
      <c r="L744" s="135"/>
    </row>
    <row r="745" spans="2:12" ht="12" customHeight="1" x14ac:dyDescent="0.15">
      <c r="B745" s="2"/>
      <c r="C745" s="4"/>
      <c r="D745" s="4"/>
      <c r="E745" s="4"/>
      <c r="I745" s="135"/>
      <c r="J745" s="135"/>
      <c r="K745" s="135"/>
      <c r="L745" s="135"/>
    </row>
    <row r="746" spans="2:12" ht="12" customHeight="1" x14ac:dyDescent="0.15">
      <c r="B746" s="2"/>
      <c r="C746" s="4"/>
      <c r="D746" s="4"/>
      <c r="E746" s="4"/>
      <c r="I746" s="135"/>
      <c r="J746" s="135"/>
      <c r="K746" s="135"/>
      <c r="L746" s="135"/>
    </row>
    <row r="747" spans="2:12" ht="12" customHeight="1" x14ac:dyDescent="0.15">
      <c r="B747" s="2"/>
      <c r="C747" s="4"/>
      <c r="D747" s="4"/>
      <c r="E747" s="4"/>
      <c r="I747" s="135"/>
      <c r="J747" s="135"/>
      <c r="K747" s="135"/>
      <c r="L747" s="135"/>
    </row>
    <row r="748" spans="2:12" ht="12" customHeight="1" x14ac:dyDescent="0.15">
      <c r="B748" s="2"/>
      <c r="C748" s="4"/>
      <c r="D748" s="4"/>
      <c r="E748" s="4"/>
      <c r="I748" s="135"/>
      <c r="J748" s="135"/>
      <c r="K748" s="135"/>
      <c r="L748" s="135"/>
    </row>
    <row r="749" spans="2:12" ht="12" customHeight="1" x14ac:dyDescent="0.15">
      <c r="B749" s="2"/>
      <c r="C749" s="4"/>
      <c r="D749" s="4"/>
      <c r="E749" s="4"/>
      <c r="I749" s="135"/>
      <c r="J749" s="135"/>
      <c r="K749" s="135"/>
      <c r="L749" s="135"/>
    </row>
    <row r="750" spans="2:12" ht="12" customHeight="1" x14ac:dyDescent="0.15">
      <c r="B750" s="2"/>
      <c r="C750" s="4"/>
      <c r="D750" s="4"/>
      <c r="E750" s="4"/>
      <c r="I750" s="135"/>
      <c r="J750" s="135"/>
      <c r="K750" s="135"/>
      <c r="L750" s="135"/>
    </row>
    <row r="751" spans="2:12" ht="12" customHeight="1" x14ac:dyDescent="0.15">
      <c r="B751" s="2"/>
      <c r="C751" s="4"/>
      <c r="D751" s="4"/>
      <c r="E751" s="4"/>
      <c r="I751" s="135"/>
      <c r="J751" s="135"/>
      <c r="K751" s="135"/>
      <c r="L751" s="135"/>
    </row>
    <row r="752" spans="2:12" ht="12" customHeight="1" x14ac:dyDescent="0.15">
      <c r="B752" s="2"/>
      <c r="C752" s="4"/>
      <c r="D752" s="4"/>
      <c r="E752" s="4"/>
      <c r="I752" s="135"/>
      <c r="J752" s="135"/>
      <c r="K752" s="135"/>
      <c r="L752" s="135"/>
    </row>
    <row r="753" spans="2:12" ht="12" customHeight="1" x14ac:dyDescent="0.15">
      <c r="B753" s="2"/>
      <c r="C753" s="4"/>
      <c r="D753" s="4"/>
      <c r="E753" s="4"/>
      <c r="I753" s="135"/>
      <c r="J753" s="135"/>
      <c r="K753" s="135"/>
      <c r="L753" s="135"/>
    </row>
    <row r="754" spans="2:12" ht="12" customHeight="1" x14ac:dyDescent="0.15">
      <c r="B754" s="2"/>
      <c r="C754" s="4"/>
      <c r="D754" s="4"/>
      <c r="E754" s="4"/>
      <c r="I754" s="135"/>
      <c r="J754" s="135"/>
      <c r="K754" s="135"/>
      <c r="L754" s="135"/>
    </row>
    <row r="755" spans="2:12" ht="12" customHeight="1" x14ac:dyDescent="0.15">
      <c r="B755" s="2"/>
      <c r="C755" s="4"/>
      <c r="D755" s="4"/>
      <c r="E755" s="4"/>
      <c r="I755" s="135"/>
      <c r="J755" s="135"/>
      <c r="K755" s="135"/>
      <c r="L755" s="135"/>
    </row>
    <row r="756" spans="2:12" ht="12" customHeight="1" x14ac:dyDescent="0.15">
      <c r="B756" s="2"/>
      <c r="C756" s="4"/>
      <c r="D756" s="4"/>
      <c r="E756" s="4"/>
      <c r="I756" s="135"/>
      <c r="J756" s="135"/>
      <c r="K756" s="135"/>
      <c r="L756" s="135"/>
    </row>
    <row r="757" spans="2:12" ht="12" customHeight="1" x14ac:dyDescent="0.15">
      <c r="B757" s="2"/>
      <c r="C757" s="4"/>
      <c r="D757" s="4"/>
      <c r="E757" s="4"/>
      <c r="I757" s="135"/>
      <c r="J757" s="135"/>
      <c r="K757" s="135"/>
      <c r="L757" s="135"/>
    </row>
    <row r="758" spans="2:12" ht="12" customHeight="1" x14ac:dyDescent="0.15">
      <c r="B758" s="2"/>
      <c r="C758" s="4"/>
      <c r="D758" s="4"/>
      <c r="E758" s="4"/>
      <c r="I758" s="135"/>
      <c r="J758" s="135"/>
      <c r="K758" s="135"/>
      <c r="L758" s="135"/>
    </row>
    <row r="759" spans="2:12" ht="12" customHeight="1" x14ac:dyDescent="0.15">
      <c r="B759" s="2"/>
      <c r="C759" s="4"/>
      <c r="D759" s="4"/>
      <c r="E759" s="4"/>
      <c r="I759" s="135"/>
      <c r="J759" s="135"/>
      <c r="K759" s="135"/>
      <c r="L759" s="135"/>
    </row>
    <row r="760" spans="2:12" ht="12" customHeight="1" x14ac:dyDescent="0.15">
      <c r="B760" s="2"/>
      <c r="C760" s="4"/>
      <c r="D760" s="4"/>
      <c r="E760" s="4"/>
      <c r="I760" s="135"/>
      <c r="J760" s="135"/>
      <c r="K760" s="135"/>
      <c r="L760" s="135"/>
    </row>
    <row r="761" spans="2:12" ht="12" customHeight="1" x14ac:dyDescent="0.15">
      <c r="B761" s="2"/>
      <c r="C761" s="4"/>
      <c r="D761" s="4"/>
      <c r="E761" s="4"/>
      <c r="I761" s="135"/>
      <c r="J761" s="135"/>
      <c r="K761" s="135"/>
      <c r="L761" s="135"/>
    </row>
    <row r="762" spans="2:12" ht="12" customHeight="1" x14ac:dyDescent="0.15">
      <c r="B762" s="2"/>
      <c r="C762" s="4"/>
      <c r="D762" s="4"/>
      <c r="E762" s="4"/>
      <c r="I762" s="135"/>
      <c r="J762" s="135"/>
      <c r="K762" s="135"/>
      <c r="L762" s="135"/>
    </row>
    <row r="763" spans="2:12" ht="12" customHeight="1" x14ac:dyDescent="0.15">
      <c r="B763" s="2"/>
      <c r="C763" s="4"/>
      <c r="D763" s="4"/>
      <c r="E763" s="4"/>
      <c r="I763" s="135"/>
      <c r="J763" s="135"/>
      <c r="K763" s="135"/>
      <c r="L763" s="135"/>
    </row>
    <row r="764" spans="2:12" ht="12" customHeight="1" x14ac:dyDescent="0.15">
      <c r="B764" s="2"/>
      <c r="C764" s="4"/>
      <c r="D764" s="4"/>
      <c r="E764" s="4"/>
      <c r="I764" s="135"/>
      <c r="J764" s="135"/>
      <c r="K764" s="135"/>
      <c r="L764" s="135"/>
    </row>
    <row r="765" spans="2:12" ht="12" customHeight="1" x14ac:dyDescent="0.15">
      <c r="B765" s="2"/>
      <c r="C765" s="4"/>
      <c r="D765" s="4"/>
      <c r="E765" s="4"/>
      <c r="I765" s="135"/>
      <c r="J765" s="135"/>
      <c r="K765" s="135"/>
      <c r="L765" s="135"/>
    </row>
    <row r="766" spans="2:12" ht="12" customHeight="1" x14ac:dyDescent="0.15">
      <c r="B766" s="2"/>
      <c r="C766" s="4"/>
      <c r="D766" s="4"/>
      <c r="E766" s="4"/>
      <c r="I766" s="135"/>
      <c r="J766" s="135"/>
      <c r="K766" s="135"/>
      <c r="L766" s="135"/>
    </row>
    <row r="767" spans="2:12" ht="12" customHeight="1" x14ac:dyDescent="0.15">
      <c r="B767" s="2"/>
      <c r="C767" s="4"/>
      <c r="D767" s="4"/>
      <c r="E767" s="4"/>
      <c r="I767" s="135"/>
      <c r="J767" s="135"/>
      <c r="K767" s="135"/>
      <c r="L767" s="135"/>
    </row>
    <row r="768" spans="2:12" ht="12" customHeight="1" x14ac:dyDescent="0.15">
      <c r="B768" s="2"/>
      <c r="C768" s="4"/>
      <c r="D768" s="4"/>
      <c r="E768" s="4"/>
      <c r="I768" s="135"/>
      <c r="J768" s="135"/>
      <c r="K768" s="135"/>
      <c r="L768" s="135"/>
    </row>
    <row r="769" spans="2:12" ht="12" customHeight="1" x14ac:dyDescent="0.15">
      <c r="B769" s="2"/>
      <c r="C769" s="4"/>
      <c r="D769" s="4"/>
      <c r="E769" s="4"/>
      <c r="I769" s="135"/>
      <c r="J769" s="135"/>
      <c r="K769" s="135"/>
      <c r="L769" s="135"/>
    </row>
    <row r="770" spans="2:12" ht="12" customHeight="1" x14ac:dyDescent="0.15">
      <c r="B770" s="2"/>
      <c r="C770" s="4"/>
      <c r="D770" s="4"/>
      <c r="E770" s="4"/>
      <c r="I770" s="135"/>
      <c r="J770" s="135"/>
      <c r="K770" s="135"/>
      <c r="L770" s="135"/>
    </row>
    <row r="771" spans="2:12" ht="12" customHeight="1" x14ac:dyDescent="0.15">
      <c r="B771" s="2"/>
      <c r="C771" s="4"/>
      <c r="D771" s="4"/>
      <c r="E771" s="4"/>
      <c r="I771" s="135"/>
      <c r="J771" s="135"/>
      <c r="K771" s="135"/>
      <c r="L771" s="135"/>
    </row>
    <row r="772" spans="2:12" ht="12" customHeight="1" x14ac:dyDescent="0.15">
      <c r="B772" s="2"/>
      <c r="C772" s="4"/>
      <c r="D772" s="4"/>
      <c r="E772" s="4"/>
      <c r="I772" s="135"/>
      <c r="J772" s="135"/>
      <c r="K772" s="135"/>
      <c r="L772" s="135"/>
    </row>
    <row r="773" spans="2:12" ht="12" customHeight="1" x14ac:dyDescent="0.15">
      <c r="B773" s="2"/>
      <c r="C773" s="4"/>
      <c r="D773" s="4"/>
      <c r="E773" s="4"/>
      <c r="I773" s="135"/>
      <c r="J773" s="135"/>
      <c r="K773" s="135"/>
      <c r="L773" s="135"/>
    </row>
    <row r="774" spans="2:12" ht="12" customHeight="1" x14ac:dyDescent="0.15">
      <c r="B774" s="2"/>
      <c r="C774" s="4"/>
      <c r="D774" s="4"/>
      <c r="E774" s="4"/>
      <c r="I774" s="135"/>
      <c r="J774" s="135"/>
      <c r="K774" s="135"/>
      <c r="L774" s="135"/>
    </row>
    <row r="775" spans="2:12" ht="12" customHeight="1" x14ac:dyDescent="0.15">
      <c r="B775" s="2"/>
      <c r="C775" s="4"/>
      <c r="D775" s="4"/>
      <c r="E775" s="4"/>
      <c r="I775" s="135"/>
      <c r="J775" s="135"/>
      <c r="K775" s="135"/>
      <c r="L775" s="135"/>
    </row>
    <row r="776" spans="2:12" ht="12" customHeight="1" x14ac:dyDescent="0.15">
      <c r="B776" s="2"/>
      <c r="C776" s="4"/>
      <c r="D776" s="4"/>
      <c r="E776" s="4"/>
      <c r="I776" s="135"/>
      <c r="J776" s="135"/>
      <c r="K776" s="135"/>
      <c r="L776" s="135"/>
    </row>
    <row r="777" spans="2:12" ht="12" customHeight="1" x14ac:dyDescent="0.15">
      <c r="B777" s="2"/>
      <c r="C777" s="4"/>
      <c r="D777" s="4"/>
      <c r="E777" s="4"/>
      <c r="I777" s="135"/>
      <c r="J777" s="135"/>
      <c r="K777" s="135"/>
      <c r="L777" s="135"/>
    </row>
    <row r="778" spans="2:12" ht="12" customHeight="1" x14ac:dyDescent="0.15">
      <c r="B778" s="2"/>
      <c r="C778" s="4"/>
      <c r="D778" s="4"/>
      <c r="E778" s="4"/>
      <c r="I778" s="135"/>
      <c r="J778" s="135"/>
      <c r="K778" s="135"/>
      <c r="L778" s="135"/>
    </row>
    <row r="779" spans="2:12" ht="12" customHeight="1" x14ac:dyDescent="0.15">
      <c r="B779" s="2"/>
      <c r="C779" s="4"/>
      <c r="D779" s="4"/>
      <c r="E779" s="4"/>
      <c r="I779" s="135"/>
      <c r="J779" s="135"/>
      <c r="K779" s="135"/>
      <c r="L779" s="135"/>
    </row>
    <row r="780" spans="2:12" ht="12" customHeight="1" x14ac:dyDescent="0.15">
      <c r="B780" s="2"/>
      <c r="C780" s="4"/>
      <c r="D780" s="4"/>
      <c r="E780" s="4"/>
      <c r="I780" s="135"/>
      <c r="J780" s="135"/>
      <c r="K780" s="135"/>
      <c r="L780" s="135"/>
    </row>
    <row r="781" spans="2:12" ht="12" customHeight="1" x14ac:dyDescent="0.15">
      <c r="B781" s="2"/>
      <c r="C781" s="4"/>
      <c r="D781" s="4"/>
      <c r="E781" s="4"/>
      <c r="I781" s="135"/>
      <c r="J781" s="135"/>
      <c r="K781" s="135"/>
      <c r="L781" s="135"/>
    </row>
    <row r="782" spans="2:12" ht="12" customHeight="1" x14ac:dyDescent="0.15">
      <c r="B782" s="2"/>
      <c r="C782" s="4"/>
      <c r="D782" s="4"/>
      <c r="E782" s="4"/>
      <c r="I782" s="135"/>
      <c r="J782" s="135"/>
      <c r="K782" s="135"/>
      <c r="L782" s="135"/>
    </row>
    <row r="783" spans="2:12" ht="12" customHeight="1" x14ac:dyDescent="0.15">
      <c r="B783" s="2"/>
      <c r="C783" s="4"/>
      <c r="D783" s="4"/>
      <c r="E783" s="4"/>
      <c r="I783" s="135"/>
      <c r="J783" s="135"/>
      <c r="K783" s="135"/>
      <c r="L783" s="135"/>
    </row>
    <row r="784" spans="2:12" ht="12" customHeight="1" x14ac:dyDescent="0.15">
      <c r="B784" s="2"/>
      <c r="C784" s="4"/>
      <c r="D784" s="4"/>
      <c r="E784" s="4"/>
      <c r="I784" s="135"/>
      <c r="J784" s="135"/>
      <c r="K784" s="135"/>
      <c r="L784" s="135"/>
    </row>
    <row r="785" spans="2:12" ht="12" customHeight="1" x14ac:dyDescent="0.15">
      <c r="B785" s="2"/>
      <c r="C785" s="4"/>
      <c r="D785" s="4"/>
      <c r="E785" s="4"/>
      <c r="I785" s="135"/>
      <c r="J785" s="135"/>
      <c r="K785" s="135"/>
      <c r="L785" s="135"/>
    </row>
    <row r="786" spans="2:12" ht="12" customHeight="1" x14ac:dyDescent="0.15">
      <c r="B786" s="2"/>
      <c r="C786" s="4"/>
      <c r="D786" s="4"/>
      <c r="E786" s="4"/>
      <c r="I786" s="135"/>
      <c r="J786" s="135"/>
      <c r="K786" s="135"/>
      <c r="L786" s="135"/>
    </row>
    <row r="787" spans="2:12" ht="12" customHeight="1" x14ac:dyDescent="0.15">
      <c r="B787" s="2"/>
      <c r="C787" s="4"/>
      <c r="D787" s="4"/>
      <c r="E787" s="4"/>
      <c r="I787" s="135"/>
      <c r="J787" s="135"/>
      <c r="K787" s="135"/>
      <c r="L787" s="135"/>
    </row>
    <row r="788" spans="2:12" ht="12" customHeight="1" x14ac:dyDescent="0.15">
      <c r="B788" s="2"/>
      <c r="C788" s="4"/>
      <c r="D788" s="4"/>
      <c r="E788" s="4"/>
      <c r="I788" s="135"/>
      <c r="J788" s="135"/>
      <c r="K788" s="135"/>
      <c r="L788" s="135"/>
    </row>
    <row r="789" spans="2:12" ht="12" customHeight="1" x14ac:dyDescent="0.15">
      <c r="B789" s="2"/>
      <c r="C789" s="4"/>
      <c r="D789" s="4"/>
      <c r="E789" s="4"/>
      <c r="I789" s="135"/>
      <c r="J789" s="135"/>
      <c r="K789" s="135"/>
      <c r="L789" s="135"/>
    </row>
    <row r="790" spans="2:12" ht="12" customHeight="1" x14ac:dyDescent="0.15">
      <c r="B790" s="2"/>
      <c r="C790" s="4"/>
      <c r="D790" s="4"/>
      <c r="E790" s="4"/>
      <c r="I790" s="135"/>
      <c r="J790" s="135"/>
      <c r="K790" s="135"/>
      <c r="L790" s="135"/>
    </row>
    <row r="791" spans="2:12" ht="12" customHeight="1" x14ac:dyDescent="0.15">
      <c r="B791" s="2"/>
      <c r="C791" s="4"/>
      <c r="D791" s="4"/>
      <c r="E791" s="4"/>
      <c r="I791" s="135"/>
      <c r="J791" s="135"/>
      <c r="K791" s="135"/>
      <c r="L791" s="135"/>
    </row>
    <row r="792" spans="2:12" ht="12" customHeight="1" x14ac:dyDescent="0.15">
      <c r="B792" s="2"/>
      <c r="C792" s="4"/>
      <c r="D792" s="4"/>
      <c r="E792" s="4"/>
      <c r="I792" s="135"/>
      <c r="J792" s="135"/>
      <c r="K792" s="135"/>
      <c r="L792" s="135"/>
    </row>
    <row r="793" spans="2:12" ht="12" customHeight="1" x14ac:dyDescent="0.15">
      <c r="B793" s="2"/>
      <c r="C793" s="4"/>
      <c r="D793" s="4"/>
      <c r="E793" s="4"/>
      <c r="I793" s="135"/>
      <c r="J793" s="135"/>
      <c r="K793" s="135"/>
      <c r="L793" s="135"/>
    </row>
    <row r="794" spans="2:12" ht="12" customHeight="1" x14ac:dyDescent="0.15">
      <c r="B794" s="2"/>
      <c r="C794" s="4"/>
      <c r="D794" s="4"/>
      <c r="E794" s="4"/>
      <c r="I794" s="135"/>
      <c r="J794" s="135"/>
      <c r="K794" s="135"/>
      <c r="L794" s="135"/>
    </row>
    <row r="795" spans="2:12" ht="12" customHeight="1" x14ac:dyDescent="0.15">
      <c r="B795" s="2"/>
      <c r="C795" s="4"/>
      <c r="D795" s="4"/>
      <c r="E795" s="4"/>
      <c r="I795" s="135"/>
      <c r="J795" s="135"/>
      <c r="K795" s="135"/>
      <c r="L795" s="135"/>
    </row>
    <row r="796" spans="2:12" ht="12" customHeight="1" x14ac:dyDescent="0.15">
      <c r="B796" s="2"/>
      <c r="C796" s="4"/>
      <c r="D796" s="4"/>
      <c r="E796" s="4"/>
      <c r="I796" s="135"/>
      <c r="J796" s="135"/>
      <c r="K796" s="135"/>
      <c r="L796" s="135"/>
    </row>
    <row r="797" spans="2:12" ht="12" customHeight="1" x14ac:dyDescent="0.15">
      <c r="B797" s="2"/>
      <c r="C797" s="4"/>
      <c r="D797" s="4"/>
      <c r="E797" s="4"/>
      <c r="I797" s="135"/>
      <c r="J797" s="135"/>
      <c r="K797" s="135"/>
      <c r="L797" s="135"/>
    </row>
    <row r="798" spans="2:12" ht="12" customHeight="1" x14ac:dyDescent="0.15">
      <c r="B798" s="2"/>
      <c r="C798" s="4"/>
      <c r="D798" s="4"/>
      <c r="E798" s="4"/>
      <c r="I798" s="135"/>
      <c r="J798" s="135"/>
      <c r="K798" s="135"/>
      <c r="L798" s="135"/>
    </row>
    <row r="799" spans="2:12" ht="12" customHeight="1" x14ac:dyDescent="0.15">
      <c r="B799" s="2"/>
      <c r="C799" s="4"/>
      <c r="D799" s="4"/>
      <c r="E799" s="4"/>
      <c r="I799" s="135"/>
      <c r="J799" s="135"/>
      <c r="K799" s="135"/>
      <c r="L799" s="135"/>
    </row>
    <row r="800" spans="2:12" ht="12" customHeight="1" x14ac:dyDescent="0.15">
      <c r="B800" s="2"/>
      <c r="C800" s="4"/>
      <c r="D800" s="4"/>
      <c r="E800" s="4"/>
      <c r="I800" s="135"/>
      <c r="J800" s="135"/>
      <c r="K800" s="135"/>
      <c r="L800" s="135"/>
    </row>
    <row r="801" spans="2:12" ht="12" customHeight="1" x14ac:dyDescent="0.15">
      <c r="B801" s="2"/>
      <c r="C801" s="4"/>
      <c r="D801" s="4"/>
      <c r="E801" s="4"/>
      <c r="I801" s="135"/>
      <c r="J801" s="135"/>
      <c r="K801" s="135"/>
      <c r="L801" s="135"/>
    </row>
    <row r="802" spans="2:12" ht="12" customHeight="1" x14ac:dyDescent="0.15">
      <c r="B802" s="2"/>
      <c r="C802" s="4"/>
      <c r="D802" s="4"/>
      <c r="E802" s="4"/>
      <c r="I802" s="135"/>
      <c r="J802" s="135"/>
      <c r="K802" s="135"/>
      <c r="L802" s="135"/>
    </row>
    <row r="803" spans="2:12" ht="12" customHeight="1" x14ac:dyDescent="0.15">
      <c r="B803" s="2"/>
      <c r="C803" s="4"/>
      <c r="D803" s="4"/>
      <c r="E803" s="4"/>
      <c r="I803" s="135"/>
      <c r="J803" s="135"/>
      <c r="K803" s="135"/>
      <c r="L803" s="135"/>
    </row>
    <row r="804" spans="2:12" ht="12" customHeight="1" x14ac:dyDescent="0.15">
      <c r="B804" s="2"/>
      <c r="C804" s="4"/>
      <c r="D804" s="4"/>
      <c r="E804" s="4"/>
      <c r="I804" s="135"/>
      <c r="J804" s="135"/>
      <c r="K804" s="135"/>
      <c r="L804" s="135"/>
    </row>
    <row r="805" spans="2:12" ht="12" customHeight="1" x14ac:dyDescent="0.15">
      <c r="B805" s="2"/>
      <c r="C805" s="4"/>
      <c r="D805" s="4"/>
      <c r="E805" s="4"/>
      <c r="I805" s="135"/>
      <c r="J805" s="135"/>
      <c r="K805" s="135"/>
      <c r="L805" s="135"/>
    </row>
    <row r="806" spans="2:12" ht="12" customHeight="1" x14ac:dyDescent="0.15">
      <c r="B806" s="2"/>
      <c r="C806" s="4"/>
      <c r="D806" s="4"/>
      <c r="E806" s="4"/>
      <c r="I806" s="135"/>
      <c r="J806" s="135"/>
      <c r="K806" s="135"/>
      <c r="L806" s="135"/>
    </row>
    <row r="807" spans="2:12" ht="12" customHeight="1" x14ac:dyDescent="0.15">
      <c r="B807" s="2"/>
      <c r="C807" s="4"/>
      <c r="D807" s="4"/>
      <c r="E807" s="4"/>
      <c r="I807" s="135"/>
      <c r="J807" s="135"/>
      <c r="K807" s="135"/>
      <c r="L807" s="135"/>
    </row>
    <row r="808" spans="2:12" ht="12" customHeight="1" x14ac:dyDescent="0.15">
      <c r="B808" s="2"/>
      <c r="C808" s="4"/>
      <c r="D808" s="4"/>
      <c r="E808" s="4"/>
      <c r="I808" s="135"/>
      <c r="J808" s="135"/>
      <c r="K808" s="135"/>
      <c r="L808" s="135"/>
    </row>
    <row r="809" spans="2:12" ht="12" customHeight="1" x14ac:dyDescent="0.15">
      <c r="B809" s="2"/>
      <c r="C809" s="4"/>
      <c r="D809" s="4"/>
      <c r="E809" s="4"/>
      <c r="I809" s="135"/>
      <c r="J809" s="135"/>
      <c r="K809" s="135"/>
      <c r="L809" s="135"/>
    </row>
    <row r="810" spans="2:12" ht="12" customHeight="1" x14ac:dyDescent="0.15">
      <c r="B810" s="2"/>
      <c r="C810" s="4"/>
      <c r="D810" s="4"/>
      <c r="E810" s="4"/>
      <c r="I810" s="135"/>
      <c r="J810" s="135"/>
      <c r="K810" s="135"/>
      <c r="L810" s="135"/>
    </row>
    <row r="811" spans="2:12" ht="12" customHeight="1" x14ac:dyDescent="0.15">
      <c r="B811" s="2"/>
      <c r="C811" s="4"/>
      <c r="D811" s="4"/>
      <c r="E811" s="4"/>
      <c r="I811" s="135"/>
      <c r="J811" s="135"/>
      <c r="K811" s="135"/>
      <c r="L811" s="135"/>
    </row>
    <row r="812" spans="2:12" ht="12" customHeight="1" x14ac:dyDescent="0.15">
      <c r="B812" s="2"/>
      <c r="C812" s="4"/>
      <c r="D812" s="4"/>
      <c r="E812" s="4"/>
      <c r="I812" s="135"/>
      <c r="J812" s="135"/>
      <c r="K812" s="135"/>
      <c r="L812" s="135"/>
    </row>
    <row r="813" spans="2:12" ht="12" customHeight="1" x14ac:dyDescent="0.15">
      <c r="B813" s="2"/>
      <c r="C813" s="4"/>
      <c r="D813" s="4"/>
      <c r="E813" s="4"/>
      <c r="I813" s="135"/>
      <c r="J813" s="135"/>
      <c r="K813" s="135"/>
      <c r="L813" s="135"/>
    </row>
    <row r="814" spans="2:12" ht="12" customHeight="1" x14ac:dyDescent="0.15">
      <c r="B814" s="2"/>
      <c r="C814" s="4"/>
      <c r="D814" s="4"/>
      <c r="E814" s="4"/>
      <c r="I814" s="135"/>
      <c r="J814" s="135"/>
      <c r="K814" s="135"/>
      <c r="L814" s="135"/>
    </row>
    <row r="815" spans="2:12" ht="12" customHeight="1" x14ac:dyDescent="0.15">
      <c r="B815" s="2"/>
      <c r="C815" s="4"/>
      <c r="D815" s="4"/>
      <c r="E815" s="4"/>
      <c r="I815" s="135"/>
      <c r="J815" s="135"/>
      <c r="K815" s="135"/>
      <c r="L815" s="135"/>
    </row>
    <row r="816" spans="2:12" ht="12" customHeight="1" x14ac:dyDescent="0.15">
      <c r="B816" s="2"/>
      <c r="C816" s="4"/>
      <c r="D816" s="4"/>
      <c r="E816" s="4"/>
      <c r="I816" s="135"/>
      <c r="J816" s="135"/>
      <c r="K816" s="135"/>
      <c r="L816" s="135"/>
    </row>
    <row r="817" spans="2:12" ht="12" customHeight="1" x14ac:dyDescent="0.15">
      <c r="B817" s="2"/>
      <c r="C817" s="4"/>
      <c r="D817" s="4"/>
      <c r="E817" s="4"/>
      <c r="I817" s="135"/>
      <c r="J817" s="135"/>
      <c r="K817" s="135"/>
      <c r="L817" s="135"/>
    </row>
    <row r="818" spans="2:12" ht="12" customHeight="1" x14ac:dyDescent="0.15">
      <c r="B818" s="2"/>
      <c r="C818" s="4"/>
      <c r="D818" s="4"/>
      <c r="E818" s="4"/>
      <c r="I818" s="135"/>
      <c r="J818" s="135"/>
      <c r="K818" s="135"/>
      <c r="L818" s="135"/>
    </row>
    <row r="819" spans="2:12" ht="12" customHeight="1" x14ac:dyDescent="0.15">
      <c r="B819" s="2"/>
      <c r="C819" s="4"/>
      <c r="D819" s="4"/>
      <c r="E819" s="4"/>
      <c r="I819" s="135"/>
      <c r="J819" s="135"/>
      <c r="K819" s="135"/>
      <c r="L819" s="135"/>
    </row>
    <row r="820" spans="2:12" ht="12" customHeight="1" x14ac:dyDescent="0.15">
      <c r="B820" s="2"/>
      <c r="C820" s="4"/>
      <c r="D820" s="4"/>
      <c r="E820" s="4"/>
      <c r="I820" s="135"/>
      <c r="J820" s="135"/>
      <c r="K820" s="135"/>
      <c r="L820" s="135"/>
    </row>
    <row r="821" spans="2:12" ht="12" customHeight="1" x14ac:dyDescent="0.15">
      <c r="B821" s="2"/>
      <c r="C821" s="4"/>
      <c r="D821" s="4"/>
      <c r="E821" s="4"/>
      <c r="I821" s="135"/>
      <c r="J821" s="135"/>
      <c r="K821" s="135"/>
      <c r="L821" s="135"/>
    </row>
    <row r="822" spans="2:12" ht="12" customHeight="1" x14ac:dyDescent="0.15">
      <c r="B822" s="2"/>
      <c r="C822" s="4"/>
      <c r="D822" s="4"/>
      <c r="E822" s="4"/>
      <c r="I822" s="135"/>
      <c r="J822" s="135"/>
      <c r="K822" s="135"/>
      <c r="L822" s="135"/>
    </row>
    <row r="823" spans="2:12" ht="12" customHeight="1" x14ac:dyDescent="0.15">
      <c r="B823" s="2"/>
      <c r="C823" s="4"/>
      <c r="D823" s="4"/>
      <c r="E823" s="4"/>
      <c r="I823" s="135"/>
      <c r="J823" s="135"/>
      <c r="K823" s="135"/>
      <c r="L823" s="135"/>
    </row>
    <row r="824" spans="2:12" ht="12" customHeight="1" x14ac:dyDescent="0.15">
      <c r="B824" s="2"/>
      <c r="C824" s="4"/>
      <c r="D824" s="4"/>
      <c r="E824" s="4"/>
      <c r="I824" s="135"/>
      <c r="J824" s="135"/>
      <c r="K824" s="135"/>
      <c r="L824" s="135"/>
    </row>
    <row r="825" spans="2:12" ht="12" customHeight="1" x14ac:dyDescent="0.15">
      <c r="B825" s="2"/>
      <c r="C825" s="4"/>
      <c r="D825" s="4"/>
      <c r="E825" s="4"/>
      <c r="I825" s="135"/>
      <c r="J825" s="135"/>
      <c r="K825" s="135"/>
      <c r="L825" s="135"/>
    </row>
    <row r="826" spans="2:12" ht="12" customHeight="1" x14ac:dyDescent="0.15">
      <c r="B826" s="2"/>
      <c r="C826" s="4"/>
      <c r="D826" s="4"/>
      <c r="E826" s="4"/>
      <c r="I826" s="135"/>
      <c r="J826" s="135"/>
      <c r="K826" s="135"/>
      <c r="L826" s="135"/>
    </row>
    <row r="827" spans="2:12" ht="12" customHeight="1" x14ac:dyDescent="0.15">
      <c r="B827" s="2"/>
      <c r="C827" s="4"/>
      <c r="D827" s="4"/>
      <c r="E827" s="4"/>
      <c r="I827" s="135"/>
      <c r="J827" s="135"/>
      <c r="K827" s="135"/>
      <c r="L827" s="135"/>
    </row>
    <row r="828" spans="2:12" ht="12" customHeight="1" x14ac:dyDescent="0.15">
      <c r="B828" s="2"/>
      <c r="C828" s="4"/>
      <c r="D828" s="4"/>
      <c r="E828" s="4"/>
      <c r="I828" s="135"/>
      <c r="J828" s="135"/>
      <c r="K828" s="135"/>
      <c r="L828" s="135"/>
    </row>
    <row r="829" spans="2:12" ht="12" customHeight="1" x14ac:dyDescent="0.15">
      <c r="B829" s="2"/>
      <c r="C829" s="4"/>
      <c r="D829" s="4"/>
      <c r="E829" s="4"/>
      <c r="I829" s="135"/>
      <c r="J829" s="135"/>
      <c r="K829" s="135"/>
      <c r="L829" s="135"/>
    </row>
    <row r="830" spans="2:12" ht="12" customHeight="1" x14ac:dyDescent="0.15">
      <c r="B830" s="2"/>
      <c r="C830" s="4"/>
      <c r="D830" s="4"/>
      <c r="E830" s="4"/>
      <c r="I830" s="135"/>
      <c r="J830" s="135"/>
      <c r="K830" s="135"/>
      <c r="L830" s="135"/>
    </row>
    <row r="831" spans="2:12" ht="12" customHeight="1" x14ac:dyDescent="0.15">
      <c r="B831" s="2"/>
      <c r="C831" s="4"/>
      <c r="D831" s="4"/>
      <c r="E831" s="4"/>
      <c r="I831" s="135"/>
      <c r="J831" s="135"/>
      <c r="K831" s="135"/>
      <c r="L831" s="135"/>
    </row>
    <row r="832" spans="2:12" ht="12" customHeight="1" x14ac:dyDescent="0.15">
      <c r="B832" s="2"/>
      <c r="C832" s="4"/>
      <c r="D832" s="4"/>
      <c r="E832" s="4"/>
      <c r="I832" s="135"/>
      <c r="J832" s="135"/>
      <c r="K832" s="135"/>
      <c r="L832" s="135"/>
    </row>
    <row r="833" spans="2:12" ht="12" customHeight="1" x14ac:dyDescent="0.15">
      <c r="B833" s="2"/>
      <c r="C833" s="4"/>
      <c r="D833" s="4"/>
      <c r="E833" s="4"/>
      <c r="I833" s="135"/>
      <c r="J833" s="135"/>
      <c r="K833" s="135"/>
      <c r="L833" s="135"/>
    </row>
    <row r="834" spans="2:12" ht="12" customHeight="1" x14ac:dyDescent="0.15">
      <c r="B834" s="2"/>
      <c r="C834" s="4"/>
      <c r="D834" s="4"/>
      <c r="E834" s="4"/>
      <c r="I834" s="135"/>
      <c r="J834" s="135"/>
      <c r="K834" s="135"/>
      <c r="L834" s="135"/>
    </row>
    <row r="835" spans="2:12" ht="12" customHeight="1" x14ac:dyDescent="0.15">
      <c r="B835" s="2"/>
      <c r="C835" s="4"/>
      <c r="D835" s="4"/>
      <c r="E835" s="4"/>
      <c r="I835" s="135"/>
      <c r="J835" s="135"/>
      <c r="K835" s="135"/>
      <c r="L835" s="135"/>
    </row>
    <row r="836" spans="2:12" ht="12" customHeight="1" x14ac:dyDescent="0.15">
      <c r="B836" s="2"/>
      <c r="C836" s="4"/>
      <c r="D836" s="4"/>
      <c r="E836" s="4"/>
      <c r="I836" s="135"/>
      <c r="J836" s="135"/>
      <c r="K836" s="135"/>
      <c r="L836" s="135"/>
    </row>
    <row r="837" spans="2:12" ht="12" customHeight="1" x14ac:dyDescent="0.15">
      <c r="B837" s="2"/>
      <c r="C837" s="4"/>
      <c r="D837" s="4"/>
      <c r="E837" s="4"/>
      <c r="I837" s="135"/>
      <c r="J837" s="135"/>
      <c r="K837" s="135"/>
      <c r="L837" s="135"/>
    </row>
    <row r="838" spans="2:12" ht="12" customHeight="1" x14ac:dyDescent="0.15">
      <c r="B838" s="2"/>
      <c r="C838" s="4"/>
      <c r="D838" s="4"/>
      <c r="E838" s="4"/>
      <c r="I838" s="135"/>
      <c r="J838" s="135"/>
      <c r="K838" s="135"/>
      <c r="L838" s="135"/>
    </row>
    <row r="839" spans="2:12" ht="12" customHeight="1" x14ac:dyDescent="0.15">
      <c r="B839" s="2"/>
      <c r="C839" s="4"/>
      <c r="D839" s="4"/>
      <c r="E839" s="4"/>
      <c r="I839" s="135"/>
      <c r="J839" s="135"/>
      <c r="K839" s="135"/>
      <c r="L839" s="135"/>
    </row>
    <row r="840" spans="2:12" ht="12" customHeight="1" x14ac:dyDescent="0.15">
      <c r="B840" s="2"/>
      <c r="C840" s="4"/>
      <c r="D840" s="4"/>
      <c r="E840" s="4"/>
      <c r="I840" s="135"/>
      <c r="J840" s="135"/>
      <c r="K840" s="135"/>
      <c r="L840" s="135"/>
    </row>
    <row r="841" spans="2:12" ht="12" customHeight="1" x14ac:dyDescent="0.15">
      <c r="B841" s="2"/>
      <c r="C841" s="4"/>
      <c r="D841" s="4"/>
      <c r="E841" s="4"/>
      <c r="I841" s="135"/>
      <c r="J841" s="135"/>
      <c r="K841" s="135"/>
      <c r="L841" s="135"/>
    </row>
    <row r="842" spans="2:12" ht="12" customHeight="1" x14ac:dyDescent="0.15">
      <c r="B842" s="2"/>
      <c r="C842" s="4"/>
      <c r="D842" s="4"/>
      <c r="E842" s="4"/>
      <c r="I842" s="135"/>
      <c r="J842" s="135"/>
      <c r="K842" s="135"/>
      <c r="L842" s="135"/>
    </row>
    <row r="843" spans="2:12" ht="12" customHeight="1" x14ac:dyDescent="0.15">
      <c r="B843" s="2"/>
      <c r="C843" s="4"/>
      <c r="D843" s="4"/>
      <c r="E843" s="4"/>
      <c r="I843" s="135"/>
      <c r="J843" s="135"/>
      <c r="K843" s="135"/>
      <c r="L843" s="135"/>
    </row>
    <row r="844" spans="2:12" ht="12" customHeight="1" x14ac:dyDescent="0.15">
      <c r="B844" s="2"/>
      <c r="C844" s="4"/>
      <c r="D844" s="4"/>
      <c r="E844" s="4"/>
      <c r="I844" s="135"/>
      <c r="J844" s="135"/>
      <c r="K844" s="135"/>
      <c r="L844" s="135"/>
    </row>
    <row r="845" spans="2:12" ht="12" customHeight="1" x14ac:dyDescent="0.15">
      <c r="B845" s="2"/>
      <c r="C845" s="4"/>
      <c r="D845" s="4"/>
      <c r="E845" s="4"/>
      <c r="I845" s="135"/>
      <c r="J845" s="135"/>
      <c r="K845" s="135"/>
      <c r="L845" s="135"/>
    </row>
    <row r="846" spans="2:12" ht="12" customHeight="1" x14ac:dyDescent="0.15">
      <c r="B846" s="2"/>
      <c r="C846" s="4"/>
      <c r="D846" s="4"/>
      <c r="E846" s="4"/>
      <c r="I846" s="135"/>
      <c r="J846" s="135"/>
      <c r="K846" s="135"/>
      <c r="L846" s="135"/>
    </row>
    <row r="847" spans="2:12" ht="12" customHeight="1" x14ac:dyDescent="0.15">
      <c r="B847" s="2"/>
      <c r="C847" s="4"/>
      <c r="D847" s="4"/>
      <c r="E847" s="4"/>
      <c r="I847" s="135"/>
      <c r="J847" s="135"/>
      <c r="K847" s="135"/>
      <c r="L847" s="135"/>
    </row>
    <row r="848" spans="2:12" ht="12" customHeight="1" x14ac:dyDescent="0.15">
      <c r="B848" s="2"/>
      <c r="C848" s="4"/>
      <c r="D848" s="4"/>
      <c r="E848" s="4"/>
      <c r="I848" s="135"/>
      <c r="J848" s="135"/>
      <c r="K848" s="135"/>
      <c r="L848" s="135"/>
    </row>
    <row r="849" spans="2:12" ht="12" customHeight="1" x14ac:dyDescent="0.15">
      <c r="B849" s="2"/>
      <c r="C849" s="4"/>
      <c r="D849" s="4"/>
      <c r="E849" s="4"/>
      <c r="I849" s="135"/>
      <c r="J849" s="135"/>
      <c r="K849" s="135"/>
      <c r="L849" s="135"/>
    </row>
    <row r="850" spans="2:12" ht="12" customHeight="1" x14ac:dyDescent="0.15">
      <c r="B850" s="2"/>
      <c r="C850" s="4"/>
      <c r="D850" s="4"/>
      <c r="E850" s="4"/>
      <c r="I850" s="135"/>
      <c r="J850" s="135"/>
      <c r="K850" s="135"/>
      <c r="L850" s="135"/>
    </row>
    <row r="851" spans="2:12" ht="12" customHeight="1" x14ac:dyDescent="0.15">
      <c r="B851" s="2"/>
      <c r="C851" s="4"/>
      <c r="D851" s="4"/>
      <c r="E851" s="4"/>
      <c r="I851" s="135"/>
      <c r="J851" s="135"/>
      <c r="K851" s="135"/>
      <c r="L851" s="135"/>
    </row>
    <row r="852" spans="2:12" ht="12" customHeight="1" x14ac:dyDescent="0.15">
      <c r="B852" s="2"/>
      <c r="C852" s="4"/>
      <c r="D852" s="4"/>
      <c r="E852" s="4"/>
      <c r="I852" s="135"/>
      <c r="J852" s="135"/>
      <c r="K852" s="135"/>
      <c r="L852" s="135"/>
    </row>
    <row r="853" spans="2:12" ht="12" customHeight="1" x14ac:dyDescent="0.15">
      <c r="B853" s="2"/>
      <c r="C853" s="4"/>
      <c r="D853" s="4"/>
      <c r="E853" s="4"/>
      <c r="I853" s="135"/>
      <c r="J853" s="135"/>
      <c r="K853" s="135"/>
      <c r="L853" s="135"/>
    </row>
    <row r="854" spans="2:12" ht="12" customHeight="1" x14ac:dyDescent="0.15">
      <c r="B854" s="2"/>
      <c r="C854" s="4"/>
      <c r="D854" s="4"/>
      <c r="E854" s="4"/>
      <c r="I854" s="135"/>
      <c r="J854" s="135"/>
      <c r="K854" s="135"/>
      <c r="L854" s="135"/>
    </row>
    <row r="855" spans="2:12" ht="12" customHeight="1" x14ac:dyDescent="0.15">
      <c r="B855" s="2"/>
      <c r="C855" s="4"/>
      <c r="D855" s="4"/>
      <c r="E855" s="4"/>
      <c r="I855" s="135"/>
      <c r="J855" s="135"/>
      <c r="K855" s="135"/>
      <c r="L855" s="135"/>
    </row>
    <row r="856" spans="2:12" ht="12" customHeight="1" x14ac:dyDescent="0.15">
      <c r="B856" s="2"/>
      <c r="C856" s="4"/>
      <c r="D856" s="4"/>
      <c r="E856" s="4"/>
      <c r="I856" s="135"/>
      <c r="J856" s="135"/>
      <c r="K856" s="135"/>
      <c r="L856" s="135"/>
    </row>
    <row r="857" spans="2:12" ht="12" customHeight="1" x14ac:dyDescent="0.15">
      <c r="B857" s="2"/>
      <c r="C857" s="4"/>
      <c r="D857" s="4"/>
      <c r="E857" s="4"/>
      <c r="I857" s="135"/>
      <c r="J857" s="135"/>
      <c r="K857" s="135"/>
      <c r="L857" s="135"/>
    </row>
    <row r="858" spans="2:12" ht="12" customHeight="1" x14ac:dyDescent="0.15">
      <c r="B858" s="2"/>
      <c r="C858" s="4"/>
      <c r="D858" s="4"/>
      <c r="E858" s="4"/>
      <c r="I858" s="135"/>
      <c r="J858" s="135"/>
      <c r="K858" s="135"/>
      <c r="L858" s="135"/>
    </row>
    <row r="859" spans="2:12" ht="12" customHeight="1" x14ac:dyDescent="0.15">
      <c r="B859" s="2"/>
      <c r="C859" s="4"/>
      <c r="D859" s="4"/>
      <c r="E859" s="4"/>
      <c r="I859" s="135"/>
      <c r="J859" s="135"/>
      <c r="K859" s="135"/>
      <c r="L859" s="135"/>
    </row>
    <row r="860" spans="2:12" ht="12" customHeight="1" x14ac:dyDescent="0.15">
      <c r="B860" s="2"/>
      <c r="C860" s="4"/>
      <c r="D860" s="4"/>
      <c r="E860" s="4"/>
      <c r="I860" s="135"/>
      <c r="J860" s="135"/>
      <c r="K860" s="135"/>
      <c r="L860" s="135"/>
    </row>
    <row r="861" spans="2:12" ht="12" customHeight="1" x14ac:dyDescent="0.15">
      <c r="B861" s="2"/>
      <c r="C861" s="4"/>
      <c r="D861" s="4"/>
      <c r="E861" s="4"/>
      <c r="I861" s="135"/>
      <c r="J861" s="135"/>
      <c r="K861" s="135"/>
      <c r="L861" s="135"/>
    </row>
    <row r="862" spans="2:12" ht="12" customHeight="1" x14ac:dyDescent="0.15">
      <c r="B862" s="2"/>
      <c r="C862" s="4"/>
      <c r="D862" s="4"/>
      <c r="E862" s="4"/>
      <c r="I862" s="135"/>
      <c r="J862" s="135"/>
      <c r="K862" s="135"/>
      <c r="L862" s="135"/>
    </row>
    <row r="863" spans="2:12" ht="12" customHeight="1" x14ac:dyDescent="0.15">
      <c r="B863" s="2"/>
      <c r="C863" s="4"/>
      <c r="D863" s="4"/>
      <c r="E863" s="4"/>
      <c r="I863" s="135"/>
      <c r="J863" s="135"/>
      <c r="K863" s="135"/>
      <c r="L863" s="135"/>
    </row>
    <row r="864" spans="2:12" ht="12" customHeight="1" x14ac:dyDescent="0.15">
      <c r="B864" s="2"/>
      <c r="C864" s="4"/>
      <c r="D864" s="4"/>
      <c r="E864" s="4"/>
      <c r="I864" s="135"/>
      <c r="J864" s="135"/>
      <c r="K864" s="135"/>
      <c r="L864" s="135"/>
    </row>
    <row r="865" spans="2:12" ht="12" customHeight="1" x14ac:dyDescent="0.15">
      <c r="B865" s="2"/>
      <c r="C865" s="4"/>
      <c r="D865" s="4"/>
      <c r="E865" s="4"/>
      <c r="I865" s="135"/>
      <c r="J865" s="135"/>
      <c r="K865" s="135"/>
      <c r="L865" s="135"/>
    </row>
    <row r="866" spans="2:12" ht="12" customHeight="1" x14ac:dyDescent="0.15">
      <c r="B866" s="2"/>
      <c r="C866" s="4"/>
      <c r="D866" s="4"/>
      <c r="E866" s="4"/>
      <c r="I866" s="135"/>
      <c r="J866" s="135"/>
      <c r="K866" s="135"/>
      <c r="L866" s="135"/>
    </row>
    <row r="867" spans="2:12" ht="12" customHeight="1" x14ac:dyDescent="0.15">
      <c r="B867" s="2"/>
      <c r="C867" s="4"/>
      <c r="D867" s="4"/>
      <c r="E867" s="4"/>
      <c r="I867" s="135"/>
      <c r="J867" s="135"/>
      <c r="K867" s="135"/>
      <c r="L867" s="135"/>
    </row>
    <row r="868" spans="2:12" ht="12" customHeight="1" x14ac:dyDescent="0.15">
      <c r="B868" s="2"/>
      <c r="C868" s="4"/>
      <c r="D868" s="4"/>
      <c r="E868" s="4"/>
      <c r="I868" s="135"/>
      <c r="J868" s="135"/>
      <c r="K868" s="135"/>
      <c r="L868" s="135"/>
    </row>
    <row r="869" spans="2:12" ht="12" customHeight="1" x14ac:dyDescent="0.15">
      <c r="B869" s="2"/>
      <c r="C869" s="4"/>
      <c r="D869" s="4"/>
      <c r="E869" s="4"/>
      <c r="I869" s="135"/>
      <c r="J869" s="135"/>
      <c r="K869" s="135"/>
      <c r="L869" s="135"/>
    </row>
    <row r="870" spans="2:12" ht="12" customHeight="1" x14ac:dyDescent="0.15">
      <c r="B870" s="2"/>
      <c r="C870" s="4"/>
      <c r="D870" s="4"/>
      <c r="E870" s="4"/>
      <c r="I870" s="135"/>
      <c r="J870" s="135"/>
      <c r="K870" s="135"/>
      <c r="L870" s="135"/>
    </row>
    <row r="871" spans="2:12" ht="12" customHeight="1" x14ac:dyDescent="0.15">
      <c r="B871" s="2"/>
      <c r="C871" s="4"/>
      <c r="D871" s="4"/>
      <c r="E871" s="4"/>
      <c r="I871" s="135"/>
      <c r="J871" s="135"/>
      <c r="K871" s="135"/>
      <c r="L871" s="135"/>
    </row>
    <row r="872" spans="2:12" ht="12" customHeight="1" x14ac:dyDescent="0.15">
      <c r="B872" s="2"/>
      <c r="C872" s="4"/>
      <c r="D872" s="4"/>
      <c r="E872" s="4"/>
      <c r="I872" s="135"/>
      <c r="J872" s="135"/>
      <c r="K872" s="135"/>
      <c r="L872" s="135"/>
    </row>
    <row r="873" spans="2:12" ht="12" customHeight="1" x14ac:dyDescent="0.15">
      <c r="B873" s="2"/>
      <c r="C873" s="4"/>
      <c r="D873" s="4"/>
      <c r="E873" s="4"/>
      <c r="I873" s="135"/>
      <c r="J873" s="135"/>
      <c r="K873" s="135"/>
      <c r="L873" s="135"/>
    </row>
    <row r="874" spans="2:12" ht="12" customHeight="1" x14ac:dyDescent="0.15">
      <c r="B874" s="2"/>
      <c r="C874" s="4"/>
      <c r="D874" s="4"/>
      <c r="E874" s="4"/>
      <c r="I874" s="135"/>
      <c r="J874" s="135"/>
      <c r="K874" s="135"/>
      <c r="L874" s="135"/>
    </row>
    <row r="875" spans="2:12" ht="12" customHeight="1" x14ac:dyDescent="0.15">
      <c r="B875" s="2"/>
      <c r="C875" s="4"/>
      <c r="D875" s="4"/>
      <c r="E875" s="4"/>
      <c r="I875" s="135"/>
      <c r="J875" s="135"/>
      <c r="K875" s="135"/>
      <c r="L875" s="135"/>
    </row>
    <row r="876" spans="2:12" ht="12" customHeight="1" x14ac:dyDescent="0.15">
      <c r="B876" s="2"/>
      <c r="C876" s="4"/>
      <c r="D876" s="4"/>
      <c r="E876" s="4"/>
      <c r="I876" s="135"/>
      <c r="J876" s="135"/>
      <c r="K876" s="135"/>
      <c r="L876" s="135"/>
    </row>
    <row r="877" spans="2:12" ht="12" customHeight="1" x14ac:dyDescent="0.15">
      <c r="B877" s="2"/>
      <c r="C877" s="4"/>
      <c r="D877" s="4"/>
      <c r="E877" s="4"/>
      <c r="I877" s="135"/>
      <c r="J877" s="135"/>
      <c r="K877" s="135"/>
      <c r="L877" s="135"/>
    </row>
    <row r="878" spans="2:12" ht="12" customHeight="1" x14ac:dyDescent="0.15">
      <c r="B878" s="2"/>
      <c r="C878" s="4"/>
      <c r="D878" s="4"/>
      <c r="E878" s="4"/>
      <c r="I878" s="135"/>
      <c r="J878" s="135"/>
      <c r="K878" s="135"/>
      <c r="L878" s="135"/>
    </row>
    <row r="879" spans="2:12" ht="12" customHeight="1" x14ac:dyDescent="0.15">
      <c r="B879" s="2"/>
      <c r="C879" s="4"/>
      <c r="D879" s="4"/>
      <c r="E879" s="4"/>
      <c r="I879" s="135"/>
      <c r="J879" s="135"/>
      <c r="K879" s="135"/>
      <c r="L879" s="135"/>
    </row>
    <row r="880" spans="2:12" ht="12" customHeight="1" x14ac:dyDescent="0.15">
      <c r="B880" s="2"/>
      <c r="C880" s="4"/>
      <c r="D880" s="4"/>
      <c r="E880" s="4"/>
      <c r="I880" s="135"/>
      <c r="J880" s="135"/>
      <c r="K880" s="135"/>
      <c r="L880" s="135"/>
    </row>
    <row r="881" spans="2:12" ht="12" customHeight="1" x14ac:dyDescent="0.15">
      <c r="B881" s="2"/>
      <c r="C881" s="4"/>
      <c r="D881" s="4"/>
      <c r="E881" s="4"/>
      <c r="I881" s="135"/>
      <c r="J881" s="135"/>
      <c r="K881" s="135"/>
      <c r="L881" s="135"/>
    </row>
    <row r="882" spans="2:12" ht="12" customHeight="1" x14ac:dyDescent="0.15">
      <c r="B882" s="2"/>
      <c r="C882" s="4"/>
      <c r="D882" s="4"/>
      <c r="E882" s="4"/>
      <c r="I882" s="135"/>
      <c r="J882" s="135"/>
      <c r="K882" s="135"/>
      <c r="L882" s="135"/>
    </row>
    <row r="883" spans="2:12" ht="12" customHeight="1" x14ac:dyDescent="0.15">
      <c r="B883" s="2"/>
      <c r="C883" s="4"/>
      <c r="D883" s="4"/>
      <c r="E883" s="4"/>
      <c r="I883" s="135"/>
      <c r="J883" s="135"/>
      <c r="K883" s="135"/>
      <c r="L883" s="135"/>
    </row>
    <row r="884" spans="2:12" ht="12" customHeight="1" x14ac:dyDescent="0.15">
      <c r="B884" s="2"/>
      <c r="C884" s="4"/>
      <c r="D884" s="4"/>
      <c r="E884" s="4"/>
      <c r="I884" s="135"/>
      <c r="J884" s="135"/>
      <c r="K884" s="135"/>
      <c r="L884" s="135"/>
    </row>
    <row r="885" spans="2:12" ht="12" customHeight="1" x14ac:dyDescent="0.15">
      <c r="B885" s="2"/>
      <c r="C885" s="4"/>
      <c r="D885" s="4"/>
      <c r="E885" s="4"/>
      <c r="I885" s="135"/>
      <c r="J885" s="135"/>
      <c r="K885" s="135"/>
      <c r="L885" s="135"/>
    </row>
    <row r="886" spans="2:12" ht="12" customHeight="1" x14ac:dyDescent="0.15">
      <c r="B886" s="2"/>
      <c r="C886" s="4"/>
      <c r="D886" s="4"/>
      <c r="E886" s="4"/>
      <c r="I886" s="135"/>
      <c r="J886" s="135"/>
      <c r="K886" s="135"/>
      <c r="L886" s="135"/>
    </row>
    <row r="887" spans="2:12" ht="12" customHeight="1" x14ac:dyDescent="0.15">
      <c r="B887" s="2"/>
      <c r="C887" s="4"/>
      <c r="D887" s="4"/>
      <c r="E887" s="4"/>
      <c r="I887" s="135"/>
      <c r="J887" s="135"/>
      <c r="K887" s="135"/>
      <c r="L887" s="135"/>
    </row>
    <row r="888" spans="2:12" ht="12" customHeight="1" x14ac:dyDescent="0.15">
      <c r="B888" s="2"/>
      <c r="C888" s="4"/>
      <c r="D888" s="4"/>
      <c r="E888" s="4"/>
      <c r="I888" s="135"/>
      <c r="J888" s="135"/>
      <c r="K888" s="135"/>
      <c r="L888" s="135"/>
    </row>
    <row r="889" spans="2:12" ht="12" customHeight="1" x14ac:dyDescent="0.15">
      <c r="B889" s="2"/>
      <c r="C889" s="4"/>
      <c r="D889" s="4"/>
      <c r="E889" s="4"/>
      <c r="I889" s="135"/>
      <c r="J889" s="135"/>
      <c r="K889" s="135"/>
      <c r="L889" s="135"/>
    </row>
    <row r="890" spans="2:12" ht="12" customHeight="1" x14ac:dyDescent="0.15">
      <c r="B890" s="2"/>
      <c r="C890" s="4"/>
      <c r="D890" s="4"/>
      <c r="E890" s="4"/>
      <c r="I890" s="135"/>
      <c r="J890" s="135"/>
      <c r="K890" s="135"/>
      <c r="L890" s="135"/>
    </row>
    <row r="891" spans="2:12" ht="12" customHeight="1" x14ac:dyDescent="0.15">
      <c r="B891" s="2"/>
      <c r="C891" s="4"/>
      <c r="D891" s="4"/>
      <c r="E891" s="4"/>
      <c r="I891" s="135"/>
      <c r="J891" s="135"/>
      <c r="K891" s="135"/>
      <c r="L891" s="135"/>
    </row>
    <row r="892" spans="2:12" ht="12" customHeight="1" x14ac:dyDescent="0.15">
      <c r="B892" s="2"/>
      <c r="C892" s="4"/>
      <c r="D892" s="4"/>
      <c r="E892" s="4"/>
      <c r="I892" s="135"/>
      <c r="J892" s="135"/>
      <c r="K892" s="135"/>
      <c r="L892" s="135"/>
    </row>
    <row r="893" spans="2:12" ht="12" customHeight="1" x14ac:dyDescent="0.15">
      <c r="B893" s="2"/>
      <c r="C893" s="4"/>
      <c r="D893" s="4"/>
      <c r="E893" s="4"/>
      <c r="I893" s="135"/>
      <c r="J893" s="135"/>
      <c r="K893" s="135"/>
      <c r="L893" s="135"/>
    </row>
    <row r="894" spans="2:12" ht="12" customHeight="1" x14ac:dyDescent="0.15">
      <c r="B894" s="2"/>
      <c r="C894" s="4"/>
      <c r="D894" s="4"/>
      <c r="E894" s="4"/>
      <c r="I894" s="135"/>
      <c r="J894" s="135"/>
      <c r="K894" s="135"/>
      <c r="L894" s="135"/>
    </row>
    <row r="895" spans="2:12" ht="12" customHeight="1" x14ac:dyDescent="0.15">
      <c r="B895" s="2"/>
      <c r="C895" s="4"/>
      <c r="D895" s="4"/>
      <c r="E895" s="4"/>
      <c r="I895" s="135"/>
      <c r="J895" s="135"/>
      <c r="K895" s="135"/>
      <c r="L895" s="135"/>
    </row>
    <row r="896" spans="2:12" ht="12" customHeight="1" x14ac:dyDescent="0.15">
      <c r="B896" s="2"/>
      <c r="C896" s="4"/>
      <c r="D896" s="4"/>
      <c r="E896" s="4"/>
      <c r="I896" s="135"/>
      <c r="J896" s="135"/>
      <c r="K896" s="135"/>
      <c r="L896" s="135"/>
    </row>
    <row r="897" spans="2:12" ht="12" customHeight="1" x14ac:dyDescent="0.15">
      <c r="B897" s="2"/>
      <c r="C897" s="4"/>
      <c r="D897" s="4"/>
      <c r="E897" s="4"/>
      <c r="I897" s="135"/>
      <c r="J897" s="135"/>
      <c r="K897" s="135"/>
      <c r="L897" s="135"/>
    </row>
    <row r="898" spans="2:12" ht="12" customHeight="1" x14ac:dyDescent="0.15">
      <c r="B898" s="2"/>
      <c r="C898" s="4"/>
      <c r="D898" s="4"/>
      <c r="E898" s="4"/>
      <c r="I898" s="135"/>
      <c r="J898" s="135"/>
      <c r="K898" s="135"/>
      <c r="L898" s="135"/>
    </row>
    <row r="899" spans="2:12" ht="12" customHeight="1" x14ac:dyDescent="0.15">
      <c r="B899" s="2"/>
      <c r="C899" s="4"/>
      <c r="D899" s="4"/>
      <c r="E899" s="4"/>
      <c r="I899" s="135"/>
      <c r="J899" s="135"/>
      <c r="K899" s="135"/>
      <c r="L899" s="135"/>
    </row>
    <row r="900" spans="2:12" ht="12" customHeight="1" x14ac:dyDescent="0.15">
      <c r="B900" s="2"/>
      <c r="C900" s="4"/>
      <c r="D900" s="4"/>
      <c r="E900" s="4"/>
      <c r="I900" s="135"/>
      <c r="J900" s="135"/>
      <c r="K900" s="135"/>
      <c r="L900" s="135"/>
    </row>
    <row r="901" spans="2:12" ht="12" customHeight="1" x14ac:dyDescent="0.15">
      <c r="B901" s="2"/>
      <c r="C901" s="4"/>
      <c r="D901" s="4"/>
      <c r="E901" s="4"/>
      <c r="I901" s="135"/>
      <c r="J901" s="135"/>
      <c r="K901" s="135"/>
      <c r="L901" s="135"/>
    </row>
    <row r="902" spans="2:12" ht="12" customHeight="1" x14ac:dyDescent="0.15">
      <c r="B902" s="2"/>
      <c r="C902" s="4"/>
      <c r="D902" s="4"/>
      <c r="E902" s="4"/>
      <c r="I902" s="135"/>
      <c r="J902" s="135"/>
      <c r="K902" s="135"/>
      <c r="L902" s="135"/>
    </row>
    <row r="903" spans="2:12" ht="12" customHeight="1" x14ac:dyDescent="0.15">
      <c r="B903" s="2"/>
      <c r="C903" s="4"/>
      <c r="D903" s="4"/>
      <c r="E903" s="4"/>
      <c r="I903" s="135"/>
      <c r="J903" s="135"/>
      <c r="K903" s="135"/>
      <c r="L903" s="135"/>
    </row>
    <row r="904" spans="2:12" ht="12" customHeight="1" x14ac:dyDescent="0.15">
      <c r="B904" s="2"/>
      <c r="C904" s="4"/>
      <c r="D904" s="4"/>
      <c r="E904" s="4"/>
      <c r="I904" s="135"/>
      <c r="J904" s="135"/>
      <c r="K904" s="135"/>
      <c r="L904" s="135"/>
    </row>
    <row r="905" spans="2:12" ht="12" customHeight="1" x14ac:dyDescent="0.15">
      <c r="B905" s="2"/>
      <c r="C905" s="4"/>
      <c r="D905" s="4"/>
      <c r="E905" s="4"/>
      <c r="I905" s="135"/>
      <c r="J905" s="135"/>
      <c r="K905" s="135"/>
      <c r="L905" s="135"/>
    </row>
    <row r="906" spans="2:12" ht="12" customHeight="1" x14ac:dyDescent="0.15">
      <c r="B906" s="2"/>
      <c r="C906" s="4"/>
      <c r="D906" s="4"/>
      <c r="E906" s="4"/>
      <c r="I906" s="135"/>
      <c r="J906" s="135"/>
      <c r="K906" s="135"/>
      <c r="L906" s="135"/>
    </row>
    <row r="907" spans="2:12" ht="12" customHeight="1" x14ac:dyDescent="0.15">
      <c r="B907" s="2"/>
      <c r="C907" s="4"/>
      <c r="D907" s="4"/>
      <c r="E907" s="4"/>
      <c r="I907" s="135"/>
      <c r="J907" s="135"/>
      <c r="K907" s="135"/>
      <c r="L907" s="135"/>
    </row>
    <row r="908" spans="2:12" ht="12" customHeight="1" x14ac:dyDescent="0.15">
      <c r="B908" s="2"/>
      <c r="C908" s="4"/>
      <c r="D908" s="4"/>
      <c r="E908" s="4"/>
      <c r="I908" s="135"/>
      <c r="J908" s="135"/>
      <c r="K908" s="135"/>
      <c r="L908" s="135"/>
    </row>
    <row r="909" spans="2:12" ht="12" customHeight="1" x14ac:dyDescent="0.15">
      <c r="B909" s="2"/>
      <c r="C909" s="4"/>
      <c r="D909" s="4"/>
      <c r="E909" s="4"/>
      <c r="I909" s="135"/>
      <c r="J909" s="135"/>
      <c r="K909" s="135"/>
      <c r="L909" s="135"/>
    </row>
    <row r="910" spans="2:12" ht="12" customHeight="1" x14ac:dyDescent="0.15">
      <c r="B910" s="2"/>
      <c r="C910" s="4"/>
      <c r="D910" s="4"/>
      <c r="E910" s="4"/>
      <c r="I910" s="135"/>
      <c r="J910" s="135"/>
      <c r="K910" s="135"/>
      <c r="L910" s="135"/>
    </row>
    <row r="911" spans="2:12" ht="12" customHeight="1" x14ac:dyDescent="0.15">
      <c r="B911" s="2"/>
      <c r="C911" s="4"/>
      <c r="D911" s="4"/>
      <c r="E911" s="4"/>
      <c r="I911" s="135"/>
      <c r="J911" s="135"/>
      <c r="K911" s="135"/>
      <c r="L911" s="135"/>
    </row>
    <row r="912" spans="2:12" ht="12" customHeight="1" x14ac:dyDescent="0.15">
      <c r="B912" s="2"/>
      <c r="C912" s="4"/>
      <c r="D912" s="4"/>
      <c r="E912" s="4"/>
      <c r="I912" s="135"/>
      <c r="J912" s="135"/>
      <c r="K912" s="135"/>
      <c r="L912" s="135"/>
    </row>
    <row r="913" spans="2:12" ht="12" customHeight="1" x14ac:dyDescent="0.15">
      <c r="B913" s="2"/>
      <c r="C913" s="4"/>
      <c r="D913" s="4"/>
      <c r="E913" s="4"/>
      <c r="I913" s="135"/>
      <c r="J913" s="135"/>
      <c r="K913" s="135"/>
      <c r="L913" s="135"/>
    </row>
    <row r="914" spans="2:12" ht="12" customHeight="1" x14ac:dyDescent="0.15">
      <c r="B914" s="2"/>
      <c r="C914" s="4"/>
      <c r="D914" s="4"/>
      <c r="E914" s="4"/>
      <c r="I914" s="135"/>
      <c r="J914" s="135"/>
      <c r="K914" s="135"/>
      <c r="L914" s="135"/>
    </row>
    <row r="915" spans="2:12" ht="12" customHeight="1" x14ac:dyDescent="0.15">
      <c r="B915" s="2"/>
      <c r="C915" s="4"/>
      <c r="D915" s="4"/>
      <c r="E915" s="4"/>
      <c r="I915" s="135"/>
      <c r="J915" s="135"/>
      <c r="K915" s="135"/>
      <c r="L915" s="135"/>
    </row>
    <row r="916" spans="2:12" ht="12" customHeight="1" x14ac:dyDescent="0.15">
      <c r="B916" s="2"/>
      <c r="C916" s="4"/>
      <c r="D916" s="4"/>
      <c r="E916" s="4"/>
      <c r="I916" s="135"/>
      <c r="J916" s="135"/>
      <c r="K916" s="135"/>
      <c r="L916" s="135"/>
    </row>
    <row r="917" spans="2:12" ht="12" customHeight="1" x14ac:dyDescent="0.15">
      <c r="B917" s="2"/>
      <c r="C917" s="4"/>
      <c r="D917" s="4"/>
      <c r="E917" s="4"/>
      <c r="I917" s="135"/>
      <c r="J917" s="135"/>
      <c r="K917" s="135"/>
      <c r="L917" s="135"/>
    </row>
    <row r="918" spans="2:12" ht="12" customHeight="1" x14ac:dyDescent="0.15">
      <c r="B918" s="2"/>
      <c r="C918" s="4"/>
      <c r="D918" s="4"/>
      <c r="E918" s="4"/>
      <c r="I918" s="135"/>
      <c r="J918" s="135"/>
      <c r="K918" s="135"/>
      <c r="L918" s="135"/>
    </row>
    <row r="919" spans="2:12" ht="12" customHeight="1" x14ac:dyDescent="0.15">
      <c r="B919" s="2"/>
      <c r="C919" s="4"/>
      <c r="D919" s="4"/>
      <c r="E919" s="4"/>
      <c r="I919" s="135"/>
      <c r="J919" s="135"/>
      <c r="K919" s="135"/>
      <c r="L919" s="135"/>
    </row>
    <row r="920" spans="2:12" ht="12" customHeight="1" x14ac:dyDescent="0.15">
      <c r="B920" s="2"/>
      <c r="C920" s="4"/>
      <c r="D920" s="4"/>
      <c r="E920" s="4"/>
      <c r="I920" s="135"/>
      <c r="J920" s="135"/>
      <c r="K920" s="135"/>
      <c r="L920" s="135"/>
    </row>
    <row r="921" spans="2:12" ht="12" customHeight="1" x14ac:dyDescent="0.15">
      <c r="B921" s="2"/>
      <c r="C921" s="4"/>
      <c r="D921" s="4"/>
      <c r="E921" s="4"/>
      <c r="I921" s="135"/>
      <c r="J921" s="135"/>
      <c r="K921" s="135"/>
      <c r="L921" s="135"/>
    </row>
    <row r="922" spans="2:12" ht="12" customHeight="1" x14ac:dyDescent="0.15">
      <c r="B922" s="2"/>
      <c r="C922" s="4"/>
      <c r="D922" s="4"/>
      <c r="E922" s="4"/>
      <c r="I922" s="135"/>
      <c r="J922" s="135"/>
      <c r="K922" s="135"/>
      <c r="L922" s="135"/>
    </row>
    <row r="923" spans="2:12" ht="12" customHeight="1" x14ac:dyDescent="0.15">
      <c r="B923" s="2"/>
      <c r="C923" s="4"/>
      <c r="D923" s="4"/>
      <c r="E923" s="4"/>
      <c r="I923" s="135"/>
      <c r="J923" s="135"/>
      <c r="K923" s="135"/>
      <c r="L923" s="135"/>
    </row>
    <row r="924" spans="2:12" ht="12" customHeight="1" x14ac:dyDescent="0.15">
      <c r="B924" s="2"/>
      <c r="C924" s="4"/>
      <c r="D924" s="4"/>
      <c r="E924" s="4"/>
      <c r="I924" s="135"/>
      <c r="J924" s="135"/>
      <c r="K924" s="135"/>
      <c r="L924" s="135"/>
    </row>
    <row r="925" spans="2:12" ht="12" customHeight="1" x14ac:dyDescent="0.15">
      <c r="B925" s="2"/>
      <c r="C925" s="4"/>
      <c r="D925" s="4"/>
      <c r="E925" s="4"/>
      <c r="I925" s="135"/>
      <c r="J925" s="135"/>
      <c r="K925" s="135"/>
      <c r="L925" s="135"/>
    </row>
    <row r="926" spans="2:12" ht="12" customHeight="1" x14ac:dyDescent="0.15">
      <c r="B926" s="2"/>
      <c r="C926" s="4"/>
      <c r="D926" s="4"/>
      <c r="E926" s="4"/>
      <c r="I926" s="135"/>
      <c r="J926" s="135"/>
      <c r="K926" s="135"/>
      <c r="L926" s="135"/>
    </row>
    <row r="927" spans="2:12" ht="12" customHeight="1" x14ac:dyDescent="0.15">
      <c r="B927" s="2"/>
      <c r="C927" s="4"/>
      <c r="D927" s="4"/>
      <c r="E927" s="4"/>
      <c r="I927" s="135"/>
      <c r="J927" s="135"/>
      <c r="K927" s="135"/>
      <c r="L927" s="135"/>
    </row>
    <row r="928" spans="2:12" ht="12" customHeight="1" x14ac:dyDescent="0.15">
      <c r="B928" s="2"/>
      <c r="C928" s="4"/>
      <c r="D928" s="4"/>
      <c r="E928" s="4"/>
      <c r="I928" s="135"/>
      <c r="J928" s="135"/>
      <c r="K928" s="135"/>
      <c r="L928" s="135"/>
    </row>
    <row r="929" spans="2:12" ht="12" customHeight="1" x14ac:dyDescent="0.15">
      <c r="B929" s="2"/>
      <c r="C929" s="4"/>
      <c r="D929" s="4"/>
      <c r="E929" s="4"/>
      <c r="I929" s="135"/>
      <c r="J929" s="135"/>
      <c r="K929" s="135"/>
      <c r="L929" s="135"/>
    </row>
    <row r="930" spans="2:12" ht="12" customHeight="1" x14ac:dyDescent="0.15">
      <c r="B930" s="2"/>
      <c r="C930" s="4"/>
      <c r="D930" s="4"/>
      <c r="E930" s="4"/>
      <c r="I930" s="135"/>
      <c r="J930" s="135"/>
      <c r="K930" s="135"/>
      <c r="L930" s="135"/>
    </row>
    <row r="931" spans="2:12" ht="12" customHeight="1" x14ac:dyDescent="0.15">
      <c r="B931" s="2"/>
      <c r="C931" s="4"/>
      <c r="D931" s="4"/>
      <c r="E931" s="4"/>
      <c r="I931" s="135"/>
      <c r="J931" s="135"/>
      <c r="K931" s="135"/>
      <c r="L931" s="135"/>
    </row>
    <row r="932" spans="2:12" ht="12" customHeight="1" x14ac:dyDescent="0.15">
      <c r="B932" s="2"/>
      <c r="C932" s="4"/>
      <c r="D932" s="4"/>
      <c r="E932" s="4"/>
      <c r="I932" s="135"/>
      <c r="J932" s="135"/>
      <c r="K932" s="135"/>
      <c r="L932" s="135"/>
    </row>
    <row r="933" spans="2:12" ht="12" customHeight="1" x14ac:dyDescent="0.15">
      <c r="B933" s="2"/>
      <c r="C933" s="4"/>
      <c r="D933" s="4"/>
      <c r="E933" s="4"/>
      <c r="I933" s="135"/>
      <c r="J933" s="135"/>
      <c r="K933" s="135"/>
      <c r="L933" s="135"/>
    </row>
    <row r="934" spans="2:12" ht="12" customHeight="1" x14ac:dyDescent="0.15">
      <c r="B934" s="2"/>
      <c r="C934" s="4"/>
      <c r="D934" s="4"/>
      <c r="E934" s="4"/>
      <c r="I934" s="135"/>
      <c r="J934" s="135"/>
      <c r="K934" s="135"/>
      <c r="L934" s="135"/>
    </row>
    <row r="935" spans="2:12" ht="12" customHeight="1" x14ac:dyDescent="0.15">
      <c r="B935" s="2"/>
      <c r="C935" s="4"/>
      <c r="D935" s="4"/>
      <c r="E935" s="4"/>
      <c r="I935" s="135"/>
      <c r="J935" s="135"/>
      <c r="K935" s="135"/>
      <c r="L935" s="135"/>
    </row>
    <row r="936" spans="2:12" ht="12" customHeight="1" x14ac:dyDescent="0.15">
      <c r="B936" s="2"/>
      <c r="C936" s="4"/>
      <c r="D936" s="4"/>
      <c r="E936" s="4"/>
      <c r="I936" s="135"/>
      <c r="J936" s="135"/>
      <c r="K936" s="135"/>
      <c r="L936" s="135"/>
    </row>
    <row r="937" spans="2:12" ht="12" customHeight="1" x14ac:dyDescent="0.15">
      <c r="B937" s="2"/>
      <c r="C937" s="4"/>
      <c r="D937" s="4"/>
      <c r="E937" s="4"/>
      <c r="I937" s="135"/>
      <c r="J937" s="135"/>
      <c r="K937" s="135"/>
      <c r="L937" s="135"/>
    </row>
    <row r="938" spans="2:12" ht="12" customHeight="1" x14ac:dyDescent="0.15">
      <c r="B938" s="2"/>
      <c r="C938" s="4"/>
      <c r="D938" s="4"/>
      <c r="E938" s="4"/>
      <c r="I938" s="135"/>
      <c r="J938" s="135"/>
      <c r="K938" s="135"/>
      <c r="L938" s="135"/>
    </row>
    <row r="939" spans="2:12" ht="12" customHeight="1" x14ac:dyDescent="0.15">
      <c r="B939" s="2"/>
      <c r="C939" s="4"/>
      <c r="D939" s="4"/>
      <c r="E939" s="4"/>
      <c r="I939" s="135"/>
      <c r="J939" s="135"/>
      <c r="K939" s="135"/>
      <c r="L939" s="135"/>
    </row>
    <row r="940" spans="2:12" ht="12" customHeight="1" x14ac:dyDescent="0.15">
      <c r="B940" s="2"/>
      <c r="C940" s="4"/>
      <c r="D940" s="4"/>
      <c r="E940" s="4"/>
      <c r="I940" s="135"/>
      <c r="J940" s="135"/>
      <c r="K940" s="135"/>
      <c r="L940" s="135"/>
    </row>
    <row r="941" spans="2:12" ht="12" customHeight="1" x14ac:dyDescent="0.15">
      <c r="B941" s="2"/>
      <c r="C941" s="4"/>
      <c r="D941" s="4"/>
      <c r="E941" s="4"/>
      <c r="I941" s="135"/>
      <c r="J941" s="135"/>
      <c r="K941" s="135"/>
      <c r="L941" s="135"/>
    </row>
    <row r="942" spans="2:12" ht="12" customHeight="1" x14ac:dyDescent="0.15">
      <c r="B942" s="2"/>
      <c r="C942" s="4"/>
      <c r="D942" s="4"/>
      <c r="E942" s="4"/>
      <c r="I942" s="135"/>
      <c r="J942" s="135"/>
      <c r="K942" s="135"/>
      <c r="L942" s="135"/>
    </row>
    <row r="943" spans="2:12" ht="12" customHeight="1" x14ac:dyDescent="0.15">
      <c r="B943" s="2"/>
      <c r="C943" s="4"/>
      <c r="D943" s="4"/>
      <c r="E943" s="4"/>
      <c r="I943" s="135"/>
      <c r="J943" s="135"/>
      <c r="K943" s="135"/>
      <c r="L943" s="135"/>
    </row>
    <row r="944" spans="2:12" ht="12" customHeight="1" x14ac:dyDescent="0.15">
      <c r="B944" s="2"/>
      <c r="C944" s="4"/>
      <c r="D944" s="4"/>
      <c r="E944" s="4"/>
      <c r="I944" s="135"/>
      <c r="J944" s="135"/>
      <c r="K944" s="135"/>
      <c r="L944" s="135"/>
    </row>
    <row r="945" spans="2:12" ht="12" customHeight="1" x14ac:dyDescent="0.15">
      <c r="B945" s="2"/>
      <c r="C945" s="4"/>
      <c r="D945" s="4"/>
      <c r="E945" s="4"/>
      <c r="I945" s="135"/>
      <c r="J945" s="135"/>
      <c r="K945" s="135"/>
      <c r="L945" s="135"/>
    </row>
    <row r="946" spans="2:12" ht="12" customHeight="1" x14ac:dyDescent="0.15">
      <c r="B946" s="2"/>
      <c r="C946" s="4"/>
      <c r="D946" s="4"/>
      <c r="E946" s="4"/>
      <c r="I946" s="135"/>
      <c r="J946" s="135"/>
      <c r="K946" s="135"/>
      <c r="L946" s="135"/>
    </row>
    <row r="947" spans="2:12" ht="12" customHeight="1" x14ac:dyDescent="0.15">
      <c r="B947" s="2"/>
      <c r="C947" s="4"/>
      <c r="D947" s="4"/>
      <c r="E947" s="4"/>
      <c r="I947" s="135"/>
      <c r="J947" s="135"/>
      <c r="K947" s="135"/>
      <c r="L947" s="135"/>
    </row>
    <row r="948" spans="2:12" ht="12" customHeight="1" x14ac:dyDescent="0.15">
      <c r="B948" s="2"/>
      <c r="C948" s="4"/>
      <c r="D948" s="4"/>
      <c r="E948" s="4"/>
      <c r="I948" s="135"/>
      <c r="J948" s="135"/>
      <c r="K948" s="135"/>
      <c r="L948" s="135"/>
    </row>
    <row r="949" spans="2:12" ht="12" customHeight="1" x14ac:dyDescent="0.15">
      <c r="B949" s="2"/>
      <c r="C949" s="4"/>
      <c r="D949" s="4"/>
      <c r="E949" s="4"/>
      <c r="I949" s="135"/>
      <c r="J949" s="135"/>
      <c r="K949" s="135"/>
      <c r="L949" s="135"/>
    </row>
    <row r="950" spans="2:12" ht="12" customHeight="1" x14ac:dyDescent="0.15">
      <c r="B950" s="2"/>
      <c r="C950" s="4"/>
      <c r="D950" s="4"/>
      <c r="E950" s="4"/>
      <c r="I950" s="135"/>
      <c r="J950" s="135"/>
      <c r="K950" s="135"/>
      <c r="L950" s="135"/>
    </row>
    <row r="951" spans="2:12" ht="12" customHeight="1" x14ac:dyDescent="0.15">
      <c r="B951" s="2"/>
      <c r="C951" s="4"/>
      <c r="D951" s="4"/>
      <c r="E951" s="4"/>
      <c r="I951" s="135"/>
      <c r="J951" s="135"/>
      <c r="K951" s="135"/>
      <c r="L951" s="135"/>
    </row>
    <row r="952" spans="2:12" ht="12" customHeight="1" x14ac:dyDescent="0.15">
      <c r="B952" s="2"/>
      <c r="C952" s="4"/>
      <c r="D952" s="4"/>
      <c r="E952" s="4"/>
      <c r="I952" s="135"/>
      <c r="J952" s="135"/>
      <c r="K952" s="135"/>
      <c r="L952" s="135"/>
    </row>
    <row r="953" spans="2:12" ht="12" customHeight="1" x14ac:dyDescent="0.15">
      <c r="B953" s="2"/>
      <c r="C953" s="4"/>
      <c r="D953" s="4"/>
      <c r="E953" s="4"/>
      <c r="I953" s="135"/>
      <c r="J953" s="135"/>
      <c r="K953" s="135"/>
      <c r="L953" s="135"/>
    </row>
    <row r="954" spans="2:12" ht="12" customHeight="1" x14ac:dyDescent="0.15">
      <c r="B954" s="2"/>
      <c r="C954" s="4"/>
      <c r="D954" s="4"/>
      <c r="E954" s="4"/>
      <c r="I954" s="135"/>
      <c r="J954" s="135"/>
      <c r="K954" s="135"/>
      <c r="L954" s="135"/>
    </row>
    <row r="955" spans="2:12" ht="12" customHeight="1" x14ac:dyDescent="0.15">
      <c r="B955" s="2"/>
      <c r="C955" s="4"/>
      <c r="D955" s="4"/>
      <c r="E955" s="4"/>
      <c r="I955" s="135"/>
      <c r="J955" s="135"/>
      <c r="K955" s="135"/>
      <c r="L955" s="135"/>
    </row>
    <row r="956" spans="2:12" ht="12" customHeight="1" x14ac:dyDescent="0.15">
      <c r="B956" s="2"/>
      <c r="C956" s="4"/>
      <c r="D956" s="4"/>
      <c r="E956" s="4"/>
      <c r="I956" s="135"/>
      <c r="J956" s="135"/>
      <c r="K956" s="135"/>
      <c r="L956" s="135"/>
    </row>
    <row r="957" spans="2:12" ht="12" customHeight="1" x14ac:dyDescent="0.15">
      <c r="B957" s="2"/>
      <c r="C957" s="4"/>
      <c r="D957" s="4"/>
      <c r="E957" s="4"/>
      <c r="I957" s="135"/>
      <c r="J957" s="135"/>
      <c r="K957" s="135"/>
      <c r="L957" s="135"/>
    </row>
    <row r="958" spans="2:12" ht="12" customHeight="1" x14ac:dyDescent="0.15">
      <c r="B958" s="2"/>
      <c r="C958" s="4"/>
      <c r="D958" s="4"/>
      <c r="E958" s="4"/>
      <c r="I958" s="135"/>
      <c r="J958" s="135"/>
      <c r="K958" s="135"/>
      <c r="L958" s="135"/>
    </row>
    <row r="959" spans="2:12" ht="12" customHeight="1" x14ac:dyDescent="0.15">
      <c r="B959" s="2"/>
      <c r="C959" s="4"/>
      <c r="D959" s="4"/>
      <c r="E959" s="4"/>
      <c r="I959" s="135"/>
      <c r="J959" s="135"/>
      <c r="K959" s="135"/>
      <c r="L959" s="135"/>
    </row>
    <row r="960" spans="2:12" ht="12" customHeight="1" x14ac:dyDescent="0.15">
      <c r="B960" s="2"/>
      <c r="C960" s="4"/>
      <c r="D960" s="4"/>
      <c r="E960" s="4"/>
      <c r="I960" s="135"/>
      <c r="J960" s="135"/>
      <c r="K960" s="135"/>
      <c r="L960" s="135"/>
    </row>
    <row r="961" spans="2:12" ht="12" customHeight="1" x14ac:dyDescent="0.15">
      <c r="B961" s="2"/>
      <c r="C961" s="4"/>
      <c r="D961" s="4"/>
      <c r="E961" s="4"/>
      <c r="I961" s="135"/>
      <c r="J961" s="135"/>
      <c r="K961" s="135"/>
      <c r="L961" s="135"/>
    </row>
    <row r="962" spans="2:12" ht="12" customHeight="1" x14ac:dyDescent="0.15">
      <c r="B962" s="2"/>
      <c r="C962" s="4"/>
      <c r="D962" s="4"/>
      <c r="E962" s="4"/>
      <c r="I962" s="135"/>
      <c r="J962" s="135"/>
      <c r="K962" s="135"/>
      <c r="L962" s="135"/>
    </row>
    <row r="963" spans="2:12" ht="12" customHeight="1" x14ac:dyDescent="0.15">
      <c r="B963" s="2"/>
      <c r="C963" s="4"/>
      <c r="D963" s="4"/>
      <c r="E963" s="4"/>
      <c r="I963" s="135"/>
      <c r="J963" s="135"/>
      <c r="K963" s="135"/>
      <c r="L963" s="135"/>
    </row>
    <row r="964" spans="2:12" ht="12" customHeight="1" x14ac:dyDescent="0.15">
      <c r="B964" s="2"/>
      <c r="C964" s="4"/>
      <c r="D964" s="4"/>
      <c r="E964" s="4"/>
      <c r="I964" s="135"/>
      <c r="J964" s="135"/>
      <c r="K964" s="135"/>
      <c r="L964" s="135"/>
    </row>
    <row r="965" spans="2:12" ht="12" customHeight="1" x14ac:dyDescent="0.15">
      <c r="B965" s="2"/>
      <c r="C965" s="4"/>
      <c r="D965" s="4"/>
      <c r="E965" s="4"/>
      <c r="I965" s="135"/>
      <c r="J965" s="135"/>
      <c r="K965" s="135"/>
      <c r="L965" s="135"/>
    </row>
    <row r="966" spans="2:12" ht="12" customHeight="1" x14ac:dyDescent="0.15">
      <c r="B966" s="2"/>
      <c r="C966" s="4"/>
      <c r="D966" s="4"/>
      <c r="E966" s="4"/>
      <c r="I966" s="135"/>
      <c r="J966" s="135"/>
      <c r="K966" s="135"/>
      <c r="L966" s="135"/>
    </row>
    <row r="967" spans="2:12" ht="12" customHeight="1" x14ac:dyDescent="0.15">
      <c r="B967" s="2"/>
      <c r="C967" s="4"/>
      <c r="D967" s="4"/>
      <c r="E967" s="4"/>
      <c r="I967" s="135"/>
      <c r="J967" s="135"/>
      <c r="K967" s="135"/>
      <c r="L967" s="135"/>
    </row>
    <row r="968" spans="2:12" ht="12" customHeight="1" x14ac:dyDescent="0.15">
      <c r="B968" s="2"/>
      <c r="C968" s="4"/>
      <c r="D968" s="4"/>
      <c r="E968" s="4"/>
      <c r="I968" s="135"/>
      <c r="J968" s="135"/>
      <c r="K968" s="135"/>
      <c r="L968" s="135"/>
    </row>
    <row r="969" spans="2:12" ht="12" customHeight="1" x14ac:dyDescent="0.15">
      <c r="B969" s="2"/>
      <c r="C969" s="4"/>
      <c r="D969" s="4"/>
      <c r="E969" s="4"/>
      <c r="I969" s="135"/>
      <c r="J969" s="135"/>
      <c r="K969" s="135"/>
      <c r="L969" s="135"/>
    </row>
    <row r="970" spans="2:12" ht="12" customHeight="1" x14ac:dyDescent="0.15">
      <c r="B970" s="2"/>
      <c r="C970" s="4"/>
      <c r="D970" s="4"/>
      <c r="E970" s="4"/>
      <c r="I970" s="135"/>
      <c r="J970" s="135"/>
      <c r="K970" s="135"/>
      <c r="L970" s="135"/>
    </row>
    <row r="971" spans="2:12" ht="12" customHeight="1" x14ac:dyDescent="0.15">
      <c r="B971" s="2"/>
      <c r="C971" s="4"/>
      <c r="D971" s="4"/>
      <c r="E971" s="4"/>
      <c r="I971" s="135"/>
      <c r="J971" s="135"/>
      <c r="K971" s="135"/>
      <c r="L971" s="135"/>
    </row>
    <row r="972" spans="2:12" ht="12" customHeight="1" x14ac:dyDescent="0.15">
      <c r="B972" s="2"/>
      <c r="C972" s="4"/>
      <c r="D972" s="4"/>
      <c r="E972" s="4"/>
      <c r="I972" s="135"/>
      <c r="J972" s="135"/>
      <c r="K972" s="135"/>
      <c r="L972" s="135"/>
    </row>
    <row r="973" spans="2:12" ht="12" customHeight="1" x14ac:dyDescent="0.15">
      <c r="B973" s="2"/>
      <c r="C973" s="4"/>
      <c r="D973" s="4"/>
      <c r="E973" s="4"/>
      <c r="I973" s="135"/>
      <c r="J973" s="135"/>
      <c r="K973" s="135"/>
      <c r="L973" s="135"/>
    </row>
    <row r="974" spans="2:12" ht="12" customHeight="1" x14ac:dyDescent="0.15">
      <c r="B974" s="2"/>
      <c r="C974" s="4"/>
      <c r="D974" s="4"/>
      <c r="E974" s="4"/>
      <c r="I974" s="135"/>
      <c r="J974" s="135"/>
      <c r="K974" s="135"/>
      <c r="L974" s="135"/>
    </row>
    <row r="975" spans="2:12" ht="12" customHeight="1" x14ac:dyDescent="0.15">
      <c r="B975" s="2"/>
      <c r="C975" s="4"/>
      <c r="D975" s="4"/>
      <c r="E975" s="4"/>
      <c r="I975" s="135"/>
      <c r="J975" s="135"/>
      <c r="K975" s="135"/>
      <c r="L975" s="135"/>
    </row>
    <row r="976" spans="2:12" ht="12" customHeight="1" x14ac:dyDescent="0.15">
      <c r="B976" s="2"/>
      <c r="C976" s="4"/>
      <c r="D976" s="4"/>
      <c r="E976" s="4"/>
      <c r="I976" s="135"/>
      <c r="J976" s="135"/>
      <c r="K976" s="135"/>
      <c r="L976" s="135"/>
    </row>
    <row r="977" spans="2:12" ht="12" customHeight="1" x14ac:dyDescent="0.15">
      <c r="B977" s="2"/>
      <c r="C977" s="4"/>
      <c r="D977" s="4"/>
      <c r="E977" s="4"/>
      <c r="I977" s="135"/>
      <c r="J977" s="135"/>
      <c r="K977" s="135"/>
      <c r="L977" s="135"/>
    </row>
    <row r="978" spans="2:12" ht="12" customHeight="1" x14ac:dyDescent="0.15">
      <c r="B978" s="2"/>
      <c r="C978" s="4"/>
      <c r="D978" s="4"/>
      <c r="E978" s="4"/>
      <c r="I978" s="135"/>
      <c r="J978" s="135"/>
      <c r="K978" s="135"/>
      <c r="L978" s="135"/>
    </row>
    <row r="979" spans="2:12" ht="12" customHeight="1" x14ac:dyDescent="0.15">
      <c r="B979" s="2"/>
      <c r="C979" s="4"/>
      <c r="D979" s="4"/>
      <c r="E979" s="4"/>
      <c r="I979" s="135"/>
      <c r="J979" s="135"/>
      <c r="K979" s="135"/>
      <c r="L979" s="135"/>
    </row>
    <row r="980" spans="2:12" ht="12" customHeight="1" x14ac:dyDescent="0.15">
      <c r="B980" s="2"/>
      <c r="C980" s="4"/>
      <c r="D980" s="4"/>
      <c r="E980" s="4"/>
      <c r="I980" s="135"/>
      <c r="J980" s="135"/>
      <c r="K980" s="135"/>
      <c r="L980" s="135"/>
    </row>
    <row r="981" spans="2:12" ht="12" customHeight="1" x14ac:dyDescent="0.15">
      <c r="B981" s="2"/>
      <c r="C981" s="4"/>
      <c r="D981" s="4"/>
      <c r="E981" s="4"/>
      <c r="I981" s="135"/>
      <c r="J981" s="135"/>
      <c r="K981" s="135"/>
      <c r="L981" s="135"/>
    </row>
    <row r="982" spans="2:12" ht="12" customHeight="1" x14ac:dyDescent="0.15">
      <c r="B982" s="2"/>
      <c r="C982" s="4"/>
      <c r="D982" s="4"/>
      <c r="E982" s="4"/>
      <c r="I982" s="135"/>
      <c r="J982" s="135"/>
      <c r="K982" s="135"/>
      <c r="L982" s="135"/>
    </row>
    <row r="983" spans="2:12" ht="12" customHeight="1" x14ac:dyDescent="0.15">
      <c r="B983" s="2"/>
      <c r="C983" s="4"/>
      <c r="D983" s="4"/>
      <c r="E983" s="4"/>
      <c r="I983" s="135"/>
      <c r="J983" s="135"/>
      <c r="K983" s="135"/>
      <c r="L983" s="135"/>
    </row>
    <row r="984" spans="2:12" ht="12" customHeight="1" x14ac:dyDescent="0.15">
      <c r="B984" s="2"/>
      <c r="C984" s="4"/>
      <c r="D984" s="4"/>
      <c r="E984" s="4"/>
      <c r="I984" s="135"/>
      <c r="J984" s="135"/>
      <c r="K984" s="135"/>
      <c r="L984" s="135"/>
    </row>
    <row r="985" spans="2:12" ht="12" customHeight="1" x14ac:dyDescent="0.15">
      <c r="B985" s="2"/>
      <c r="C985" s="4"/>
      <c r="D985" s="4"/>
      <c r="E985" s="4"/>
      <c r="I985" s="135"/>
      <c r="J985" s="135"/>
      <c r="K985" s="135"/>
      <c r="L985" s="135"/>
    </row>
    <row r="986" spans="2:12" ht="12" customHeight="1" x14ac:dyDescent="0.15">
      <c r="B986" s="2"/>
      <c r="C986" s="4"/>
      <c r="D986" s="4"/>
      <c r="E986" s="4"/>
      <c r="I986" s="135"/>
      <c r="J986" s="135"/>
      <c r="K986" s="135"/>
      <c r="L986" s="135"/>
    </row>
    <row r="987" spans="2:12" ht="12" customHeight="1" x14ac:dyDescent="0.15">
      <c r="B987" s="2"/>
      <c r="C987" s="4"/>
      <c r="D987" s="4"/>
      <c r="E987" s="4"/>
      <c r="I987" s="135"/>
      <c r="J987" s="135"/>
      <c r="K987" s="135"/>
      <c r="L987" s="135"/>
    </row>
    <row r="988" spans="2:12" ht="12" customHeight="1" x14ac:dyDescent="0.15">
      <c r="B988" s="2"/>
      <c r="C988" s="4"/>
      <c r="D988" s="4"/>
      <c r="E988" s="4"/>
      <c r="I988" s="135"/>
      <c r="J988" s="135"/>
      <c r="K988" s="135"/>
      <c r="L988" s="135"/>
    </row>
    <row r="989" spans="2:12" ht="12" customHeight="1" x14ac:dyDescent="0.15">
      <c r="B989" s="2"/>
      <c r="C989" s="4"/>
      <c r="D989" s="4"/>
      <c r="E989" s="4"/>
      <c r="I989" s="135"/>
      <c r="J989" s="135"/>
      <c r="K989" s="135"/>
      <c r="L989" s="135"/>
    </row>
    <row r="990" spans="2:12" ht="12" customHeight="1" x14ac:dyDescent="0.15">
      <c r="B990" s="2"/>
      <c r="C990" s="4"/>
      <c r="D990" s="4"/>
      <c r="E990" s="4"/>
      <c r="I990" s="135"/>
      <c r="J990" s="135"/>
      <c r="K990" s="135"/>
      <c r="L990" s="135"/>
    </row>
    <row r="991" spans="2:12" ht="12" customHeight="1" x14ac:dyDescent="0.15">
      <c r="B991" s="2"/>
      <c r="C991" s="4"/>
      <c r="D991" s="4"/>
      <c r="E991" s="4"/>
      <c r="I991" s="135"/>
      <c r="J991" s="135"/>
      <c r="K991" s="135"/>
      <c r="L991" s="135"/>
    </row>
    <row r="992" spans="2:12" ht="12" customHeight="1" x14ac:dyDescent="0.15">
      <c r="B992" s="2"/>
      <c r="C992" s="4"/>
      <c r="D992" s="4"/>
      <c r="E992" s="4"/>
      <c r="I992" s="135"/>
      <c r="J992" s="135"/>
      <c r="K992" s="135"/>
      <c r="L992" s="135"/>
    </row>
    <row r="993" spans="2:12" ht="12" customHeight="1" x14ac:dyDescent="0.15">
      <c r="B993" s="2"/>
      <c r="C993" s="4"/>
      <c r="D993" s="4"/>
      <c r="E993" s="4"/>
      <c r="I993" s="135"/>
      <c r="J993" s="135"/>
      <c r="K993" s="135"/>
      <c r="L993" s="135"/>
    </row>
    <row r="994" spans="2:12" ht="12" customHeight="1" x14ac:dyDescent="0.15">
      <c r="B994" s="2"/>
      <c r="C994" s="4"/>
      <c r="D994" s="4"/>
      <c r="E994" s="4"/>
      <c r="I994" s="135"/>
      <c r="J994" s="135"/>
      <c r="K994" s="135"/>
      <c r="L994" s="135"/>
    </row>
    <row r="995" spans="2:12" ht="12" customHeight="1" x14ac:dyDescent="0.15">
      <c r="B995" s="2"/>
      <c r="C995" s="4"/>
      <c r="D995" s="4"/>
      <c r="E995" s="4"/>
      <c r="I995" s="135"/>
      <c r="J995" s="135"/>
      <c r="K995" s="135"/>
      <c r="L995" s="135"/>
    </row>
    <row r="996" spans="2:12" ht="12" customHeight="1" x14ac:dyDescent="0.15">
      <c r="B996" s="2"/>
      <c r="C996" s="4"/>
      <c r="D996" s="4"/>
      <c r="E996" s="4"/>
      <c r="I996" s="135"/>
      <c r="J996" s="135"/>
      <c r="K996" s="135"/>
      <c r="L996" s="135"/>
    </row>
    <row r="997" spans="2:12" ht="12" customHeight="1" x14ac:dyDescent="0.15">
      <c r="B997" s="2"/>
      <c r="C997" s="4"/>
      <c r="D997" s="4"/>
      <c r="E997" s="4"/>
      <c r="I997" s="135"/>
      <c r="J997" s="135"/>
      <c r="K997" s="135"/>
      <c r="L997" s="135"/>
    </row>
    <row r="998" spans="2:12" ht="12" customHeight="1" x14ac:dyDescent="0.15">
      <c r="B998" s="2"/>
      <c r="C998" s="4"/>
      <c r="D998" s="4"/>
      <c r="E998" s="4"/>
      <c r="I998" s="135"/>
      <c r="J998" s="135"/>
      <c r="K998" s="135"/>
      <c r="L998" s="135"/>
    </row>
    <row r="999" spans="2:12" ht="12" customHeight="1" x14ac:dyDescent="0.15">
      <c r="B999" s="2"/>
      <c r="C999" s="4"/>
      <c r="D999" s="4"/>
      <c r="E999" s="4"/>
      <c r="I999" s="135"/>
      <c r="J999" s="135"/>
      <c r="K999" s="135"/>
      <c r="L999" s="135"/>
    </row>
    <row r="1000" spans="2:12" ht="12" customHeight="1" x14ac:dyDescent="0.15">
      <c r="B1000" s="2"/>
      <c r="C1000" s="4"/>
      <c r="D1000" s="4"/>
      <c r="E1000" s="4"/>
      <c r="I1000" s="135"/>
      <c r="J1000" s="135"/>
      <c r="K1000" s="135"/>
      <c r="L1000" s="135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22" workbookViewId="0"/>
  </sheetViews>
  <sheetFormatPr baseColWidth="10" defaultColWidth="12.6640625" defaultRowHeight="15" customHeight="1" x14ac:dyDescent="0.15"/>
  <cols>
    <col min="1" max="1" width="4.5" customWidth="1"/>
    <col min="2" max="2" width="38.83203125" customWidth="1"/>
    <col min="3" max="3" width="13" customWidth="1"/>
    <col min="4" max="4" width="29.8320312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1" spans="1:26" ht="54" customHeight="1" x14ac:dyDescent="0.15">
      <c r="A1" s="1"/>
      <c r="B1" s="1"/>
      <c r="C1" s="1"/>
      <c r="D1" s="1"/>
      <c r="E1" s="1"/>
      <c r="F1" s="1"/>
      <c r="G1" s="1"/>
      <c r="I1" s="135"/>
      <c r="J1" s="135"/>
      <c r="K1" s="135"/>
      <c r="L1" s="135"/>
    </row>
    <row r="2" spans="1:26" ht="12" customHeight="1" x14ac:dyDescent="0.15">
      <c r="B2" s="2"/>
      <c r="C2" s="4"/>
      <c r="D2" s="4"/>
      <c r="E2" s="4"/>
      <c r="I2" s="135"/>
      <c r="J2" s="135"/>
      <c r="K2" s="135"/>
      <c r="L2" s="135"/>
    </row>
    <row r="3" spans="1:26" ht="18.75" customHeight="1" x14ac:dyDescent="0.2">
      <c r="A3" s="5" t="s">
        <v>0</v>
      </c>
      <c r="C3" s="4"/>
      <c r="D3" s="4"/>
      <c r="E3" s="4"/>
      <c r="F3" s="5"/>
      <c r="G3" s="5"/>
      <c r="I3" s="135"/>
      <c r="J3" s="135"/>
      <c r="K3" s="135"/>
      <c r="L3" s="135"/>
    </row>
    <row r="4" spans="1:26" ht="12" customHeight="1" x14ac:dyDescent="0.15">
      <c r="A4" s="2" t="s">
        <v>1</v>
      </c>
      <c r="C4" s="4"/>
      <c r="D4" s="4"/>
      <c r="E4" s="4"/>
      <c r="F4" s="2"/>
      <c r="G4" s="2"/>
      <c r="I4" s="135"/>
      <c r="J4" s="135"/>
      <c r="K4" s="135"/>
      <c r="L4" s="135"/>
    </row>
    <row r="5" spans="1:26" ht="12" customHeight="1" x14ac:dyDescent="0.15">
      <c r="B5" s="2"/>
      <c r="C5" s="4"/>
      <c r="D5" s="4"/>
      <c r="E5" s="4"/>
      <c r="I5" s="135"/>
      <c r="J5" s="135"/>
      <c r="K5" s="135"/>
      <c r="L5" s="135"/>
    </row>
    <row r="6" spans="1:26" ht="12" customHeight="1" x14ac:dyDescent="0.15">
      <c r="B6" s="6"/>
      <c r="C6" s="4"/>
      <c r="D6" s="4"/>
      <c r="E6" s="4"/>
      <c r="F6" s="159" t="s">
        <v>284</v>
      </c>
      <c r="G6" s="160"/>
      <c r="I6" s="135"/>
      <c r="J6" s="135"/>
      <c r="K6" s="135"/>
      <c r="L6" s="135"/>
    </row>
    <row r="7" spans="1:26" ht="17.25" customHeight="1" x14ac:dyDescent="0.15">
      <c r="A7" s="8"/>
      <c r="B7" s="161" t="s">
        <v>312</v>
      </c>
      <c r="C7" s="162"/>
      <c r="D7" s="162"/>
      <c r="E7" s="163"/>
      <c r="F7" s="8"/>
      <c r="G7" s="8"/>
      <c r="H7" s="8"/>
      <c r="I7" s="164"/>
      <c r="J7" s="164"/>
      <c r="K7" s="164"/>
      <c r="L7" s="16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" customHeight="1" x14ac:dyDescent="0.15">
      <c r="B8" s="2"/>
      <c r="C8" s="4"/>
      <c r="D8" s="4"/>
      <c r="E8" s="4"/>
      <c r="I8" s="135"/>
      <c r="J8" s="135"/>
      <c r="K8" s="135"/>
      <c r="L8" s="135"/>
    </row>
    <row r="9" spans="1:26" ht="16.5" customHeight="1" x14ac:dyDescent="0.15">
      <c r="B9" s="165"/>
      <c r="C9" s="166"/>
      <c r="D9" s="167"/>
      <c r="E9" s="168" t="s">
        <v>225</v>
      </c>
      <c r="I9" s="135"/>
      <c r="J9" s="135"/>
      <c r="K9" s="135"/>
      <c r="L9" s="135"/>
    </row>
    <row r="10" spans="1:26" ht="13.5" customHeight="1" x14ac:dyDescent="0.15">
      <c r="B10" s="222" t="s">
        <v>313</v>
      </c>
      <c r="C10" s="170"/>
      <c r="D10" s="141"/>
      <c r="E10" s="134"/>
      <c r="I10" s="135"/>
      <c r="J10" s="135"/>
      <c r="K10" s="135"/>
      <c r="L10" s="135"/>
    </row>
    <row r="11" spans="1:26" ht="15" customHeight="1" x14ac:dyDescent="0.15">
      <c r="A11" s="7"/>
      <c r="B11" s="171" t="s">
        <v>314</v>
      </c>
      <c r="C11" s="147"/>
      <c r="D11" s="172"/>
      <c r="E11" s="173">
        <v>19220</v>
      </c>
      <c r="I11" s="135"/>
      <c r="J11" s="135"/>
      <c r="K11" s="135"/>
      <c r="L11" s="135"/>
    </row>
    <row r="12" spans="1:26" ht="15" customHeight="1" x14ac:dyDescent="0.15">
      <c r="A12" s="7"/>
      <c r="B12" s="174"/>
      <c r="C12" s="4"/>
      <c r="D12" s="175"/>
      <c r="E12" s="134"/>
      <c r="I12" s="135"/>
      <c r="J12" s="135"/>
      <c r="K12" s="135"/>
      <c r="L12" s="135"/>
    </row>
    <row r="13" spans="1:26" ht="15" customHeight="1" x14ac:dyDescent="0.15">
      <c r="A13" s="7"/>
      <c r="B13" s="174" t="s">
        <v>291</v>
      </c>
      <c r="C13" s="4"/>
      <c r="D13" s="175"/>
      <c r="E13" s="173">
        <f>E11*0.1</f>
        <v>1922</v>
      </c>
      <c r="I13" s="135"/>
      <c r="J13" s="135"/>
      <c r="K13" s="135"/>
      <c r="L13" s="135"/>
    </row>
    <row r="14" spans="1:26" ht="7.5" customHeight="1" x14ac:dyDescent="0.15">
      <c r="A14" s="7"/>
      <c r="B14" s="64"/>
      <c r="C14" s="4"/>
      <c r="D14" s="134"/>
      <c r="E14" s="134"/>
      <c r="I14" s="135"/>
      <c r="J14" s="135"/>
      <c r="K14" s="135"/>
      <c r="L14" s="135"/>
    </row>
    <row r="15" spans="1:26" ht="15" customHeight="1" x14ac:dyDescent="0.15">
      <c r="A15" s="7"/>
      <c r="B15" s="223" t="s">
        <v>315</v>
      </c>
      <c r="C15" s="147"/>
      <c r="D15" s="176"/>
      <c r="E15" s="4"/>
      <c r="I15" s="135"/>
      <c r="J15" s="135"/>
      <c r="K15" s="135"/>
      <c r="L15" s="135"/>
    </row>
    <row r="16" spans="1:26" ht="15" customHeight="1" x14ac:dyDescent="0.15">
      <c r="A16" s="7"/>
      <c r="B16" s="171" t="s">
        <v>316</v>
      </c>
      <c r="C16" s="4"/>
      <c r="D16" s="134"/>
      <c r="E16" s="173">
        <v>57000</v>
      </c>
      <c r="I16" s="135"/>
      <c r="J16" s="135"/>
      <c r="K16" s="135"/>
      <c r="L16" s="135"/>
    </row>
    <row r="17" spans="1:15" ht="15" customHeight="1" x14ac:dyDescent="0.15">
      <c r="A17" s="7"/>
      <c r="B17" s="174"/>
      <c r="C17" s="4"/>
      <c r="D17" s="134"/>
      <c r="E17" s="134"/>
      <c r="I17" s="135"/>
      <c r="J17" s="135"/>
      <c r="K17" s="135"/>
      <c r="L17" s="135"/>
    </row>
    <row r="18" spans="1:15" ht="7.5" customHeight="1" x14ac:dyDescent="0.15">
      <c r="A18" s="7"/>
      <c r="B18" s="64"/>
      <c r="C18" s="4"/>
      <c r="D18" s="134"/>
      <c r="E18" s="134"/>
      <c r="I18" s="135"/>
      <c r="J18" s="135"/>
      <c r="K18" s="135"/>
      <c r="L18" s="135"/>
    </row>
    <row r="19" spans="1:15" ht="15" customHeight="1" x14ac:dyDescent="0.15">
      <c r="A19" s="7"/>
      <c r="B19" s="171"/>
      <c r="C19" s="4"/>
      <c r="D19" s="134"/>
      <c r="E19" s="173"/>
      <c r="I19" s="135"/>
      <c r="J19" s="135"/>
      <c r="K19" s="135"/>
      <c r="L19" s="135"/>
    </row>
    <row r="20" spans="1:15" ht="7.5" customHeight="1" x14ac:dyDescent="0.15">
      <c r="B20" s="177"/>
      <c r="C20" s="178"/>
      <c r="D20" s="179"/>
      <c r="E20" s="134"/>
      <c r="I20" s="135"/>
      <c r="J20" s="135"/>
      <c r="K20" s="135"/>
      <c r="L20" s="135"/>
    </row>
    <row r="21" spans="1:15" ht="15" customHeight="1" x14ac:dyDescent="0.15">
      <c r="B21" s="180"/>
      <c r="C21" s="181"/>
      <c r="D21" s="182" t="s">
        <v>292</v>
      </c>
      <c r="E21" s="183">
        <f>SUM(E10:E20)</f>
        <v>78142</v>
      </c>
      <c r="I21" s="135"/>
      <c r="J21" s="135"/>
      <c r="K21" s="135"/>
      <c r="L21" s="135"/>
    </row>
    <row r="22" spans="1:15" ht="15" customHeight="1" x14ac:dyDescent="0.15">
      <c r="B22" s="184" t="s">
        <v>293</v>
      </c>
      <c r="C22" s="185"/>
      <c r="D22" s="185"/>
      <c r="E22" s="185"/>
      <c r="I22" s="135"/>
      <c r="J22" s="135"/>
      <c r="K22" s="135"/>
      <c r="L22" s="135"/>
    </row>
    <row r="23" spans="1:15" ht="15" customHeight="1" x14ac:dyDescent="0.15">
      <c r="B23" s="184" t="s">
        <v>294</v>
      </c>
      <c r="C23" s="185"/>
      <c r="D23" s="185"/>
      <c r="E23" s="185"/>
      <c r="I23" s="135"/>
      <c r="J23" s="135"/>
      <c r="K23" s="135"/>
      <c r="L23" s="135"/>
    </row>
    <row r="24" spans="1:15" ht="15" customHeight="1" x14ac:dyDescent="0.15">
      <c r="B24" s="186" t="s">
        <v>295</v>
      </c>
      <c r="C24" s="4"/>
      <c r="D24" s="4"/>
      <c r="E24" s="4"/>
      <c r="I24" s="135"/>
      <c r="J24" s="135"/>
      <c r="K24" s="135"/>
      <c r="L24" s="135"/>
    </row>
    <row r="25" spans="1:15" ht="15" customHeight="1" x14ac:dyDescent="0.15">
      <c r="B25" s="186" t="s">
        <v>296</v>
      </c>
      <c r="C25" s="4"/>
      <c r="D25" s="4"/>
      <c r="E25" s="4"/>
      <c r="I25" s="135"/>
      <c r="J25" s="135"/>
      <c r="K25" s="135"/>
      <c r="L25" s="135"/>
    </row>
    <row r="26" spans="1:15" ht="15" customHeight="1" x14ac:dyDescent="0.15">
      <c r="B26" s="187"/>
      <c r="C26" s="4"/>
      <c r="D26" s="4"/>
      <c r="E26" s="4"/>
      <c r="I26" s="135"/>
      <c r="J26" s="135"/>
      <c r="K26" s="135"/>
      <c r="L26" s="135"/>
    </row>
    <row r="27" spans="1:15" ht="15" customHeight="1" x14ac:dyDescent="0.15">
      <c r="B27" s="187" t="s">
        <v>297</v>
      </c>
      <c r="C27" s="4"/>
      <c r="D27" s="4"/>
      <c r="E27" s="4"/>
      <c r="I27" s="135"/>
      <c r="J27" s="135"/>
      <c r="K27" s="135"/>
      <c r="L27" s="135"/>
    </row>
    <row r="28" spans="1:15" ht="15" customHeight="1" x14ac:dyDescent="0.15">
      <c r="B28" s="187" t="s">
        <v>298</v>
      </c>
      <c r="C28" s="4"/>
      <c r="D28" s="4"/>
      <c r="E28" s="4"/>
      <c r="I28" s="135"/>
      <c r="J28" s="135"/>
      <c r="K28" s="135"/>
      <c r="L28" s="135"/>
    </row>
    <row r="29" spans="1:15" ht="15" customHeight="1" x14ac:dyDescent="0.15">
      <c r="B29" s="187"/>
      <c r="C29" s="4"/>
      <c r="D29" s="4"/>
      <c r="E29" s="4"/>
      <c r="I29" s="135"/>
      <c r="J29" s="135"/>
      <c r="K29" s="135"/>
      <c r="L29" s="135"/>
    </row>
    <row r="30" spans="1:15" ht="15" customHeight="1" x14ac:dyDescent="0.2">
      <c r="B30" s="188" t="s">
        <v>317</v>
      </c>
      <c r="C30" s="189"/>
      <c r="D30" s="190"/>
      <c r="E30" s="191">
        <f>E21</f>
        <v>78142</v>
      </c>
      <c r="H30" s="192" t="s">
        <v>300</v>
      </c>
      <c r="I30" s="193" t="s">
        <v>301</v>
      </c>
      <c r="J30" s="194" t="s">
        <v>302</v>
      </c>
      <c r="K30" s="194" t="s">
        <v>303</v>
      </c>
      <c r="L30" s="195" t="s">
        <v>304</v>
      </c>
      <c r="M30" s="196" t="s">
        <v>305</v>
      </c>
      <c r="N30" s="197"/>
      <c r="O30" s="198"/>
    </row>
    <row r="31" spans="1:15" ht="15" customHeight="1" x14ac:dyDescent="0.15">
      <c r="B31" s="199" t="s">
        <v>306</v>
      </c>
      <c r="C31" s="200" t="s">
        <v>307</v>
      </c>
      <c r="D31" s="201" t="s">
        <v>308</v>
      </c>
      <c r="E31" s="200" t="s">
        <v>309</v>
      </c>
      <c r="H31" s="202">
        <v>1</v>
      </c>
      <c r="I31" s="135">
        <f>E30</f>
        <v>78142</v>
      </c>
      <c r="J31" s="135">
        <v>3385038.8048100215</v>
      </c>
      <c r="K31" s="135">
        <v>26236200</v>
      </c>
      <c r="L31" s="224">
        <f>J31/J38*100</f>
        <v>12.902168777528845</v>
      </c>
      <c r="M31" s="135">
        <f t="shared" ref="M31:M37" si="0">(I31*J31/K31)</f>
        <v>10082.012726136585</v>
      </c>
      <c r="N31" s="203">
        <f t="shared" ref="N31:N37" si="1">M31</f>
        <v>10082.012726136585</v>
      </c>
    </row>
    <row r="32" spans="1:15" ht="15" customHeight="1" x14ac:dyDescent="0.15">
      <c r="B32" s="204" t="s">
        <v>184</v>
      </c>
      <c r="C32" s="205" t="s">
        <v>185</v>
      </c>
      <c r="D32" s="206">
        <v>0.129</v>
      </c>
      <c r="E32" s="207">
        <f t="shared" ref="E32:E38" si="2">M31</f>
        <v>10082.012726136585</v>
      </c>
      <c r="H32" s="202">
        <v>2</v>
      </c>
      <c r="I32" s="135">
        <f>E30</f>
        <v>78142</v>
      </c>
      <c r="J32" s="135">
        <v>3452215.7605962222</v>
      </c>
      <c r="K32" s="135">
        <v>26236200</v>
      </c>
      <c r="L32" s="225">
        <f>J32/J38*100</f>
        <v>13.158215597518785</v>
      </c>
      <c r="M32" s="135">
        <f t="shared" si="0"/>
        <v>10282.092832213126</v>
      </c>
      <c r="N32" s="203">
        <f t="shared" si="1"/>
        <v>10282.092832213126</v>
      </c>
    </row>
    <row r="33" spans="2:14" ht="12" customHeight="1" x14ac:dyDescent="0.15">
      <c r="B33" s="208" t="s">
        <v>187</v>
      </c>
      <c r="C33" s="209" t="s">
        <v>188</v>
      </c>
      <c r="D33" s="210">
        <v>0.13159999999999999</v>
      </c>
      <c r="E33" s="211">
        <f t="shared" si="2"/>
        <v>10282.092832213126</v>
      </c>
      <c r="H33" s="202">
        <v>3</v>
      </c>
      <c r="I33" s="135">
        <f>E30</f>
        <v>78142</v>
      </c>
      <c r="J33" s="135">
        <v>4062206.5109048504</v>
      </c>
      <c r="K33" s="135">
        <v>26236200</v>
      </c>
      <c r="L33" s="225">
        <f>J33/J38*100</f>
        <v>15.483212168320303</v>
      </c>
      <c r="M33" s="135">
        <f t="shared" si="0"/>
        <v>12098.891652568849</v>
      </c>
      <c r="N33" s="203">
        <f t="shared" si="1"/>
        <v>12098.891652568849</v>
      </c>
    </row>
    <row r="34" spans="2:14" ht="12" customHeight="1" x14ac:dyDescent="0.15">
      <c r="B34" s="208" t="s">
        <v>189</v>
      </c>
      <c r="C34" s="209" t="s">
        <v>190</v>
      </c>
      <c r="D34" s="210">
        <v>0.15479999999999999</v>
      </c>
      <c r="E34" s="211">
        <f t="shared" si="2"/>
        <v>12098.891652568849</v>
      </c>
      <c r="H34" s="202">
        <v>4</v>
      </c>
      <c r="I34" s="135">
        <f>E30</f>
        <v>78142</v>
      </c>
      <c r="J34" s="135">
        <v>2069290.155914224</v>
      </c>
      <c r="K34" s="135">
        <v>26236200</v>
      </c>
      <c r="L34" s="225">
        <f>J34/J38*100</f>
        <v>7.8871565086187196</v>
      </c>
      <c r="M34" s="135">
        <f t="shared" si="0"/>
        <v>6163.1818389648379</v>
      </c>
      <c r="N34" s="203">
        <f t="shared" si="1"/>
        <v>6163.1818389648379</v>
      </c>
    </row>
    <row r="35" spans="2:14" ht="12" customHeight="1" x14ac:dyDescent="0.15">
      <c r="B35" s="208" t="s">
        <v>191</v>
      </c>
      <c r="C35" s="209" t="s">
        <v>192</v>
      </c>
      <c r="D35" s="210">
        <v>7.8899999999999998E-2</v>
      </c>
      <c r="E35" s="211">
        <f t="shared" si="2"/>
        <v>6163.1818389648379</v>
      </c>
      <c r="H35" s="202">
        <v>5</v>
      </c>
      <c r="I35" s="135">
        <f>E30</f>
        <v>78142</v>
      </c>
      <c r="J35" s="135">
        <v>2539128.9835855695</v>
      </c>
      <c r="K35" s="135">
        <v>26236200</v>
      </c>
      <c r="L35" s="225">
        <f>J35/J38*100</f>
        <v>9.6779601603340808</v>
      </c>
      <c r="M35" s="135">
        <f t="shared" si="0"/>
        <v>7562.5516284882551</v>
      </c>
      <c r="N35" s="203">
        <f t="shared" si="1"/>
        <v>7562.5516284882551</v>
      </c>
    </row>
    <row r="36" spans="2:14" ht="12" customHeight="1" x14ac:dyDescent="0.15">
      <c r="B36" s="208" t="s">
        <v>310</v>
      </c>
      <c r="C36" s="209" t="s">
        <v>194</v>
      </c>
      <c r="D36" s="210">
        <v>9.6799999999999997E-2</v>
      </c>
      <c r="E36" s="211">
        <f t="shared" si="2"/>
        <v>7562.5516284882551</v>
      </c>
      <c r="H36" s="202">
        <v>6</v>
      </c>
      <c r="I36" s="135">
        <f>E30</f>
        <v>78142</v>
      </c>
      <c r="J36" s="135">
        <v>4172168.7897215486</v>
      </c>
      <c r="K36" s="135">
        <v>26236200</v>
      </c>
      <c r="L36" s="225">
        <f>J36/J38*100</f>
        <v>15.902336427232411</v>
      </c>
      <c r="M36" s="135">
        <f t="shared" si="0"/>
        <v>12426.403730967948</v>
      </c>
      <c r="N36" s="203">
        <f t="shared" si="1"/>
        <v>12426.403730967948</v>
      </c>
    </row>
    <row r="37" spans="2:14" ht="12" customHeight="1" x14ac:dyDescent="0.15">
      <c r="B37" s="208" t="s">
        <v>318</v>
      </c>
      <c r="C37" s="209" t="s">
        <v>196</v>
      </c>
      <c r="D37" s="210">
        <v>0.159</v>
      </c>
      <c r="E37" s="211">
        <f t="shared" si="2"/>
        <v>12426.403730967948</v>
      </c>
      <c r="H37" s="202">
        <v>7</v>
      </c>
      <c r="I37" s="135">
        <f>E30</f>
        <v>78142</v>
      </c>
      <c r="J37" s="135">
        <v>6556150.9944675583</v>
      </c>
      <c r="K37" s="135">
        <v>26236200</v>
      </c>
      <c r="L37" s="225">
        <f>J37/J38*100</f>
        <v>24.988950360446864</v>
      </c>
      <c r="M37" s="135">
        <f t="shared" si="0"/>
        <v>19526.865590660385</v>
      </c>
      <c r="N37" s="203">
        <f t="shared" si="1"/>
        <v>19526.865590660385</v>
      </c>
    </row>
    <row r="38" spans="2:14" ht="12" customHeight="1" x14ac:dyDescent="0.15">
      <c r="B38" s="208" t="s">
        <v>197</v>
      </c>
      <c r="C38" s="209" t="s">
        <v>198</v>
      </c>
      <c r="D38" s="210">
        <v>0.24990000000000001</v>
      </c>
      <c r="E38" s="211">
        <f t="shared" si="2"/>
        <v>19526.865590660385</v>
      </c>
      <c r="H38" s="212"/>
      <c r="I38" s="213"/>
      <c r="J38" s="214">
        <f>SUM(J31:J37)</f>
        <v>26236199.999999993</v>
      </c>
      <c r="K38" s="214"/>
      <c r="L38" s="214">
        <f t="shared" ref="L38:N38" si="3">SUM(L31:L37)</f>
        <v>100.00000000000001</v>
      </c>
      <c r="M38" s="214">
        <f t="shared" si="3"/>
        <v>78141.999999999985</v>
      </c>
      <c r="N38" s="215">
        <f t="shared" si="3"/>
        <v>78141.999999999985</v>
      </c>
    </row>
    <row r="39" spans="2:14" ht="12" customHeight="1" x14ac:dyDescent="0.15">
      <c r="B39" s="216" t="s">
        <v>225</v>
      </c>
      <c r="C39" s="217"/>
      <c r="D39" s="218">
        <f t="shared" ref="D39:E39" si="4">SUM(D32:D38)</f>
        <v>1</v>
      </c>
      <c r="E39" s="219">
        <f t="shared" si="4"/>
        <v>78141.999999999985</v>
      </c>
      <c r="I39" s="135"/>
      <c r="J39" s="135"/>
      <c r="K39" s="135"/>
      <c r="L39" s="135"/>
    </row>
    <row r="40" spans="2:14" ht="12" customHeight="1" x14ac:dyDescent="0.15">
      <c r="B40" s="220"/>
      <c r="C40" s="75"/>
      <c r="D40" s="221"/>
      <c r="E40" s="185"/>
      <c r="I40" s="135"/>
      <c r="J40" s="135"/>
      <c r="K40" s="135"/>
      <c r="L40" s="135"/>
    </row>
    <row r="41" spans="2:14" ht="12" customHeight="1" x14ac:dyDescent="0.15">
      <c r="B41" s="2"/>
      <c r="C41" s="4"/>
      <c r="D41" s="4"/>
      <c r="E41" s="4"/>
      <c r="I41" s="135"/>
      <c r="J41" s="135"/>
      <c r="K41" s="135"/>
      <c r="L41" s="135"/>
    </row>
    <row r="42" spans="2:14" ht="12" customHeight="1" x14ac:dyDescent="0.15">
      <c r="B42" s="2"/>
      <c r="C42" s="4"/>
      <c r="D42" s="4"/>
      <c r="E42" s="4"/>
      <c r="I42" s="135"/>
      <c r="J42" s="135"/>
      <c r="K42" s="135"/>
      <c r="L42" s="135"/>
    </row>
    <row r="43" spans="2:14" ht="12" customHeight="1" x14ac:dyDescent="0.15">
      <c r="B43" s="226"/>
      <c r="C43" s="135"/>
      <c r="D43" s="4"/>
      <c r="E43" s="206"/>
      <c r="I43" s="135"/>
      <c r="J43" s="135"/>
      <c r="K43" s="135"/>
      <c r="L43" s="135"/>
      <c r="M43" s="135"/>
    </row>
    <row r="44" spans="2:14" ht="12" customHeight="1" x14ac:dyDescent="0.15">
      <c r="B44" s="226"/>
      <c r="C44" s="135"/>
      <c r="D44" s="4"/>
      <c r="E44" s="210"/>
      <c r="I44" s="135"/>
      <c r="J44" s="135"/>
      <c r="K44" s="135"/>
      <c r="L44" s="135"/>
    </row>
    <row r="45" spans="2:14" ht="12" customHeight="1" x14ac:dyDescent="0.15">
      <c r="B45" s="226"/>
      <c r="C45" s="135"/>
      <c r="D45" s="4"/>
      <c r="E45" s="210"/>
      <c r="I45" s="135"/>
      <c r="J45" s="135"/>
      <c r="K45" s="135"/>
      <c r="L45" s="135"/>
    </row>
    <row r="46" spans="2:14" ht="12" customHeight="1" x14ac:dyDescent="0.15">
      <c r="B46" s="226"/>
      <c r="C46" s="135"/>
      <c r="D46" s="4"/>
      <c r="E46" s="210"/>
      <c r="I46" s="135"/>
      <c r="J46" s="135"/>
      <c r="K46" s="135"/>
      <c r="L46" s="135"/>
    </row>
    <row r="47" spans="2:14" ht="12" customHeight="1" x14ac:dyDescent="0.15">
      <c r="B47" s="226"/>
      <c r="C47" s="135"/>
      <c r="D47" s="4"/>
      <c r="E47" s="210"/>
      <c r="I47" s="135"/>
      <c r="J47" s="135"/>
      <c r="K47" s="135"/>
      <c r="L47" s="135"/>
    </row>
    <row r="48" spans="2:14" ht="12" customHeight="1" x14ac:dyDescent="0.15">
      <c r="B48" s="226"/>
      <c r="C48" s="135"/>
      <c r="D48" s="4"/>
      <c r="E48" s="210"/>
      <c r="I48" s="135"/>
      <c r="J48" s="135"/>
      <c r="K48" s="135"/>
      <c r="L48" s="135"/>
    </row>
    <row r="49" spans="2:12" ht="12" customHeight="1" x14ac:dyDescent="0.15">
      <c r="B49" s="226"/>
      <c r="C49" s="135"/>
      <c r="D49" s="4"/>
      <c r="E49" s="210"/>
      <c r="I49" s="135"/>
      <c r="J49" s="135"/>
      <c r="K49" s="135"/>
      <c r="L49" s="135"/>
    </row>
    <row r="50" spans="2:12" ht="12" customHeight="1" x14ac:dyDescent="0.15">
      <c r="B50" s="2"/>
      <c r="C50" s="147"/>
      <c r="D50" s="4"/>
      <c r="E50" s="4"/>
      <c r="I50" s="135"/>
      <c r="J50" s="135"/>
      <c r="K50" s="135"/>
      <c r="L50" s="135"/>
    </row>
    <row r="51" spans="2:12" ht="12" customHeight="1" x14ac:dyDescent="0.15">
      <c r="B51" s="2"/>
      <c r="C51" s="4"/>
      <c r="D51" s="4"/>
      <c r="E51" s="4"/>
      <c r="I51" s="135"/>
      <c r="J51" s="135"/>
      <c r="K51" s="135"/>
      <c r="L51" s="135"/>
    </row>
    <row r="52" spans="2:12" ht="12" customHeight="1" x14ac:dyDescent="0.15">
      <c r="B52" s="2"/>
      <c r="C52" s="4"/>
      <c r="D52" s="4"/>
      <c r="E52" s="4"/>
      <c r="I52" s="135"/>
      <c r="J52" s="135"/>
      <c r="K52" s="135"/>
      <c r="L52" s="135"/>
    </row>
    <row r="53" spans="2:12" ht="12" customHeight="1" x14ac:dyDescent="0.15">
      <c r="B53" s="2"/>
      <c r="C53" s="4"/>
      <c r="D53" s="4"/>
      <c r="E53" s="4"/>
      <c r="I53" s="135"/>
      <c r="J53" s="135"/>
      <c r="K53" s="135"/>
      <c r="L53" s="135"/>
    </row>
    <row r="54" spans="2:12" ht="12" customHeight="1" x14ac:dyDescent="0.15">
      <c r="B54" s="2"/>
      <c r="C54" s="4"/>
      <c r="D54" s="4"/>
      <c r="E54" s="4"/>
      <c r="I54" s="135"/>
      <c r="J54" s="135"/>
      <c r="K54" s="135"/>
      <c r="L54" s="135"/>
    </row>
    <row r="55" spans="2:12" ht="12" customHeight="1" x14ac:dyDescent="0.15">
      <c r="B55" s="2"/>
      <c r="C55" s="4"/>
      <c r="D55" s="4"/>
      <c r="E55" s="4"/>
      <c r="I55" s="135"/>
      <c r="J55" s="135"/>
      <c r="K55" s="135"/>
      <c r="L55" s="135"/>
    </row>
    <row r="56" spans="2:12" ht="12" customHeight="1" x14ac:dyDescent="0.15">
      <c r="B56" s="2"/>
      <c r="C56" s="4"/>
      <c r="D56" s="4"/>
      <c r="E56" s="4"/>
      <c r="I56" s="135"/>
      <c r="J56" s="135"/>
      <c r="K56" s="135"/>
      <c r="L56" s="135"/>
    </row>
    <row r="57" spans="2:12" ht="12" customHeight="1" x14ac:dyDescent="0.15">
      <c r="B57" s="2"/>
      <c r="C57" s="4"/>
      <c r="D57" s="4"/>
      <c r="E57" s="4"/>
      <c r="I57" s="135"/>
      <c r="J57" s="135"/>
      <c r="K57" s="135"/>
      <c r="L57" s="135"/>
    </row>
    <row r="58" spans="2:12" ht="12" customHeight="1" x14ac:dyDescent="0.15">
      <c r="B58" s="2"/>
      <c r="C58" s="4"/>
      <c r="D58" s="4"/>
      <c r="E58" s="4"/>
      <c r="I58" s="135"/>
      <c r="J58" s="135"/>
      <c r="K58" s="135"/>
      <c r="L58" s="135"/>
    </row>
    <row r="59" spans="2:12" ht="12" customHeight="1" x14ac:dyDescent="0.15">
      <c r="B59" s="2"/>
      <c r="C59" s="4"/>
      <c r="D59" s="4"/>
      <c r="E59" s="4"/>
      <c r="I59" s="135"/>
      <c r="J59" s="135"/>
      <c r="K59" s="135"/>
      <c r="L59" s="135"/>
    </row>
    <row r="60" spans="2:12" ht="12" customHeight="1" x14ac:dyDescent="0.15">
      <c r="B60" s="2"/>
      <c r="C60" s="4"/>
      <c r="D60" s="4"/>
      <c r="E60" s="4"/>
      <c r="I60" s="135"/>
      <c r="J60" s="135"/>
      <c r="K60" s="135"/>
      <c r="L60" s="135"/>
    </row>
    <row r="61" spans="2:12" ht="12" customHeight="1" x14ac:dyDescent="0.15">
      <c r="B61" s="2"/>
      <c r="C61" s="4"/>
      <c r="D61" s="4"/>
      <c r="E61" s="4"/>
      <c r="I61" s="135"/>
      <c r="J61" s="135"/>
      <c r="K61" s="135"/>
      <c r="L61" s="135"/>
    </row>
    <row r="62" spans="2:12" ht="12" customHeight="1" x14ac:dyDescent="0.15">
      <c r="B62" s="2"/>
      <c r="C62" s="4"/>
      <c r="D62" s="4"/>
      <c r="E62" s="4"/>
      <c r="I62" s="135"/>
      <c r="J62" s="135"/>
      <c r="K62" s="135"/>
      <c r="L62" s="135"/>
    </row>
    <row r="63" spans="2:12" ht="12" customHeight="1" x14ac:dyDescent="0.15">
      <c r="B63" s="2"/>
      <c r="C63" s="4"/>
      <c r="D63" s="4"/>
      <c r="E63" s="4"/>
      <c r="I63" s="135"/>
      <c r="J63" s="135"/>
      <c r="K63" s="135"/>
      <c r="L63" s="135"/>
    </row>
    <row r="64" spans="2:12" ht="12" customHeight="1" x14ac:dyDescent="0.15">
      <c r="B64" s="2"/>
      <c r="C64" s="4"/>
      <c r="D64" s="4"/>
      <c r="E64" s="4"/>
      <c r="I64" s="135"/>
      <c r="J64" s="135"/>
      <c r="K64" s="135"/>
      <c r="L64" s="135"/>
    </row>
    <row r="65" spans="2:12" ht="12" customHeight="1" x14ac:dyDescent="0.15">
      <c r="B65" s="2"/>
      <c r="C65" s="4"/>
      <c r="D65" s="4"/>
      <c r="E65" s="4"/>
      <c r="I65" s="135"/>
      <c r="J65" s="135"/>
      <c r="K65" s="135"/>
      <c r="L65" s="135"/>
    </row>
    <row r="66" spans="2:12" ht="12" customHeight="1" x14ac:dyDescent="0.15">
      <c r="B66" s="2"/>
      <c r="C66" s="4"/>
      <c r="D66" s="4"/>
      <c r="E66" s="4"/>
      <c r="I66" s="135"/>
      <c r="J66" s="135"/>
      <c r="K66" s="135"/>
      <c r="L66" s="135"/>
    </row>
    <row r="67" spans="2:12" ht="12" customHeight="1" x14ac:dyDescent="0.15">
      <c r="B67" s="2"/>
      <c r="C67" s="4"/>
      <c r="D67" s="4"/>
      <c r="E67" s="4"/>
      <c r="I67" s="135"/>
      <c r="J67" s="135"/>
      <c r="K67" s="135"/>
      <c r="L67" s="135"/>
    </row>
    <row r="68" spans="2:12" ht="12" customHeight="1" x14ac:dyDescent="0.15">
      <c r="B68" s="2"/>
      <c r="C68" s="4"/>
      <c r="D68" s="4"/>
      <c r="E68" s="4"/>
      <c r="I68" s="135"/>
      <c r="J68" s="135"/>
      <c r="K68" s="135"/>
      <c r="L68" s="135"/>
    </row>
    <row r="69" spans="2:12" ht="12" customHeight="1" x14ac:dyDescent="0.15">
      <c r="B69" s="2"/>
      <c r="C69" s="4"/>
      <c r="D69" s="4"/>
      <c r="E69" s="4"/>
      <c r="I69" s="135"/>
      <c r="J69" s="135"/>
      <c r="K69" s="135"/>
      <c r="L69" s="135"/>
    </row>
    <row r="70" spans="2:12" ht="12" customHeight="1" x14ac:dyDescent="0.15">
      <c r="B70" s="2"/>
      <c r="C70" s="4"/>
      <c r="D70" s="4"/>
      <c r="E70" s="4"/>
      <c r="I70" s="135"/>
      <c r="J70" s="135"/>
      <c r="K70" s="135"/>
      <c r="L70" s="135"/>
    </row>
    <row r="71" spans="2:12" ht="12" customHeight="1" x14ac:dyDescent="0.15">
      <c r="B71" s="2"/>
      <c r="C71" s="4"/>
      <c r="D71" s="4"/>
      <c r="E71" s="4"/>
      <c r="I71" s="135"/>
      <c r="J71" s="135"/>
      <c r="K71" s="135"/>
      <c r="L71" s="135"/>
    </row>
    <row r="72" spans="2:12" ht="12" customHeight="1" x14ac:dyDescent="0.15">
      <c r="B72" s="2"/>
      <c r="C72" s="4"/>
      <c r="D72" s="4"/>
      <c r="E72" s="4"/>
      <c r="I72" s="135"/>
      <c r="J72" s="135"/>
      <c r="K72" s="135"/>
      <c r="L72" s="135"/>
    </row>
    <row r="73" spans="2:12" ht="12" customHeight="1" x14ac:dyDescent="0.15">
      <c r="B73" s="2"/>
      <c r="C73" s="4"/>
      <c r="D73" s="4"/>
      <c r="E73" s="4"/>
      <c r="I73" s="135"/>
      <c r="J73" s="135"/>
      <c r="K73" s="135"/>
      <c r="L73" s="135"/>
    </row>
    <row r="74" spans="2:12" ht="12" customHeight="1" x14ac:dyDescent="0.15">
      <c r="B74" s="2"/>
      <c r="C74" s="4"/>
      <c r="D74" s="4"/>
      <c r="E74" s="4"/>
      <c r="I74" s="135"/>
      <c r="J74" s="135"/>
      <c r="K74" s="135"/>
      <c r="L74" s="135"/>
    </row>
    <row r="75" spans="2:12" ht="12" customHeight="1" x14ac:dyDescent="0.15">
      <c r="B75" s="2"/>
      <c r="C75" s="4"/>
      <c r="D75" s="4"/>
      <c r="E75" s="4"/>
      <c r="I75" s="135"/>
      <c r="J75" s="135"/>
      <c r="K75" s="135"/>
      <c r="L75" s="135"/>
    </row>
    <row r="76" spans="2:12" ht="12" customHeight="1" x14ac:dyDescent="0.15">
      <c r="B76" s="2"/>
      <c r="C76" s="4"/>
      <c r="D76" s="4"/>
      <c r="E76" s="4"/>
      <c r="I76" s="135"/>
      <c r="J76" s="135"/>
      <c r="K76" s="135"/>
      <c r="L76" s="135"/>
    </row>
    <row r="77" spans="2:12" ht="12" customHeight="1" x14ac:dyDescent="0.15">
      <c r="B77" s="2"/>
      <c r="C77" s="4"/>
      <c r="D77" s="4"/>
      <c r="E77" s="4"/>
      <c r="I77" s="135"/>
      <c r="J77" s="135"/>
      <c r="K77" s="135"/>
      <c r="L77" s="135"/>
    </row>
    <row r="78" spans="2:12" ht="12" customHeight="1" x14ac:dyDescent="0.15">
      <c r="B78" s="2"/>
      <c r="C78" s="4"/>
      <c r="D78" s="4"/>
      <c r="E78" s="4"/>
      <c r="I78" s="135"/>
      <c r="J78" s="135"/>
      <c r="K78" s="135"/>
      <c r="L78" s="135"/>
    </row>
    <row r="79" spans="2:12" ht="12" customHeight="1" x14ac:dyDescent="0.15">
      <c r="B79" s="2"/>
      <c r="C79" s="4"/>
      <c r="D79" s="4"/>
      <c r="E79" s="4"/>
      <c r="I79" s="135"/>
      <c r="J79" s="135"/>
      <c r="K79" s="135"/>
      <c r="L79" s="135"/>
    </row>
    <row r="80" spans="2:12" ht="12" customHeight="1" x14ac:dyDescent="0.15">
      <c r="B80" s="2"/>
      <c r="C80" s="4"/>
      <c r="D80" s="4"/>
      <c r="E80" s="4"/>
      <c r="I80" s="135"/>
      <c r="J80" s="135"/>
      <c r="K80" s="135"/>
      <c r="L80" s="135"/>
    </row>
    <row r="81" spans="2:12" ht="12" customHeight="1" x14ac:dyDescent="0.15">
      <c r="B81" s="2"/>
      <c r="C81" s="4"/>
      <c r="D81" s="4"/>
      <c r="E81" s="4"/>
      <c r="I81" s="135"/>
      <c r="J81" s="135"/>
      <c r="K81" s="135"/>
      <c r="L81" s="135"/>
    </row>
    <row r="82" spans="2:12" ht="12" customHeight="1" x14ac:dyDescent="0.15">
      <c r="B82" s="2"/>
      <c r="C82" s="4"/>
      <c r="D82" s="4"/>
      <c r="E82" s="4"/>
      <c r="I82" s="135"/>
      <c r="J82" s="135"/>
      <c r="K82" s="135"/>
      <c r="L82" s="135"/>
    </row>
    <row r="83" spans="2:12" ht="12" customHeight="1" x14ac:dyDescent="0.15">
      <c r="B83" s="2"/>
      <c r="C83" s="4"/>
      <c r="D83" s="4"/>
      <c r="E83" s="4"/>
      <c r="I83" s="135"/>
      <c r="J83" s="135"/>
      <c r="K83" s="135"/>
      <c r="L83" s="135"/>
    </row>
    <row r="84" spans="2:12" ht="12" customHeight="1" x14ac:dyDescent="0.15">
      <c r="B84" s="2"/>
      <c r="C84" s="4"/>
      <c r="D84" s="4"/>
      <c r="E84" s="4"/>
      <c r="I84" s="135"/>
      <c r="J84" s="135"/>
      <c r="K84" s="135"/>
      <c r="L84" s="135"/>
    </row>
    <row r="85" spans="2:12" ht="12" customHeight="1" x14ac:dyDescent="0.15">
      <c r="B85" s="2"/>
      <c r="C85" s="4"/>
      <c r="D85" s="4"/>
      <c r="E85" s="4"/>
      <c r="I85" s="135"/>
      <c r="J85" s="135"/>
      <c r="K85" s="135"/>
      <c r="L85" s="135"/>
    </row>
    <row r="86" spans="2:12" ht="12" customHeight="1" x14ac:dyDescent="0.15">
      <c r="B86" s="2"/>
      <c r="C86" s="4"/>
      <c r="D86" s="4"/>
      <c r="E86" s="4"/>
      <c r="I86" s="135"/>
      <c r="J86" s="135"/>
      <c r="K86" s="135"/>
      <c r="L86" s="135"/>
    </row>
    <row r="87" spans="2:12" ht="12" customHeight="1" x14ac:dyDescent="0.15">
      <c r="B87" s="2"/>
      <c r="C87" s="4"/>
      <c r="D87" s="4"/>
      <c r="E87" s="4"/>
      <c r="I87" s="135"/>
      <c r="J87" s="135"/>
      <c r="K87" s="135"/>
      <c r="L87" s="135"/>
    </row>
    <row r="88" spans="2:12" ht="12" customHeight="1" x14ac:dyDescent="0.15">
      <c r="B88" s="2"/>
      <c r="C88" s="4"/>
      <c r="D88" s="4"/>
      <c r="E88" s="4"/>
      <c r="I88" s="135"/>
      <c r="J88" s="135"/>
      <c r="K88" s="135"/>
      <c r="L88" s="135"/>
    </row>
    <row r="89" spans="2:12" ht="12" customHeight="1" x14ac:dyDescent="0.15">
      <c r="B89" s="2"/>
      <c r="C89" s="4"/>
      <c r="D89" s="4"/>
      <c r="E89" s="4"/>
      <c r="I89" s="135"/>
      <c r="J89" s="135"/>
      <c r="K89" s="135"/>
      <c r="L89" s="135"/>
    </row>
    <row r="90" spans="2:12" ht="12" customHeight="1" x14ac:dyDescent="0.15">
      <c r="B90" s="2"/>
      <c r="C90" s="4"/>
      <c r="D90" s="4"/>
      <c r="E90" s="4"/>
      <c r="I90" s="135"/>
      <c r="J90" s="135"/>
      <c r="K90" s="135"/>
      <c r="L90" s="135"/>
    </row>
    <row r="91" spans="2:12" ht="12" customHeight="1" x14ac:dyDescent="0.15">
      <c r="B91" s="2"/>
      <c r="C91" s="4"/>
      <c r="D91" s="4"/>
      <c r="E91" s="4"/>
      <c r="I91" s="135"/>
      <c r="J91" s="135"/>
      <c r="K91" s="135"/>
      <c r="L91" s="135"/>
    </row>
    <row r="92" spans="2:12" ht="12" customHeight="1" x14ac:dyDescent="0.15">
      <c r="B92" s="2"/>
      <c r="C92" s="4"/>
      <c r="D92" s="4"/>
      <c r="E92" s="4"/>
      <c r="I92" s="135"/>
      <c r="J92" s="135"/>
      <c r="K92" s="135"/>
      <c r="L92" s="135"/>
    </row>
    <row r="93" spans="2:12" ht="12" customHeight="1" x14ac:dyDescent="0.15">
      <c r="B93" s="2"/>
      <c r="C93" s="4"/>
      <c r="D93" s="4"/>
      <c r="E93" s="4"/>
      <c r="I93" s="135"/>
      <c r="J93" s="135"/>
      <c r="K93" s="135"/>
      <c r="L93" s="135"/>
    </row>
    <row r="94" spans="2:12" ht="12" customHeight="1" x14ac:dyDescent="0.15">
      <c r="B94" s="2"/>
      <c r="C94" s="4"/>
      <c r="D94" s="4"/>
      <c r="E94" s="4"/>
      <c r="I94" s="135"/>
      <c r="J94" s="135"/>
      <c r="K94" s="135"/>
      <c r="L94" s="135"/>
    </row>
    <row r="95" spans="2:12" ht="12" customHeight="1" x14ac:dyDescent="0.15">
      <c r="B95" s="2"/>
      <c r="C95" s="4"/>
      <c r="D95" s="4"/>
      <c r="E95" s="4"/>
      <c r="I95" s="135"/>
      <c r="J95" s="135"/>
      <c r="K95" s="135"/>
      <c r="L95" s="135"/>
    </row>
    <row r="96" spans="2:12" ht="12" customHeight="1" x14ac:dyDescent="0.15">
      <c r="B96" s="2"/>
      <c r="C96" s="4"/>
      <c r="D96" s="4"/>
      <c r="E96" s="4"/>
      <c r="I96" s="135"/>
      <c r="J96" s="135"/>
      <c r="K96" s="135"/>
      <c r="L96" s="135"/>
    </row>
    <row r="97" spans="2:12" ht="12" customHeight="1" x14ac:dyDescent="0.15">
      <c r="B97" s="2"/>
      <c r="C97" s="4"/>
      <c r="D97" s="4"/>
      <c r="E97" s="4"/>
      <c r="I97" s="135"/>
      <c r="J97" s="135"/>
      <c r="K97" s="135"/>
      <c r="L97" s="135"/>
    </row>
    <row r="98" spans="2:12" ht="12" customHeight="1" x14ac:dyDescent="0.15">
      <c r="B98" s="2"/>
      <c r="C98" s="4"/>
      <c r="D98" s="4"/>
      <c r="E98" s="4"/>
      <c r="I98" s="135"/>
      <c r="J98" s="135"/>
      <c r="K98" s="135"/>
      <c r="L98" s="135"/>
    </row>
    <row r="99" spans="2:12" ht="12" customHeight="1" x14ac:dyDescent="0.15">
      <c r="B99" s="2"/>
      <c r="C99" s="4"/>
      <c r="D99" s="4"/>
      <c r="E99" s="4"/>
      <c r="I99" s="135"/>
      <c r="J99" s="135"/>
      <c r="K99" s="135"/>
      <c r="L99" s="135"/>
    </row>
    <row r="100" spans="2:12" ht="12" customHeight="1" x14ac:dyDescent="0.15">
      <c r="B100" s="2"/>
      <c r="C100" s="4"/>
      <c r="D100" s="4"/>
      <c r="E100" s="4"/>
      <c r="I100" s="135"/>
      <c r="J100" s="135"/>
      <c r="K100" s="135"/>
      <c r="L100" s="135"/>
    </row>
    <row r="101" spans="2:12" ht="12" customHeight="1" x14ac:dyDescent="0.15">
      <c r="B101" s="2"/>
      <c r="C101" s="4"/>
      <c r="D101" s="4"/>
      <c r="E101" s="4"/>
      <c r="I101" s="135"/>
      <c r="J101" s="135"/>
      <c r="K101" s="135"/>
      <c r="L101" s="135"/>
    </row>
    <row r="102" spans="2:12" ht="12" customHeight="1" x14ac:dyDescent="0.15">
      <c r="B102" s="2"/>
      <c r="C102" s="4"/>
      <c r="D102" s="4"/>
      <c r="E102" s="4"/>
      <c r="I102" s="135"/>
      <c r="J102" s="135"/>
      <c r="K102" s="135"/>
      <c r="L102" s="135"/>
    </row>
    <row r="103" spans="2:12" ht="12" customHeight="1" x14ac:dyDescent="0.15">
      <c r="B103" s="2"/>
      <c r="C103" s="4"/>
      <c r="D103" s="4"/>
      <c r="E103" s="4"/>
      <c r="I103" s="135"/>
      <c r="J103" s="135"/>
      <c r="K103" s="135"/>
      <c r="L103" s="135"/>
    </row>
    <row r="104" spans="2:12" ht="12" customHeight="1" x14ac:dyDescent="0.15">
      <c r="B104" s="2"/>
      <c r="C104" s="4"/>
      <c r="D104" s="4"/>
      <c r="E104" s="4"/>
      <c r="I104" s="135"/>
      <c r="J104" s="135"/>
      <c r="K104" s="135"/>
      <c r="L104" s="135"/>
    </row>
    <row r="105" spans="2:12" ht="12" customHeight="1" x14ac:dyDescent="0.15">
      <c r="B105" s="2"/>
      <c r="C105" s="4"/>
      <c r="D105" s="4"/>
      <c r="E105" s="4"/>
      <c r="I105" s="135"/>
      <c r="J105" s="135"/>
      <c r="K105" s="135"/>
      <c r="L105" s="135"/>
    </row>
    <row r="106" spans="2:12" ht="12" customHeight="1" x14ac:dyDescent="0.15">
      <c r="B106" s="2"/>
      <c r="C106" s="4"/>
      <c r="D106" s="4"/>
      <c r="E106" s="4"/>
      <c r="I106" s="135"/>
      <c r="J106" s="135"/>
      <c r="K106" s="135"/>
      <c r="L106" s="135"/>
    </row>
    <row r="107" spans="2:12" ht="12" customHeight="1" x14ac:dyDescent="0.15">
      <c r="B107" s="2"/>
      <c r="C107" s="4"/>
      <c r="D107" s="4"/>
      <c r="E107" s="4"/>
      <c r="I107" s="135"/>
      <c r="J107" s="135"/>
      <c r="K107" s="135"/>
      <c r="L107" s="135"/>
    </row>
    <row r="108" spans="2:12" ht="12" customHeight="1" x14ac:dyDescent="0.15">
      <c r="B108" s="2"/>
      <c r="C108" s="4"/>
      <c r="D108" s="4"/>
      <c r="E108" s="4"/>
      <c r="I108" s="135"/>
      <c r="J108" s="135"/>
      <c r="K108" s="135"/>
      <c r="L108" s="135"/>
    </row>
    <row r="109" spans="2:12" ht="12" customHeight="1" x14ac:dyDescent="0.15">
      <c r="B109" s="2"/>
      <c r="C109" s="4"/>
      <c r="D109" s="4"/>
      <c r="E109" s="4"/>
      <c r="I109" s="135"/>
      <c r="J109" s="135"/>
      <c r="K109" s="135"/>
      <c r="L109" s="135"/>
    </row>
    <row r="110" spans="2:12" ht="12" customHeight="1" x14ac:dyDescent="0.15">
      <c r="B110" s="2"/>
      <c r="C110" s="4"/>
      <c r="D110" s="4"/>
      <c r="E110" s="4"/>
      <c r="I110" s="135"/>
      <c r="J110" s="135"/>
      <c r="K110" s="135"/>
      <c r="L110" s="135"/>
    </row>
    <row r="111" spans="2:12" ht="12" customHeight="1" x14ac:dyDescent="0.15">
      <c r="B111" s="2"/>
      <c r="C111" s="4"/>
      <c r="D111" s="4"/>
      <c r="E111" s="4"/>
      <c r="I111" s="135"/>
      <c r="J111" s="135"/>
      <c r="K111" s="135"/>
      <c r="L111" s="135"/>
    </row>
    <row r="112" spans="2:12" ht="12" customHeight="1" x14ac:dyDescent="0.15">
      <c r="B112" s="2"/>
      <c r="C112" s="4"/>
      <c r="D112" s="4"/>
      <c r="E112" s="4"/>
      <c r="I112" s="135"/>
      <c r="J112" s="135"/>
      <c r="K112" s="135"/>
      <c r="L112" s="135"/>
    </row>
    <row r="113" spans="2:12" ht="12" customHeight="1" x14ac:dyDescent="0.15">
      <c r="B113" s="2"/>
      <c r="C113" s="4"/>
      <c r="D113" s="4"/>
      <c r="E113" s="4"/>
      <c r="I113" s="135"/>
      <c r="J113" s="135"/>
      <c r="K113" s="135"/>
      <c r="L113" s="135"/>
    </row>
    <row r="114" spans="2:12" ht="12" customHeight="1" x14ac:dyDescent="0.15">
      <c r="B114" s="2"/>
      <c r="C114" s="4"/>
      <c r="D114" s="4"/>
      <c r="E114" s="4"/>
      <c r="I114" s="135"/>
      <c r="J114" s="135"/>
      <c r="K114" s="135"/>
      <c r="L114" s="135"/>
    </row>
    <row r="115" spans="2:12" ht="12" customHeight="1" x14ac:dyDescent="0.15">
      <c r="B115" s="2"/>
      <c r="C115" s="4"/>
      <c r="D115" s="4"/>
      <c r="E115" s="4"/>
      <c r="I115" s="135"/>
      <c r="J115" s="135"/>
      <c r="K115" s="135"/>
      <c r="L115" s="135"/>
    </row>
    <row r="116" spans="2:12" ht="12" customHeight="1" x14ac:dyDescent="0.15">
      <c r="B116" s="2"/>
      <c r="C116" s="4"/>
      <c r="D116" s="4"/>
      <c r="E116" s="4"/>
      <c r="I116" s="135"/>
      <c r="J116" s="135"/>
      <c r="K116" s="135"/>
      <c r="L116" s="135"/>
    </row>
    <row r="117" spans="2:12" ht="12" customHeight="1" x14ac:dyDescent="0.15">
      <c r="B117" s="2"/>
      <c r="C117" s="4"/>
      <c r="D117" s="4"/>
      <c r="E117" s="4"/>
      <c r="I117" s="135"/>
      <c r="J117" s="135"/>
      <c r="K117" s="135"/>
      <c r="L117" s="135"/>
    </row>
    <row r="118" spans="2:12" ht="12" customHeight="1" x14ac:dyDescent="0.15">
      <c r="B118" s="2"/>
      <c r="C118" s="4"/>
      <c r="D118" s="4"/>
      <c r="E118" s="4"/>
      <c r="I118" s="135"/>
      <c r="J118" s="135"/>
      <c r="K118" s="135"/>
      <c r="L118" s="135"/>
    </row>
    <row r="119" spans="2:12" ht="12" customHeight="1" x14ac:dyDescent="0.15">
      <c r="B119" s="2"/>
      <c r="C119" s="4"/>
      <c r="D119" s="4"/>
      <c r="E119" s="4"/>
      <c r="I119" s="135"/>
      <c r="J119" s="135"/>
      <c r="K119" s="135"/>
      <c r="L119" s="135"/>
    </row>
    <row r="120" spans="2:12" ht="12" customHeight="1" x14ac:dyDescent="0.15">
      <c r="B120" s="2"/>
      <c r="C120" s="4"/>
      <c r="D120" s="4"/>
      <c r="E120" s="4"/>
      <c r="I120" s="135"/>
      <c r="J120" s="135"/>
      <c r="K120" s="135"/>
      <c r="L120" s="135"/>
    </row>
    <row r="121" spans="2:12" ht="12" customHeight="1" x14ac:dyDescent="0.15">
      <c r="B121" s="2"/>
      <c r="C121" s="4"/>
      <c r="D121" s="4"/>
      <c r="E121" s="4"/>
      <c r="I121" s="135"/>
      <c r="J121" s="135"/>
      <c r="K121" s="135"/>
      <c r="L121" s="135"/>
    </row>
    <row r="122" spans="2:12" ht="12" customHeight="1" x14ac:dyDescent="0.15">
      <c r="B122" s="2"/>
      <c r="C122" s="4"/>
      <c r="D122" s="4"/>
      <c r="E122" s="4"/>
      <c r="I122" s="135"/>
      <c r="J122" s="135"/>
      <c r="K122" s="135"/>
      <c r="L122" s="135"/>
    </row>
    <row r="123" spans="2:12" ht="12" customHeight="1" x14ac:dyDescent="0.15">
      <c r="B123" s="2"/>
      <c r="C123" s="4"/>
      <c r="D123" s="4"/>
      <c r="E123" s="4"/>
      <c r="I123" s="135"/>
      <c r="J123" s="135"/>
      <c r="K123" s="135"/>
      <c r="L123" s="135"/>
    </row>
    <row r="124" spans="2:12" ht="12" customHeight="1" x14ac:dyDescent="0.15">
      <c r="B124" s="2"/>
      <c r="C124" s="4"/>
      <c r="D124" s="4"/>
      <c r="E124" s="4"/>
      <c r="I124" s="135"/>
      <c r="J124" s="135"/>
      <c r="K124" s="135"/>
      <c r="L124" s="135"/>
    </row>
    <row r="125" spans="2:12" ht="12" customHeight="1" x14ac:dyDescent="0.15">
      <c r="B125" s="2"/>
      <c r="C125" s="4"/>
      <c r="D125" s="4"/>
      <c r="E125" s="4"/>
      <c r="I125" s="135"/>
      <c r="J125" s="135"/>
      <c r="K125" s="135"/>
      <c r="L125" s="135"/>
    </row>
    <row r="126" spans="2:12" ht="12" customHeight="1" x14ac:dyDescent="0.15">
      <c r="B126" s="2"/>
      <c r="C126" s="4"/>
      <c r="D126" s="4"/>
      <c r="E126" s="4"/>
      <c r="I126" s="135"/>
      <c r="J126" s="135"/>
      <c r="K126" s="135"/>
      <c r="L126" s="135"/>
    </row>
    <row r="127" spans="2:12" ht="12" customHeight="1" x14ac:dyDescent="0.15">
      <c r="B127" s="2"/>
      <c r="C127" s="4"/>
      <c r="D127" s="4"/>
      <c r="E127" s="4"/>
      <c r="I127" s="135"/>
      <c r="J127" s="135"/>
      <c r="K127" s="135"/>
      <c r="L127" s="135"/>
    </row>
    <row r="128" spans="2:12" ht="12" customHeight="1" x14ac:dyDescent="0.15">
      <c r="B128" s="2"/>
      <c r="C128" s="4"/>
      <c r="D128" s="4"/>
      <c r="E128" s="4"/>
      <c r="I128" s="135"/>
      <c r="J128" s="135"/>
      <c r="K128" s="135"/>
      <c r="L128" s="135"/>
    </row>
    <row r="129" spans="2:12" ht="12" customHeight="1" x14ac:dyDescent="0.15">
      <c r="B129" s="2"/>
      <c r="C129" s="4"/>
      <c r="D129" s="4"/>
      <c r="E129" s="4"/>
      <c r="I129" s="135"/>
      <c r="J129" s="135"/>
      <c r="K129" s="135"/>
      <c r="L129" s="135"/>
    </row>
    <row r="130" spans="2:12" ht="12" customHeight="1" x14ac:dyDescent="0.15">
      <c r="B130" s="2"/>
      <c r="C130" s="4"/>
      <c r="D130" s="4"/>
      <c r="E130" s="4"/>
      <c r="I130" s="135"/>
      <c r="J130" s="135"/>
      <c r="K130" s="135"/>
      <c r="L130" s="135"/>
    </row>
    <row r="131" spans="2:12" ht="12" customHeight="1" x14ac:dyDescent="0.15">
      <c r="B131" s="2"/>
      <c r="C131" s="4"/>
      <c r="D131" s="4"/>
      <c r="E131" s="4"/>
      <c r="I131" s="135"/>
      <c r="J131" s="135"/>
      <c r="K131" s="135"/>
      <c r="L131" s="135"/>
    </row>
    <row r="132" spans="2:12" ht="12" customHeight="1" x14ac:dyDescent="0.15">
      <c r="B132" s="2"/>
      <c r="C132" s="4"/>
      <c r="D132" s="4"/>
      <c r="E132" s="4"/>
      <c r="I132" s="135"/>
      <c r="J132" s="135"/>
      <c r="K132" s="135"/>
      <c r="L132" s="135"/>
    </row>
    <row r="133" spans="2:12" ht="12" customHeight="1" x14ac:dyDescent="0.15">
      <c r="B133" s="2"/>
      <c r="C133" s="4"/>
      <c r="D133" s="4"/>
      <c r="E133" s="4"/>
      <c r="I133" s="135"/>
      <c r="J133" s="135"/>
      <c r="K133" s="135"/>
      <c r="L133" s="135"/>
    </row>
    <row r="134" spans="2:12" ht="12" customHeight="1" x14ac:dyDescent="0.15">
      <c r="B134" s="2"/>
      <c r="C134" s="4"/>
      <c r="D134" s="4"/>
      <c r="E134" s="4"/>
      <c r="I134" s="135"/>
      <c r="J134" s="135"/>
      <c r="K134" s="135"/>
      <c r="L134" s="135"/>
    </row>
    <row r="135" spans="2:12" ht="12" customHeight="1" x14ac:dyDescent="0.15">
      <c r="B135" s="2"/>
      <c r="C135" s="4"/>
      <c r="D135" s="4"/>
      <c r="E135" s="4"/>
      <c r="I135" s="135"/>
      <c r="J135" s="135"/>
      <c r="K135" s="135"/>
      <c r="L135" s="135"/>
    </row>
    <row r="136" spans="2:12" ht="12" customHeight="1" x14ac:dyDescent="0.15">
      <c r="B136" s="2"/>
      <c r="C136" s="4"/>
      <c r="D136" s="4"/>
      <c r="E136" s="4"/>
      <c r="I136" s="135"/>
      <c r="J136" s="135"/>
      <c r="K136" s="135"/>
      <c r="L136" s="135"/>
    </row>
    <row r="137" spans="2:12" ht="12" customHeight="1" x14ac:dyDescent="0.15">
      <c r="B137" s="2"/>
      <c r="C137" s="4"/>
      <c r="D137" s="4"/>
      <c r="E137" s="4"/>
      <c r="I137" s="135"/>
      <c r="J137" s="135"/>
      <c r="K137" s="135"/>
      <c r="L137" s="135"/>
    </row>
    <row r="138" spans="2:12" ht="12" customHeight="1" x14ac:dyDescent="0.15">
      <c r="B138" s="2"/>
      <c r="C138" s="4"/>
      <c r="D138" s="4"/>
      <c r="E138" s="4"/>
      <c r="I138" s="135"/>
      <c r="J138" s="135"/>
      <c r="K138" s="135"/>
      <c r="L138" s="135"/>
    </row>
    <row r="139" spans="2:12" ht="12" customHeight="1" x14ac:dyDescent="0.15">
      <c r="B139" s="2"/>
      <c r="C139" s="4"/>
      <c r="D139" s="4"/>
      <c r="E139" s="4"/>
      <c r="I139" s="135"/>
      <c r="J139" s="135"/>
      <c r="K139" s="135"/>
      <c r="L139" s="135"/>
    </row>
    <row r="140" spans="2:12" ht="12" customHeight="1" x14ac:dyDescent="0.15">
      <c r="B140" s="2"/>
      <c r="C140" s="4"/>
      <c r="D140" s="4"/>
      <c r="E140" s="4"/>
      <c r="I140" s="135"/>
      <c r="J140" s="135"/>
      <c r="K140" s="135"/>
      <c r="L140" s="135"/>
    </row>
    <row r="141" spans="2:12" ht="12" customHeight="1" x14ac:dyDescent="0.15">
      <c r="B141" s="2"/>
      <c r="C141" s="4"/>
      <c r="D141" s="4"/>
      <c r="E141" s="4"/>
      <c r="I141" s="135"/>
      <c r="J141" s="135"/>
      <c r="K141" s="135"/>
      <c r="L141" s="135"/>
    </row>
    <row r="142" spans="2:12" ht="12" customHeight="1" x14ac:dyDescent="0.15">
      <c r="B142" s="2"/>
      <c r="C142" s="4"/>
      <c r="D142" s="4"/>
      <c r="E142" s="4"/>
      <c r="I142" s="135"/>
      <c r="J142" s="135"/>
      <c r="K142" s="135"/>
      <c r="L142" s="135"/>
    </row>
    <row r="143" spans="2:12" ht="12" customHeight="1" x14ac:dyDescent="0.15">
      <c r="B143" s="2"/>
      <c r="C143" s="4"/>
      <c r="D143" s="4"/>
      <c r="E143" s="4"/>
      <c r="I143" s="135"/>
      <c r="J143" s="135"/>
      <c r="K143" s="135"/>
      <c r="L143" s="135"/>
    </row>
    <row r="144" spans="2:12" ht="12" customHeight="1" x14ac:dyDescent="0.15">
      <c r="B144" s="2"/>
      <c r="C144" s="4"/>
      <c r="D144" s="4"/>
      <c r="E144" s="4"/>
      <c r="I144" s="135"/>
      <c r="J144" s="135"/>
      <c r="K144" s="135"/>
      <c r="L144" s="135"/>
    </row>
    <row r="145" spans="2:12" ht="12" customHeight="1" x14ac:dyDescent="0.15">
      <c r="B145" s="2"/>
      <c r="C145" s="4"/>
      <c r="D145" s="4"/>
      <c r="E145" s="4"/>
      <c r="I145" s="135"/>
      <c r="J145" s="135"/>
      <c r="K145" s="135"/>
      <c r="L145" s="135"/>
    </row>
    <row r="146" spans="2:12" ht="12" customHeight="1" x14ac:dyDescent="0.15">
      <c r="B146" s="2"/>
      <c r="C146" s="4"/>
      <c r="D146" s="4"/>
      <c r="E146" s="4"/>
      <c r="I146" s="135"/>
      <c r="J146" s="135"/>
      <c r="K146" s="135"/>
      <c r="L146" s="135"/>
    </row>
    <row r="147" spans="2:12" ht="12" customHeight="1" x14ac:dyDescent="0.15">
      <c r="B147" s="2"/>
      <c r="C147" s="4"/>
      <c r="D147" s="4"/>
      <c r="E147" s="4"/>
      <c r="I147" s="135"/>
      <c r="J147" s="135"/>
      <c r="K147" s="135"/>
      <c r="L147" s="135"/>
    </row>
    <row r="148" spans="2:12" ht="12" customHeight="1" x14ac:dyDescent="0.15">
      <c r="B148" s="2"/>
      <c r="C148" s="4"/>
      <c r="D148" s="4"/>
      <c r="E148" s="4"/>
      <c r="I148" s="135"/>
      <c r="J148" s="135"/>
      <c r="K148" s="135"/>
      <c r="L148" s="135"/>
    </row>
    <row r="149" spans="2:12" ht="12" customHeight="1" x14ac:dyDescent="0.15">
      <c r="B149" s="2"/>
      <c r="C149" s="4"/>
      <c r="D149" s="4"/>
      <c r="E149" s="4"/>
      <c r="I149" s="135"/>
      <c r="J149" s="135"/>
      <c r="K149" s="135"/>
      <c r="L149" s="135"/>
    </row>
    <row r="150" spans="2:12" ht="12" customHeight="1" x14ac:dyDescent="0.15">
      <c r="B150" s="2"/>
      <c r="C150" s="4"/>
      <c r="D150" s="4"/>
      <c r="E150" s="4"/>
      <c r="I150" s="135"/>
      <c r="J150" s="135"/>
      <c r="K150" s="135"/>
      <c r="L150" s="135"/>
    </row>
    <row r="151" spans="2:12" ht="12" customHeight="1" x14ac:dyDescent="0.15">
      <c r="B151" s="2"/>
      <c r="C151" s="4"/>
      <c r="D151" s="4"/>
      <c r="E151" s="4"/>
      <c r="I151" s="135"/>
      <c r="J151" s="135"/>
      <c r="K151" s="135"/>
      <c r="L151" s="135"/>
    </row>
    <row r="152" spans="2:12" ht="12" customHeight="1" x14ac:dyDescent="0.15">
      <c r="B152" s="2"/>
      <c r="C152" s="4"/>
      <c r="D152" s="4"/>
      <c r="E152" s="4"/>
      <c r="I152" s="135"/>
      <c r="J152" s="135"/>
      <c r="K152" s="135"/>
      <c r="L152" s="135"/>
    </row>
    <row r="153" spans="2:12" ht="12" customHeight="1" x14ac:dyDescent="0.15">
      <c r="B153" s="2"/>
      <c r="C153" s="4"/>
      <c r="D153" s="4"/>
      <c r="E153" s="4"/>
      <c r="I153" s="135"/>
      <c r="J153" s="135"/>
      <c r="K153" s="135"/>
      <c r="L153" s="135"/>
    </row>
    <row r="154" spans="2:12" ht="12" customHeight="1" x14ac:dyDescent="0.15">
      <c r="B154" s="2"/>
      <c r="C154" s="4"/>
      <c r="D154" s="4"/>
      <c r="E154" s="4"/>
      <c r="I154" s="135"/>
      <c r="J154" s="135"/>
      <c r="K154" s="135"/>
      <c r="L154" s="135"/>
    </row>
    <row r="155" spans="2:12" ht="12" customHeight="1" x14ac:dyDescent="0.15">
      <c r="B155" s="2"/>
      <c r="C155" s="4"/>
      <c r="D155" s="4"/>
      <c r="E155" s="4"/>
      <c r="I155" s="135"/>
      <c r="J155" s="135"/>
      <c r="K155" s="135"/>
      <c r="L155" s="135"/>
    </row>
    <row r="156" spans="2:12" ht="12" customHeight="1" x14ac:dyDescent="0.15">
      <c r="B156" s="2"/>
      <c r="C156" s="4"/>
      <c r="D156" s="4"/>
      <c r="E156" s="4"/>
      <c r="I156" s="135"/>
      <c r="J156" s="135"/>
      <c r="K156" s="135"/>
      <c r="L156" s="135"/>
    </row>
    <row r="157" spans="2:12" ht="12" customHeight="1" x14ac:dyDescent="0.15">
      <c r="B157" s="2"/>
      <c r="C157" s="4"/>
      <c r="D157" s="4"/>
      <c r="E157" s="4"/>
      <c r="I157" s="135"/>
      <c r="J157" s="135"/>
      <c r="K157" s="135"/>
      <c r="L157" s="135"/>
    </row>
    <row r="158" spans="2:12" ht="12" customHeight="1" x14ac:dyDescent="0.15">
      <c r="B158" s="2"/>
      <c r="C158" s="4"/>
      <c r="D158" s="4"/>
      <c r="E158" s="4"/>
      <c r="I158" s="135"/>
      <c r="J158" s="135"/>
      <c r="K158" s="135"/>
      <c r="L158" s="135"/>
    </row>
    <row r="159" spans="2:12" ht="12" customHeight="1" x14ac:dyDescent="0.15">
      <c r="B159" s="2"/>
      <c r="C159" s="4"/>
      <c r="D159" s="4"/>
      <c r="E159" s="4"/>
      <c r="I159" s="135"/>
      <c r="J159" s="135"/>
      <c r="K159" s="135"/>
      <c r="L159" s="135"/>
    </row>
    <row r="160" spans="2:12" ht="12" customHeight="1" x14ac:dyDescent="0.15">
      <c r="B160" s="2"/>
      <c r="C160" s="4"/>
      <c r="D160" s="4"/>
      <c r="E160" s="4"/>
      <c r="I160" s="135"/>
      <c r="J160" s="135"/>
      <c r="K160" s="135"/>
      <c r="L160" s="135"/>
    </row>
    <row r="161" spans="2:12" ht="12" customHeight="1" x14ac:dyDescent="0.15">
      <c r="B161" s="2"/>
      <c r="C161" s="4"/>
      <c r="D161" s="4"/>
      <c r="E161" s="4"/>
      <c r="I161" s="135"/>
      <c r="J161" s="135"/>
      <c r="K161" s="135"/>
      <c r="L161" s="135"/>
    </row>
    <row r="162" spans="2:12" ht="12" customHeight="1" x14ac:dyDescent="0.15">
      <c r="B162" s="2"/>
      <c r="C162" s="4"/>
      <c r="D162" s="4"/>
      <c r="E162" s="4"/>
      <c r="I162" s="135"/>
      <c r="J162" s="135"/>
      <c r="K162" s="135"/>
      <c r="L162" s="135"/>
    </row>
    <row r="163" spans="2:12" ht="12" customHeight="1" x14ac:dyDescent="0.15">
      <c r="B163" s="2"/>
      <c r="C163" s="4"/>
      <c r="D163" s="4"/>
      <c r="E163" s="4"/>
      <c r="I163" s="135"/>
      <c r="J163" s="135"/>
      <c r="K163" s="135"/>
      <c r="L163" s="135"/>
    </row>
    <row r="164" spans="2:12" ht="12" customHeight="1" x14ac:dyDescent="0.15">
      <c r="B164" s="2"/>
      <c r="C164" s="4"/>
      <c r="D164" s="4"/>
      <c r="E164" s="4"/>
      <c r="I164" s="135"/>
      <c r="J164" s="135"/>
      <c r="K164" s="135"/>
      <c r="L164" s="135"/>
    </row>
    <row r="165" spans="2:12" ht="12" customHeight="1" x14ac:dyDescent="0.15">
      <c r="B165" s="2"/>
      <c r="C165" s="4"/>
      <c r="D165" s="4"/>
      <c r="E165" s="4"/>
      <c r="I165" s="135"/>
      <c r="J165" s="135"/>
      <c r="K165" s="135"/>
      <c r="L165" s="135"/>
    </row>
    <row r="166" spans="2:12" ht="12" customHeight="1" x14ac:dyDescent="0.15">
      <c r="B166" s="2"/>
      <c r="C166" s="4"/>
      <c r="D166" s="4"/>
      <c r="E166" s="4"/>
      <c r="I166" s="135"/>
      <c r="J166" s="135"/>
      <c r="K166" s="135"/>
      <c r="L166" s="135"/>
    </row>
    <row r="167" spans="2:12" ht="12" customHeight="1" x14ac:dyDescent="0.15">
      <c r="B167" s="2"/>
      <c r="C167" s="4"/>
      <c r="D167" s="4"/>
      <c r="E167" s="4"/>
      <c r="I167" s="135"/>
      <c r="J167" s="135"/>
      <c r="K167" s="135"/>
      <c r="L167" s="135"/>
    </row>
    <row r="168" spans="2:12" ht="12" customHeight="1" x14ac:dyDescent="0.15">
      <c r="B168" s="2"/>
      <c r="C168" s="4"/>
      <c r="D168" s="4"/>
      <c r="E168" s="4"/>
      <c r="I168" s="135"/>
      <c r="J168" s="135"/>
      <c r="K168" s="135"/>
      <c r="L168" s="135"/>
    </row>
    <row r="169" spans="2:12" ht="12" customHeight="1" x14ac:dyDescent="0.15">
      <c r="B169" s="2"/>
      <c r="C169" s="4"/>
      <c r="D169" s="4"/>
      <c r="E169" s="4"/>
      <c r="I169" s="135"/>
      <c r="J169" s="135"/>
      <c r="K169" s="135"/>
      <c r="L169" s="135"/>
    </row>
    <row r="170" spans="2:12" ht="12" customHeight="1" x14ac:dyDescent="0.15">
      <c r="B170" s="2"/>
      <c r="C170" s="4"/>
      <c r="D170" s="4"/>
      <c r="E170" s="4"/>
      <c r="I170" s="135"/>
      <c r="J170" s="135"/>
      <c r="K170" s="135"/>
      <c r="L170" s="135"/>
    </row>
    <row r="171" spans="2:12" ht="12" customHeight="1" x14ac:dyDescent="0.15">
      <c r="B171" s="2"/>
      <c r="C171" s="4"/>
      <c r="D171" s="4"/>
      <c r="E171" s="4"/>
      <c r="I171" s="135"/>
      <c r="J171" s="135"/>
      <c r="K171" s="135"/>
      <c r="L171" s="135"/>
    </row>
    <row r="172" spans="2:12" ht="12" customHeight="1" x14ac:dyDescent="0.15">
      <c r="B172" s="2"/>
      <c r="C172" s="4"/>
      <c r="D172" s="4"/>
      <c r="E172" s="4"/>
      <c r="I172" s="135"/>
      <c r="J172" s="135"/>
      <c r="K172" s="135"/>
      <c r="L172" s="135"/>
    </row>
    <row r="173" spans="2:12" ht="12" customHeight="1" x14ac:dyDescent="0.15">
      <c r="B173" s="2"/>
      <c r="C173" s="4"/>
      <c r="D173" s="4"/>
      <c r="E173" s="4"/>
      <c r="I173" s="135"/>
      <c r="J173" s="135"/>
      <c r="K173" s="135"/>
      <c r="L173" s="135"/>
    </row>
    <row r="174" spans="2:12" ht="12" customHeight="1" x14ac:dyDescent="0.15">
      <c r="B174" s="2"/>
      <c r="C174" s="4"/>
      <c r="D174" s="4"/>
      <c r="E174" s="4"/>
      <c r="I174" s="135"/>
      <c r="J174" s="135"/>
      <c r="K174" s="135"/>
      <c r="L174" s="135"/>
    </row>
    <row r="175" spans="2:12" ht="12" customHeight="1" x14ac:dyDescent="0.15">
      <c r="B175" s="2"/>
      <c r="C175" s="4"/>
      <c r="D175" s="4"/>
      <c r="E175" s="4"/>
      <c r="I175" s="135"/>
      <c r="J175" s="135"/>
      <c r="K175" s="135"/>
      <c r="L175" s="135"/>
    </row>
    <row r="176" spans="2:12" ht="12" customHeight="1" x14ac:dyDescent="0.15">
      <c r="B176" s="2"/>
      <c r="C176" s="4"/>
      <c r="D176" s="4"/>
      <c r="E176" s="4"/>
      <c r="I176" s="135"/>
      <c r="J176" s="135"/>
      <c r="K176" s="135"/>
      <c r="L176" s="135"/>
    </row>
    <row r="177" spans="2:12" ht="12" customHeight="1" x14ac:dyDescent="0.15">
      <c r="B177" s="2"/>
      <c r="C177" s="4"/>
      <c r="D177" s="4"/>
      <c r="E177" s="4"/>
      <c r="I177" s="135"/>
      <c r="J177" s="135"/>
      <c r="K177" s="135"/>
      <c r="L177" s="135"/>
    </row>
    <row r="178" spans="2:12" ht="12" customHeight="1" x14ac:dyDescent="0.15">
      <c r="B178" s="2"/>
      <c r="C178" s="4"/>
      <c r="D178" s="4"/>
      <c r="E178" s="4"/>
      <c r="I178" s="135"/>
      <c r="J178" s="135"/>
      <c r="K178" s="135"/>
      <c r="L178" s="135"/>
    </row>
    <row r="179" spans="2:12" ht="12" customHeight="1" x14ac:dyDescent="0.15">
      <c r="B179" s="2"/>
      <c r="C179" s="4"/>
      <c r="D179" s="4"/>
      <c r="E179" s="4"/>
      <c r="I179" s="135"/>
      <c r="J179" s="135"/>
      <c r="K179" s="135"/>
      <c r="L179" s="135"/>
    </row>
    <row r="180" spans="2:12" ht="12" customHeight="1" x14ac:dyDescent="0.15">
      <c r="B180" s="2"/>
      <c r="C180" s="4"/>
      <c r="D180" s="4"/>
      <c r="E180" s="4"/>
      <c r="I180" s="135"/>
      <c r="J180" s="135"/>
      <c r="K180" s="135"/>
      <c r="L180" s="135"/>
    </row>
    <row r="181" spans="2:12" ht="12" customHeight="1" x14ac:dyDescent="0.15">
      <c r="B181" s="2"/>
      <c r="C181" s="4"/>
      <c r="D181" s="4"/>
      <c r="E181" s="4"/>
      <c r="I181" s="135"/>
      <c r="J181" s="135"/>
      <c r="K181" s="135"/>
      <c r="L181" s="135"/>
    </row>
    <row r="182" spans="2:12" ht="12" customHeight="1" x14ac:dyDescent="0.15">
      <c r="B182" s="2"/>
      <c r="C182" s="4"/>
      <c r="D182" s="4"/>
      <c r="E182" s="4"/>
      <c r="I182" s="135"/>
      <c r="J182" s="135"/>
      <c r="K182" s="135"/>
      <c r="L182" s="135"/>
    </row>
    <row r="183" spans="2:12" ht="12" customHeight="1" x14ac:dyDescent="0.15">
      <c r="B183" s="2"/>
      <c r="C183" s="4"/>
      <c r="D183" s="4"/>
      <c r="E183" s="4"/>
      <c r="I183" s="135"/>
      <c r="J183" s="135"/>
      <c r="K183" s="135"/>
      <c r="L183" s="135"/>
    </row>
    <row r="184" spans="2:12" ht="12" customHeight="1" x14ac:dyDescent="0.15">
      <c r="B184" s="2"/>
      <c r="C184" s="4"/>
      <c r="D184" s="4"/>
      <c r="E184" s="4"/>
      <c r="I184" s="135"/>
      <c r="J184" s="135"/>
      <c r="K184" s="135"/>
      <c r="L184" s="135"/>
    </row>
    <row r="185" spans="2:12" ht="12" customHeight="1" x14ac:dyDescent="0.15">
      <c r="B185" s="2"/>
      <c r="C185" s="4"/>
      <c r="D185" s="4"/>
      <c r="E185" s="4"/>
      <c r="I185" s="135"/>
      <c r="J185" s="135"/>
      <c r="K185" s="135"/>
      <c r="L185" s="135"/>
    </row>
    <row r="186" spans="2:12" ht="12" customHeight="1" x14ac:dyDescent="0.15">
      <c r="B186" s="2"/>
      <c r="C186" s="4"/>
      <c r="D186" s="4"/>
      <c r="E186" s="4"/>
      <c r="I186" s="135"/>
      <c r="J186" s="135"/>
      <c r="K186" s="135"/>
      <c r="L186" s="135"/>
    </row>
    <row r="187" spans="2:12" ht="12" customHeight="1" x14ac:dyDescent="0.15">
      <c r="B187" s="2"/>
      <c r="C187" s="4"/>
      <c r="D187" s="4"/>
      <c r="E187" s="4"/>
      <c r="I187" s="135"/>
      <c r="J187" s="135"/>
      <c r="K187" s="135"/>
      <c r="L187" s="135"/>
    </row>
    <row r="188" spans="2:12" ht="12" customHeight="1" x14ac:dyDescent="0.15">
      <c r="B188" s="2"/>
      <c r="C188" s="4"/>
      <c r="D188" s="4"/>
      <c r="E188" s="4"/>
      <c r="I188" s="135"/>
      <c r="J188" s="135"/>
      <c r="K188" s="135"/>
      <c r="L188" s="135"/>
    </row>
    <row r="189" spans="2:12" ht="12" customHeight="1" x14ac:dyDescent="0.15">
      <c r="B189" s="2"/>
      <c r="C189" s="4"/>
      <c r="D189" s="4"/>
      <c r="E189" s="4"/>
      <c r="I189" s="135"/>
      <c r="J189" s="135"/>
      <c r="K189" s="135"/>
      <c r="L189" s="135"/>
    </row>
    <row r="190" spans="2:12" ht="12" customHeight="1" x14ac:dyDescent="0.15">
      <c r="B190" s="2"/>
      <c r="C190" s="4"/>
      <c r="D190" s="4"/>
      <c r="E190" s="4"/>
      <c r="I190" s="135"/>
      <c r="J190" s="135"/>
      <c r="K190" s="135"/>
      <c r="L190" s="135"/>
    </row>
    <row r="191" spans="2:12" ht="12" customHeight="1" x14ac:dyDescent="0.15">
      <c r="B191" s="2"/>
      <c r="C191" s="4"/>
      <c r="D191" s="4"/>
      <c r="E191" s="4"/>
      <c r="I191" s="135"/>
      <c r="J191" s="135"/>
      <c r="K191" s="135"/>
      <c r="L191" s="135"/>
    </row>
    <row r="192" spans="2:12" ht="12" customHeight="1" x14ac:dyDescent="0.15">
      <c r="B192" s="2"/>
      <c r="C192" s="4"/>
      <c r="D192" s="4"/>
      <c r="E192" s="4"/>
      <c r="I192" s="135"/>
      <c r="J192" s="135"/>
      <c r="K192" s="135"/>
      <c r="L192" s="135"/>
    </row>
    <row r="193" spans="2:12" ht="12" customHeight="1" x14ac:dyDescent="0.15">
      <c r="B193" s="2"/>
      <c r="C193" s="4"/>
      <c r="D193" s="4"/>
      <c r="E193" s="4"/>
      <c r="I193" s="135"/>
      <c r="J193" s="135"/>
      <c r="K193" s="135"/>
      <c r="L193" s="135"/>
    </row>
    <row r="194" spans="2:12" ht="12" customHeight="1" x14ac:dyDescent="0.15">
      <c r="B194" s="2"/>
      <c r="C194" s="4"/>
      <c r="D194" s="4"/>
      <c r="E194" s="4"/>
      <c r="I194" s="135"/>
      <c r="J194" s="135"/>
      <c r="K194" s="135"/>
      <c r="L194" s="135"/>
    </row>
    <row r="195" spans="2:12" ht="12" customHeight="1" x14ac:dyDescent="0.15">
      <c r="B195" s="2"/>
      <c r="C195" s="4"/>
      <c r="D195" s="4"/>
      <c r="E195" s="4"/>
      <c r="I195" s="135"/>
      <c r="J195" s="135"/>
      <c r="K195" s="135"/>
      <c r="L195" s="135"/>
    </row>
    <row r="196" spans="2:12" ht="12" customHeight="1" x14ac:dyDescent="0.15">
      <c r="B196" s="2"/>
      <c r="C196" s="4"/>
      <c r="D196" s="4"/>
      <c r="E196" s="4"/>
      <c r="I196" s="135"/>
      <c r="J196" s="135"/>
      <c r="K196" s="135"/>
      <c r="L196" s="135"/>
    </row>
    <row r="197" spans="2:12" ht="12" customHeight="1" x14ac:dyDescent="0.15">
      <c r="B197" s="2"/>
      <c r="C197" s="4"/>
      <c r="D197" s="4"/>
      <c r="E197" s="4"/>
      <c r="I197" s="135"/>
      <c r="J197" s="135"/>
      <c r="K197" s="135"/>
      <c r="L197" s="135"/>
    </row>
    <row r="198" spans="2:12" ht="12" customHeight="1" x14ac:dyDescent="0.15">
      <c r="B198" s="2"/>
      <c r="C198" s="4"/>
      <c r="D198" s="4"/>
      <c r="E198" s="4"/>
      <c r="I198" s="135"/>
      <c r="J198" s="135"/>
      <c r="K198" s="135"/>
      <c r="L198" s="135"/>
    </row>
    <row r="199" spans="2:12" ht="12" customHeight="1" x14ac:dyDescent="0.15">
      <c r="B199" s="2"/>
      <c r="C199" s="4"/>
      <c r="D199" s="4"/>
      <c r="E199" s="4"/>
      <c r="I199" s="135"/>
      <c r="J199" s="135"/>
      <c r="K199" s="135"/>
      <c r="L199" s="135"/>
    </row>
    <row r="200" spans="2:12" ht="12" customHeight="1" x14ac:dyDescent="0.15">
      <c r="B200" s="2"/>
      <c r="C200" s="4"/>
      <c r="D200" s="4"/>
      <c r="E200" s="4"/>
      <c r="I200" s="135"/>
      <c r="J200" s="135"/>
      <c r="K200" s="135"/>
      <c r="L200" s="135"/>
    </row>
    <row r="201" spans="2:12" ht="12" customHeight="1" x14ac:dyDescent="0.15">
      <c r="B201" s="2"/>
      <c r="C201" s="4"/>
      <c r="D201" s="4"/>
      <c r="E201" s="4"/>
      <c r="I201" s="135"/>
      <c r="J201" s="135"/>
      <c r="K201" s="135"/>
      <c r="L201" s="135"/>
    </row>
    <row r="202" spans="2:12" ht="12" customHeight="1" x14ac:dyDescent="0.15">
      <c r="B202" s="2"/>
      <c r="C202" s="4"/>
      <c r="D202" s="4"/>
      <c r="E202" s="4"/>
      <c r="I202" s="135"/>
      <c r="J202" s="135"/>
      <c r="K202" s="135"/>
      <c r="L202" s="135"/>
    </row>
    <row r="203" spans="2:12" ht="12" customHeight="1" x14ac:dyDescent="0.15">
      <c r="B203" s="2"/>
      <c r="C203" s="4"/>
      <c r="D203" s="4"/>
      <c r="E203" s="4"/>
      <c r="I203" s="135"/>
      <c r="J203" s="135"/>
      <c r="K203" s="135"/>
      <c r="L203" s="135"/>
    </row>
    <row r="204" spans="2:12" ht="12" customHeight="1" x14ac:dyDescent="0.15">
      <c r="B204" s="2"/>
      <c r="C204" s="4"/>
      <c r="D204" s="4"/>
      <c r="E204" s="4"/>
      <c r="I204" s="135"/>
      <c r="J204" s="135"/>
      <c r="K204" s="135"/>
      <c r="L204" s="135"/>
    </row>
    <row r="205" spans="2:12" ht="12" customHeight="1" x14ac:dyDescent="0.15">
      <c r="B205" s="2"/>
      <c r="C205" s="4"/>
      <c r="D205" s="4"/>
      <c r="E205" s="4"/>
      <c r="I205" s="135"/>
      <c r="J205" s="135"/>
      <c r="K205" s="135"/>
      <c r="L205" s="135"/>
    </row>
    <row r="206" spans="2:12" ht="12" customHeight="1" x14ac:dyDescent="0.15">
      <c r="B206" s="2"/>
      <c r="C206" s="4"/>
      <c r="D206" s="4"/>
      <c r="E206" s="4"/>
      <c r="I206" s="135"/>
      <c r="J206" s="135"/>
      <c r="K206" s="135"/>
      <c r="L206" s="135"/>
    </row>
    <row r="207" spans="2:12" ht="12" customHeight="1" x14ac:dyDescent="0.15">
      <c r="B207" s="2"/>
      <c r="C207" s="4"/>
      <c r="D207" s="4"/>
      <c r="E207" s="4"/>
      <c r="I207" s="135"/>
      <c r="J207" s="135"/>
      <c r="K207" s="135"/>
      <c r="L207" s="135"/>
    </row>
    <row r="208" spans="2:12" ht="12" customHeight="1" x14ac:dyDescent="0.15">
      <c r="B208" s="2"/>
      <c r="C208" s="4"/>
      <c r="D208" s="4"/>
      <c r="E208" s="4"/>
      <c r="I208" s="135"/>
      <c r="J208" s="135"/>
      <c r="K208" s="135"/>
      <c r="L208" s="135"/>
    </row>
    <row r="209" spans="2:12" ht="12" customHeight="1" x14ac:dyDescent="0.15">
      <c r="B209" s="2"/>
      <c r="C209" s="4"/>
      <c r="D209" s="4"/>
      <c r="E209" s="4"/>
      <c r="I209" s="135"/>
      <c r="J209" s="135"/>
      <c r="K209" s="135"/>
      <c r="L209" s="135"/>
    </row>
    <row r="210" spans="2:12" ht="12" customHeight="1" x14ac:dyDescent="0.15">
      <c r="B210" s="2"/>
      <c r="C210" s="4"/>
      <c r="D210" s="4"/>
      <c r="E210" s="4"/>
      <c r="I210" s="135"/>
      <c r="J210" s="135"/>
      <c r="K210" s="135"/>
      <c r="L210" s="135"/>
    </row>
    <row r="211" spans="2:12" ht="12" customHeight="1" x14ac:dyDescent="0.15">
      <c r="B211" s="2"/>
      <c r="C211" s="4"/>
      <c r="D211" s="4"/>
      <c r="E211" s="4"/>
      <c r="I211" s="135"/>
      <c r="J211" s="135"/>
      <c r="K211" s="135"/>
      <c r="L211" s="135"/>
    </row>
    <row r="212" spans="2:12" ht="12" customHeight="1" x14ac:dyDescent="0.15">
      <c r="B212" s="2"/>
      <c r="C212" s="4"/>
      <c r="D212" s="4"/>
      <c r="E212" s="4"/>
      <c r="I212" s="135"/>
      <c r="J212" s="135"/>
      <c r="K212" s="135"/>
      <c r="L212" s="135"/>
    </row>
    <row r="213" spans="2:12" ht="12" customHeight="1" x14ac:dyDescent="0.15">
      <c r="B213" s="2"/>
      <c r="C213" s="4"/>
      <c r="D213" s="4"/>
      <c r="E213" s="4"/>
      <c r="I213" s="135"/>
      <c r="J213" s="135"/>
      <c r="K213" s="135"/>
      <c r="L213" s="135"/>
    </row>
    <row r="214" spans="2:12" ht="12" customHeight="1" x14ac:dyDescent="0.15">
      <c r="B214" s="2"/>
      <c r="C214" s="4"/>
      <c r="D214" s="4"/>
      <c r="E214" s="4"/>
      <c r="I214" s="135"/>
      <c r="J214" s="135"/>
      <c r="K214" s="135"/>
      <c r="L214" s="135"/>
    </row>
    <row r="215" spans="2:12" ht="12" customHeight="1" x14ac:dyDescent="0.15">
      <c r="B215" s="2"/>
      <c r="C215" s="4"/>
      <c r="D215" s="4"/>
      <c r="E215" s="4"/>
      <c r="I215" s="135"/>
      <c r="J215" s="135"/>
      <c r="K215" s="135"/>
      <c r="L215" s="135"/>
    </row>
    <row r="216" spans="2:12" ht="12" customHeight="1" x14ac:dyDescent="0.15">
      <c r="B216" s="2"/>
      <c r="C216" s="4"/>
      <c r="D216" s="4"/>
      <c r="E216" s="4"/>
      <c r="I216" s="135"/>
      <c r="J216" s="135"/>
      <c r="K216" s="135"/>
      <c r="L216" s="135"/>
    </row>
    <row r="217" spans="2:12" ht="12" customHeight="1" x14ac:dyDescent="0.15">
      <c r="B217" s="2"/>
      <c r="C217" s="4"/>
      <c r="D217" s="4"/>
      <c r="E217" s="4"/>
      <c r="I217" s="135"/>
      <c r="J217" s="135"/>
      <c r="K217" s="135"/>
      <c r="L217" s="135"/>
    </row>
    <row r="218" spans="2:12" ht="12" customHeight="1" x14ac:dyDescent="0.15">
      <c r="B218" s="2"/>
      <c r="C218" s="4"/>
      <c r="D218" s="4"/>
      <c r="E218" s="4"/>
      <c r="I218" s="135"/>
      <c r="J218" s="135"/>
      <c r="K218" s="135"/>
      <c r="L218" s="135"/>
    </row>
    <row r="219" spans="2:12" ht="12" customHeight="1" x14ac:dyDescent="0.15">
      <c r="B219" s="2"/>
      <c r="C219" s="4"/>
      <c r="D219" s="4"/>
      <c r="E219" s="4"/>
      <c r="I219" s="135"/>
      <c r="J219" s="135"/>
      <c r="K219" s="135"/>
      <c r="L219" s="135"/>
    </row>
    <row r="220" spans="2:12" ht="12" customHeight="1" x14ac:dyDescent="0.15">
      <c r="B220" s="2"/>
      <c r="C220" s="4"/>
      <c r="D220" s="4"/>
      <c r="E220" s="4"/>
      <c r="I220" s="135"/>
      <c r="J220" s="135"/>
      <c r="K220" s="135"/>
      <c r="L220" s="135"/>
    </row>
    <row r="221" spans="2:12" ht="12" customHeight="1" x14ac:dyDescent="0.15">
      <c r="B221" s="2"/>
      <c r="C221" s="4"/>
      <c r="D221" s="4"/>
      <c r="E221" s="4"/>
      <c r="I221" s="135"/>
      <c r="J221" s="135"/>
      <c r="K221" s="135"/>
      <c r="L221" s="135"/>
    </row>
    <row r="222" spans="2:12" ht="12" customHeight="1" x14ac:dyDescent="0.15">
      <c r="B222" s="2"/>
      <c r="C222" s="4"/>
      <c r="D222" s="4"/>
      <c r="E222" s="4"/>
      <c r="I222" s="135"/>
      <c r="J222" s="135"/>
      <c r="K222" s="135"/>
      <c r="L222" s="135"/>
    </row>
    <row r="223" spans="2:12" ht="12" customHeight="1" x14ac:dyDescent="0.15">
      <c r="B223" s="2"/>
      <c r="C223" s="4"/>
      <c r="D223" s="4"/>
      <c r="E223" s="4"/>
      <c r="I223" s="135"/>
      <c r="J223" s="135"/>
      <c r="K223" s="135"/>
      <c r="L223" s="135"/>
    </row>
    <row r="224" spans="2:12" ht="12" customHeight="1" x14ac:dyDescent="0.15">
      <c r="B224" s="2"/>
      <c r="C224" s="4"/>
      <c r="D224" s="4"/>
      <c r="E224" s="4"/>
      <c r="I224" s="135"/>
      <c r="J224" s="135"/>
      <c r="K224" s="135"/>
      <c r="L224" s="135"/>
    </row>
    <row r="225" spans="2:12" ht="12" customHeight="1" x14ac:dyDescent="0.15">
      <c r="B225" s="2"/>
      <c r="C225" s="4"/>
      <c r="D225" s="4"/>
      <c r="E225" s="4"/>
      <c r="I225" s="135"/>
      <c r="J225" s="135"/>
      <c r="K225" s="135"/>
      <c r="L225" s="135"/>
    </row>
    <row r="226" spans="2:12" ht="12" customHeight="1" x14ac:dyDescent="0.15">
      <c r="B226" s="2"/>
      <c r="C226" s="4"/>
      <c r="D226" s="4"/>
      <c r="E226" s="4"/>
      <c r="I226" s="135"/>
      <c r="J226" s="135"/>
      <c r="K226" s="135"/>
      <c r="L226" s="135"/>
    </row>
    <row r="227" spans="2:12" ht="12" customHeight="1" x14ac:dyDescent="0.15">
      <c r="B227" s="2"/>
      <c r="C227" s="4"/>
      <c r="D227" s="4"/>
      <c r="E227" s="4"/>
      <c r="I227" s="135"/>
      <c r="J227" s="135"/>
      <c r="K227" s="135"/>
      <c r="L227" s="135"/>
    </row>
    <row r="228" spans="2:12" ht="12" customHeight="1" x14ac:dyDescent="0.15">
      <c r="B228" s="2"/>
      <c r="C228" s="4"/>
      <c r="D228" s="4"/>
      <c r="E228" s="4"/>
      <c r="I228" s="135"/>
      <c r="J228" s="135"/>
      <c r="K228" s="135"/>
      <c r="L228" s="135"/>
    </row>
    <row r="229" spans="2:12" ht="12" customHeight="1" x14ac:dyDescent="0.15">
      <c r="B229" s="2"/>
      <c r="C229" s="4"/>
      <c r="D229" s="4"/>
      <c r="E229" s="4"/>
      <c r="I229" s="135"/>
      <c r="J229" s="135"/>
      <c r="K229" s="135"/>
      <c r="L229" s="135"/>
    </row>
    <row r="230" spans="2:12" ht="12" customHeight="1" x14ac:dyDescent="0.15">
      <c r="B230" s="2"/>
      <c r="C230" s="4"/>
      <c r="D230" s="4"/>
      <c r="E230" s="4"/>
      <c r="I230" s="135"/>
      <c r="J230" s="135"/>
      <c r="K230" s="135"/>
      <c r="L230" s="135"/>
    </row>
    <row r="231" spans="2:12" ht="12" customHeight="1" x14ac:dyDescent="0.15">
      <c r="B231" s="2"/>
      <c r="C231" s="4"/>
      <c r="D231" s="4"/>
      <c r="E231" s="4"/>
      <c r="I231" s="135"/>
      <c r="J231" s="135"/>
      <c r="K231" s="135"/>
      <c r="L231" s="135"/>
    </row>
    <row r="232" spans="2:12" ht="12" customHeight="1" x14ac:dyDescent="0.15">
      <c r="B232" s="2"/>
      <c r="C232" s="4"/>
      <c r="D232" s="4"/>
      <c r="E232" s="4"/>
      <c r="I232" s="135"/>
      <c r="J232" s="135"/>
      <c r="K232" s="135"/>
      <c r="L232" s="135"/>
    </row>
    <row r="233" spans="2:12" ht="12" customHeight="1" x14ac:dyDescent="0.15">
      <c r="B233" s="2"/>
      <c r="C233" s="4"/>
      <c r="D233" s="4"/>
      <c r="E233" s="4"/>
      <c r="I233" s="135"/>
      <c r="J233" s="135"/>
      <c r="K233" s="135"/>
      <c r="L233" s="135"/>
    </row>
    <row r="234" spans="2:12" ht="12" customHeight="1" x14ac:dyDescent="0.15">
      <c r="B234" s="2"/>
      <c r="C234" s="4"/>
      <c r="D234" s="4"/>
      <c r="E234" s="4"/>
      <c r="I234" s="135"/>
      <c r="J234" s="135"/>
      <c r="K234" s="135"/>
      <c r="L234" s="135"/>
    </row>
    <row r="235" spans="2:12" ht="12" customHeight="1" x14ac:dyDescent="0.15">
      <c r="B235" s="2"/>
      <c r="C235" s="4"/>
      <c r="D235" s="4"/>
      <c r="E235" s="4"/>
      <c r="I235" s="135"/>
      <c r="J235" s="135"/>
      <c r="K235" s="135"/>
      <c r="L235" s="135"/>
    </row>
    <row r="236" spans="2:12" ht="12" customHeight="1" x14ac:dyDescent="0.15">
      <c r="B236" s="2"/>
      <c r="C236" s="4"/>
      <c r="D236" s="4"/>
      <c r="E236" s="4"/>
      <c r="I236" s="135"/>
      <c r="J236" s="135"/>
      <c r="K236" s="135"/>
      <c r="L236" s="135"/>
    </row>
    <row r="237" spans="2:12" ht="12" customHeight="1" x14ac:dyDescent="0.15">
      <c r="B237" s="2"/>
      <c r="C237" s="4"/>
      <c r="D237" s="4"/>
      <c r="E237" s="4"/>
      <c r="I237" s="135"/>
      <c r="J237" s="135"/>
      <c r="K237" s="135"/>
      <c r="L237" s="135"/>
    </row>
    <row r="238" spans="2:12" ht="12" customHeight="1" x14ac:dyDescent="0.15">
      <c r="B238" s="2"/>
      <c r="C238" s="4"/>
      <c r="D238" s="4"/>
      <c r="E238" s="4"/>
      <c r="I238" s="135"/>
      <c r="J238" s="135"/>
      <c r="K238" s="135"/>
      <c r="L238" s="135"/>
    </row>
    <row r="239" spans="2:12" ht="12" customHeight="1" x14ac:dyDescent="0.15">
      <c r="B239" s="2"/>
      <c r="C239" s="4"/>
      <c r="D239" s="4"/>
      <c r="E239" s="4"/>
      <c r="I239" s="135"/>
      <c r="J239" s="135"/>
      <c r="K239" s="135"/>
      <c r="L239" s="135"/>
    </row>
    <row r="240" spans="2:12" ht="12" customHeight="1" x14ac:dyDescent="0.15">
      <c r="B240" s="2"/>
      <c r="C240" s="4"/>
      <c r="D240" s="4"/>
      <c r="E240" s="4"/>
      <c r="I240" s="135"/>
      <c r="J240" s="135"/>
      <c r="K240" s="135"/>
      <c r="L240" s="135"/>
    </row>
    <row r="241" spans="2:12" ht="12" customHeight="1" x14ac:dyDescent="0.15">
      <c r="B241" s="2"/>
      <c r="C241" s="4"/>
      <c r="D241" s="4"/>
      <c r="E241" s="4"/>
      <c r="I241" s="135"/>
      <c r="J241" s="135"/>
      <c r="K241" s="135"/>
      <c r="L241" s="135"/>
    </row>
    <row r="242" spans="2:12" ht="12" customHeight="1" x14ac:dyDescent="0.15">
      <c r="B242" s="2"/>
      <c r="C242" s="4"/>
      <c r="D242" s="4"/>
      <c r="E242" s="4"/>
      <c r="I242" s="135"/>
      <c r="J242" s="135"/>
      <c r="K242" s="135"/>
      <c r="L242" s="135"/>
    </row>
    <row r="243" spans="2:12" ht="12" customHeight="1" x14ac:dyDescent="0.15">
      <c r="B243" s="2"/>
      <c r="C243" s="4"/>
      <c r="D243" s="4"/>
      <c r="E243" s="4"/>
      <c r="I243" s="135"/>
      <c r="J243" s="135"/>
      <c r="K243" s="135"/>
      <c r="L243" s="135"/>
    </row>
    <row r="244" spans="2:12" ht="12" customHeight="1" x14ac:dyDescent="0.15">
      <c r="B244" s="2"/>
      <c r="C244" s="4"/>
      <c r="D244" s="4"/>
      <c r="E244" s="4"/>
      <c r="I244" s="135"/>
      <c r="J244" s="135"/>
      <c r="K244" s="135"/>
      <c r="L244" s="135"/>
    </row>
    <row r="245" spans="2:12" ht="12" customHeight="1" x14ac:dyDescent="0.15">
      <c r="B245" s="2"/>
      <c r="C245" s="4"/>
      <c r="D245" s="4"/>
      <c r="E245" s="4"/>
      <c r="I245" s="135"/>
      <c r="J245" s="135"/>
      <c r="K245" s="135"/>
      <c r="L245" s="135"/>
    </row>
    <row r="246" spans="2:12" ht="12" customHeight="1" x14ac:dyDescent="0.15">
      <c r="B246" s="2"/>
      <c r="C246" s="4"/>
      <c r="D246" s="4"/>
      <c r="E246" s="4"/>
      <c r="I246" s="135"/>
      <c r="J246" s="135"/>
      <c r="K246" s="135"/>
      <c r="L246" s="135"/>
    </row>
    <row r="247" spans="2:12" ht="12" customHeight="1" x14ac:dyDescent="0.15">
      <c r="B247" s="2"/>
      <c r="C247" s="4"/>
      <c r="D247" s="4"/>
      <c r="E247" s="4"/>
      <c r="I247" s="135"/>
      <c r="J247" s="135"/>
      <c r="K247" s="135"/>
      <c r="L247" s="135"/>
    </row>
    <row r="248" spans="2:12" ht="12" customHeight="1" x14ac:dyDescent="0.15">
      <c r="B248" s="2"/>
      <c r="C248" s="4"/>
      <c r="D248" s="4"/>
      <c r="E248" s="4"/>
      <c r="I248" s="135"/>
      <c r="J248" s="135"/>
      <c r="K248" s="135"/>
      <c r="L248" s="135"/>
    </row>
    <row r="249" spans="2:12" ht="12" customHeight="1" x14ac:dyDescent="0.15">
      <c r="B249" s="2"/>
      <c r="C249" s="4"/>
      <c r="D249" s="4"/>
      <c r="E249" s="4"/>
      <c r="I249" s="135"/>
      <c r="J249" s="135"/>
      <c r="K249" s="135"/>
      <c r="L249" s="135"/>
    </row>
    <row r="250" spans="2:12" ht="12" customHeight="1" x14ac:dyDescent="0.15">
      <c r="B250" s="2"/>
      <c r="C250" s="4"/>
      <c r="D250" s="4"/>
      <c r="E250" s="4"/>
      <c r="I250" s="135"/>
      <c r="J250" s="135"/>
      <c r="K250" s="135"/>
      <c r="L250" s="135"/>
    </row>
    <row r="251" spans="2:12" ht="12" customHeight="1" x14ac:dyDescent="0.15">
      <c r="B251" s="2"/>
      <c r="C251" s="4"/>
      <c r="D251" s="4"/>
      <c r="E251" s="4"/>
      <c r="I251" s="135"/>
      <c r="J251" s="135"/>
      <c r="K251" s="135"/>
      <c r="L251" s="135"/>
    </row>
    <row r="252" spans="2:12" ht="12" customHeight="1" x14ac:dyDescent="0.15">
      <c r="B252" s="2"/>
      <c r="C252" s="4"/>
      <c r="D252" s="4"/>
      <c r="E252" s="4"/>
      <c r="I252" s="135"/>
      <c r="J252" s="135"/>
      <c r="K252" s="135"/>
      <c r="L252" s="135"/>
    </row>
    <row r="253" spans="2:12" ht="12" customHeight="1" x14ac:dyDescent="0.15">
      <c r="B253" s="2"/>
      <c r="C253" s="4"/>
      <c r="D253" s="4"/>
      <c r="E253" s="4"/>
      <c r="I253" s="135"/>
      <c r="J253" s="135"/>
      <c r="K253" s="135"/>
      <c r="L253" s="135"/>
    </row>
    <row r="254" spans="2:12" ht="12" customHeight="1" x14ac:dyDescent="0.15">
      <c r="B254" s="2"/>
      <c r="C254" s="4"/>
      <c r="D254" s="4"/>
      <c r="E254" s="4"/>
      <c r="I254" s="135"/>
      <c r="J254" s="135"/>
      <c r="K254" s="135"/>
      <c r="L254" s="135"/>
    </row>
    <row r="255" spans="2:12" ht="12" customHeight="1" x14ac:dyDescent="0.15">
      <c r="B255" s="2"/>
      <c r="C255" s="4"/>
      <c r="D255" s="4"/>
      <c r="E255" s="4"/>
      <c r="I255" s="135"/>
      <c r="J255" s="135"/>
      <c r="K255" s="135"/>
      <c r="L255" s="135"/>
    </row>
    <row r="256" spans="2:12" ht="12" customHeight="1" x14ac:dyDescent="0.15">
      <c r="B256" s="2"/>
      <c r="C256" s="4"/>
      <c r="D256" s="4"/>
      <c r="E256" s="4"/>
      <c r="I256" s="135"/>
      <c r="J256" s="135"/>
      <c r="K256" s="135"/>
      <c r="L256" s="135"/>
    </row>
    <row r="257" spans="2:12" ht="12" customHeight="1" x14ac:dyDescent="0.15">
      <c r="B257" s="2"/>
      <c r="C257" s="4"/>
      <c r="D257" s="4"/>
      <c r="E257" s="4"/>
      <c r="I257" s="135"/>
      <c r="J257" s="135"/>
      <c r="K257" s="135"/>
      <c r="L257" s="135"/>
    </row>
    <row r="258" spans="2:12" ht="12" customHeight="1" x14ac:dyDescent="0.15">
      <c r="B258" s="2"/>
      <c r="C258" s="4"/>
      <c r="D258" s="4"/>
      <c r="E258" s="4"/>
      <c r="I258" s="135"/>
      <c r="J258" s="135"/>
      <c r="K258" s="135"/>
      <c r="L258" s="135"/>
    </row>
    <row r="259" spans="2:12" ht="12" customHeight="1" x14ac:dyDescent="0.15">
      <c r="B259" s="2"/>
      <c r="C259" s="4"/>
      <c r="D259" s="4"/>
      <c r="E259" s="4"/>
      <c r="I259" s="135"/>
      <c r="J259" s="135"/>
      <c r="K259" s="135"/>
      <c r="L259" s="135"/>
    </row>
    <row r="260" spans="2:12" ht="12" customHeight="1" x14ac:dyDescent="0.15">
      <c r="B260" s="2"/>
      <c r="C260" s="4"/>
      <c r="D260" s="4"/>
      <c r="E260" s="4"/>
      <c r="I260" s="135"/>
      <c r="J260" s="135"/>
      <c r="K260" s="135"/>
      <c r="L260" s="135"/>
    </row>
    <row r="261" spans="2:12" ht="12" customHeight="1" x14ac:dyDescent="0.15">
      <c r="B261" s="2"/>
      <c r="C261" s="4"/>
      <c r="D261" s="4"/>
      <c r="E261" s="4"/>
      <c r="I261" s="135"/>
      <c r="J261" s="135"/>
      <c r="K261" s="135"/>
      <c r="L261" s="135"/>
    </row>
    <row r="262" spans="2:12" ht="12" customHeight="1" x14ac:dyDescent="0.15">
      <c r="B262" s="2"/>
      <c r="C262" s="4"/>
      <c r="D262" s="4"/>
      <c r="E262" s="4"/>
      <c r="I262" s="135"/>
      <c r="J262" s="135"/>
      <c r="K262" s="135"/>
      <c r="L262" s="135"/>
    </row>
    <row r="263" spans="2:12" ht="12" customHeight="1" x14ac:dyDescent="0.15">
      <c r="B263" s="2"/>
      <c r="C263" s="4"/>
      <c r="D263" s="4"/>
      <c r="E263" s="4"/>
      <c r="I263" s="135"/>
      <c r="J263" s="135"/>
      <c r="K263" s="135"/>
      <c r="L263" s="135"/>
    </row>
    <row r="264" spans="2:12" ht="12" customHeight="1" x14ac:dyDescent="0.15">
      <c r="B264" s="2"/>
      <c r="C264" s="4"/>
      <c r="D264" s="4"/>
      <c r="E264" s="4"/>
      <c r="I264" s="135"/>
      <c r="J264" s="135"/>
      <c r="K264" s="135"/>
      <c r="L264" s="135"/>
    </row>
    <row r="265" spans="2:12" ht="12" customHeight="1" x14ac:dyDescent="0.15">
      <c r="B265" s="2"/>
      <c r="C265" s="4"/>
      <c r="D265" s="4"/>
      <c r="E265" s="4"/>
      <c r="I265" s="135"/>
      <c r="J265" s="135"/>
      <c r="K265" s="135"/>
      <c r="L265" s="135"/>
    </row>
    <row r="266" spans="2:12" ht="12" customHeight="1" x14ac:dyDescent="0.15">
      <c r="B266" s="2"/>
      <c r="C266" s="4"/>
      <c r="D266" s="4"/>
      <c r="E266" s="4"/>
      <c r="I266" s="135"/>
      <c r="J266" s="135"/>
      <c r="K266" s="135"/>
      <c r="L266" s="135"/>
    </row>
    <row r="267" spans="2:12" ht="12" customHeight="1" x14ac:dyDescent="0.15">
      <c r="B267" s="2"/>
      <c r="C267" s="4"/>
      <c r="D267" s="4"/>
      <c r="E267" s="4"/>
      <c r="I267" s="135"/>
      <c r="J267" s="135"/>
      <c r="K267" s="135"/>
      <c r="L267" s="135"/>
    </row>
    <row r="268" spans="2:12" ht="12" customHeight="1" x14ac:dyDescent="0.15">
      <c r="B268" s="2"/>
      <c r="C268" s="4"/>
      <c r="D268" s="4"/>
      <c r="E268" s="4"/>
      <c r="I268" s="135"/>
      <c r="J268" s="135"/>
      <c r="K268" s="135"/>
      <c r="L268" s="135"/>
    </row>
    <row r="269" spans="2:12" ht="12" customHeight="1" x14ac:dyDescent="0.15">
      <c r="B269" s="2"/>
      <c r="C269" s="4"/>
      <c r="D269" s="4"/>
      <c r="E269" s="4"/>
      <c r="I269" s="135"/>
      <c r="J269" s="135"/>
      <c r="K269" s="135"/>
      <c r="L269" s="135"/>
    </row>
    <row r="270" spans="2:12" ht="12" customHeight="1" x14ac:dyDescent="0.15">
      <c r="B270" s="2"/>
      <c r="C270" s="4"/>
      <c r="D270" s="4"/>
      <c r="E270" s="4"/>
      <c r="I270" s="135"/>
      <c r="J270" s="135"/>
      <c r="K270" s="135"/>
      <c r="L270" s="135"/>
    </row>
    <row r="271" spans="2:12" ht="12" customHeight="1" x14ac:dyDescent="0.15">
      <c r="B271" s="2"/>
      <c r="C271" s="4"/>
      <c r="D271" s="4"/>
      <c r="E271" s="4"/>
      <c r="I271" s="135"/>
      <c r="J271" s="135"/>
      <c r="K271" s="135"/>
      <c r="L271" s="135"/>
    </row>
    <row r="272" spans="2:12" ht="12" customHeight="1" x14ac:dyDescent="0.15">
      <c r="B272" s="2"/>
      <c r="C272" s="4"/>
      <c r="D272" s="4"/>
      <c r="E272" s="4"/>
      <c r="I272" s="135"/>
      <c r="J272" s="135"/>
      <c r="K272" s="135"/>
      <c r="L272" s="135"/>
    </row>
    <row r="273" spans="2:12" ht="12" customHeight="1" x14ac:dyDescent="0.15">
      <c r="B273" s="2"/>
      <c r="C273" s="4"/>
      <c r="D273" s="4"/>
      <c r="E273" s="4"/>
      <c r="I273" s="135"/>
      <c r="J273" s="135"/>
      <c r="K273" s="135"/>
      <c r="L273" s="135"/>
    </row>
    <row r="274" spans="2:12" ht="12" customHeight="1" x14ac:dyDescent="0.15">
      <c r="B274" s="2"/>
      <c r="C274" s="4"/>
      <c r="D274" s="4"/>
      <c r="E274" s="4"/>
      <c r="I274" s="135"/>
      <c r="J274" s="135"/>
      <c r="K274" s="135"/>
      <c r="L274" s="135"/>
    </row>
    <row r="275" spans="2:12" ht="12" customHeight="1" x14ac:dyDescent="0.15">
      <c r="B275" s="2"/>
      <c r="C275" s="4"/>
      <c r="D275" s="4"/>
      <c r="E275" s="4"/>
      <c r="I275" s="135"/>
      <c r="J275" s="135"/>
      <c r="K275" s="135"/>
      <c r="L275" s="135"/>
    </row>
    <row r="276" spans="2:12" ht="12" customHeight="1" x14ac:dyDescent="0.15">
      <c r="B276" s="2"/>
      <c r="C276" s="4"/>
      <c r="D276" s="4"/>
      <c r="E276" s="4"/>
      <c r="I276" s="135"/>
      <c r="J276" s="135"/>
      <c r="K276" s="135"/>
      <c r="L276" s="135"/>
    </row>
    <row r="277" spans="2:12" ht="12" customHeight="1" x14ac:dyDescent="0.15">
      <c r="B277" s="2"/>
      <c r="C277" s="4"/>
      <c r="D277" s="4"/>
      <c r="E277" s="4"/>
      <c r="I277" s="135"/>
      <c r="J277" s="135"/>
      <c r="K277" s="135"/>
      <c r="L277" s="135"/>
    </row>
    <row r="278" spans="2:12" ht="12" customHeight="1" x14ac:dyDescent="0.15">
      <c r="B278" s="2"/>
      <c r="C278" s="4"/>
      <c r="D278" s="4"/>
      <c r="E278" s="4"/>
      <c r="I278" s="135"/>
      <c r="J278" s="135"/>
      <c r="K278" s="135"/>
      <c r="L278" s="135"/>
    </row>
    <row r="279" spans="2:12" ht="12" customHeight="1" x14ac:dyDescent="0.15">
      <c r="B279" s="2"/>
      <c r="C279" s="4"/>
      <c r="D279" s="4"/>
      <c r="E279" s="4"/>
      <c r="I279" s="135"/>
      <c r="J279" s="135"/>
      <c r="K279" s="135"/>
      <c r="L279" s="135"/>
    </row>
    <row r="280" spans="2:12" ht="12" customHeight="1" x14ac:dyDescent="0.15">
      <c r="B280" s="2"/>
      <c r="C280" s="4"/>
      <c r="D280" s="4"/>
      <c r="E280" s="4"/>
      <c r="I280" s="135"/>
      <c r="J280" s="135"/>
      <c r="K280" s="135"/>
      <c r="L280" s="135"/>
    </row>
    <row r="281" spans="2:12" ht="12" customHeight="1" x14ac:dyDescent="0.15">
      <c r="B281" s="2"/>
      <c r="C281" s="4"/>
      <c r="D281" s="4"/>
      <c r="E281" s="4"/>
      <c r="I281" s="135"/>
      <c r="J281" s="135"/>
      <c r="K281" s="135"/>
      <c r="L281" s="135"/>
    </row>
    <row r="282" spans="2:12" ht="12" customHeight="1" x14ac:dyDescent="0.15">
      <c r="B282" s="2"/>
      <c r="C282" s="4"/>
      <c r="D282" s="4"/>
      <c r="E282" s="4"/>
      <c r="I282" s="135"/>
      <c r="J282" s="135"/>
      <c r="K282" s="135"/>
      <c r="L282" s="135"/>
    </row>
    <row r="283" spans="2:12" ht="12" customHeight="1" x14ac:dyDescent="0.15">
      <c r="B283" s="2"/>
      <c r="C283" s="4"/>
      <c r="D283" s="4"/>
      <c r="E283" s="4"/>
      <c r="I283" s="135"/>
      <c r="J283" s="135"/>
      <c r="K283" s="135"/>
      <c r="L283" s="135"/>
    </row>
    <row r="284" spans="2:12" ht="12" customHeight="1" x14ac:dyDescent="0.15">
      <c r="B284" s="2"/>
      <c r="C284" s="4"/>
      <c r="D284" s="4"/>
      <c r="E284" s="4"/>
      <c r="I284" s="135"/>
      <c r="J284" s="135"/>
      <c r="K284" s="135"/>
      <c r="L284" s="135"/>
    </row>
    <row r="285" spans="2:12" ht="12" customHeight="1" x14ac:dyDescent="0.15">
      <c r="B285" s="2"/>
      <c r="C285" s="4"/>
      <c r="D285" s="4"/>
      <c r="E285" s="4"/>
      <c r="I285" s="135"/>
      <c r="J285" s="135"/>
      <c r="K285" s="135"/>
      <c r="L285" s="135"/>
    </row>
    <row r="286" spans="2:12" ht="12" customHeight="1" x14ac:dyDescent="0.15">
      <c r="B286" s="2"/>
      <c r="C286" s="4"/>
      <c r="D286" s="4"/>
      <c r="E286" s="4"/>
      <c r="I286" s="135"/>
      <c r="J286" s="135"/>
      <c r="K286" s="135"/>
      <c r="L286" s="135"/>
    </row>
    <row r="287" spans="2:12" ht="12" customHeight="1" x14ac:dyDescent="0.15">
      <c r="B287" s="2"/>
      <c r="C287" s="4"/>
      <c r="D287" s="4"/>
      <c r="E287" s="4"/>
      <c r="I287" s="135"/>
      <c r="J287" s="135"/>
      <c r="K287" s="135"/>
      <c r="L287" s="135"/>
    </row>
    <row r="288" spans="2:12" ht="12" customHeight="1" x14ac:dyDescent="0.15">
      <c r="B288" s="2"/>
      <c r="C288" s="4"/>
      <c r="D288" s="4"/>
      <c r="E288" s="4"/>
      <c r="I288" s="135"/>
      <c r="J288" s="135"/>
      <c r="K288" s="135"/>
      <c r="L288" s="135"/>
    </row>
    <row r="289" spans="2:12" ht="12" customHeight="1" x14ac:dyDescent="0.15">
      <c r="B289" s="2"/>
      <c r="C289" s="4"/>
      <c r="D289" s="4"/>
      <c r="E289" s="4"/>
      <c r="I289" s="135"/>
      <c r="J289" s="135"/>
      <c r="K289" s="135"/>
      <c r="L289" s="135"/>
    </row>
    <row r="290" spans="2:12" ht="12" customHeight="1" x14ac:dyDescent="0.15">
      <c r="B290" s="2"/>
      <c r="C290" s="4"/>
      <c r="D290" s="4"/>
      <c r="E290" s="4"/>
      <c r="I290" s="135"/>
      <c r="J290" s="135"/>
      <c r="K290" s="135"/>
      <c r="L290" s="135"/>
    </row>
    <row r="291" spans="2:12" ht="12" customHeight="1" x14ac:dyDescent="0.15">
      <c r="B291" s="2"/>
      <c r="C291" s="4"/>
      <c r="D291" s="4"/>
      <c r="E291" s="4"/>
      <c r="I291" s="135"/>
      <c r="J291" s="135"/>
      <c r="K291" s="135"/>
      <c r="L291" s="135"/>
    </row>
    <row r="292" spans="2:12" ht="12" customHeight="1" x14ac:dyDescent="0.15">
      <c r="B292" s="2"/>
      <c r="C292" s="4"/>
      <c r="D292" s="4"/>
      <c r="E292" s="4"/>
      <c r="I292" s="135"/>
      <c r="J292" s="135"/>
      <c r="K292" s="135"/>
      <c r="L292" s="135"/>
    </row>
    <row r="293" spans="2:12" ht="12" customHeight="1" x14ac:dyDescent="0.15">
      <c r="B293" s="2"/>
      <c r="C293" s="4"/>
      <c r="D293" s="4"/>
      <c r="E293" s="4"/>
      <c r="I293" s="135"/>
      <c r="J293" s="135"/>
      <c r="K293" s="135"/>
      <c r="L293" s="135"/>
    </row>
    <row r="294" spans="2:12" ht="12" customHeight="1" x14ac:dyDescent="0.15">
      <c r="B294" s="2"/>
      <c r="C294" s="4"/>
      <c r="D294" s="4"/>
      <c r="E294" s="4"/>
      <c r="I294" s="135"/>
      <c r="J294" s="135"/>
      <c r="K294" s="135"/>
      <c r="L294" s="135"/>
    </row>
    <row r="295" spans="2:12" ht="12" customHeight="1" x14ac:dyDescent="0.15">
      <c r="B295" s="2"/>
      <c r="C295" s="4"/>
      <c r="D295" s="4"/>
      <c r="E295" s="4"/>
      <c r="I295" s="135"/>
      <c r="J295" s="135"/>
      <c r="K295" s="135"/>
      <c r="L295" s="135"/>
    </row>
    <row r="296" spans="2:12" ht="12" customHeight="1" x14ac:dyDescent="0.15">
      <c r="B296" s="2"/>
      <c r="C296" s="4"/>
      <c r="D296" s="4"/>
      <c r="E296" s="4"/>
      <c r="I296" s="135"/>
      <c r="J296" s="135"/>
      <c r="K296" s="135"/>
      <c r="L296" s="135"/>
    </row>
    <row r="297" spans="2:12" ht="12" customHeight="1" x14ac:dyDescent="0.15">
      <c r="B297" s="2"/>
      <c r="C297" s="4"/>
      <c r="D297" s="4"/>
      <c r="E297" s="4"/>
      <c r="I297" s="135"/>
      <c r="J297" s="135"/>
      <c r="K297" s="135"/>
      <c r="L297" s="135"/>
    </row>
    <row r="298" spans="2:12" ht="12" customHeight="1" x14ac:dyDescent="0.15">
      <c r="B298" s="2"/>
      <c r="C298" s="4"/>
      <c r="D298" s="4"/>
      <c r="E298" s="4"/>
      <c r="I298" s="135"/>
      <c r="J298" s="135"/>
      <c r="K298" s="135"/>
      <c r="L298" s="135"/>
    </row>
    <row r="299" spans="2:12" ht="12" customHeight="1" x14ac:dyDescent="0.15">
      <c r="B299" s="2"/>
      <c r="C299" s="4"/>
      <c r="D299" s="4"/>
      <c r="E299" s="4"/>
      <c r="I299" s="135"/>
      <c r="J299" s="135"/>
      <c r="K299" s="135"/>
      <c r="L299" s="135"/>
    </row>
    <row r="300" spans="2:12" ht="12" customHeight="1" x14ac:dyDescent="0.15">
      <c r="B300" s="2"/>
      <c r="C300" s="4"/>
      <c r="D300" s="4"/>
      <c r="E300" s="4"/>
      <c r="I300" s="135"/>
      <c r="J300" s="135"/>
      <c r="K300" s="135"/>
      <c r="L300" s="135"/>
    </row>
    <row r="301" spans="2:12" ht="12" customHeight="1" x14ac:dyDescent="0.15">
      <c r="B301" s="2"/>
      <c r="C301" s="4"/>
      <c r="D301" s="4"/>
      <c r="E301" s="4"/>
      <c r="I301" s="135"/>
      <c r="J301" s="135"/>
      <c r="K301" s="135"/>
      <c r="L301" s="135"/>
    </row>
    <row r="302" spans="2:12" ht="12" customHeight="1" x14ac:dyDescent="0.15">
      <c r="B302" s="2"/>
      <c r="C302" s="4"/>
      <c r="D302" s="4"/>
      <c r="E302" s="4"/>
      <c r="I302" s="135"/>
      <c r="J302" s="135"/>
      <c r="K302" s="135"/>
      <c r="L302" s="135"/>
    </row>
    <row r="303" spans="2:12" ht="12" customHeight="1" x14ac:dyDescent="0.15">
      <c r="B303" s="2"/>
      <c r="C303" s="4"/>
      <c r="D303" s="4"/>
      <c r="E303" s="4"/>
      <c r="I303" s="135"/>
      <c r="J303" s="135"/>
      <c r="K303" s="135"/>
      <c r="L303" s="135"/>
    </row>
    <row r="304" spans="2:12" ht="12" customHeight="1" x14ac:dyDescent="0.15">
      <c r="B304" s="2"/>
      <c r="C304" s="4"/>
      <c r="D304" s="4"/>
      <c r="E304" s="4"/>
      <c r="I304" s="135"/>
      <c r="J304" s="135"/>
      <c r="K304" s="135"/>
      <c r="L304" s="135"/>
    </row>
    <row r="305" spans="2:12" ht="12" customHeight="1" x14ac:dyDescent="0.15">
      <c r="B305" s="2"/>
      <c r="C305" s="4"/>
      <c r="D305" s="4"/>
      <c r="E305" s="4"/>
      <c r="I305" s="135"/>
      <c r="J305" s="135"/>
      <c r="K305" s="135"/>
      <c r="L305" s="135"/>
    </row>
    <row r="306" spans="2:12" ht="12" customHeight="1" x14ac:dyDescent="0.15">
      <c r="B306" s="2"/>
      <c r="C306" s="4"/>
      <c r="D306" s="4"/>
      <c r="E306" s="4"/>
      <c r="I306" s="135"/>
      <c r="J306" s="135"/>
      <c r="K306" s="135"/>
      <c r="L306" s="135"/>
    </row>
    <row r="307" spans="2:12" ht="12" customHeight="1" x14ac:dyDescent="0.15">
      <c r="B307" s="2"/>
      <c r="C307" s="4"/>
      <c r="D307" s="4"/>
      <c r="E307" s="4"/>
      <c r="I307" s="135"/>
      <c r="J307" s="135"/>
      <c r="K307" s="135"/>
      <c r="L307" s="135"/>
    </row>
    <row r="308" spans="2:12" ht="12" customHeight="1" x14ac:dyDescent="0.15">
      <c r="B308" s="2"/>
      <c r="C308" s="4"/>
      <c r="D308" s="4"/>
      <c r="E308" s="4"/>
      <c r="I308" s="135"/>
      <c r="J308" s="135"/>
      <c r="K308" s="135"/>
      <c r="L308" s="135"/>
    </row>
    <row r="309" spans="2:12" ht="12" customHeight="1" x14ac:dyDescent="0.15">
      <c r="B309" s="2"/>
      <c r="C309" s="4"/>
      <c r="D309" s="4"/>
      <c r="E309" s="4"/>
      <c r="I309" s="135"/>
      <c r="J309" s="135"/>
      <c r="K309" s="135"/>
      <c r="L309" s="135"/>
    </row>
    <row r="310" spans="2:12" ht="12" customHeight="1" x14ac:dyDescent="0.15">
      <c r="B310" s="2"/>
      <c r="C310" s="4"/>
      <c r="D310" s="4"/>
      <c r="E310" s="4"/>
      <c r="I310" s="135"/>
      <c r="J310" s="135"/>
      <c r="K310" s="135"/>
      <c r="L310" s="135"/>
    </row>
    <row r="311" spans="2:12" ht="12" customHeight="1" x14ac:dyDescent="0.15">
      <c r="B311" s="2"/>
      <c r="C311" s="4"/>
      <c r="D311" s="4"/>
      <c r="E311" s="4"/>
      <c r="I311" s="135"/>
      <c r="J311" s="135"/>
      <c r="K311" s="135"/>
      <c r="L311" s="135"/>
    </row>
    <row r="312" spans="2:12" ht="12" customHeight="1" x14ac:dyDescent="0.15">
      <c r="B312" s="2"/>
      <c r="C312" s="4"/>
      <c r="D312" s="4"/>
      <c r="E312" s="4"/>
      <c r="I312" s="135"/>
      <c r="J312" s="135"/>
      <c r="K312" s="135"/>
      <c r="L312" s="135"/>
    </row>
    <row r="313" spans="2:12" ht="12" customHeight="1" x14ac:dyDescent="0.15">
      <c r="B313" s="2"/>
      <c r="C313" s="4"/>
      <c r="D313" s="4"/>
      <c r="E313" s="4"/>
      <c r="I313" s="135"/>
      <c r="J313" s="135"/>
      <c r="K313" s="135"/>
      <c r="L313" s="135"/>
    </row>
    <row r="314" spans="2:12" ht="12" customHeight="1" x14ac:dyDescent="0.15">
      <c r="B314" s="2"/>
      <c r="C314" s="4"/>
      <c r="D314" s="4"/>
      <c r="E314" s="4"/>
      <c r="I314" s="135"/>
      <c r="J314" s="135"/>
      <c r="K314" s="135"/>
      <c r="L314" s="135"/>
    </row>
    <row r="315" spans="2:12" ht="12" customHeight="1" x14ac:dyDescent="0.15">
      <c r="B315" s="2"/>
      <c r="C315" s="4"/>
      <c r="D315" s="4"/>
      <c r="E315" s="4"/>
      <c r="I315" s="135"/>
      <c r="J315" s="135"/>
      <c r="K315" s="135"/>
      <c r="L315" s="135"/>
    </row>
    <row r="316" spans="2:12" ht="12" customHeight="1" x14ac:dyDescent="0.15">
      <c r="B316" s="2"/>
      <c r="C316" s="4"/>
      <c r="D316" s="4"/>
      <c r="E316" s="4"/>
      <c r="I316" s="135"/>
      <c r="J316" s="135"/>
      <c r="K316" s="135"/>
      <c r="L316" s="135"/>
    </row>
    <row r="317" spans="2:12" ht="12" customHeight="1" x14ac:dyDescent="0.15">
      <c r="B317" s="2"/>
      <c r="C317" s="4"/>
      <c r="D317" s="4"/>
      <c r="E317" s="4"/>
      <c r="I317" s="135"/>
      <c r="J317" s="135"/>
      <c r="K317" s="135"/>
      <c r="L317" s="135"/>
    </row>
    <row r="318" spans="2:12" ht="12" customHeight="1" x14ac:dyDescent="0.15">
      <c r="B318" s="2"/>
      <c r="C318" s="4"/>
      <c r="D318" s="4"/>
      <c r="E318" s="4"/>
      <c r="I318" s="135"/>
      <c r="J318" s="135"/>
      <c r="K318" s="135"/>
      <c r="L318" s="135"/>
    </row>
    <row r="319" spans="2:12" ht="12" customHeight="1" x14ac:dyDescent="0.15">
      <c r="B319" s="2"/>
      <c r="C319" s="4"/>
      <c r="D319" s="4"/>
      <c r="E319" s="4"/>
      <c r="I319" s="135"/>
      <c r="J319" s="135"/>
      <c r="K319" s="135"/>
      <c r="L319" s="135"/>
    </row>
    <row r="320" spans="2:12" ht="12" customHeight="1" x14ac:dyDescent="0.15">
      <c r="B320" s="2"/>
      <c r="C320" s="4"/>
      <c r="D320" s="4"/>
      <c r="E320" s="4"/>
      <c r="I320" s="135"/>
      <c r="J320" s="135"/>
      <c r="K320" s="135"/>
      <c r="L320" s="135"/>
    </row>
    <row r="321" spans="2:12" ht="12" customHeight="1" x14ac:dyDescent="0.15">
      <c r="B321" s="2"/>
      <c r="C321" s="4"/>
      <c r="D321" s="4"/>
      <c r="E321" s="4"/>
      <c r="I321" s="135"/>
      <c r="J321" s="135"/>
      <c r="K321" s="135"/>
      <c r="L321" s="135"/>
    </row>
    <row r="322" spans="2:12" ht="12" customHeight="1" x14ac:dyDescent="0.15">
      <c r="B322" s="2"/>
      <c r="C322" s="4"/>
      <c r="D322" s="4"/>
      <c r="E322" s="4"/>
      <c r="I322" s="135"/>
      <c r="J322" s="135"/>
      <c r="K322" s="135"/>
      <c r="L322" s="135"/>
    </row>
    <row r="323" spans="2:12" ht="12" customHeight="1" x14ac:dyDescent="0.15">
      <c r="B323" s="2"/>
      <c r="C323" s="4"/>
      <c r="D323" s="4"/>
      <c r="E323" s="4"/>
      <c r="I323" s="135"/>
      <c r="J323" s="135"/>
      <c r="K323" s="135"/>
      <c r="L323" s="135"/>
    </row>
    <row r="324" spans="2:12" ht="12" customHeight="1" x14ac:dyDescent="0.15">
      <c r="B324" s="2"/>
      <c r="C324" s="4"/>
      <c r="D324" s="4"/>
      <c r="E324" s="4"/>
      <c r="I324" s="135"/>
      <c r="J324" s="135"/>
      <c r="K324" s="135"/>
      <c r="L324" s="135"/>
    </row>
    <row r="325" spans="2:12" ht="12" customHeight="1" x14ac:dyDescent="0.15">
      <c r="B325" s="2"/>
      <c r="C325" s="4"/>
      <c r="D325" s="4"/>
      <c r="E325" s="4"/>
      <c r="I325" s="135"/>
      <c r="J325" s="135"/>
      <c r="K325" s="135"/>
      <c r="L325" s="135"/>
    </row>
    <row r="326" spans="2:12" ht="12" customHeight="1" x14ac:dyDescent="0.15">
      <c r="B326" s="2"/>
      <c r="C326" s="4"/>
      <c r="D326" s="4"/>
      <c r="E326" s="4"/>
      <c r="I326" s="135"/>
      <c r="J326" s="135"/>
      <c r="K326" s="135"/>
      <c r="L326" s="135"/>
    </row>
    <row r="327" spans="2:12" ht="12" customHeight="1" x14ac:dyDescent="0.15">
      <c r="B327" s="2"/>
      <c r="C327" s="4"/>
      <c r="D327" s="4"/>
      <c r="E327" s="4"/>
      <c r="I327" s="135"/>
      <c r="J327" s="135"/>
      <c r="K327" s="135"/>
      <c r="L327" s="135"/>
    </row>
    <row r="328" spans="2:12" ht="12" customHeight="1" x14ac:dyDescent="0.15">
      <c r="B328" s="2"/>
      <c r="C328" s="4"/>
      <c r="D328" s="4"/>
      <c r="E328" s="4"/>
      <c r="I328" s="135"/>
      <c r="J328" s="135"/>
      <c r="K328" s="135"/>
      <c r="L328" s="135"/>
    </row>
    <row r="329" spans="2:12" ht="12" customHeight="1" x14ac:dyDescent="0.15">
      <c r="B329" s="2"/>
      <c r="C329" s="4"/>
      <c r="D329" s="4"/>
      <c r="E329" s="4"/>
      <c r="I329" s="135"/>
      <c r="J329" s="135"/>
      <c r="K329" s="135"/>
      <c r="L329" s="135"/>
    </row>
    <row r="330" spans="2:12" ht="12" customHeight="1" x14ac:dyDescent="0.15">
      <c r="B330" s="2"/>
      <c r="C330" s="4"/>
      <c r="D330" s="4"/>
      <c r="E330" s="4"/>
      <c r="I330" s="135"/>
      <c r="J330" s="135"/>
      <c r="K330" s="135"/>
      <c r="L330" s="135"/>
    </row>
    <row r="331" spans="2:12" ht="12" customHeight="1" x14ac:dyDescent="0.15">
      <c r="B331" s="2"/>
      <c r="C331" s="4"/>
      <c r="D331" s="4"/>
      <c r="E331" s="4"/>
      <c r="I331" s="135"/>
      <c r="J331" s="135"/>
      <c r="K331" s="135"/>
      <c r="L331" s="135"/>
    </row>
    <row r="332" spans="2:12" ht="12" customHeight="1" x14ac:dyDescent="0.15">
      <c r="B332" s="2"/>
      <c r="C332" s="4"/>
      <c r="D332" s="4"/>
      <c r="E332" s="4"/>
      <c r="I332" s="135"/>
      <c r="J332" s="135"/>
      <c r="K332" s="135"/>
      <c r="L332" s="135"/>
    </row>
    <row r="333" spans="2:12" ht="12" customHeight="1" x14ac:dyDescent="0.15">
      <c r="B333" s="2"/>
      <c r="C333" s="4"/>
      <c r="D333" s="4"/>
      <c r="E333" s="4"/>
      <c r="I333" s="135"/>
      <c r="J333" s="135"/>
      <c r="K333" s="135"/>
      <c r="L333" s="135"/>
    </row>
    <row r="334" spans="2:12" ht="12" customHeight="1" x14ac:dyDescent="0.15">
      <c r="B334" s="2"/>
      <c r="C334" s="4"/>
      <c r="D334" s="4"/>
      <c r="E334" s="4"/>
      <c r="I334" s="135"/>
      <c r="J334" s="135"/>
      <c r="K334" s="135"/>
      <c r="L334" s="135"/>
    </row>
    <row r="335" spans="2:12" ht="12" customHeight="1" x14ac:dyDescent="0.15">
      <c r="B335" s="2"/>
      <c r="C335" s="4"/>
      <c r="D335" s="4"/>
      <c r="E335" s="4"/>
      <c r="I335" s="135"/>
      <c r="J335" s="135"/>
      <c r="K335" s="135"/>
      <c r="L335" s="135"/>
    </row>
    <row r="336" spans="2:12" ht="12" customHeight="1" x14ac:dyDescent="0.15">
      <c r="B336" s="2"/>
      <c r="C336" s="4"/>
      <c r="D336" s="4"/>
      <c r="E336" s="4"/>
      <c r="I336" s="135"/>
      <c r="J336" s="135"/>
      <c r="K336" s="135"/>
      <c r="L336" s="135"/>
    </row>
    <row r="337" spans="2:12" ht="12" customHeight="1" x14ac:dyDescent="0.15">
      <c r="B337" s="2"/>
      <c r="C337" s="4"/>
      <c r="D337" s="4"/>
      <c r="E337" s="4"/>
      <c r="I337" s="135"/>
      <c r="J337" s="135"/>
      <c r="K337" s="135"/>
      <c r="L337" s="135"/>
    </row>
    <row r="338" spans="2:12" ht="12" customHeight="1" x14ac:dyDescent="0.15">
      <c r="B338" s="2"/>
      <c r="C338" s="4"/>
      <c r="D338" s="4"/>
      <c r="E338" s="4"/>
      <c r="I338" s="135"/>
      <c r="J338" s="135"/>
      <c r="K338" s="135"/>
      <c r="L338" s="135"/>
    </row>
    <row r="339" spans="2:12" ht="12" customHeight="1" x14ac:dyDescent="0.15">
      <c r="B339" s="2"/>
      <c r="C339" s="4"/>
      <c r="D339" s="4"/>
      <c r="E339" s="4"/>
      <c r="I339" s="135"/>
      <c r="J339" s="135"/>
      <c r="K339" s="135"/>
      <c r="L339" s="135"/>
    </row>
    <row r="340" spans="2:12" ht="12" customHeight="1" x14ac:dyDescent="0.15">
      <c r="B340" s="2"/>
      <c r="C340" s="4"/>
      <c r="D340" s="4"/>
      <c r="E340" s="4"/>
      <c r="I340" s="135"/>
      <c r="J340" s="135"/>
      <c r="K340" s="135"/>
      <c r="L340" s="135"/>
    </row>
    <row r="341" spans="2:12" ht="12" customHeight="1" x14ac:dyDescent="0.15">
      <c r="B341" s="2"/>
      <c r="C341" s="4"/>
      <c r="D341" s="4"/>
      <c r="E341" s="4"/>
      <c r="I341" s="135"/>
      <c r="J341" s="135"/>
      <c r="K341" s="135"/>
      <c r="L341" s="135"/>
    </row>
    <row r="342" spans="2:12" ht="12" customHeight="1" x14ac:dyDescent="0.15">
      <c r="B342" s="2"/>
      <c r="C342" s="4"/>
      <c r="D342" s="4"/>
      <c r="E342" s="4"/>
      <c r="I342" s="135"/>
      <c r="J342" s="135"/>
      <c r="K342" s="135"/>
      <c r="L342" s="135"/>
    </row>
    <row r="343" spans="2:12" ht="12" customHeight="1" x14ac:dyDescent="0.15">
      <c r="B343" s="2"/>
      <c r="C343" s="4"/>
      <c r="D343" s="4"/>
      <c r="E343" s="4"/>
      <c r="I343" s="135"/>
      <c r="J343" s="135"/>
      <c r="K343" s="135"/>
      <c r="L343" s="135"/>
    </row>
    <row r="344" spans="2:12" ht="12" customHeight="1" x14ac:dyDescent="0.15">
      <c r="B344" s="2"/>
      <c r="C344" s="4"/>
      <c r="D344" s="4"/>
      <c r="E344" s="4"/>
      <c r="I344" s="135"/>
      <c r="J344" s="135"/>
      <c r="K344" s="135"/>
      <c r="L344" s="135"/>
    </row>
    <row r="345" spans="2:12" ht="12" customHeight="1" x14ac:dyDescent="0.15">
      <c r="B345" s="2"/>
      <c r="C345" s="4"/>
      <c r="D345" s="4"/>
      <c r="E345" s="4"/>
      <c r="I345" s="135"/>
      <c r="J345" s="135"/>
      <c r="K345" s="135"/>
      <c r="L345" s="135"/>
    </row>
    <row r="346" spans="2:12" ht="12" customHeight="1" x14ac:dyDescent="0.15">
      <c r="B346" s="2"/>
      <c r="C346" s="4"/>
      <c r="D346" s="4"/>
      <c r="E346" s="4"/>
      <c r="I346" s="135"/>
      <c r="J346" s="135"/>
      <c r="K346" s="135"/>
      <c r="L346" s="135"/>
    </row>
    <row r="347" spans="2:12" ht="12" customHeight="1" x14ac:dyDescent="0.15">
      <c r="B347" s="2"/>
      <c r="C347" s="4"/>
      <c r="D347" s="4"/>
      <c r="E347" s="4"/>
      <c r="I347" s="135"/>
      <c r="J347" s="135"/>
      <c r="K347" s="135"/>
      <c r="L347" s="135"/>
    </row>
    <row r="348" spans="2:12" ht="12" customHeight="1" x14ac:dyDescent="0.15">
      <c r="B348" s="2"/>
      <c r="C348" s="4"/>
      <c r="D348" s="4"/>
      <c r="E348" s="4"/>
      <c r="I348" s="135"/>
      <c r="J348" s="135"/>
      <c r="K348" s="135"/>
      <c r="L348" s="135"/>
    </row>
    <row r="349" spans="2:12" ht="12" customHeight="1" x14ac:dyDescent="0.15">
      <c r="B349" s="2"/>
      <c r="C349" s="4"/>
      <c r="D349" s="4"/>
      <c r="E349" s="4"/>
      <c r="I349" s="135"/>
      <c r="J349" s="135"/>
      <c r="K349" s="135"/>
      <c r="L349" s="135"/>
    </row>
    <row r="350" spans="2:12" ht="12" customHeight="1" x14ac:dyDescent="0.15">
      <c r="B350" s="2"/>
      <c r="C350" s="4"/>
      <c r="D350" s="4"/>
      <c r="E350" s="4"/>
      <c r="I350" s="135"/>
      <c r="J350" s="135"/>
      <c r="K350" s="135"/>
      <c r="L350" s="135"/>
    </row>
    <row r="351" spans="2:12" ht="12" customHeight="1" x14ac:dyDescent="0.15">
      <c r="B351" s="2"/>
      <c r="C351" s="4"/>
      <c r="D351" s="4"/>
      <c r="E351" s="4"/>
      <c r="I351" s="135"/>
      <c r="J351" s="135"/>
      <c r="K351" s="135"/>
      <c r="L351" s="135"/>
    </row>
    <row r="352" spans="2:12" ht="12" customHeight="1" x14ac:dyDescent="0.15">
      <c r="B352" s="2"/>
      <c r="C352" s="4"/>
      <c r="D352" s="4"/>
      <c r="E352" s="4"/>
      <c r="I352" s="135"/>
      <c r="J352" s="135"/>
      <c r="K352" s="135"/>
      <c r="L352" s="135"/>
    </row>
    <row r="353" spans="2:12" ht="12" customHeight="1" x14ac:dyDescent="0.15">
      <c r="B353" s="2"/>
      <c r="C353" s="4"/>
      <c r="D353" s="4"/>
      <c r="E353" s="4"/>
      <c r="I353" s="135"/>
      <c r="J353" s="135"/>
      <c r="K353" s="135"/>
      <c r="L353" s="135"/>
    </row>
    <row r="354" spans="2:12" ht="12" customHeight="1" x14ac:dyDescent="0.15">
      <c r="B354" s="2"/>
      <c r="C354" s="4"/>
      <c r="D354" s="4"/>
      <c r="E354" s="4"/>
      <c r="I354" s="135"/>
      <c r="J354" s="135"/>
      <c r="K354" s="135"/>
      <c r="L354" s="135"/>
    </row>
    <row r="355" spans="2:12" ht="12" customHeight="1" x14ac:dyDescent="0.15">
      <c r="B355" s="2"/>
      <c r="C355" s="4"/>
      <c r="D355" s="4"/>
      <c r="E355" s="4"/>
      <c r="I355" s="135"/>
      <c r="J355" s="135"/>
      <c r="K355" s="135"/>
      <c r="L355" s="135"/>
    </row>
    <row r="356" spans="2:12" ht="12" customHeight="1" x14ac:dyDescent="0.15">
      <c r="B356" s="2"/>
      <c r="C356" s="4"/>
      <c r="D356" s="4"/>
      <c r="E356" s="4"/>
      <c r="I356" s="135"/>
      <c r="J356" s="135"/>
      <c r="K356" s="135"/>
      <c r="L356" s="135"/>
    </row>
    <row r="357" spans="2:12" ht="12" customHeight="1" x14ac:dyDescent="0.15">
      <c r="B357" s="2"/>
      <c r="C357" s="4"/>
      <c r="D357" s="4"/>
      <c r="E357" s="4"/>
      <c r="I357" s="135"/>
      <c r="J357" s="135"/>
      <c r="K357" s="135"/>
      <c r="L357" s="135"/>
    </row>
    <row r="358" spans="2:12" ht="12" customHeight="1" x14ac:dyDescent="0.15">
      <c r="B358" s="2"/>
      <c r="C358" s="4"/>
      <c r="D358" s="4"/>
      <c r="E358" s="4"/>
      <c r="I358" s="135"/>
      <c r="J358" s="135"/>
      <c r="K358" s="135"/>
      <c r="L358" s="135"/>
    </row>
    <row r="359" spans="2:12" ht="12" customHeight="1" x14ac:dyDescent="0.15">
      <c r="B359" s="2"/>
      <c r="C359" s="4"/>
      <c r="D359" s="4"/>
      <c r="E359" s="4"/>
      <c r="I359" s="135"/>
      <c r="J359" s="135"/>
      <c r="K359" s="135"/>
      <c r="L359" s="135"/>
    </row>
    <row r="360" spans="2:12" ht="12" customHeight="1" x14ac:dyDescent="0.15">
      <c r="B360" s="2"/>
      <c r="C360" s="4"/>
      <c r="D360" s="4"/>
      <c r="E360" s="4"/>
      <c r="I360" s="135"/>
      <c r="J360" s="135"/>
      <c r="K360" s="135"/>
      <c r="L360" s="135"/>
    </row>
    <row r="361" spans="2:12" ht="12" customHeight="1" x14ac:dyDescent="0.15">
      <c r="B361" s="2"/>
      <c r="C361" s="4"/>
      <c r="D361" s="4"/>
      <c r="E361" s="4"/>
      <c r="I361" s="135"/>
      <c r="J361" s="135"/>
      <c r="K361" s="135"/>
      <c r="L361" s="135"/>
    </row>
    <row r="362" spans="2:12" ht="12" customHeight="1" x14ac:dyDescent="0.15">
      <c r="B362" s="2"/>
      <c r="C362" s="4"/>
      <c r="D362" s="4"/>
      <c r="E362" s="4"/>
      <c r="I362" s="135"/>
      <c r="J362" s="135"/>
      <c r="K362" s="135"/>
      <c r="L362" s="135"/>
    </row>
    <row r="363" spans="2:12" ht="12" customHeight="1" x14ac:dyDescent="0.15">
      <c r="B363" s="2"/>
      <c r="C363" s="4"/>
      <c r="D363" s="4"/>
      <c r="E363" s="4"/>
      <c r="I363" s="135"/>
      <c r="J363" s="135"/>
      <c r="K363" s="135"/>
      <c r="L363" s="135"/>
    </row>
    <row r="364" spans="2:12" ht="12" customHeight="1" x14ac:dyDescent="0.15">
      <c r="B364" s="2"/>
      <c r="C364" s="4"/>
      <c r="D364" s="4"/>
      <c r="E364" s="4"/>
      <c r="I364" s="135"/>
      <c r="J364" s="135"/>
      <c r="K364" s="135"/>
      <c r="L364" s="135"/>
    </row>
    <row r="365" spans="2:12" ht="12" customHeight="1" x14ac:dyDescent="0.15">
      <c r="B365" s="2"/>
      <c r="C365" s="4"/>
      <c r="D365" s="4"/>
      <c r="E365" s="4"/>
      <c r="I365" s="135"/>
      <c r="J365" s="135"/>
      <c r="K365" s="135"/>
      <c r="L365" s="135"/>
    </row>
    <row r="366" spans="2:12" ht="12" customHeight="1" x14ac:dyDescent="0.15">
      <c r="B366" s="2"/>
      <c r="C366" s="4"/>
      <c r="D366" s="4"/>
      <c r="E366" s="4"/>
      <c r="I366" s="135"/>
      <c r="J366" s="135"/>
      <c r="K366" s="135"/>
      <c r="L366" s="135"/>
    </row>
    <row r="367" spans="2:12" ht="12" customHeight="1" x14ac:dyDescent="0.15">
      <c r="B367" s="2"/>
      <c r="C367" s="4"/>
      <c r="D367" s="4"/>
      <c r="E367" s="4"/>
      <c r="I367" s="135"/>
      <c r="J367" s="135"/>
      <c r="K367" s="135"/>
      <c r="L367" s="135"/>
    </row>
    <row r="368" spans="2:12" ht="12" customHeight="1" x14ac:dyDescent="0.15">
      <c r="B368" s="2"/>
      <c r="C368" s="4"/>
      <c r="D368" s="4"/>
      <c r="E368" s="4"/>
      <c r="I368" s="135"/>
      <c r="J368" s="135"/>
      <c r="K368" s="135"/>
      <c r="L368" s="135"/>
    </row>
    <row r="369" spans="2:12" ht="12" customHeight="1" x14ac:dyDescent="0.15">
      <c r="B369" s="2"/>
      <c r="C369" s="4"/>
      <c r="D369" s="4"/>
      <c r="E369" s="4"/>
      <c r="I369" s="135"/>
      <c r="J369" s="135"/>
      <c r="K369" s="135"/>
      <c r="L369" s="135"/>
    </row>
    <row r="370" spans="2:12" ht="12" customHeight="1" x14ac:dyDescent="0.15">
      <c r="B370" s="2"/>
      <c r="C370" s="4"/>
      <c r="D370" s="4"/>
      <c r="E370" s="4"/>
      <c r="I370" s="135"/>
      <c r="J370" s="135"/>
      <c r="K370" s="135"/>
      <c r="L370" s="135"/>
    </row>
    <row r="371" spans="2:12" ht="12" customHeight="1" x14ac:dyDescent="0.15">
      <c r="B371" s="2"/>
      <c r="C371" s="4"/>
      <c r="D371" s="4"/>
      <c r="E371" s="4"/>
      <c r="I371" s="135"/>
      <c r="J371" s="135"/>
      <c r="K371" s="135"/>
      <c r="L371" s="135"/>
    </row>
    <row r="372" spans="2:12" ht="12" customHeight="1" x14ac:dyDescent="0.15">
      <c r="B372" s="2"/>
      <c r="C372" s="4"/>
      <c r="D372" s="4"/>
      <c r="E372" s="4"/>
      <c r="I372" s="135"/>
      <c r="J372" s="135"/>
      <c r="K372" s="135"/>
      <c r="L372" s="135"/>
    </row>
    <row r="373" spans="2:12" ht="12" customHeight="1" x14ac:dyDescent="0.15">
      <c r="B373" s="2"/>
      <c r="C373" s="4"/>
      <c r="D373" s="4"/>
      <c r="E373" s="4"/>
      <c r="I373" s="135"/>
      <c r="J373" s="135"/>
      <c r="K373" s="135"/>
      <c r="L373" s="135"/>
    </row>
    <row r="374" spans="2:12" ht="12" customHeight="1" x14ac:dyDescent="0.15">
      <c r="B374" s="2"/>
      <c r="C374" s="4"/>
      <c r="D374" s="4"/>
      <c r="E374" s="4"/>
      <c r="I374" s="135"/>
      <c r="J374" s="135"/>
      <c r="K374" s="135"/>
      <c r="L374" s="135"/>
    </row>
    <row r="375" spans="2:12" ht="12" customHeight="1" x14ac:dyDescent="0.15">
      <c r="B375" s="2"/>
      <c r="C375" s="4"/>
      <c r="D375" s="4"/>
      <c r="E375" s="4"/>
      <c r="I375" s="135"/>
      <c r="J375" s="135"/>
      <c r="K375" s="135"/>
      <c r="L375" s="135"/>
    </row>
    <row r="376" spans="2:12" ht="12" customHeight="1" x14ac:dyDescent="0.15">
      <c r="B376" s="2"/>
      <c r="C376" s="4"/>
      <c r="D376" s="4"/>
      <c r="E376" s="4"/>
      <c r="I376" s="135"/>
      <c r="J376" s="135"/>
      <c r="K376" s="135"/>
      <c r="L376" s="135"/>
    </row>
    <row r="377" spans="2:12" ht="12" customHeight="1" x14ac:dyDescent="0.15">
      <c r="B377" s="2"/>
      <c r="C377" s="4"/>
      <c r="D377" s="4"/>
      <c r="E377" s="4"/>
      <c r="I377" s="135"/>
      <c r="J377" s="135"/>
      <c r="K377" s="135"/>
      <c r="L377" s="135"/>
    </row>
    <row r="378" spans="2:12" ht="12" customHeight="1" x14ac:dyDescent="0.15">
      <c r="B378" s="2"/>
      <c r="C378" s="4"/>
      <c r="D378" s="4"/>
      <c r="E378" s="4"/>
      <c r="I378" s="135"/>
      <c r="J378" s="135"/>
      <c r="K378" s="135"/>
      <c r="L378" s="135"/>
    </row>
    <row r="379" spans="2:12" ht="12" customHeight="1" x14ac:dyDescent="0.15">
      <c r="B379" s="2"/>
      <c r="C379" s="4"/>
      <c r="D379" s="4"/>
      <c r="E379" s="4"/>
      <c r="I379" s="135"/>
      <c r="J379" s="135"/>
      <c r="K379" s="135"/>
      <c r="L379" s="135"/>
    </row>
    <row r="380" spans="2:12" ht="12" customHeight="1" x14ac:dyDescent="0.15">
      <c r="B380" s="2"/>
      <c r="C380" s="4"/>
      <c r="D380" s="4"/>
      <c r="E380" s="4"/>
      <c r="I380" s="135"/>
      <c r="J380" s="135"/>
      <c r="K380" s="135"/>
      <c r="L380" s="135"/>
    </row>
    <row r="381" spans="2:12" ht="12" customHeight="1" x14ac:dyDescent="0.15">
      <c r="B381" s="2"/>
      <c r="C381" s="4"/>
      <c r="D381" s="4"/>
      <c r="E381" s="4"/>
      <c r="I381" s="135"/>
      <c r="J381" s="135"/>
      <c r="K381" s="135"/>
      <c r="L381" s="135"/>
    </row>
    <row r="382" spans="2:12" ht="12" customHeight="1" x14ac:dyDescent="0.15">
      <c r="B382" s="2"/>
      <c r="C382" s="4"/>
      <c r="D382" s="4"/>
      <c r="E382" s="4"/>
      <c r="I382" s="135"/>
      <c r="J382" s="135"/>
      <c r="K382" s="135"/>
      <c r="L382" s="135"/>
    </row>
    <row r="383" spans="2:12" ht="12" customHeight="1" x14ac:dyDescent="0.15">
      <c r="B383" s="2"/>
      <c r="C383" s="4"/>
      <c r="D383" s="4"/>
      <c r="E383" s="4"/>
      <c r="I383" s="135"/>
      <c r="J383" s="135"/>
      <c r="K383" s="135"/>
      <c r="L383" s="135"/>
    </row>
    <row r="384" spans="2:12" ht="12" customHeight="1" x14ac:dyDescent="0.15">
      <c r="B384" s="2"/>
      <c r="C384" s="4"/>
      <c r="D384" s="4"/>
      <c r="E384" s="4"/>
      <c r="I384" s="135"/>
      <c r="J384" s="135"/>
      <c r="K384" s="135"/>
      <c r="L384" s="135"/>
    </row>
    <row r="385" spans="2:12" ht="12" customHeight="1" x14ac:dyDescent="0.15">
      <c r="B385" s="2"/>
      <c r="C385" s="4"/>
      <c r="D385" s="4"/>
      <c r="E385" s="4"/>
      <c r="I385" s="135"/>
      <c r="J385" s="135"/>
      <c r="K385" s="135"/>
      <c r="L385" s="135"/>
    </row>
    <row r="386" spans="2:12" ht="12" customHeight="1" x14ac:dyDescent="0.15">
      <c r="B386" s="2"/>
      <c r="C386" s="4"/>
      <c r="D386" s="4"/>
      <c r="E386" s="4"/>
      <c r="I386" s="135"/>
      <c r="J386" s="135"/>
      <c r="K386" s="135"/>
      <c r="L386" s="135"/>
    </row>
    <row r="387" spans="2:12" ht="12" customHeight="1" x14ac:dyDescent="0.15">
      <c r="B387" s="2"/>
      <c r="C387" s="4"/>
      <c r="D387" s="4"/>
      <c r="E387" s="4"/>
      <c r="I387" s="135"/>
      <c r="J387" s="135"/>
      <c r="K387" s="135"/>
      <c r="L387" s="135"/>
    </row>
    <row r="388" spans="2:12" ht="12" customHeight="1" x14ac:dyDescent="0.15">
      <c r="B388" s="2"/>
      <c r="C388" s="4"/>
      <c r="D388" s="4"/>
      <c r="E388" s="4"/>
      <c r="I388" s="135"/>
      <c r="J388" s="135"/>
      <c r="K388" s="135"/>
      <c r="L388" s="135"/>
    </row>
    <row r="389" spans="2:12" ht="12" customHeight="1" x14ac:dyDescent="0.15">
      <c r="B389" s="2"/>
      <c r="C389" s="4"/>
      <c r="D389" s="4"/>
      <c r="E389" s="4"/>
      <c r="I389" s="135"/>
      <c r="J389" s="135"/>
      <c r="K389" s="135"/>
      <c r="L389" s="135"/>
    </row>
    <row r="390" spans="2:12" ht="12" customHeight="1" x14ac:dyDescent="0.15">
      <c r="B390" s="2"/>
      <c r="C390" s="4"/>
      <c r="D390" s="4"/>
      <c r="E390" s="4"/>
      <c r="I390" s="135"/>
      <c r="J390" s="135"/>
      <c r="K390" s="135"/>
      <c r="L390" s="135"/>
    </row>
    <row r="391" spans="2:12" ht="12" customHeight="1" x14ac:dyDescent="0.15">
      <c r="B391" s="2"/>
      <c r="C391" s="4"/>
      <c r="D391" s="4"/>
      <c r="E391" s="4"/>
      <c r="I391" s="135"/>
      <c r="J391" s="135"/>
      <c r="K391" s="135"/>
      <c r="L391" s="135"/>
    </row>
    <row r="392" spans="2:12" ht="12" customHeight="1" x14ac:dyDescent="0.15">
      <c r="B392" s="2"/>
      <c r="C392" s="4"/>
      <c r="D392" s="4"/>
      <c r="E392" s="4"/>
      <c r="I392" s="135"/>
      <c r="J392" s="135"/>
      <c r="K392" s="135"/>
      <c r="L392" s="135"/>
    </row>
    <row r="393" spans="2:12" ht="12" customHeight="1" x14ac:dyDescent="0.15">
      <c r="B393" s="2"/>
      <c r="C393" s="4"/>
      <c r="D393" s="4"/>
      <c r="E393" s="4"/>
      <c r="I393" s="135"/>
      <c r="J393" s="135"/>
      <c r="K393" s="135"/>
      <c r="L393" s="135"/>
    </row>
    <row r="394" spans="2:12" ht="12" customHeight="1" x14ac:dyDescent="0.15">
      <c r="B394" s="2"/>
      <c r="C394" s="4"/>
      <c r="D394" s="4"/>
      <c r="E394" s="4"/>
      <c r="I394" s="135"/>
      <c r="J394" s="135"/>
      <c r="K394" s="135"/>
      <c r="L394" s="135"/>
    </row>
    <row r="395" spans="2:12" ht="12" customHeight="1" x14ac:dyDescent="0.15">
      <c r="B395" s="2"/>
      <c r="C395" s="4"/>
      <c r="D395" s="4"/>
      <c r="E395" s="4"/>
      <c r="I395" s="135"/>
      <c r="J395" s="135"/>
      <c r="K395" s="135"/>
      <c r="L395" s="135"/>
    </row>
    <row r="396" spans="2:12" ht="12" customHeight="1" x14ac:dyDescent="0.15">
      <c r="B396" s="2"/>
      <c r="C396" s="4"/>
      <c r="D396" s="4"/>
      <c r="E396" s="4"/>
      <c r="I396" s="135"/>
      <c r="J396" s="135"/>
      <c r="K396" s="135"/>
      <c r="L396" s="135"/>
    </row>
    <row r="397" spans="2:12" ht="12" customHeight="1" x14ac:dyDescent="0.15">
      <c r="B397" s="2"/>
      <c r="C397" s="4"/>
      <c r="D397" s="4"/>
      <c r="E397" s="4"/>
      <c r="I397" s="135"/>
      <c r="J397" s="135"/>
      <c r="K397" s="135"/>
      <c r="L397" s="135"/>
    </row>
    <row r="398" spans="2:12" ht="12" customHeight="1" x14ac:dyDescent="0.15">
      <c r="B398" s="2"/>
      <c r="C398" s="4"/>
      <c r="D398" s="4"/>
      <c r="E398" s="4"/>
      <c r="I398" s="135"/>
      <c r="J398" s="135"/>
      <c r="K398" s="135"/>
      <c r="L398" s="135"/>
    </row>
    <row r="399" spans="2:12" ht="12" customHeight="1" x14ac:dyDescent="0.15">
      <c r="B399" s="2"/>
      <c r="C399" s="4"/>
      <c r="D399" s="4"/>
      <c r="E399" s="4"/>
      <c r="I399" s="135"/>
      <c r="J399" s="135"/>
      <c r="K399" s="135"/>
      <c r="L399" s="135"/>
    </row>
    <row r="400" spans="2:12" ht="12" customHeight="1" x14ac:dyDescent="0.15">
      <c r="B400" s="2"/>
      <c r="C400" s="4"/>
      <c r="D400" s="4"/>
      <c r="E400" s="4"/>
      <c r="I400" s="135"/>
      <c r="J400" s="135"/>
      <c r="K400" s="135"/>
      <c r="L400" s="135"/>
    </row>
    <row r="401" spans="2:12" ht="12" customHeight="1" x14ac:dyDescent="0.15">
      <c r="B401" s="2"/>
      <c r="C401" s="4"/>
      <c r="D401" s="4"/>
      <c r="E401" s="4"/>
      <c r="I401" s="135"/>
      <c r="J401" s="135"/>
      <c r="K401" s="135"/>
      <c r="L401" s="135"/>
    </row>
    <row r="402" spans="2:12" ht="12" customHeight="1" x14ac:dyDescent="0.15">
      <c r="B402" s="2"/>
      <c r="C402" s="4"/>
      <c r="D402" s="4"/>
      <c r="E402" s="4"/>
      <c r="I402" s="135"/>
      <c r="J402" s="135"/>
      <c r="K402" s="135"/>
      <c r="L402" s="135"/>
    </row>
    <row r="403" spans="2:12" ht="12" customHeight="1" x14ac:dyDescent="0.15">
      <c r="B403" s="2"/>
      <c r="C403" s="4"/>
      <c r="D403" s="4"/>
      <c r="E403" s="4"/>
      <c r="I403" s="135"/>
      <c r="J403" s="135"/>
      <c r="K403" s="135"/>
      <c r="L403" s="135"/>
    </row>
    <row r="404" spans="2:12" ht="12" customHeight="1" x14ac:dyDescent="0.15">
      <c r="B404" s="2"/>
      <c r="C404" s="4"/>
      <c r="D404" s="4"/>
      <c r="E404" s="4"/>
      <c r="I404" s="135"/>
      <c r="J404" s="135"/>
      <c r="K404" s="135"/>
      <c r="L404" s="135"/>
    </row>
    <row r="405" spans="2:12" ht="12" customHeight="1" x14ac:dyDescent="0.15">
      <c r="B405" s="2"/>
      <c r="C405" s="4"/>
      <c r="D405" s="4"/>
      <c r="E405" s="4"/>
      <c r="I405" s="135"/>
      <c r="J405" s="135"/>
      <c r="K405" s="135"/>
      <c r="L405" s="135"/>
    </row>
    <row r="406" spans="2:12" ht="12" customHeight="1" x14ac:dyDescent="0.15">
      <c r="B406" s="2"/>
      <c r="C406" s="4"/>
      <c r="D406" s="4"/>
      <c r="E406" s="4"/>
      <c r="I406" s="135"/>
      <c r="J406" s="135"/>
      <c r="K406" s="135"/>
      <c r="L406" s="135"/>
    </row>
    <row r="407" spans="2:12" ht="12" customHeight="1" x14ac:dyDescent="0.15">
      <c r="B407" s="2"/>
      <c r="C407" s="4"/>
      <c r="D407" s="4"/>
      <c r="E407" s="4"/>
      <c r="I407" s="135"/>
      <c r="J407" s="135"/>
      <c r="K407" s="135"/>
      <c r="L407" s="135"/>
    </row>
    <row r="408" spans="2:12" ht="12" customHeight="1" x14ac:dyDescent="0.15">
      <c r="B408" s="2"/>
      <c r="C408" s="4"/>
      <c r="D408" s="4"/>
      <c r="E408" s="4"/>
      <c r="I408" s="135"/>
      <c r="J408" s="135"/>
      <c r="K408" s="135"/>
      <c r="L408" s="135"/>
    </row>
    <row r="409" spans="2:12" ht="12" customHeight="1" x14ac:dyDescent="0.15">
      <c r="B409" s="2"/>
      <c r="C409" s="4"/>
      <c r="D409" s="4"/>
      <c r="E409" s="4"/>
      <c r="I409" s="135"/>
      <c r="J409" s="135"/>
      <c r="K409" s="135"/>
      <c r="L409" s="135"/>
    </row>
    <row r="410" spans="2:12" ht="12" customHeight="1" x14ac:dyDescent="0.15">
      <c r="B410" s="2"/>
      <c r="C410" s="4"/>
      <c r="D410" s="4"/>
      <c r="E410" s="4"/>
      <c r="I410" s="135"/>
      <c r="J410" s="135"/>
      <c r="K410" s="135"/>
      <c r="L410" s="135"/>
    </row>
    <row r="411" spans="2:12" ht="12" customHeight="1" x14ac:dyDescent="0.15">
      <c r="B411" s="2"/>
      <c r="C411" s="4"/>
      <c r="D411" s="4"/>
      <c r="E411" s="4"/>
      <c r="I411" s="135"/>
      <c r="J411" s="135"/>
      <c r="K411" s="135"/>
      <c r="L411" s="135"/>
    </row>
    <row r="412" spans="2:12" ht="12" customHeight="1" x14ac:dyDescent="0.15">
      <c r="B412" s="2"/>
      <c r="C412" s="4"/>
      <c r="D412" s="4"/>
      <c r="E412" s="4"/>
      <c r="I412" s="135"/>
      <c r="J412" s="135"/>
      <c r="K412" s="135"/>
      <c r="L412" s="135"/>
    </row>
    <row r="413" spans="2:12" ht="12" customHeight="1" x14ac:dyDescent="0.15">
      <c r="B413" s="2"/>
      <c r="C413" s="4"/>
      <c r="D413" s="4"/>
      <c r="E413" s="4"/>
      <c r="I413" s="135"/>
      <c r="J413" s="135"/>
      <c r="K413" s="135"/>
      <c r="L413" s="135"/>
    </row>
    <row r="414" spans="2:12" ht="12" customHeight="1" x14ac:dyDescent="0.15">
      <c r="B414" s="2"/>
      <c r="C414" s="4"/>
      <c r="D414" s="4"/>
      <c r="E414" s="4"/>
      <c r="I414" s="135"/>
      <c r="J414" s="135"/>
      <c r="K414" s="135"/>
      <c r="L414" s="135"/>
    </row>
    <row r="415" spans="2:12" ht="12" customHeight="1" x14ac:dyDescent="0.15">
      <c r="B415" s="2"/>
      <c r="C415" s="4"/>
      <c r="D415" s="4"/>
      <c r="E415" s="4"/>
      <c r="I415" s="135"/>
      <c r="J415" s="135"/>
      <c r="K415" s="135"/>
      <c r="L415" s="135"/>
    </row>
    <row r="416" spans="2:12" ht="12" customHeight="1" x14ac:dyDescent="0.15">
      <c r="B416" s="2"/>
      <c r="C416" s="4"/>
      <c r="D416" s="4"/>
      <c r="E416" s="4"/>
      <c r="I416" s="135"/>
      <c r="J416" s="135"/>
      <c r="K416" s="135"/>
      <c r="L416" s="135"/>
    </row>
    <row r="417" spans="2:12" ht="12" customHeight="1" x14ac:dyDescent="0.15">
      <c r="B417" s="2"/>
      <c r="C417" s="4"/>
      <c r="D417" s="4"/>
      <c r="E417" s="4"/>
      <c r="I417" s="135"/>
      <c r="J417" s="135"/>
      <c r="K417" s="135"/>
      <c r="L417" s="135"/>
    </row>
    <row r="418" spans="2:12" ht="12" customHeight="1" x14ac:dyDescent="0.15">
      <c r="B418" s="2"/>
      <c r="C418" s="4"/>
      <c r="D418" s="4"/>
      <c r="E418" s="4"/>
      <c r="I418" s="135"/>
      <c r="J418" s="135"/>
      <c r="K418" s="135"/>
      <c r="L418" s="135"/>
    </row>
    <row r="419" spans="2:12" ht="12" customHeight="1" x14ac:dyDescent="0.15">
      <c r="B419" s="2"/>
      <c r="C419" s="4"/>
      <c r="D419" s="4"/>
      <c r="E419" s="4"/>
      <c r="I419" s="135"/>
      <c r="J419" s="135"/>
      <c r="K419" s="135"/>
      <c r="L419" s="135"/>
    </row>
    <row r="420" spans="2:12" ht="12" customHeight="1" x14ac:dyDescent="0.15">
      <c r="B420" s="2"/>
      <c r="C420" s="4"/>
      <c r="D420" s="4"/>
      <c r="E420" s="4"/>
      <c r="I420" s="135"/>
      <c r="J420" s="135"/>
      <c r="K420" s="135"/>
      <c r="L420" s="135"/>
    </row>
    <row r="421" spans="2:12" ht="12" customHeight="1" x14ac:dyDescent="0.15">
      <c r="B421" s="2"/>
      <c r="C421" s="4"/>
      <c r="D421" s="4"/>
      <c r="E421" s="4"/>
      <c r="I421" s="135"/>
      <c r="J421" s="135"/>
      <c r="K421" s="135"/>
      <c r="L421" s="135"/>
    </row>
    <row r="422" spans="2:12" ht="12" customHeight="1" x14ac:dyDescent="0.15">
      <c r="B422" s="2"/>
      <c r="C422" s="4"/>
      <c r="D422" s="4"/>
      <c r="E422" s="4"/>
      <c r="I422" s="135"/>
      <c r="J422" s="135"/>
      <c r="K422" s="135"/>
      <c r="L422" s="135"/>
    </row>
    <row r="423" spans="2:12" ht="12" customHeight="1" x14ac:dyDescent="0.15">
      <c r="B423" s="2"/>
      <c r="C423" s="4"/>
      <c r="D423" s="4"/>
      <c r="E423" s="4"/>
      <c r="I423" s="135"/>
      <c r="J423" s="135"/>
      <c r="K423" s="135"/>
      <c r="L423" s="135"/>
    </row>
    <row r="424" spans="2:12" ht="12" customHeight="1" x14ac:dyDescent="0.15">
      <c r="B424" s="2"/>
      <c r="C424" s="4"/>
      <c r="D424" s="4"/>
      <c r="E424" s="4"/>
      <c r="I424" s="135"/>
      <c r="J424" s="135"/>
      <c r="K424" s="135"/>
      <c r="L424" s="135"/>
    </row>
    <row r="425" spans="2:12" ht="12" customHeight="1" x14ac:dyDescent="0.15">
      <c r="B425" s="2"/>
      <c r="C425" s="4"/>
      <c r="D425" s="4"/>
      <c r="E425" s="4"/>
      <c r="I425" s="135"/>
      <c r="J425" s="135"/>
      <c r="K425" s="135"/>
      <c r="L425" s="135"/>
    </row>
    <row r="426" spans="2:12" ht="12" customHeight="1" x14ac:dyDescent="0.15">
      <c r="B426" s="2"/>
      <c r="C426" s="4"/>
      <c r="D426" s="4"/>
      <c r="E426" s="4"/>
      <c r="I426" s="135"/>
      <c r="J426" s="135"/>
      <c r="K426" s="135"/>
      <c r="L426" s="135"/>
    </row>
    <row r="427" spans="2:12" ht="12" customHeight="1" x14ac:dyDescent="0.15">
      <c r="B427" s="2"/>
      <c r="C427" s="4"/>
      <c r="D427" s="4"/>
      <c r="E427" s="4"/>
      <c r="I427" s="135"/>
      <c r="J427" s="135"/>
      <c r="K427" s="135"/>
      <c r="L427" s="135"/>
    </row>
    <row r="428" spans="2:12" ht="12" customHeight="1" x14ac:dyDescent="0.15">
      <c r="B428" s="2"/>
      <c r="C428" s="4"/>
      <c r="D428" s="4"/>
      <c r="E428" s="4"/>
      <c r="I428" s="135"/>
      <c r="J428" s="135"/>
      <c r="K428" s="135"/>
      <c r="L428" s="135"/>
    </row>
    <row r="429" spans="2:12" ht="12" customHeight="1" x14ac:dyDescent="0.15">
      <c r="B429" s="2"/>
      <c r="C429" s="4"/>
      <c r="D429" s="4"/>
      <c r="E429" s="4"/>
      <c r="I429" s="135"/>
      <c r="J429" s="135"/>
      <c r="K429" s="135"/>
      <c r="L429" s="135"/>
    </row>
    <row r="430" spans="2:12" ht="12" customHeight="1" x14ac:dyDescent="0.15">
      <c r="B430" s="2"/>
      <c r="C430" s="4"/>
      <c r="D430" s="4"/>
      <c r="E430" s="4"/>
      <c r="I430" s="135"/>
      <c r="J430" s="135"/>
      <c r="K430" s="135"/>
      <c r="L430" s="135"/>
    </row>
    <row r="431" spans="2:12" ht="12" customHeight="1" x14ac:dyDescent="0.15">
      <c r="B431" s="2"/>
      <c r="C431" s="4"/>
      <c r="D431" s="4"/>
      <c r="E431" s="4"/>
      <c r="I431" s="135"/>
      <c r="J431" s="135"/>
      <c r="K431" s="135"/>
      <c r="L431" s="135"/>
    </row>
    <row r="432" spans="2:12" ht="12" customHeight="1" x14ac:dyDescent="0.15">
      <c r="B432" s="2"/>
      <c r="C432" s="4"/>
      <c r="D432" s="4"/>
      <c r="E432" s="4"/>
      <c r="I432" s="135"/>
      <c r="J432" s="135"/>
      <c r="K432" s="135"/>
      <c r="L432" s="135"/>
    </row>
    <row r="433" spans="2:12" ht="12" customHeight="1" x14ac:dyDescent="0.15">
      <c r="B433" s="2"/>
      <c r="C433" s="4"/>
      <c r="D433" s="4"/>
      <c r="E433" s="4"/>
      <c r="I433" s="135"/>
      <c r="J433" s="135"/>
      <c r="K433" s="135"/>
      <c r="L433" s="135"/>
    </row>
    <row r="434" spans="2:12" ht="12" customHeight="1" x14ac:dyDescent="0.15">
      <c r="B434" s="2"/>
      <c r="C434" s="4"/>
      <c r="D434" s="4"/>
      <c r="E434" s="4"/>
      <c r="I434" s="135"/>
      <c r="J434" s="135"/>
      <c r="K434" s="135"/>
      <c r="L434" s="135"/>
    </row>
    <row r="435" spans="2:12" ht="12" customHeight="1" x14ac:dyDescent="0.15">
      <c r="B435" s="2"/>
      <c r="C435" s="4"/>
      <c r="D435" s="4"/>
      <c r="E435" s="4"/>
      <c r="I435" s="135"/>
      <c r="J435" s="135"/>
      <c r="K435" s="135"/>
      <c r="L435" s="135"/>
    </row>
    <row r="436" spans="2:12" ht="12" customHeight="1" x14ac:dyDescent="0.15">
      <c r="B436" s="2"/>
      <c r="C436" s="4"/>
      <c r="D436" s="4"/>
      <c r="E436" s="4"/>
      <c r="I436" s="135"/>
      <c r="J436" s="135"/>
      <c r="K436" s="135"/>
      <c r="L436" s="135"/>
    </row>
    <row r="437" spans="2:12" ht="12" customHeight="1" x14ac:dyDescent="0.15">
      <c r="B437" s="2"/>
      <c r="C437" s="4"/>
      <c r="D437" s="4"/>
      <c r="E437" s="4"/>
      <c r="I437" s="135"/>
      <c r="J437" s="135"/>
      <c r="K437" s="135"/>
      <c r="L437" s="135"/>
    </row>
    <row r="438" spans="2:12" ht="12" customHeight="1" x14ac:dyDescent="0.15">
      <c r="B438" s="2"/>
      <c r="C438" s="4"/>
      <c r="D438" s="4"/>
      <c r="E438" s="4"/>
      <c r="I438" s="135"/>
      <c r="J438" s="135"/>
      <c r="K438" s="135"/>
      <c r="L438" s="135"/>
    </row>
    <row r="439" spans="2:12" ht="12" customHeight="1" x14ac:dyDescent="0.15">
      <c r="B439" s="2"/>
      <c r="C439" s="4"/>
      <c r="D439" s="4"/>
      <c r="E439" s="4"/>
      <c r="I439" s="135"/>
      <c r="J439" s="135"/>
      <c r="K439" s="135"/>
      <c r="L439" s="135"/>
    </row>
    <row r="440" spans="2:12" ht="12" customHeight="1" x14ac:dyDescent="0.15">
      <c r="B440" s="2"/>
      <c r="C440" s="4"/>
      <c r="D440" s="4"/>
      <c r="E440" s="4"/>
      <c r="I440" s="135"/>
      <c r="J440" s="135"/>
      <c r="K440" s="135"/>
      <c r="L440" s="135"/>
    </row>
    <row r="441" spans="2:12" ht="12" customHeight="1" x14ac:dyDescent="0.15">
      <c r="B441" s="2"/>
      <c r="C441" s="4"/>
      <c r="D441" s="4"/>
      <c r="E441" s="4"/>
      <c r="I441" s="135"/>
      <c r="J441" s="135"/>
      <c r="K441" s="135"/>
      <c r="L441" s="135"/>
    </row>
    <row r="442" spans="2:12" ht="12" customHeight="1" x14ac:dyDescent="0.15">
      <c r="B442" s="2"/>
      <c r="C442" s="4"/>
      <c r="D442" s="4"/>
      <c r="E442" s="4"/>
      <c r="I442" s="135"/>
      <c r="J442" s="135"/>
      <c r="K442" s="135"/>
      <c r="L442" s="135"/>
    </row>
    <row r="443" spans="2:12" ht="12" customHeight="1" x14ac:dyDescent="0.15">
      <c r="B443" s="2"/>
      <c r="C443" s="4"/>
      <c r="D443" s="4"/>
      <c r="E443" s="4"/>
      <c r="I443" s="135"/>
      <c r="J443" s="135"/>
      <c r="K443" s="135"/>
      <c r="L443" s="135"/>
    </row>
    <row r="444" spans="2:12" ht="12" customHeight="1" x14ac:dyDescent="0.15">
      <c r="B444" s="2"/>
      <c r="C444" s="4"/>
      <c r="D444" s="4"/>
      <c r="E444" s="4"/>
      <c r="I444" s="135"/>
      <c r="J444" s="135"/>
      <c r="K444" s="135"/>
      <c r="L444" s="135"/>
    </row>
    <row r="445" spans="2:12" ht="12" customHeight="1" x14ac:dyDescent="0.15">
      <c r="B445" s="2"/>
      <c r="C445" s="4"/>
      <c r="D445" s="4"/>
      <c r="E445" s="4"/>
      <c r="I445" s="135"/>
      <c r="J445" s="135"/>
      <c r="K445" s="135"/>
      <c r="L445" s="135"/>
    </row>
    <row r="446" spans="2:12" ht="12" customHeight="1" x14ac:dyDescent="0.15">
      <c r="B446" s="2"/>
      <c r="C446" s="4"/>
      <c r="D446" s="4"/>
      <c r="E446" s="4"/>
      <c r="I446" s="135"/>
      <c r="J446" s="135"/>
      <c r="K446" s="135"/>
      <c r="L446" s="135"/>
    </row>
    <row r="447" spans="2:12" ht="12" customHeight="1" x14ac:dyDescent="0.15">
      <c r="B447" s="2"/>
      <c r="C447" s="4"/>
      <c r="D447" s="4"/>
      <c r="E447" s="4"/>
      <c r="I447" s="135"/>
      <c r="J447" s="135"/>
      <c r="K447" s="135"/>
      <c r="L447" s="135"/>
    </row>
    <row r="448" spans="2:12" ht="12" customHeight="1" x14ac:dyDescent="0.15">
      <c r="B448" s="2"/>
      <c r="C448" s="4"/>
      <c r="D448" s="4"/>
      <c r="E448" s="4"/>
      <c r="I448" s="135"/>
      <c r="J448" s="135"/>
      <c r="K448" s="135"/>
      <c r="L448" s="135"/>
    </row>
    <row r="449" spans="2:12" ht="12" customHeight="1" x14ac:dyDescent="0.15">
      <c r="B449" s="2"/>
      <c r="C449" s="4"/>
      <c r="D449" s="4"/>
      <c r="E449" s="4"/>
      <c r="I449" s="135"/>
      <c r="J449" s="135"/>
      <c r="K449" s="135"/>
      <c r="L449" s="135"/>
    </row>
    <row r="450" spans="2:12" ht="12" customHeight="1" x14ac:dyDescent="0.15">
      <c r="B450" s="2"/>
      <c r="C450" s="4"/>
      <c r="D450" s="4"/>
      <c r="E450" s="4"/>
      <c r="I450" s="135"/>
      <c r="J450" s="135"/>
      <c r="K450" s="135"/>
      <c r="L450" s="135"/>
    </row>
    <row r="451" spans="2:12" ht="12" customHeight="1" x14ac:dyDescent="0.15">
      <c r="B451" s="2"/>
      <c r="C451" s="4"/>
      <c r="D451" s="4"/>
      <c r="E451" s="4"/>
      <c r="I451" s="135"/>
      <c r="J451" s="135"/>
      <c r="K451" s="135"/>
      <c r="L451" s="135"/>
    </row>
    <row r="452" spans="2:12" ht="12" customHeight="1" x14ac:dyDescent="0.15">
      <c r="B452" s="2"/>
      <c r="C452" s="4"/>
      <c r="D452" s="4"/>
      <c r="E452" s="4"/>
      <c r="I452" s="135"/>
      <c r="J452" s="135"/>
      <c r="K452" s="135"/>
      <c r="L452" s="135"/>
    </row>
    <row r="453" spans="2:12" ht="12" customHeight="1" x14ac:dyDescent="0.15">
      <c r="B453" s="2"/>
      <c r="C453" s="4"/>
      <c r="D453" s="4"/>
      <c r="E453" s="4"/>
      <c r="I453" s="135"/>
      <c r="J453" s="135"/>
      <c r="K453" s="135"/>
      <c r="L453" s="135"/>
    </row>
    <row r="454" spans="2:12" ht="12" customHeight="1" x14ac:dyDescent="0.15">
      <c r="B454" s="2"/>
      <c r="C454" s="4"/>
      <c r="D454" s="4"/>
      <c r="E454" s="4"/>
      <c r="I454" s="135"/>
      <c r="J454" s="135"/>
      <c r="K454" s="135"/>
      <c r="L454" s="135"/>
    </row>
    <row r="455" spans="2:12" ht="12" customHeight="1" x14ac:dyDescent="0.15">
      <c r="B455" s="2"/>
      <c r="C455" s="4"/>
      <c r="D455" s="4"/>
      <c r="E455" s="4"/>
      <c r="I455" s="135"/>
      <c r="J455" s="135"/>
      <c r="K455" s="135"/>
      <c r="L455" s="135"/>
    </row>
    <row r="456" spans="2:12" ht="12" customHeight="1" x14ac:dyDescent="0.15">
      <c r="B456" s="2"/>
      <c r="C456" s="4"/>
      <c r="D456" s="4"/>
      <c r="E456" s="4"/>
      <c r="I456" s="135"/>
      <c r="J456" s="135"/>
      <c r="K456" s="135"/>
      <c r="L456" s="135"/>
    </row>
    <row r="457" spans="2:12" ht="12" customHeight="1" x14ac:dyDescent="0.15">
      <c r="B457" s="2"/>
      <c r="C457" s="4"/>
      <c r="D457" s="4"/>
      <c r="E457" s="4"/>
      <c r="I457" s="135"/>
      <c r="J457" s="135"/>
      <c r="K457" s="135"/>
      <c r="L457" s="135"/>
    </row>
    <row r="458" spans="2:12" ht="12" customHeight="1" x14ac:dyDescent="0.15">
      <c r="B458" s="2"/>
      <c r="C458" s="4"/>
      <c r="D458" s="4"/>
      <c r="E458" s="4"/>
      <c r="I458" s="135"/>
      <c r="J458" s="135"/>
      <c r="K458" s="135"/>
      <c r="L458" s="135"/>
    </row>
    <row r="459" spans="2:12" ht="12" customHeight="1" x14ac:dyDescent="0.15">
      <c r="B459" s="2"/>
      <c r="C459" s="4"/>
      <c r="D459" s="4"/>
      <c r="E459" s="4"/>
      <c r="I459" s="135"/>
      <c r="J459" s="135"/>
      <c r="K459" s="135"/>
      <c r="L459" s="135"/>
    </row>
    <row r="460" spans="2:12" ht="12" customHeight="1" x14ac:dyDescent="0.15">
      <c r="B460" s="2"/>
      <c r="C460" s="4"/>
      <c r="D460" s="4"/>
      <c r="E460" s="4"/>
      <c r="I460" s="135"/>
      <c r="J460" s="135"/>
      <c r="K460" s="135"/>
      <c r="L460" s="135"/>
    </row>
    <row r="461" spans="2:12" ht="12" customHeight="1" x14ac:dyDescent="0.15">
      <c r="B461" s="2"/>
      <c r="C461" s="4"/>
      <c r="D461" s="4"/>
      <c r="E461" s="4"/>
      <c r="I461" s="135"/>
      <c r="J461" s="135"/>
      <c r="K461" s="135"/>
      <c r="L461" s="135"/>
    </row>
    <row r="462" spans="2:12" ht="12" customHeight="1" x14ac:dyDescent="0.15">
      <c r="B462" s="2"/>
      <c r="C462" s="4"/>
      <c r="D462" s="4"/>
      <c r="E462" s="4"/>
      <c r="I462" s="135"/>
      <c r="J462" s="135"/>
      <c r="K462" s="135"/>
      <c r="L462" s="135"/>
    </row>
    <row r="463" spans="2:12" ht="12" customHeight="1" x14ac:dyDescent="0.15">
      <c r="B463" s="2"/>
      <c r="C463" s="4"/>
      <c r="D463" s="4"/>
      <c r="E463" s="4"/>
      <c r="I463" s="135"/>
      <c r="J463" s="135"/>
      <c r="K463" s="135"/>
      <c r="L463" s="135"/>
    </row>
    <row r="464" spans="2:12" ht="12" customHeight="1" x14ac:dyDescent="0.15">
      <c r="B464" s="2"/>
      <c r="C464" s="4"/>
      <c r="D464" s="4"/>
      <c r="E464" s="4"/>
      <c r="I464" s="135"/>
      <c r="J464" s="135"/>
      <c r="K464" s="135"/>
      <c r="L464" s="135"/>
    </row>
    <row r="465" spans="2:12" ht="12" customHeight="1" x14ac:dyDescent="0.15">
      <c r="B465" s="2"/>
      <c r="C465" s="4"/>
      <c r="D465" s="4"/>
      <c r="E465" s="4"/>
      <c r="I465" s="135"/>
      <c r="J465" s="135"/>
      <c r="K465" s="135"/>
      <c r="L465" s="135"/>
    </row>
    <row r="466" spans="2:12" ht="12" customHeight="1" x14ac:dyDescent="0.15">
      <c r="B466" s="2"/>
      <c r="C466" s="4"/>
      <c r="D466" s="4"/>
      <c r="E466" s="4"/>
      <c r="I466" s="135"/>
      <c r="J466" s="135"/>
      <c r="K466" s="135"/>
      <c r="L466" s="135"/>
    </row>
    <row r="467" spans="2:12" ht="12" customHeight="1" x14ac:dyDescent="0.15">
      <c r="B467" s="2"/>
      <c r="C467" s="4"/>
      <c r="D467" s="4"/>
      <c r="E467" s="4"/>
      <c r="I467" s="135"/>
      <c r="J467" s="135"/>
      <c r="K467" s="135"/>
      <c r="L467" s="135"/>
    </row>
    <row r="468" spans="2:12" ht="12" customHeight="1" x14ac:dyDescent="0.15">
      <c r="B468" s="2"/>
      <c r="C468" s="4"/>
      <c r="D468" s="4"/>
      <c r="E468" s="4"/>
      <c r="I468" s="135"/>
      <c r="J468" s="135"/>
      <c r="K468" s="135"/>
      <c r="L468" s="135"/>
    </row>
    <row r="469" spans="2:12" ht="12" customHeight="1" x14ac:dyDescent="0.15">
      <c r="B469" s="2"/>
      <c r="C469" s="4"/>
      <c r="D469" s="4"/>
      <c r="E469" s="4"/>
      <c r="I469" s="135"/>
      <c r="J469" s="135"/>
      <c r="K469" s="135"/>
      <c r="L469" s="135"/>
    </row>
    <row r="470" spans="2:12" ht="12" customHeight="1" x14ac:dyDescent="0.15">
      <c r="B470" s="2"/>
      <c r="C470" s="4"/>
      <c r="D470" s="4"/>
      <c r="E470" s="4"/>
      <c r="I470" s="135"/>
      <c r="J470" s="135"/>
      <c r="K470" s="135"/>
      <c r="L470" s="135"/>
    </row>
    <row r="471" spans="2:12" ht="12" customHeight="1" x14ac:dyDescent="0.15">
      <c r="B471" s="2"/>
      <c r="C471" s="4"/>
      <c r="D471" s="4"/>
      <c r="E471" s="4"/>
      <c r="I471" s="135"/>
      <c r="J471" s="135"/>
      <c r="K471" s="135"/>
      <c r="L471" s="135"/>
    </row>
    <row r="472" spans="2:12" ht="12" customHeight="1" x14ac:dyDescent="0.15">
      <c r="B472" s="2"/>
      <c r="C472" s="4"/>
      <c r="D472" s="4"/>
      <c r="E472" s="4"/>
      <c r="I472" s="135"/>
      <c r="J472" s="135"/>
      <c r="K472" s="135"/>
      <c r="L472" s="135"/>
    </row>
    <row r="473" spans="2:12" ht="12" customHeight="1" x14ac:dyDescent="0.15">
      <c r="B473" s="2"/>
      <c r="C473" s="4"/>
      <c r="D473" s="4"/>
      <c r="E473" s="4"/>
      <c r="I473" s="135"/>
      <c r="J473" s="135"/>
      <c r="K473" s="135"/>
      <c r="L473" s="135"/>
    </row>
    <row r="474" spans="2:12" ht="12" customHeight="1" x14ac:dyDescent="0.15">
      <c r="B474" s="2"/>
      <c r="C474" s="4"/>
      <c r="D474" s="4"/>
      <c r="E474" s="4"/>
      <c r="I474" s="135"/>
      <c r="J474" s="135"/>
      <c r="K474" s="135"/>
      <c r="L474" s="135"/>
    </row>
    <row r="475" spans="2:12" ht="12" customHeight="1" x14ac:dyDescent="0.15">
      <c r="B475" s="2"/>
      <c r="C475" s="4"/>
      <c r="D475" s="4"/>
      <c r="E475" s="4"/>
      <c r="I475" s="135"/>
      <c r="J475" s="135"/>
      <c r="K475" s="135"/>
      <c r="L475" s="135"/>
    </row>
    <row r="476" spans="2:12" ht="12" customHeight="1" x14ac:dyDescent="0.15">
      <c r="B476" s="2"/>
      <c r="C476" s="4"/>
      <c r="D476" s="4"/>
      <c r="E476" s="4"/>
      <c r="I476" s="135"/>
      <c r="J476" s="135"/>
      <c r="K476" s="135"/>
      <c r="L476" s="135"/>
    </row>
    <row r="477" spans="2:12" ht="12" customHeight="1" x14ac:dyDescent="0.15">
      <c r="B477" s="2"/>
      <c r="C477" s="4"/>
      <c r="D477" s="4"/>
      <c r="E477" s="4"/>
      <c r="I477" s="135"/>
      <c r="J477" s="135"/>
      <c r="K477" s="135"/>
      <c r="L477" s="135"/>
    </row>
    <row r="478" spans="2:12" ht="12" customHeight="1" x14ac:dyDescent="0.15">
      <c r="B478" s="2"/>
      <c r="C478" s="4"/>
      <c r="D478" s="4"/>
      <c r="E478" s="4"/>
      <c r="I478" s="135"/>
      <c r="J478" s="135"/>
      <c r="K478" s="135"/>
      <c r="L478" s="135"/>
    </row>
    <row r="479" spans="2:12" ht="12" customHeight="1" x14ac:dyDescent="0.15">
      <c r="B479" s="2"/>
      <c r="C479" s="4"/>
      <c r="D479" s="4"/>
      <c r="E479" s="4"/>
      <c r="I479" s="135"/>
      <c r="J479" s="135"/>
      <c r="K479" s="135"/>
      <c r="L479" s="135"/>
    </row>
    <row r="480" spans="2:12" ht="12" customHeight="1" x14ac:dyDescent="0.15">
      <c r="B480" s="2"/>
      <c r="C480" s="4"/>
      <c r="D480" s="4"/>
      <c r="E480" s="4"/>
      <c r="I480" s="135"/>
      <c r="J480" s="135"/>
      <c r="K480" s="135"/>
      <c r="L480" s="135"/>
    </row>
    <row r="481" spans="2:12" ht="12" customHeight="1" x14ac:dyDescent="0.15">
      <c r="B481" s="2"/>
      <c r="C481" s="4"/>
      <c r="D481" s="4"/>
      <c r="E481" s="4"/>
      <c r="I481" s="135"/>
      <c r="J481" s="135"/>
      <c r="K481" s="135"/>
      <c r="L481" s="135"/>
    </row>
    <row r="482" spans="2:12" ht="12" customHeight="1" x14ac:dyDescent="0.15">
      <c r="B482" s="2"/>
      <c r="C482" s="4"/>
      <c r="D482" s="4"/>
      <c r="E482" s="4"/>
      <c r="I482" s="135"/>
      <c r="J482" s="135"/>
      <c r="K482" s="135"/>
      <c r="L482" s="135"/>
    </row>
    <row r="483" spans="2:12" ht="12" customHeight="1" x14ac:dyDescent="0.15">
      <c r="B483" s="2"/>
      <c r="C483" s="4"/>
      <c r="D483" s="4"/>
      <c r="E483" s="4"/>
      <c r="I483" s="135"/>
      <c r="J483" s="135"/>
      <c r="K483" s="135"/>
      <c r="L483" s="135"/>
    </row>
    <row r="484" spans="2:12" ht="12" customHeight="1" x14ac:dyDescent="0.15">
      <c r="B484" s="2"/>
      <c r="C484" s="4"/>
      <c r="D484" s="4"/>
      <c r="E484" s="4"/>
      <c r="I484" s="135"/>
      <c r="J484" s="135"/>
      <c r="K484" s="135"/>
      <c r="L484" s="135"/>
    </row>
    <row r="485" spans="2:12" ht="12" customHeight="1" x14ac:dyDescent="0.15">
      <c r="B485" s="2"/>
      <c r="C485" s="4"/>
      <c r="D485" s="4"/>
      <c r="E485" s="4"/>
      <c r="I485" s="135"/>
      <c r="J485" s="135"/>
      <c r="K485" s="135"/>
      <c r="L485" s="135"/>
    </row>
    <row r="486" spans="2:12" ht="12" customHeight="1" x14ac:dyDescent="0.15">
      <c r="B486" s="2"/>
      <c r="C486" s="4"/>
      <c r="D486" s="4"/>
      <c r="E486" s="4"/>
      <c r="I486" s="135"/>
      <c r="J486" s="135"/>
      <c r="K486" s="135"/>
      <c r="L486" s="135"/>
    </row>
    <row r="487" spans="2:12" ht="12" customHeight="1" x14ac:dyDescent="0.15">
      <c r="B487" s="2"/>
      <c r="C487" s="4"/>
      <c r="D487" s="4"/>
      <c r="E487" s="4"/>
      <c r="I487" s="135"/>
      <c r="J487" s="135"/>
      <c r="K487" s="135"/>
      <c r="L487" s="135"/>
    </row>
    <row r="488" spans="2:12" ht="12" customHeight="1" x14ac:dyDescent="0.15">
      <c r="B488" s="2"/>
      <c r="C488" s="4"/>
      <c r="D488" s="4"/>
      <c r="E488" s="4"/>
      <c r="I488" s="135"/>
      <c r="J488" s="135"/>
      <c r="K488" s="135"/>
      <c r="L488" s="135"/>
    </row>
    <row r="489" spans="2:12" ht="12" customHeight="1" x14ac:dyDescent="0.15">
      <c r="B489" s="2"/>
      <c r="C489" s="4"/>
      <c r="D489" s="4"/>
      <c r="E489" s="4"/>
      <c r="I489" s="135"/>
      <c r="J489" s="135"/>
      <c r="K489" s="135"/>
      <c r="L489" s="135"/>
    </row>
    <row r="490" spans="2:12" ht="12" customHeight="1" x14ac:dyDescent="0.15">
      <c r="B490" s="2"/>
      <c r="C490" s="4"/>
      <c r="D490" s="4"/>
      <c r="E490" s="4"/>
      <c r="I490" s="135"/>
      <c r="J490" s="135"/>
      <c r="K490" s="135"/>
      <c r="L490" s="135"/>
    </row>
    <row r="491" spans="2:12" ht="12" customHeight="1" x14ac:dyDescent="0.15">
      <c r="B491" s="2"/>
      <c r="C491" s="4"/>
      <c r="D491" s="4"/>
      <c r="E491" s="4"/>
      <c r="I491" s="135"/>
      <c r="J491" s="135"/>
      <c r="K491" s="135"/>
      <c r="L491" s="135"/>
    </row>
    <row r="492" spans="2:12" ht="12" customHeight="1" x14ac:dyDescent="0.15">
      <c r="B492" s="2"/>
      <c r="C492" s="4"/>
      <c r="D492" s="4"/>
      <c r="E492" s="4"/>
      <c r="I492" s="135"/>
      <c r="J492" s="135"/>
      <c r="K492" s="135"/>
      <c r="L492" s="135"/>
    </row>
    <row r="493" spans="2:12" ht="12" customHeight="1" x14ac:dyDescent="0.15">
      <c r="B493" s="2"/>
      <c r="C493" s="4"/>
      <c r="D493" s="4"/>
      <c r="E493" s="4"/>
      <c r="I493" s="135"/>
      <c r="J493" s="135"/>
      <c r="K493" s="135"/>
      <c r="L493" s="135"/>
    </row>
    <row r="494" spans="2:12" ht="12" customHeight="1" x14ac:dyDescent="0.15">
      <c r="B494" s="2"/>
      <c r="C494" s="4"/>
      <c r="D494" s="4"/>
      <c r="E494" s="4"/>
      <c r="I494" s="135"/>
      <c r="J494" s="135"/>
      <c r="K494" s="135"/>
      <c r="L494" s="135"/>
    </row>
    <row r="495" spans="2:12" ht="12" customHeight="1" x14ac:dyDescent="0.15">
      <c r="B495" s="2"/>
      <c r="C495" s="4"/>
      <c r="D495" s="4"/>
      <c r="E495" s="4"/>
      <c r="I495" s="135"/>
      <c r="J495" s="135"/>
      <c r="K495" s="135"/>
      <c r="L495" s="135"/>
    </row>
    <row r="496" spans="2:12" ht="12" customHeight="1" x14ac:dyDescent="0.15">
      <c r="B496" s="2"/>
      <c r="C496" s="4"/>
      <c r="D496" s="4"/>
      <c r="E496" s="4"/>
      <c r="I496" s="135"/>
      <c r="J496" s="135"/>
      <c r="K496" s="135"/>
      <c r="L496" s="135"/>
    </row>
    <row r="497" spans="2:12" ht="12" customHeight="1" x14ac:dyDescent="0.15">
      <c r="B497" s="2"/>
      <c r="C497" s="4"/>
      <c r="D497" s="4"/>
      <c r="E497" s="4"/>
      <c r="I497" s="135"/>
      <c r="J497" s="135"/>
      <c r="K497" s="135"/>
      <c r="L497" s="135"/>
    </row>
    <row r="498" spans="2:12" ht="12" customHeight="1" x14ac:dyDescent="0.15">
      <c r="B498" s="2"/>
      <c r="C498" s="4"/>
      <c r="D498" s="4"/>
      <c r="E498" s="4"/>
      <c r="I498" s="135"/>
      <c r="J498" s="135"/>
      <c r="K498" s="135"/>
      <c r="L498" s="135"/>
    </row>
    <row r="499" spans="2:12" ht="12" customHeight="1" x14ac:dyDescent="0.15">
      <c r="B499" s="2"/>
      <c r="C499" s="4"/>
      <c r="D499" s="4"/>
      <c r="E499" s="4"/>
      <c r="I499" s="135"/>
      <c r="J499" s="135"/>
      <c r="K499" s="135"/>
      <c r="L499" s="135"/>
    </row>
    <row r="500" spans="2:12" ht="12" customHeight="1" x14ac:dyDescent="0.15">
      <c r="B500" s="2"/>
      <c r="C500" s="4"/>
      <c r="D500" s="4"/>
      <c r="E500" s="4"/>
      <c r="I500" s="135"/>
      <c r="J500" s="135"/>
      <c r="K500" s="135"/>
      <c r="L500" s="135"/>
    </row>
    <row r="501" spans="2:12" ht="12" customHeight="1" x14ac:dyDescent="0.15">
      <c r="B501" s="2"/>
      <c r="C501" s="4"/>
      <c r="D501" s="4"/>
      <c r="E501" s="4"/>
      <c r="I501" s="135"/>
      <c r="J501" s="135"/>
      <c r="K501" s="135"/>
      <c r="L501" s="135"/>
    </row>
    <row r="502" spans="2:12" ht="12" customHeight="1" x14ac:dyDescent="0.15">
      <c r="B502" s="2"/>
      <c r="C502" s="4"/>
      <c r="D502" s="4"/>
      <c r="E502" s="4"/>
      <c r="I502" s="135"/>
      <c r="J502" s="135"/>
      <c r="K502" s="135"/>
      <c r="L502" s="135"/>
    </row>
    <row r="503" spans="2:12" ht="12" customHeight="1" x14ac:dyDescent="0.15">
      <c r="B503" s="2"/>
      <c r="C503" s="4"/>
      <c r="D503" s="4"/>
      <c r="E503" s="4"/>
      <c r="I503" s="135"/>
      <c r="J503" s="135"/>
      <c r="K503" s="135"/>
      <c r="L503" s="135"/>
    </row>
    <row r="504" spans="2:12" ht="12" customHeight="1" x14ac:dyDescent="0.15">
      <c r="B504" s="2"/>
      <c r="C504" s="4"/>
      <c r="D504" s="4"/>
      <c r="E504" s="4"/>
      <c r="I504" s="135"/>
      <c r="J504" s="135"/>
      <c r="K504" s="135"/>
      <c r="L504" s="135"/>
    </row>
    <row r="505" spans="2:12" ht="12" customHeight="1" x14ac:dyDescent="0.15">
      <c r="B505" s="2"/>
      <c r="C505" s="4"/>
      <c r="D505" s="4"/>
      <c r="E505" s="4"/>
      <c r="I505" s="135"/>
      <c r="J505" s="135"/>
      <c r="K505" s="135"/>
      <c r="L505" s="135"/>
    </row>
    <row r="506" spans="2:12" ht="12" customHeight="1" x14ac:dyDescent="0.15">
      <c r="B506" s="2"/>
      <c r="C506" s="4"/>
      <c r="D506" s="4"/>
      <c r="E506" s="4"/>
      <c r="I506" s="135"/>
      <c r="J506" s="135"/>
      <c r="K506" s="135"/>
      <c r="L506" s="135"/>
    </row>
    <row r="507" spans="2:12" ht="12" customHeight="1" x14ac:dyDescent="0.15">
      <c r="B507" s="2"/>
      <c r="C507" s="4"/>
      <c r="D507" s="4"/>
      <c r="E507" s="4"/>
      <c r="I507" s="135"/>
      <c r="J507" s="135"/>
      <c r="K507" s="135"/>
      <c r="L507" s="135"/>
    </row>
    <row r="508" spans="2:12" ht="12" customHeight="1" x14ac:dyDescent="0.15">
      <c r="B508" s="2"/>
      <c r="C508" s="4"/>
      <c r="D508" s="4"/>
      <c r="E508" s="4"/>
      <c r="I508" s="135"/>
      <c r="J508" s="135"/>
      <c r="K508" s="135"/>
      <c r="L508" s="135"/>
    </row>
    <row r="509" spans="2:12" ht="12" customHeight="1" x14ac:dyDescent="0.15">
      <c r="B509" s="2"/>
      <c r="C509" s="4"/>
      <c r="D509" s="4"/>
      <c r="E509" s="4"/>
      <c r="I509" s="135"/>
      <c r="J509" s="135"/>
      <c r="K509" s="135"/>
      <c r="L509" s="135"/>
    </row>
    <row r="510" spans="2:12" ht="12" customHeight="1" x14ac:dyDescent="0.15">
      <c r="B510" s="2"/>
      <c r="C510" s="4"/>
      <c r="D510" s="4"/>
      <c r="E510" s="4"/>
      <c r="I510" s="135"/>
      <c r="J510" s="135"/>
      <c r="K510" s="135"/>
      <c r="L510" s="135"/>
    </row>
    <row r="511" spans="2:12" ht="12" customHeight="1" x14ac:dyDescent="0.15">
      <c r="B511" s="2"/>
      <c r="C511" s="4"/>
      <c r="D511" s="4"/>
      <c r="E511" s="4"/>
      <c r="I511" s="135"/>
      <c r="J511" s="135"/>
      <c r="K511" s="135"/>
      <c r="L511" s="135"/>
    </row>
    <row r="512" spans="2:12" ht="12" customHeight="1" x14ac:dyDescent="0.15">
      <c r="B512" s="2"/>
      <c r="C512" s="4"/>
      <c r="D512" s="4"/>
      <c r="E512" s="4"/>
      <c r="I512" s="135"/>
      <c r="J512" s="135"/>
      <c r="K512" s="135"/>
      <c r="L512" s="135"/>
    </row>
    <row r="513" spans="2:12" ht="12" customHeight="1" x14ac:dyDescent="0.15">
      <c r="B513" s="2"/>
      <c r="C513" s="4"/>
      <c r="D513" s="4"/>
      <c r="E513" s="4"/>
      <c r="I513" s="135"/>
      <c r="J513" s="135"/>
      <c r="K513" s="135"/>
      <c r="L513" s="135"/>
    </row>
    <row r="514" spans="2:12" ht="12" customHeight="1" x14ac:dyDescent="0.15">
      <c r="B514" s="2"/>
      <c r="C514" s="4"/>
      <c r="D514" s="4"/>
      <c r="E514" s="4"/>
      <c r="I514" s="135"/>
      <c r="J514" s="135"/>
      <c r="K514" s="135"/>
      <c r="L514" s="135"/>
    </row>
    <row r="515" spans="2:12" ht="12" customHeight="1" x14ac:dyDescent="0.15">
      <c r="B515" s="2"/>
      <c r="C515" s="4"/>
      <c r="D515" s="4"/>
      <c r="E515" s="4"/>
      <c r="I515" s="135"/>
      <c r="J515" s="135"/>
      <c r="K515" s="135"/>
      <c r="L515" s="135"/>
    </row>
    <row r="516" spans="2:12" ht="12" customHeight="1" x14ac:dyDescent="0.15">
      <c r="B516" s="2"/>
      <c r="C516" s="4"/>
      <c r="D516" s="4"/>
      <c r="E516" s="4"/>
      <c r="I516" s="135"/>
      <c r="J516" s="135"/>
      <c r="K516" s="135"/>
      <c r="L516" s="135"/>
    </row>
    <row r="517" spans="2:12" ht="12" customHeight="1" x14ac:dyDescent="0.15">
      <c r="B517" s="2"/>
      <c r="C517" s="4"/>
      <c r="D517" s="4"/>
      <c r="E517" s="4"/>
      <c r="I517" s="135"/>
      <c r="J517" s="135"/>
      <c r="K517" s="135"/>
      <c r="L517" s="135"/>
    </row>
    <row r="518" spans="2:12" ht="12" customHeight="1" x14ac:dyDescent="0.15">
      <c r="B518" s="2"/>
      <c r="C518" s="4"/>
      <c r="D518" s="4"/>
      <c r="E518" s="4"/>
      <c r="I518" s="135"/>
      <c r="J518" s="135"/>
      <c r="K518" s="135"/>
      <c r="L518" s="135"/>
    </row>
    <row r="519" spans="2:12" ht="12" customHeight="1" x14ac:dyDescent="0.15">
      <c r="B519" s="2"/>
      <c r="C519" s="4"/>
      <c r="D519" s="4"/>
      <c r="E519" s="4"/>
      <c r="I519" s="135"/>
      <c r="J519" s="135"/>
      <c r="K519" s="135"/>
      <c r="L519" s="135"/>
    </row>
    <row r="520" spans="2:12" ht="12" customHeight="1" x14ac:dyDescent="0.15">
      <c r="B520" s="2"/>
      <c r="C520" s="4"/>
      <c r="D520" s="4"/>
      <c r="E520" s="4"/>
      <c r="I520" s="135"/>
      <c r="J520" s="135"/>
      <c r="K520" s="135"/>
      <c r="L520" s="135"/>
    </row>
    <row r="521" spans="2:12" ht="12" customHeight="1" x14ac:dyDescent="0.15">
      <c r="B521" s="2"/>
      <c r="C521" s="4"/>
      <c r="D521" s="4"/>
      <c r="E521" s="4"/>
      <c r="I521" s="135"/>
      <c r="J521" s="135"/>
      <c r="K521" s="135"/>
      <c r="L521" s="135"/>
    </row>
    <row r="522" spans="2:12" ht="12" customHeight="1" x14ac:dyDescent="0.15">
      <c r="B522" s="2"/>
      <c r="C522" s="4"/>
      <c r="D522" s="4"/>
      <c r="E522" s="4"/>
      <c r="I522" s="135"/>
      <c r="J522" s="135"/>
      <c r="K522" s="135"/>
      <c r="L522" s="135"/>
    </row>
    <row r="523" spans="2:12" ht="12" customHeight="1" x14ac:dyDescent="0.15">
      <c r="B523" s="2"/>
      <c r="C523" s="4"/>
      <c r="D523" s="4"/>
      <c r="E523" s="4"/>
      <c r="I523" s="135"/>
      <c r="J523" s="135"/>
      <c r="K523" s="135"/>
      <c r="L523" s="135"/>
    </row>
    <row r="524" spans="2:12" ht="12" customHeight="1" x14ac:dyDescent="0.15">
      <c r="B524" s="2"/>
      <c r="C524" s="4"/>
      <c r="D524" s="4"/>
      <c r="E524" s="4"/>
      <c r="I524" s="135"/>
      <c r="J524" s="135"/>
      <c r="K524" s="135"/>
      <c r="L524" s="135"/>
    </row>
    <row r="525" spans="2:12" ht="12" customHeight="1" x14ac:dyDescent="0.15">
      <c r="B525" s="2"/>
      <c r="C525" s="4"/>
      <c r="D525" s="4"/>
      <c r="E525" s="4"/>
      <c r="I525" s="135"/>
      <c r="J525" s="135"/>
      <c r="K525" s="135"/>
      <c r="L525" s="135"/>
    </row>
    <row r="526" spans="2:12" ht="12" customHeight="1" x14ac:dyDescent="0.15">
      <c r="B526" s="2"/>
      <c r="C526" s="4"/>
      <c r="D526" s="4"/>
      <c r="E526" s="4"/>
      <c r="I526" s="135"/>
      <c r="J526" s="135"/>
      <c r="K526" s="135"/>
      <c r="L526" s="135"/>
    </row>
    <row r="527" spans="2:12" ht="12" customHeight="1" x14ac:dyDescent="0.15">
      <c r="B527" s="2"/>
      <c r="C527" s="4"/>
      <c r="D527" s="4"/>
      <c r="E527" s="4"/>
      <c r="I527" s="135"/>
      <c r="J527" s="135"/>
      <c r="K527" s="135"/>
      <c r="L527" s="135"/>
    </row>
    <row r="528" spans="2:12" ht="12" customHeight="1" x14ac:dyDescent="0.15">
      <c r="B528" s="2"/>
      <c r="C528" s="4"/>
      <c r="D528" s="4"/>
      <c r="E528" s="4"/>
      <c r="I528" s="135"/>
      <c r="J528" s="135"/>
      <c r="K528" s="135"/>
      <c r="L528" s="135"/>
    </row>
    <row r="529" spans="2:12" ht="12" customHeight="1" x14ac:dyDescent="0.15">
      <c r="B529" s="2"/>
      <c r="C529" s="4"/>
      <c r="D529" s="4"/>
      <c r="E529" s="4"/>
      <c r="I529" s="135"/>
      <c r="J529" s="135"/>
      <c r="K529" s="135"/>
      <c r="L529" s="135"/>
    </row>
    <row r="530" spans="2:12" ht="12" customHeight="1" x14ac:dyDescent="0.15">
      <c r="B530" s="2"/>
      <c r="C530" s="4"/>
      <c r="D530" s="4"/>
      <c r="E530" s="4"/>
      <c r="I530" s="135"/>
      <c r="J530" s="135"/>
      <c r="K530" s="135"/>
      <c r="L530" s="135"/>
    </row>
    <row r="531" spans="2:12" ht="12" customHeight="1" x14ac:dyDescent="0.15">
      <c r="B531" s="2"/>
      <c r="C531" s="4"/>
      <c r="D531" s="4"/>
      <c r="E531" s="4"/>
      <c r="I531" s="135"/>
      <c r="J531" s="135"/>
      <c r="K531" s="135"/>
      <c r="L531" s="135"/>
    </row>
    <row r="532" spans="2:12" ht="12" customHeight="1" x14ac:dyDescent="0.15">
      <c r="B532" s="2"/>
      <c r="C532" s="4"/>
      <c r="D532" s="4"/>
      <c r="E532" s="4"/>
      <c r="I532" s="135"/>
      <c r="J532" s="135"/>
      <c r="K532" s="135"/>
      <c r="L532" s="135"/>
    </row>
    <row r="533" spans="2:12" ht="12" customHeight="1" x14ac:dyDescent="0.15">
      <c r="B533" s="2"/>
      <c r="C533" s="4"/>
      <c r="D533" s="4"/>
      <c r="E533" s="4"/>
      <c r="I533" s="135"/>
      <c r="J533" s="135"/>
      <c r="K533" s="135"/>
      <c r="L533" s="135"/>
    </row>
    <row r="534" spans="2:12" ht="12" customHeight="1" x14ac:dyDescent="0.15">
      <c r="B534" s="2"/>
      <c r="C534" s="4"/>
      <c r="D534" s="4"/>
      <c r="E534" s="4"/>
      <c r="I534" s="135"/>
      <c r="J534" s="135"/>
      <c r="K534" s="135"/>
      <c r="L534" s="135"/>
    </row>
    <row r="535" spans="2:12" ht="12" customHeight="1" x14ac:dyDescent="0.15">
      <c r="B535" s="2"/>
      <c r="C535" s="4"/>
      <c r="D535" s="4"/>
      <c r="E535" s="4"/>
      <c r="I535" s="135"/>
      <c r="J535" s="135"/>
      <c r="K535" s="135"/>
      <c r="L535" s="135"/>
    </row>
    <row r="536" spans="2:12" ht="12" customHeight="1" x14ac:dyDescent="0.15">
      <c r="B536" s="2"/>
      <c r="C536" s="4"/>
      <c r="D536" s="4"/>
      <c r="E536" s="4"/>
      <c r="I536" s="135"/>
      <c r="J536" s="135"/>
      <c r="K536" s="135"/>
      <c r="L536" s="135"/>
    </row>
    <row r="537" spans="2:12" ht="12" customHeight="1" x14ac:dyDescent="0.15">
      <c r="B537" s="2"/>
      <c r="C537" s="4"/>
      <c r="D537" s="4"/>
      <c r="E537" s="4"/>
      <c r="I537" s="135"/>
      <c r="J537" s="135"/>
      <c r="K537" s="135"/>
      <c r="L537" s="135"/>
    </row>
    <row r="538" spans="2:12" ht="12" customHeight="1" x14ac:dyDescent="0.15">
      <c r="B538" s="2"/>
      <c r="C538" s="4"/>
      <c r="D538" s="4"/>
      <c r="E538" s="4"/>
      <c r="I538" s="135"/>
      <c r="J538" s="135"/>
      <c r="K538" s="135"/>
      <c r="L538" s="135"/>
    </row>
    <row r="539" spans="2:12" ht="12" customHeight="1" x14ac:dyDescent="0.15">
      <c r="B539" s="2"/>
      <c r="C539" s="4"/>
      <c r="D539" s="4"/>
      <c r="E539" s="4"/>
      <c r="I539" s="135"/>
      <c r="J539" s="135"/>
      <c r="K539" s="135"/>
      <c r="L539" s="135"/>
    </row>
    <row r="540" spans="2:12" ht="12" customHeight="1" x14ac:dyDescent="0.15">
      <c r="B540" s="2"/>
      <c r="C540" s="4"/>
      <c r="D540" s="4"/>
      <c r="E540" s="4"/>
      <c r="I540" s="135"/>
      <c r="J540" s="135"/>
      <c r="K540" s="135"/>
      <c r="L540" s="135"/>
    </row>
    <row r="541" spans="2:12" ht="12" customHeight="1" x14ac:dyDescent="0.15">
      <c r="B541" s="2"/>
      <c r="C541" s="4"/>
      <c r="D541" s="4"/>
      <c r="E541" s="4"/>
      <c r="I541" s="135"/>
      <c r="J541" s="135"/>
      <c r="K541" s="135"/>
      <c r="L541" s="135"/>
    </row>
    <row r="542" spans="2:12" ht="12" customHeight="1" x14ac:dyDescent="0.15">
      <c r="B542" s="2"/>
      <c r="C542" s="4"/>
      <c r="D542" s="4"/>
      <c r="E542" s="4"/>
      <c r="I542" s="135"/>
      <c r="J542" s="135"/>
      <c r="K542" s="135"/>
      <c r="L542" s="135"/>
    </row>
    <row r="543" spans="2:12" ht="12" customHeight="1" x14ac:dyDescent="0.15">
      <c r="B543" s="2"/>
      <c r="C543" s="4"/>
      <c r="D543" s="4"/>
      <c r="E543" s="4"/>
      <c r="I543" s="135"/>
      <c r="J543" s="135"/>
      <c r="K543" s="135"/>
      <c r="L543" s="135"/>
    </row>
    <row r="544" spans="2:12" ht="12" customHeight="1" x14ac:dyDescent="0.15">
      <c r="B544" s="2"/>
      <c r="C544" s="4"/>
      <c r="D544" s="4"/>
      <c r="E544" s="4"/>
      <c r="I544" s="135"/>
      <c r="J544" s="135"/>
      <c r="K544" s="135"/>
      <c r="L544" s="135"/>
    </row>
    <row r="545" spans="2:12" ht="12" customHeight="1" x14ac:dyDescent="0.15">
      <c r="B545" s="2"/>
      <c r="C545" s="4"/>
      <c r="D545" s="4"/>
      <c r="E545" s="4"/>
      <c r="I545" s="135"/>
      <c r="J545" s="135"/>
      <c r="K545" s="135"/>
      <c r="L545" s="135"/>
    </row>
    <row r="546" spans="2:12" ht="12" customHeight="1" x14ac:dyDescent="0.15">
      <c r="B546" s="2"/>
      <c r="C546" s="4"/>
      <c r="D546" s="4"/>
      <c r="E546" s="4"/>
      <c r="I546" s="135"/>
      <c r="J546" s="135"/>
      <c r="K546" s="135"/>
      <c r="L546" s="135"/>
    </row>
    <row r="547" spans="2:12" ht="12" customHeight="1" x14ac:dyDescent="0.15">
      <c r="B547" s="2"/>
      <c r="C547" s="4"/>
      <c r="D547" s="4"/>
      <c r="E547" s="4"/>
      <c r="I547" s="135"/>
      <c r="J547" s="135"/>
      <c r="K547" s="135"/>
      <c r="L547" s="135"/>
    </row>
    <row r="548" spans="2:12" ht="12" customHeight="1" x14ac:dyDescent="0.15">
      <c r="B548" s="2"/>
      <c r="C548" s="4"/>
      <c r="D548" s="4"/>
      <c r="E548" s="4"/>
      <c r="I548" s="135"/>
      <c r="J548" s="135"/>
      <c r="K548" s="135"/>
      <c r="L548" s="135"/>
    </row>
    <row r="549" spans="2:12" ht="12" customHeight="1" x14ac:dyDescent="0.15">
      <c r="B549" s="2"/>
      <c r="C549" s="4"/>
      <c r="D549" s="4"/>
      <c r="E549" s="4"/>
      <c r="I549" s="135"/>
      <c r="J549" s="135"/>
      <c r="K549" s="135"/>
      <c r="L549" s="135"/>
    </row>
    <row r="550" spans="2:12" ht="12" customHeight="1" x14ac:dyDescent="0.15">
      <c r="B550" s="2"/>
      <c r="C550" s="4"/>
      <c r="D550" s="4"/>
      <c r="E550" s="4"/>
      <c r="I550" s="135"/>
      <c r="J550" s="135"/>
      <c r="K550" s="135"/>
      <c r="L550" s="135"/>
    </row>
    <row r="551" spans="2:12" ht="12" customHeight="1" x14ac:dyDescent="0.15">
      <c r="B551" s="2"/>
      <c r="C551" s="4"/>
      <c r="D551" s="4"/>
      <c r="E551" s="4"/>
      <c r="I551" s="135"/>
      <c r="J551" s="135"/>
      <c r="K551" s="135"/>
      <c r="L551" s="135"/>
    </row>
    <row r="552" spans="2:12" ht="12" customHeight="1" x14ac:dyDescent="0.15">
      <c r="B552" s="2"/>
      <c r="C552" s="4"/>
      <c r="D552" s="4"/>
      <c r="E552" s="4"/>
      <c r="I552" s="135"/>
      <c r="J552" s="135"/>
      <c r="K552" s="135"/>
      <c r="L552" s="135"/>
    </row>
    <row r="553" spans="2:12" ht="12" customHeight="1" x14ac:dyDescent="0.15">
      <c r="B553" s="2"/>
      <c r="C553" s="4"/>
      <c r="D553" s="4"/>
      <c r="E553" s="4"/>
      <c r="I553" s="135"/>
      <c r="J553" s="135"/>
      <c r="K553" s="135"/>
      <c r="L553" s="135"/>
    </row>
    <row r="554" spans="2:12" ht="12" customHeight="1" x14ac:dyDescent="0.15">
      <c r="B554" s="2"/>
      <c r="C554" s="4"/>
      <c r="D554" s="4"/>
      <c r="E554" s="4"/>
      <c r="I554" s="135"/>
      <c r="J554" s="135"/>
      <c r="K554" s="135"/>
      <c r="L554" s="135"/>
    </row>
    <row r="555" spans="2:12" ht="12" customHeight="1" x14ac:dyDescent="0.15">
      <c r="B555" s="2"/>
      <c r="C555" s="4"/>
      <c r="D555" s="4"/>
      <c r="E555" s="4"/>
      <c r="I555" s="135"/>
      <c r="J555" s="135"/>
      <c r="K555" s="135"/>
      <c r="L555" s="135"/>
    </row>
    <row r="556" spans="2:12" ht="12" customHeight="1" x14ac:dyDescent="0.15">
      <c r="B556" s="2"/>
      <c r="C556" s="4"/>
      <c r="D556" s="4"/>
      <c r="E556" s="4"/>
      <c r="I556" s="135"/>
      <c r="J556" s="135"/>
      <c r="K556" s="135"/>
      <c r="L556" s="135"/>
    </row>
    <row r="557" spans="2:12" ht="12" customHeight="1" x14ac:dyDescent="0.15">
      <c r="B557" s="2"/>
      <c r="C557" s="4"/>
      <c r="D557" s="4"/>
      <c r="E557" s="4"/>
      <c r="I557" s="135"/>
      <c r="J557" s="135"/>
      <c r="K557" s="135"/>
      <c r="L557" s="135"/>
    </row>
    <row r="558" spans="2:12" ht="12" customHeight="1" x14ac:dyDescent="0.15">
      <c r="B558" s="2"/>
      <c r="C558" s="4"/>
      <c r="D558" s="4"/>
      <c r="E558" s="4"/>
      <c r="I558" s="135"/>
      <c r="J558" s="135"/>
      <c r="K558" s="135"/>
      <c r="L558" s="135"/>
    </row>
    <row r="559" spans="2:12" ht="12" customHeight="1" x14ac:dyDescent="0.15">
      <c r="B559" s="2"/>
      <c r="C559" s="4"/>
      <c r="D559" s="4"/>
      <c r="E559" s="4"/>
      <c r="I559" s="135"/>
      <c r="J559" s="135"/>
      <c r="K559" s="135"/>
      <c r="L559" s="135"/>
    </row>
    <row r="560" spans="2:12" ht="12" customHeight="1" x14ac:dyDescent="0.15">
      <c r="B560" s="2"/>
      <c r="C560" s="4"/>
      <c r="D560" s="4"/>
      <c r="E560" s="4"/>
      <c r="I560" s="135"/>
      <c r="J560" s="135"/>
      <c r="K560" s="135"/>
      <c r="L560" s="135"/>
    </row>
    <row r="561" spans="2:12" ht="12" customHeight="1" x14ac:dyDescent="0.15">
      <c r="B561" s="2"/>
      <c r="C561" s="4"/>
      <c r="D561" s="4"/>
      <c r="E561" s="4"/>
      <c r="I561" s="135"/>
      <c r="J561" s="135"/>
      <c r="K561" s="135"/>
      <c r="L561" s="135"/>
    </row>
    <row r="562" spans="2:12" ht="12" customHeight="1" x14ac:dyDescent="0.15">
      <c r="B562" s="2"/>
      <c r="C562" s="4"/>
      <c r="D562" s="4"/>
      <c r="E562" s="4"/>
      <c r="I562" s="135"/>
      <c r="J562" s="135"/>
      <c r="K562" s="135"/>
      <c r="L562" s="135"/>
    </row>
    <row r="563" spans="2:12" ht="12" customHeight="1" x14ac:dyDescent="0.15">
      <c r="B563" s="2"/>
      <c r="C563" s="4"/>
      <c r="D563" s="4"/>
      <c r="E563" s="4"/>
      <c r="I563" s="135"/>
      <c r="J563" s="135"/>
      <c r="K563" s="135"/>
      <c r="L563" s="135"/>
    </row>
    <row r="564" spans="2:12" ht="12" customHeight="1" x14ac:dyDescent="0.15">
      <c r="B564" s="2"/>
      <c r="C564" s="4"/>
      <c r="D564" s="4"/>
      <c r="E564" s="4"/>
      <c r="I564" s="135"/>
      <c r="J564" s="135"/>
      <c r="K564" s="135"/>
      <c r="L564" s="135"/>
    </row>
    <row r="565" spans="2:12" ht="12" customHeight="1" x14ac:dyDescent="0.15">
      <c r="B565" s="2"/>
      <c r="C565" s="4"/>
      <c r="D565" s="4"/>
      <c r="E565" s="4"/>
      <c r="I565" s="135"/>
      <c r="J565" s="135"/>
      <c r="K565" s="135"/>
      <c r="L565" s="135"/>
    </row>
    <row r="566" spans="2:12" ht="12" customHeight="1" x14ac:dyDescent="0.15">
      <c r="B566" s="2"/>
      <c r="C566" s="4"/>
      <c r="D566" s="4"/>
      <c r="E566" s="4"/>
      <c r="I566" s="135"/>
      <c r="J566" s="135"/>
      <c r="K566" s="135"/>
      <c r="L566" s="135"/>
    </row>
    <row r="567" spans="2:12" ht="12" customHeight="1" x14ac:dyDescent="0.15">
      <c r="B567" s="2"/>
      <c r="C567" s="4"/>
      <c r="D567" s="4"/>
      <c r="E567" s="4"/>
      <c r="I567" s="135"/>
      <c r="J567" s="135"/>
      <c r="K567" s="135"/>
      <c r="L567" s="135"/>
    </row>
    <row r="568" spans="2:12" ht="12" customHeight="1" x14ac:dyDescent="0.15">
      <c r="B568" s="2"/>
      <c r="C568" s="4"/>
      <c r="D568" s="4"/>
      <c r="E568" s="4"/>
      <c r="I568" s="135"/>
      <c r="J568" s="135"/>
      <c r="K568" s="135"/>
      <c r="L568" s="135"/>
    </row>
    <row r="569" spans="2:12" ht="12" customHeight="1" x14ac:dyDescent="0.15">
      <c r="B569" s="2"/>
      <c r="C569" s="4"/>
      <c r="D569" s="4"/>
      <c r="E569" s="4"/>
      <c r="I569" s="135"/>
      <c r="J569" s="135"/>
      <c r="K569" s="135"/>
      <c r="L569" s="135"/>
    </row>
    <row r="570" spans="2:12" ht="12" customHeight="1" x14ac:dyDescent="0.15">
      <c r="B570" s="2"/>
      <c r="C570" s="4"/>
      <c r="D570" s="4"/>
      <c r="E570" s="4"/>
      <c r="I570" s="135"/>
      <c r="J570" s="135"/>
      <c r="K570" s="135"/>
      <c r="L570" s="135"/>
    </row>
    <row r="571" spans="2:12" ht="12" customHeight="1" x14ac:dyDescent="0.15">
      <c r="B571" s="2"/>
      <c r="C571" s="4"/>
      <c r="D571" s="4"/>
      <c r="E571" s="4"/>
      <c r="I571" s="135"/>
      <c r="J571" s="135"/>
      <c r="K571" s="135"/>
      <c r="L571" s="135"/>
    </row>
    <row r="572" spans="2:12" ht="12" customHeight="1" x14ac:dyDescent="0.15">
      <c r="B572" s="2"/>
      <c r="C572" s="4"/>
      <c r="D572" s="4"/>
      <c r="E572" s="4"/>
      <c r="I572" s="135"/>
      <c r="J572" s="135"/>
      <c r="K572" s="135"/>
      <c r="L572" s="135"/>
    </row>
    <row r="573" spans="2:12" ht="12" customHeight="1" x14ac:dyDescent="0.15">
      <c r="B573" s="2"/>
      <c r="C573" s="4"/>
      <c r="D573" s="4"/>
      <c r="E573" s="4"/>
      <c r="I573" s="135"/>
      <c r="J573" s="135"/>
      <c r="K573" s="135"/>
      <c r="L573" s="135"/>
    </row>
    <row r="574" spans="2:12" ht="12" customHeight="1" x14ac:dyDescent="0.15">
      <c r="B574" s="2"/>
      <c r="C574" s="4"/>
      <c r="D574" s="4"/>
      <c r="E574" s="4"/>
      <c r="I574" s="135"/>
      <c r="J574" s="135"/>
      <c r="K574" s="135"/>
      <c r="L574" s="135"/>
    </row>
    <row r="575" spans="2:12" ht="12" customHeight="1" x14ac:dyDescent="0.15">
      <c r="B575" s="2"/>
      <c r="C575" s="4"/>
      <c r="D575" s="4"/>
      <c r="E575" s="4"/>
      <c r="I575" s="135"/>
      <c r="J575" s="135"/>
      <c r="K575" s="135"/>
      <c r="L575" s="135"/>
    </row>
    <row r="576" spans="2:12" ht="12" customHeight="1" x14ac:dyDescent="0.15">
      <c r="B576" s="2"/>
      <c r="C576" s="4"/>
      <c r="D576" s="4"/>
      <c r="E576" s="4"/>
      <c r="I576" s="135"/>
      <c r="J576" s="135"/>
      <c r="K576" s="135"/>
      <c r="L576" s="135"/>
    </row>
    <row r="577" spans="2:12" ht="12" customHeight="1" x14ac:dyDescent="0.15">
      <c r="B577" s="2"/>
      <c r="C577" s="4"/>
      <c r="D577" s="4"/>
      <c r="E577" s="4"/>
      <c r="I577" s="135"/>
      <c r="J577" s="135"/>
      <c r="K577" s="135"/>
      <c r="L577" s="135"/>
    </row>
    <row r="578" spans="2:12" ht="12" customHeight="1" x14ac:dyDescent="0.15">
      <c r="B578" s="2"/>
      <c r="C578" s="4"/>
      <c r="D578" s="4"/>
      <c r="E578" s="4"/>
      <c r="I578" s="135"/>
      <c r="J578" s="135"/>
      <c r="K578" s="135"/>
      <c r="L578" s="135"/>
    </row>
    <row r="579" spans="2:12" ht="12" customHeight="1" x14ac:dyDescent="0.15">
      <c r="B579" s="2"/>
      <c r="C579" s="4"/>
      <c r="D579" s="4"/>
      <c r="E579" s="4"/>
      <c r="I579" s="135"/>
      <c r="J579" s="135"/>
      <c r="K579" s="135"/>
      <c r="L579" s="135"/>
    </row>
    <row r="580" spans="2:12" ht="12" customHeight="1" x14ac:dyDescent="0.15">
      <c r="B580" s="2"/>
      <c r="C580" s="4"/>
      <c r="D580" s="4"/>
      <c r="E580" s="4"/>
      <c r="I580" s="135"/>
      <c r="J580" s="135"/>
      <c r="K580" s="135"/>
      <c r="L580" s="135"/>
    </row>
    <row r="581" spans="2:12" ht="12" customHeight="1" x14ac:dyDescent="0.15">
      <c r="B581" s="2"/>
      <c r="C581" s="4"/>
      <c r="D581" s="4"/>
      <c r="E581" s="4"/>
      <c r="I581" s="135"/>
      <c r="J581" s="135"/>
      <c r="K581" s="135"/>
      <c r="L581" s="135"/>
    </row>
    <row r="582" spans="2:12" ht="12" customHeight="1" x14ac:dyDescent="0.15">
      <c r="B582" s="2"/>
      <c r="C582" s="4"/>
      <c r="D582" s="4"/>
      <c r="E582" s="4"/>
      <c r="I582" s="135"/>
      <c r="J582" s="135"/>
      <c r="K582" s="135"/>
      <c r="L582" s="135"/>
    </row>
    <row r="583" spans="2:12" ht="12" customHeight="1" x14ac:dyDescent="0.15">
      <c r="B583" s="2"/>
      <c r="C583" s="4"/>
      <c r="D583" s="4"/>
      <c r="E583" s="4"/>
      <c r="I583" s="135"/>
      <c r="J583" s="135"/>
      <c r="K583" s="135"/>
      <c r="L583" s="135"/>
    </row>
    <row r="584" spans="2:12" ht="12" customHeight="1" x14ac:dyDescent="0.15">
      <c r="B584" s="2"/>
      <c r="C584" s="4"/>
      <c r="D584" s="4"/>
      <c r="E584" s="4"/>
      <c r="I584" s="135"/>
      <c r="J584" s="135"/>
      <c r="K584" s="135"/>
      <c r="L584" s="135"/>
    </row>
    <row r="585" spans="2:12" ht="12" customHeight="1" x14ac:dyDescent="0.15">
      <c r="B585" s="2"/>
      <c r="C585" s="4"/>
      <c r="D585" s="4"/>
      <c r="E585" s="4"/>
      <c r="I585" s="135"/>
      <c r="J585" s="135"/>
      <c r="K585" s="135"/>
      <c r="L585" s="135"/>
    </row>
    <row r="586" spans="2:12" ht="12" customHeight="1" x14ac:dyDescent="0.15">
      <c r="B586" s="2"/>
      <c r="C586" s="4"/>
      <c r="D586" s="4"/>
      <c r="E586" s="4"/>
      <c r="I586" s="135"/>
      <c r="J586" s="135"/>
      <c r="K586" s="135"/>
      <c r="L586" s="135"/>
    </row>
    <row r="587" spans="2:12" ht="12" customHeight="1" x14ac:dyDescent="0.15">
      <c r="B587" s="2"/>
      <c r="C587" s="4"/>
      <c r="D587" s="4"/>
      <c r="E587" s="4"/>
      <c r="I587" s="135"/>
      <c r="J587" s="135"/>
      <c r="K587" s="135"/>
      <c r="L587" s="135"/>
    </row>
    <row r="588" spans="2:12" ht="12" customHeight="1" x14ac:dyDescent="0.15">
      <c r="B588" s="2"/>
      <c r="C588" s="4"/>
      <c r="D588" s="4"/>
      <c r="E588" s="4"/>
      <c r="I588" s="135"/>
      <c r="J588" s="135"/>
      <c r="K588" s="135"/>
      <c r="L588" s="135"/>
    </row>
    <row r="589" spans="2:12" ht="12" customHeight="1" x14ac:dyDescent="0.15">
      <c r="B589" s="2"/>
      <c r="C589" s="4"/>
      <c r="D589" s="4"/>
      <c r="E589" s="4"/>
      <c r="I589" s="135"/>
      <c r="J589" s="135"/>
      <c r="K589" s="135"/>
      <c r="L589" s="135"/>
    </row>
    <row r="590" spans="2:12" ht="12" customHeight="1" x14ac:dyDescent="0.15">
      <c r="B590" s="2"/>
      <c r="C590" s="4"/>
      <c r="D590" s="4"/>
      <c r="E590" s="4"/>
      <c r="I590" s="135"/>
      <c r="J590" s="135"/>
      <c r="K590" s="135"/>
      <c r="L590" s="135"/>
    </row>
    <row r="591" spans="2:12" ht="12" customHeight="1" x14ac:dyDescent="0.15">
      <c r="B591" s="2"/>
      <c r="C591" s="4"/>
      <c r="D591" s="4"/>
      <c r="E591" s="4"/>
      <c r="I591" s="135"/>
      <c r="J591" s="135"/>
      <c r="K591" s="135"/>
      <c r="L591" s="135"/>
    </row>
    <row r="592" spans="2:12" ht="12" customHeight="1" x14ac:dyDescent="0.15">
      <c r="B592" s="2"/>
      <c r="C592" s="4"/>
      <c r="D592" s="4"/>
      <c r="E592" s="4"/>
      <c r="I592" s="135"/>
      <c r="J592" s="135"/>
      <c r="K592" s="135"/>
      <c r="L592" s="135"/>
    </row>
    <row r="593" spans="2:12" ht="12" customHeight="1" x14ac:dyDescent="0.15">
      <c r="B593" s="2"/>
      <c r="C593" s="4"/>
      <c r="D593" s="4"/>
      <c r="E593" s="4"/>
      <c r="I593" s="135"/>
      <c r="J593" s="135"/>
      <c r="K593" s="135"/>
      <c r="L593" s="135"/>
    </row>
    <row r="594" spans="2:12" ht="12" customHeight="1" x14ac:dyDescent="0.15">
      <c r="B594" s="2"/>
      <c r="C594" s="4"/>
      <c r="D594" s="4"/>
      <c r="E594" s="4"/>
      <c r="I594" s="135"/>
      <c r="J594" s="135"/>
      <c r="K594" s="135"/>
      <c r="L594" s="135"/>
    </row>
    <row r="595" spans="2:12" ht="12" customHeight="1" x14ac:dyDescent="0.15">
      <c r="B595" s="2"/>
      <c r="C595" s="4"/>
      <c r="D595" s="4"/>
      <c r="E595" s="4"/>
      <c r="I595" s="135"/>
      <c r="J595" s="135"/>
      <c r="K595" s="135"/>
      <c r="L595" s="135"/>
    </row>
    <row r="596" spans="2:12" ht="12" customHeight="1" x14ac:dyDescent="0.15">
      <c r="B596" s="2"/>
      <c r="C596" s="4"/>
      <c r="D596" s="4"/>
      <c r="E596" s="4"/>
      <c r="I596" s="135"/>
      <c r="J596" s="135"/>
      <c r="K596" s="135"/>
      <c r="L596" s="135"/>
    </row>
    <row r="597" spans="2:12" ht="12" customHeight="1" x14ac:dyDescent="0.15">
      <c r="B597" s="2"/>
      <c r="C597" s="4"/>
      <c r="D597" s="4"/>
      <c r="E597" s="4"/>
      <c r="I597" s="135"/>
      <c r="J597" s="135"/>
      <c r="K597" s="135"/>
      <c r="L597" s="135"/>
    </row>
    <row r="598" spans="2:12" ht="12" customHeight="1" x14ac:dyDescent="0.15">
      <c r="B598" s="2"/>
      <c r="C598" s="4"/>
      <c r="D598" s="4"/>
      <c r="E598" s="4"/>
      <c r="I598" s="135"/>
      <c r="J598" s="135"/>
      <c r="K598" s="135"/>
      <c r="L598" s="135"/>
    </row>
    <row r="599" spans="2:12" ht="12" customHeight="1" x14ac:dyDescent="0.15">
      <c r="B599" s="2"/>
      <c r="C599" s="4"/>
      <c r="D599" s="4"/>
      <c r="E599" s="4"/>
      <c r="I599" s="135"/>
      <c r="J599" s="135"/>
      <c r="K599" s="135"/>
      <c r="L599" s="135"/>
    </row>
    <row r="600" spans="2:12" ht="12" customHeight="1" x14ac:dyDescent="0.15">
      <c r="B600" s="2"/>
      <c r="C600" s="4"/>
      <c r="D600" s="4"/>
      <c r="E600" s="4"/>
      <c r="I600" s="135"/>
      <c r="J600" s="135"/>
      <c r="K600" s="135"/>
      <c r="L600" s="135"/>
    </row>
    <row r="601" spans="2:12" ht="12" customHeight="1" x14ac:dyDescent="0.15">
      <c r="B601" s="2"/>
      <c r="C601" s="4"/>
      <c r="D601" s="4"/>
      <c r="E601" s="4"/>
      <c r="I601" s="135"/>
      <c r="J601" s="135"/>
      <c r="K601" s="135"/>
      <c r="L601" s="135"/>
    </row>
    <row r="602" spans="2:12" ht="12" customHeight="1" x14ac:dyDescent="0.15">
      <c r="B602" s="2"/>
      <c r="C602" s="4"/>
      <c r="D602" s="4"/>
      <c r="E602" s="4"/>
      <c r="I602" s="135"/>
      <c r="J602" s="135"/>
      <c r="K602" s="135"/>
      <c r="L602" s="135"/>
    </row>
    <row r="603" spans="2:12" ht="12" customHeight="1" x14ac:dyDescent="0.15">
      <c r="B603" s="2"/>
      <c r="C603" s="4"/>
      <c r="D603" s="4"/>
      <c r="E603" s="4"/>
      <c r="I603" s="135"/>
      <c r="J603" s="135"/>
      <c r="K603" s="135"/>
      <c r="L603" s="135"/>
    </row>
    <row r="604" spans="2:12" ht="12" customHeight="1" x14ac:dyDescent="0.15">
      <c r="B604" s="2"/>
      <c r="C604" s="4"/>
      <c r="D604" s="4"/>
      <c r="E604" s="4"/>
      <c r="I604" s="135"/>
      <c r="J604" s="135"/>
      <c r="K604" s="135"/>
      <c r="L604" s="135"/>
    </row>
    <row r="605" spans="2:12" ht="12" customHeight="1" x14ac:dyDescent="0.15">
      <c r="B605" s="2"/>
      <c r="C605" s="4"/>
      <c r="D605" s="4"/>
      <c r="E605" s="4"/>
      <c r="I605" s="135"/>
      <c r="J605" s="135"/>
      <c r="K605" s="135"/>
      <c r="L605" s="135"/>
    </row>
    <row r="606" spans="2:12" ht="12" customHeight="1" x14ac:dyDescent="0.15">
      <c r="B606" s="2"/>
      <c r="C606" s="4"/>
      <c r="D606" s="4"/>
      <c r="E606" s="4"/>
      <c r="I606" s="135"/>
      <c r="J606" s="135"/>
      <c r="K606" s="135"/>
      <c r="L606" s="135"/>
    </row>
    <row r="607" spans="2:12" ht="12" customHeight="1" x14ac:dyDescent="0.15">
      <c r="B607" s="2"/>
      <c r="C607" s="4"/>
      <c r="D607" s="4"/>
      <c r="E607" s="4"/>
      <c r="I607" s="135"/>
      <c r="J607" s="135"/>
      <c r="K607" s="135"/>
      <c r="L607" s="135"/>
    </row>
    <row r="608" spans="2:12" ht="12" customHeight="1" x14ac:dyDescent="0.15">
      <c r="B608" s="2"/>
      <c r="C608" s="4"/>
      <c r="D608" s="4"/>
      <c r="E608" s="4"/>
      <c r="I608" s="135"/>
      <c r="J608" s="135"/>
      <c r="K608" s="135"/>
      <c r="L608" s="135"/>
    </row>
    <row r="609" spans="2:12" ht="12" customHeight="1" x14ac:dyDescent="0.15">
      <c r="B609" s="2"/>
      <c r="C609" s="4"/>
      <c r="D609" s="4"/>
      <c r="E609" s="4"/>
      <c r="I609" s="135"/>
      <c r="J609" s="135"/>
      <c r="K609" s="135"/>
      <c r="L609" s="135"/>
    </row>
    <row r="610" spans="2:12" ht="12" customHeight="1" x14ac:dyDescent="0.15">
      <c r="B610" s="2"/>
      <c r="C610" s="4"/>
      <c r="D610" s="4"/>
      <c r="E610" s="4"/>
      <c r="I610" s="135"/>
      <c r="J610" s="135"/>
      <c r="K610" s="135"/>
      <c r="L610" s="135"/>
    </row>
    <row r="611" spans="2:12" ht="12" customHeight="1" x14ac:dyDescent="0.15">
      <c r="B611" s="2"/>
      <c r="C611" s="4"/>
      <c r="D611" s="4"/>
      <c r="E611" s="4"/>
      <c r="I611" s="135"/>
      <c r="J611" s="135"/>
      <c r="K611" s="135"/>
      <c r="L611" s="135"/>
    </row>
    <row r="612" spans="2:12" ht="12" customHeight="1" x14ac:dyDescent="0.15">
      <c r="B612" s="2"/>
      <c r="C612" s="4"/>
      <c r="D612" s="4"/>
      <c r="E612" s="4"/>
      <c r="I612" s="135"/>
      <c r="J612" s="135"/>
      <c r="K612" s="135"/>
      <c r="L612" s="135"/>
    </row>
    <row r="613" spans="2:12" ht="12" customHeight="1" x14ac:dyDescent="0.15">
      <c r="B613" s="2"/>
      <c r="C613" s="4"/>
      <c r="D613" s="4"/>
      <c r="E613" s="4"/>
      <c r="I613" s="135"/>
      <c r="J613" s="135"/>
      <c r="K613" s="135"/>
      <c r="L613" s="135"/>
    </row>
    <row r="614" spans="2:12" ht="12" customHeight="1" x14ac:dyDescent="0.15">
      <c r="B614" s="2"/>
      <c r="C614" s="4"/>
      <c r="D614" s="4"/>
      <c r="E614" s="4"/>
      <c r="I614" s="135"/>
      <c r="J614" s="135"/>
      <c r="K614" s="135"/>
      <c r="L614" s="135"/>
    </row>
    <row r="615" spans="2:12" ht="12" customHeight="1" x14ac:dyDescent="0.15">
      <c r="B615" s="2"/>
      <c r="C615" s="4"/>
      <c r="D615" s="4"/>
      <c r="E615" s="4"/>
      <c r="I615" s="135"/>
      <c r="J615" s="135"/>
      <c r="K615" s="135"/>
      <c r="L615" s="135"/>
    </row>
    <row r="616" spans="2:12" ht="12" customHeight="1" x14ac:dyDescent="0.15">
      <c r="B616" s="2"/>
      <c r="C616" s="4"/>
      <c r="D616" s="4"/>
      <c r="E616" s="4"/>
      <c r="I616" s="135"/>
      <c r="J616" s="135"/>
      <c r="K616" s="135"/>
      <c r="L616" s="135"/>
    </row>
    <row r="617" spans="2:12" ht="12" customHeight="1" x14ac:dyDescent="0.15">
      <c r="B617" s="2"/>
      <c r="C617" s="4"/>
      <c r="D617" s="4"/>
      <c r="E617" s="4"/>
      <c r="I617" s="135"/>
      <c r="J617" s="135"/>
      <c r="K617" s="135"/>
      <c r="L617" s="135"/>
    </row>
    <row r="618" spans="2:12" ht="12" customHeight="1" x14ac:dyDescent="0.15">
      <c r="B618" s="2"/>
      <c r="C618" s="4"/>
      <c r="D618" s="4"/>
      <c r="E618" s="4"/>
      <c r="I618" s="135"/>
      <c r="J618" s="135"/>
      <c r="K618" s="135"/>
      <c r="L618" s="135"/>
    </row>
    <row r="619" spans="2:12" ht="12" customHeight="1" x14ac:dyDescent="0.15">
      <c r="B619" s="2"/>
      <c r="C619" s="4"/>
      <c r="D619" s="4"/>
      <c r="E619" s="4"/>
      <c r="I619" s="135"/>
      <c r="J619" s="135"/>
      <c r="K619" s="135"/>
      <c r="L619" s="135"/>
    </row>
    <row r="620" spans="2:12" ht="12" customHeight="1" x14ac:dyDescent="0.15">
      <c r="B620" s="2"/>
      <c r="C620" s="4"/>
      <c r="D620" s="4"/>
      <c r="E620" s="4"/>
      <c r="I620" s="135"/>
      <c r="J620" s="135"/>
      <c r="K620" s="135"/>
      <c r="L620" s="135"/>
    </row>
    <row r="621" spans="2:12" ht="12" customHeight="1" x14ac:dyDescent="0.15">
      <c r="B621" s="2"/>
      <c r="C621" s="4"/>
      <c r="D621" s="4"/>
      <c r="E621" s="4"/>
      <c r="I621" s="135"/>
      <c r="J621" s="135"/>
      <c r="K621" s="135"/>
      <c r="L621" s="135"/>
    </row>
    <row r="622" spans="2:12" ht="12" customHeight="1" x14ac:dyDescent="0.15">
      <c r="B622" s="2"/>
      <c r="C622" s="4"/>
      <c r="D622" s="4"/>
      <c r="E622" s="4"/>
      <c r="I622" s="135"/>
      <c r="J622" s="135"/>
      <c r="K622" s="135"/>
      <c r="L622" s="135"/>
    </row>
    <row r="623" spans="2:12" ht="12" customHeight="1" x14ac:dyDescent="0.15">
      <c r="B623" s="2"/>
      <c r="C623" s="4"/>
      <c r="D623" s="4"/>
      <c r="E623" s="4"/>
      <c r="I623" s="135"/>
      <c r="J623" s="135"/>
      <c r="K623" s="135"/>
      <c r="L623" s="135"/>
    </row>
    <row r="624" spans="2:12" ht="12" customHeight="1" x14ac:dyDescent="0.15">
      <c r="B624" s="2"/>
      <c r="C624" s="4"/>
      <c r="D624" s="4"/>
      <c r="E624" s="4"/>
      <c r="I624" s="135"/>
      <c r="J624" s="135"/>
      <c r="K624" s="135"/>
      <c r="L624" s="135"/>
    </row>
    <row r="625" spans="2:12" ht="12" customHeight="1" x14ac:dyDescent="0.15">
      <c r="B625" s="2"/>
      <c r="C625" s="4"/>
      <c r="D625" s="4"/>
      <c r="E625" s="4"/>
      <c r="I625" s="135"/>
      <c r="J625" s="135"/>
      <c r="K625" s="135"/>
      <c r="L625" s="135"/>
    </row>
    <row r="626" spans="2:12" ht="12" customHeight="1" x14ac:dyDescent="0.15">
      <c r="B626" s="2"/>
      <c r="C626" s="4"/>
      <c r="D626" s="4"/>
      <c r="E626" s="4"/>
      <c r="I626" s="135"/>
      <c r="J626" s="135"/>
      <c r="K626" s="135"/>
      <c r="L626" s="135"/>
    </row>
    <row r="627" spans="2:12" ht="12" customHeight="1" x14ac:dyDescent="0.15">
      <c r="B627" s="2"/>
      <c r="C627" s="4"/>
      <c r="D627" s="4"/>
      <c r="E627" s="4"/>
      <c r="I627" s="135"/>
      <c r="J627" s="135"/>
      <c r="K627" s="135"/>
      <c r="L627" s="135"/>
    </row>
    <row r="628" spans="2:12" ht="12" customHeight="1" x14ac:dyDescent="0.15">
      <c r="B628" s="2"/>
      <c r="C628" s="4"/>
      <c r="D628" s="4"/>
      <c r="E628" s="4"/>
      <c r="I628" s="135"/>
      <c r="J628" s="135"/>
      <c r="K628" s="135"/>
      <c r="L628" s="135"/>
    </row>
    <row r="629" spans="2:12" ht="12" customHeight="1" x14ac:dyDescent="0.15">
      <c r="B629" s="2"/>
      <c r="C629" s="4"/>
      <c r="D629" s="4"/>
      <c r="E629" s="4"/>
      <c r="I629" s="135"/>
      <c r="J629" s="135"/>
      <c r="K629" s="135"/>
      <c r="L629" s="135"/>
    </row>
    <row r="630" spans="2:12" ht="12" customHeight="1" x14ac:dyDescent="0.15">
      <c r="B630" s="2"/>
      <c r="C630" s="4"/>
      <c r="D630" s="4"/>
      <c r="E630" s="4"/>
      <c r="I630" s="135"/>
      <c r="J630" s="135"/>
      <c r="K630" s="135"/>
      <c r="L630" s="135"/>
    </row>
    <row r="631" spans="2:12" ht="12" customHeight="1" x14ac:dyDescent="0.15">
      <c r="B631" s="2"/>
      <c r="C631" s="4"/>
      <c r="D631" s="4"/>
      <c r="E631" s="4"/>
      <c r="I631" s="135"/>
      <c r="J631" s="135"/>
      <c r="K631" s="135"/>
      <c r="L631" s="135"/>
    </row>
    <row r="632" spans="2:12" ht="12" customHeight="1" x14ac:dyDescent="0.15">
      <c r="B632" s="2"/>
      <c r="C632" s="4"/>
      <c r="D632" s="4"/>
      <c r="E632" s="4"/>
      <c r="I632" s="135"/>
      <c r="J632" s="135"/>
      <c r="K632" s="135"/>
      <c r="L632" s="135"/>
    </row>
    <row r="633" spans="2:12" ht="12" customHeight="1" x14ac:dyDescent="0.15">
      <c r="B633" s="2"/>
      <c r="C633" s="4"/>
      <c r="D633" s="4"/>
      <c r="E633" s="4"/>
      <c r="I633" s="135"/>
      <c r="J633" s="135"/>
      <c r="K633" s="135"/>
      <c r="L633" s="135"/>
    </row>
    <row r="634" spans="2:12" ht="12" customHeight="1" x14ac:dyDescent="0.15">
      <c r="B634" s="2"/>
      <c r="C634" s="4"/>
      <c r="D634" s="4"/>
      <c r="E634" s="4"/>
      <c r="I634" s="135"/>
      <c r="J634" s="135"/>
      <c r="K634" s="135"/>
      <c r="L634" s="135"/>
    </row>
    <row r="635" spans="2:12" ht="12" customHeight="1" x14ac:dyDescent="0.15">
      <c r="B635" s="2"/>
      <c r="C635" s="4"/>
      <c r="D635" s="4"/>
      <c r="E635" s="4"/>
      <c r="I635" s="135"/>
      <c r="J635" s="135"/>
      <c r="K635" s="135"/>
      <c r="L635" s="135"/>
    </row>
    <row r="636" spans="2:12" ht="12" customHeight="1" x14ac:dyDescent="0.15">
      <c r="B636" s="2"/>
      <c r="C636" s="4"/>
      <c r="D636" s="4"/>
      <c r="E636" s="4"/>
      <c r="I636" s="135"/>
      <c r="J636" s="135"/>
      <c r="K636" s="135"/>
      <c r="L636" s="135"/>
    </row>
    <row r="637" spans="2:12" ht="12" customHeight="1" x14ac:dyDescent="0.15">
      <c r="B637" s="2"/>
      <c r="C637" s="4"/>
      <c r="D637" s="4"/>
      <c r="E637" s="4"/>
      <c r="I637" s="135"/>
      <c r="J637" s="135"/>
      <c r="K637" s="135"/>
      <c r="L637" s="135"/>
    </row>
    <row r="638" spans="2:12" ht="12" customHeight="1" x14ac:dyDescent="0.15">
      <c r="B638" s="2"/>
      <c r="C638" s="4"/>
      <c r="D638" s="4"/>
      <c r="E638" s="4"/>
      <c r="I638" s="135"/>
      <c r="J638" s="135"/>
      <c r="K638" s="135"/>
      <c r="L638" s="135"/>
    </row>
    <row r="639" spans="2:12" ht="12" customHeight="1" x14ac:dyDescent="0.15">
      <c r="B639" s="2"/>
      <c r="C639" s="4"/>
      <c r="D639" s="4"/>
      <c r="E639" s="4"/>
      <c r="I639" s="135"/>
      <c r="J639" s="135"/>
      <c r="K639" s="135"/>
      <c r="L639" s="135"/>
    </row>
    <row r="640" spans="2:12" ht="12" customHeight="1" x14ac:dyDescent="0.15">
      <c r="B640" s="2"/>
      <c r="C640" s="4"/>
      <c r="D640" s="4"/>
      <c r="E640" s="4"/>
      <c r="I640" s="135"/>
      <c r="J640" s="135"/>
      <c r="K640" s="135"/>
      <c r="L640" s="135"/>
    </row>
    <row r="641" spans="2:12" ht="12" customHeight="1" x14ac:dyDescent="0.15">
      <c r="B641" s="2"/>
      <c r="C641" s="4"/>
      <c r="D641" s="4"/>
      <c r="E641" s="4"/>
      <c r="I641" s="135"/>
      <c r="J641" s="135"/>
      <c r="K641" s="135"/>
      <c r="L641" s="135"/>
    </row>
    <row r="642" spans="2:12" ht="12" customHeight="1" x14ac:dyDescent="0.15">
      <c r="B642" s="2"/>
      <c r="C642" s="4"/>
      <c r="D642" s="4"/>
      <c r="E642" s="4"/>
      <c r="I642" s="135"/>
      <c r="J642" s="135"/>
      <c r="K642" s="135"/>
      <c r="L642" s="135"/>
    </row>
    <row r="643" spans="2:12" ht="12" customHeight="1" x14ac:dyDescent="0.15">
      <c r="B643" s="2"/>
      <c r="C643" s="4"/>
      <c r="D643" s="4"/>
      <c r="E643" s="4"/>
      <c r="I643" s="135"/>
      <c r="J643" s="135"/>
      <c r="K643" s="135"/>
      <c r="L643" s="135"/>
    </row>
    <row r="644" spans="2:12" ht="12" customHeight="1" x14ac:dyDescent="0.15">
      <c r="B644" s="2"/>
      <c r="C644" s="4"/>
      <c r="D644" s="4"/>
      <c r="E644" s="4"/>
      <c r="I644" s="135"/>
      <c r="J644" s="135"/>
      <c r="K644" s="135"/>
      <c r="L644" s="135"/>
    </row>
    <row r="645" spans="2:12" ht="12" customHeight="1" x14ac:dyDescent="0.15">
      <c r="B645" s="2"/>
      <c r="C645" s="4"/>
      <c r="D645" s="4"/>
      <c r="E645" s="4"/>
      <c r="I645" s="135"/>
      <c r="J645" s="135"/>
      <c r="K645" s="135"/>
      <c r="L645" s="135"/>
    </row>
    <row r="646" spans="2:12" ht="12" customHeight="1" x14ac:dyDescent="0.15">
      <c r="B646" s="2"/>
      <c r="C646" s="4"/>
      <c r="D646" s="4"/>
      <c r="E646" s="4"/>
      <c r="I646" s="135"/>
      <c r="J646" s="135"/>
      <c r="K646" s="135"/>
      <c r="L646" s="135"/>
    </row>
    <row r="647" spans="2:12" ht="12" customHeight="1" x14ac:dyDescent="0.15">
      <c r="B647" s="2"/>
      <c r="C647" s="4"/>
      <c r="D647" s="4"/>
      <c r="E647" s="4"/>
      <c r="I647" s="135"/>
      <c r="J647" s="135"/>
      <c r="K647" s="135"/>
      <c r="L647" s="135"/>
    </row>
    <row r="648" spans="2:12" ht="12" customHeight="1" x14ac:dyDescent="0.15">
      <c r="B648" s="2"/>
      <c r="C648" s="4"/>
      <c r="D648" s="4"/>
      <c r="E648" s="4"/>
      <c r="I648" s="135"/>
      <c r="J648" s="135"/>
      <c r="K648" s="135"/>
      <c r="L648" s="135"/>
    </row>
    <row r="649" spans="2:12" ht="12" customHeight="1" x14ac:dyDescent="0.15">
      <c r="B649" s="2"/>
      <c r="C649" s="4"/>
      <c r="D649" s="4"/>
      <c r="E649" s="4"/>
      <c r="I649" s="135"/>
      <c r="J649" s="135"/>
      <c r="K649" s="135"/>
      <c r="L649" s="135"/>
    </row>
    <row r="650" spans="2:12" ht="12" customHeight="1" x14ac:dyDescent="0.15">
      <c r="B650" s="2"/>
      <c r="C650" s="4"/>
      <c r="D650" s="4"/>
      <c r="E650" s="4"/>
      <c r="I650" s="135"/>
      <c r="J650" s="135"/>
      <c r="K650" s="135"/>
      <c r="L650" s="135"/>
    </row>
    <row r="651" spans="2:12" ht="12" customHeight="1" x14ac:dyDescent="0.15">
      <c r="B651" s="2"/>
      <c r="C651" s="4"/>
      <c r="D651" s="4"/>
      <c r="E651" s="4"/>
      <c r="I651" s="135"/>
      <c r="J651" s="135"/>
      <c r="K651" s="135"/>
      <c r="L651" s="135"/>
    </row>
    <row r="652" spans="2:12" ht="12" customHeight="1" x14ac:dyDescent="0.15">
      <c r="B652" s="2"/>
      <c r="C652" s="4"/>
      <c r="D652" s="4"/>
      <c r="E652" s="4"/>
      <c r="I652" s="135"/>
      <c r="J652" s="135"/>
      <c r="K652" s="135"/>
      <c r="L652" s="135"/>
    </row>
    <row r="653" spans="2:12" ht="12" customHeight="1" x14ac:dyDescent="0.15">
      <c r="B653" s="2"/>
      <c r="C653" s="4"/>
      <c r="D653" s="4"/>
      <c r="E653" s="4"/>
      <c r="I653" s="135"/>
      <c r="J653" s="135"/>
      <c r="K653" s="135"/>
      <c r="L653" s="135"/>
    </row>
    <row r="654" spans="2:12" ht="12" customHeight="1" x14ac:dyDescent="0.15">
      <c r="B654" s="2"/>
      <c r="C654" s="4"/>
      <c r="D654" s="4"/>
      <c r="E654" s="4"/>
      <c r="I654" s="135"/>
      <c r="J654" s="135"/>
      <c r="K654" s="135"/>
      <c r="L654" s="135"/>
    </row>
    <row r="655" spans="2:12" ht="12" customHeight="1" x14ac:dyDescent="0.15">
      <c r="B655" s="2"/>
      <c r="C655" s="4"/>
      <c r="D655" s="4"/>
      <c r="E655" s="4"/>
      <c r="I655" s="135"/>
      <c r="J655" s="135"/>
      <c r="K655" s="135"/>
      <c r="L655" s="135"/>
    </row>
    <row r="656" spans="2:12" ht="12" customHeight="1" x14ac:dyDescent="0.15">
      <c r="B656" s="2"/>
      <c r="C656" s="4"/>
      <c r="D656" s="4"/>
      <c r="E656" s="4"/>
      <c r="I656" s="135"/>
      <c r="J656" s="135"/>
      <c r="K656" s="135"/>
      <c r="L656" s="135"/>
    </row>
    <row r="657" spans="2:12" ht="12" customHeight="1" x14ac:dyDescent="0.15">
      <c r="B657" s="2"/>
      <c r="C657" s="4"/>
      <c r="D657" s="4"/>
      <c r="E657" s="4"/>
      <c r="I657" s="135"/>
      <c r="J657" s="135"/>
      <c r="K657" s="135"/>
      <c r="L657" s="135"/>
    </row>
    <row r="658" spans="2:12" ht="12" customHeight="1" x14ac:dyDescent="0.15">
      <c r="B658" s="2"/>
      <c r="C658" s="4"/>
      <c r="D658" s="4"/>
      <c r="E658" s="4"/>
      <c r="I658" s="135"/>
      <c r="J658" s="135"/>
      <c r="K658" s="135"/>
      <c r="L658" s="135"/>
    </row>
    <row r="659" spans="2:12" ht="12" customHeight="1" x14ac:dyDescent="0.15">
      <c r="B659" s="2"/>
      <c r="C659" s="4"/>
      <c r="D659" s="4"/>
      <c r="E659" s="4"/>
      <c r="I659" s="135"/>
      <c r="J659" s="135"/>
      <c r="K659" s="135"/>
      <c r="L659" s="135"/>
    </row>
    <row r="660" spans="2:12" ht="12" customHeight="1" x14ac:dyDescent="0.15">
      <c r="B660" s="2"/>
      <c r="C660" s="4"/>
      <c r="D660" s="4"/>
      <c r="E660" s="4"/>
      <c r="I660" s="135"/>
      <c r="J660" s="135"/>
      <c r="K660" s="135"/>
      <c r="L660" s="135"/>
    </row>
    <row r="661" spans="2:12" ht="12" customHeight="1" x14ac:dyDescent="0.15">
      <c r="B661" s="2"/>
      <c r="C661" s="4"/>
      <c r="D661" s="4"/>
      <c r="E661" s="4"/>
      <c r="I661" s="135"/>
      <c r="J661" s="135"/>
      <c r="K661" s="135"/>
      <c r="L661" s="135"/>
    </row>
    <row r="662" spans="2:12" ht="12" customHeight="1" x14ac:dyDescent="0.15">
      <c r="B662" s="2"/>
      <c r="C662" s="4"/>
      <c r="D662" s="4"/>
      <c r="E662" s="4"/>
      <c r="I662" s="135"/>
      <c r="J662" s="135"/>
      <c r="K662" s="135"/>
      <c r="L662" s="135"/>
    </row>
    <row r="663" spans="2:12" ht="12" customHeight="1" x14ac:dyDescent="0.15">
      <c r="B663" s="2"/>
      <c r="C663" s="4"/>
      <c r="D663" s="4"/>
      <c r="E663" s="4"/>
      <c r="I663" s="135"/>
      <c r="J663" s="135"/>
      <c r="K663" s="135"/>
      <c r="L663" s="135"/>
    </row>
    <row r="664" spans="2:12" ht="12" customHeight="1" x14ac:dyDescent="0.15">
      <c r="B664" s="2"/>
      <c r="C664" s="4"/>
      <c r="D664" s="4"/>
      <c r="E664" s="4"/>
      <c r="I664" s="135"/>
      <c r="J664" s="135"/>
      <c r="K664" s="135"/>
      <c r="L664" s="135"/>
    </row>
    <row r="665" spans="2:12" ht="12" customHeight="1" x14ac:dyDescent="0.15">
      <c r="B665" s="2"/>
      <c r="C665" s="4"/>
      <c r="D665" s="4"/>
      <c r="E665" s="4"/>
      <c r="I665" s="135"/>
      <c r="J665" s="135"/>
      <c r="K665" s="135"/>
      <c r="L665" s="135"/>
    </row>
    <row r="666" spans="2:12" ht="12" customHeight="1" x14ac:dyDescent="0.15">
      <c r="B666" s="2"/>
      <c r="C666" s="4"/>
      <c r="D666" s="4"/>
      <c r="E666" s="4"/>
      <c r="I666" s="135"/>
      <c r="J666" s="135"/>
      <c r="K666" s="135"/>
      <c r="L666" s="135"/>
    </row>
    <row r="667" spans="2:12" ht="12" customHeight="1" x14ac:dyDescent="0.15">
      <c r="B667" s="2"/>
      <c r="C667" s="4"/>
      <c r="D667" s="4"/>
      <c r="E667" s="4"/>
      <c r="I667" s="135"/>
      <c r="J667" s="135"/>
      <c r="K667" s="135"/>
      <c r="L667" s="135"/>
    </row>
    <row r="668" spans="2:12" ht="12" customHeight="1" x14ac:dyDescent="0.15">
      <c r="B668" s="2"/>
      <c r="C668" s="4"/>
      <c r="D668" s="4"/>
      <c r="E668" s="4"/>
      <c r="I668" s="135"/>
      <c r="J668" s="135"/>
      <c r="K668" s="135"/>
      <c r="L668" s="135"/>
    </row>
    <row r="669" spans="2:12" ht="12" customHeight="1" x14ac:dyDescent="0.15">
      <c r="B669" s="2"/>
      <c r="C669" s="4"/>
      <c r="D669" s="4"/>
      <c r="E669" s="4"/>
      <c r="I669" s="135"/>
      <c r="J669" s="135"/>
      <c r="K669" s="135"/>
      <c r="L669" s="135"/>
    </row>
    <row r="670" spans="2:12" ht="12" customHeight="1" x14ac:dyDescent="0.15">
      <c r="B670" s="2"/>
      <c r="C670" s="4"/>
      <c r="D670" s="4"/>
      <c r="E670" s="4"/>
      <c r="I670" s="135"/>
      <c r="J670" s="135"/>
      <c r="K670" s="135"/>
      <c r="L670" s="135"/>
    </row>
    <row r="671" spans="2:12" ht="12" customHeight="1" x14ac:dyDescent="0.15">
      <c r="B671" s="2"/>
      <c r="C671" s="4"/>
      <c r="D671" s="4"/>
      <c r="E671" s="4"/>
      <c r="I671" s="135"/>
      <c r="J671" s="135"/>
      <c r="K671" s="135"/>
      <c r="L671" s="135"/>
    </row>
    <row r="672" spans="2:12" ht="12" customHeight="1" x14ac:dyDescent="0.15">
      <c r="B672" s="2"/>
      <c r="C672" s="4"/>
      <c r="D672" s="4"/>
      <c r="E672" s="4"/>
      <c r="I672" s="135"/>
      <c r="J672" s="135"/>
      <c r="K672" s="135"/>
      <c r="L672" s="135"/>
    </row>
    <row r="673" spans="2:12" ht="12" customHeight="1" x14ac:dyDescent="0.15">
      <c r="B673" s="2"/>
      <c r="C673" s="4"/>
      <c r="D673" s="4"/>
      <c r="E673" s="4"/>
      <c r="I673" s="135"/>
      <c r="J673" s="135"/>
      <c r="K673" s="135"/>
      <c r="L673" s="135"/>
    </row>
    <row r="674" spans="2:12" ht="12" customHeight="1" x14ac:dyDescent="0.15">
      <c r="B674" s="2"/>
      <c r="C674" s="4"/>
      <c r="D674" s="4"/>
      <c r="E674" s="4"/>
      <c r="I674" s="135"/>
      <c r="J674" s="135"/>
      <c r="K674" s="135"/>
      <c r="L674" s="135"/>
    </row>
    <row r="675" spans="2:12" ht="12" customHeight="1" x14ac:dyDescent="0.15">
      <c r="B675" s="2"/>
      <c r="C675" s="4"/>
      <c r="D675" s="4"/>
      <c r="E675" s="4"/>
      <c r="I675" s="135"/>
      <c r="J675" s="135"/>
      <c r="K675" s="135"/>
      <c r="L675" s="135"/>
    </row>
    <row r="676" spans="2:12" ht="12" customHeight="1" x14ac:dyDescent="0.15">
      <c r="B676" s="2"/>
      <c r="C676" s="4"/>
      <c r="D676" s="4"/>
      <c r="E676" s="4"/>
      <c r="I676" s="135"/>
      <c r="J676" s="135"/>
      <c r="K676" s="135"/>
      <c r="L676" s="135"/>
    </row>
    <row r="677" spans="2:12" ht="12" customHeight="1" x14ac:dyDescent="0.15">
      <c r="B677" s="2"/>
      <c r="C677" s="4"/>
      <c r="D677" s="4"/>
      <c r="E677" s="4"/>
      <c r="I677" s="135"/>
      <c r="J677" s="135"/>
      <c r="K677" s="135"/>
      <c r="L677" s="135"/>
    </row>
    <row r="678" spans="2:12" ht="12" customHeight="1" x14ac:dyDescent="0.15">
      <c r="B678" s="2"/>
      <c r="C678" s="4"/>
      <c r="D678" s="4"/>
      <c r="E678" s="4"/>
      <c r="I678" s="135"/>
      <c r="J678" s="135"/>
      <c r="K678" s="135"/>
      <c r="L678" s="135"/>
    </row>
    <row r="679" spans="2:12" ht="12" customHeight="1" x14ac:dyDescent="0.15">
      <c r="B679" s="2"/>
      <c r="C679" s="4"/>
      <c r="D679" s="4"/>
      <c r="E679" s="4"/>
      <c r="I679" s="135"/>
      <c r="J679" s="135"/>
      <c r="K679" s="135"/>
      <c r="L679" s="135"/>
    </row>
    <row r="680" spans="2:12" ht="12" customHeight="1" x14ac:dyDescent="0.15">
      <c r="B680" s="2"/>
      <c r="C680" s="4"/>
      <c r="D680" s="4"/>
      <c r="E680" s="4"/>
      <c r="I680" s="135"/>
      <c r="J680" s="135"/>
      <c r="K680" s="135"/>
      <c r="L680" s="135"/>
    </row>
    <row r="681" spans="2:12" ht="12" customHeight="1" x14ac:dyDescent="0.15">
      <c r="B681" s="2"/>
      <c r="C681" s="4"/>
      <c r="D681" s="4"/>
      <c r="E681" s="4"/>
      <c r="I681" s="135"/>
      <c r="J681" s="135"/>
      <c r="K681" s="135"/>
      <c r="L681" s="135"/>
    </row>
    <row r="682" spans="2:12" ht="12" customHeight="1" x14ac:dyDescent="0.15">
      <c r="B682" s="2"/>
      <c r="C682" s="4"/>
      <c r="D682" s="4"/>
      <c r="E682" s="4"/>
      <c r="I682" s="135"/>
      <c r="J682" s="135"/>
      <c r="K682" s="135"/>
      <c r="L682" s="135"/>
    </row>
    <row r="683" spans="2:12" ht="12" customHeight="1" x14ac:dyDescent="0.15">
      <c r="B683" s="2"/>
      <c r="C683" s="4"/>
      <c r="D683" s="4"/>
      <c r="E683" s="4"/>
      <c r="I683" s="135"/>
      <c r="J683" s="135"/>
      <c r="K683" s="135"/>
      <c r="L683" s="135"/>
    </row>
    <row r="684" spans="2:12" ht="12" customHeight="1" x14ac:dyDescent="0.15">
      <c r="B684" s="2"/>
      <c r="C684" s="4"/>
      <c r="D684" s="4"/>
      <c r="E684" s="4"/>
      <c r="I684" s="135"/>
      <c r="J684" s="135"/>
      <c r="K684" s="135"/>
      <c r="L684" s="135"/>
    </row>
    <row r="685" spans="2:12" ht="12" customHeight="1" x14ac:dyDescent="0.15">
      <c r="B685" s="2"/>
      <c r="C685" s="4"/>
      <c r="D685" s="4"/>
      <c r="E685" s="4"/>
      <c r="I685" s="135"/>
      <c r="J685" s="135"/>
      <c r="K685" s="135"/>
      <c r="L685" s="135"/>
    </row>
    <row r="686" spans="2:12" ht="12" customHeight="1" x14ac:dyDescent="0.15">
      <c r="B686" s="2"/>
      <c r="C686" s="4"/>
      <c r="D686" s="4"/>
      <c r="E686" s="4"/>
      <c r="I686" s="135"/>
      <c r="J686" s="135"/>
      <c r="K686" s="135"/>
      <c r="L686" s="135"/>
    </row>
    <row r="687" spans="2:12" ht="12" customHeight="1" x14ac:dyDescent="0.15">
      <c r="B687" s="2"/>
      <c r="C687" s="4"/>
      <c r="D687" s="4"/>
      <c r="E687" s="4"/>
      <c r="I687" s="135"/>
      <c r="J687" s="135"/>
      <c r="K687" s="135"/>
      <c r="L687" s="135"/>
    </row>
    <row r="688" spans="2:12" ht="12" customHeight="1" x14ac:dyDescent="0.15">
      <c r="B688" s="2"/>
      <c r="C688" s="4"/>
      <c r="D688" s="4"/>
      <c r="E688" s="4"/>
      <c r="I688" s="135"/>
      <c r="J688" s="135"/>
      <c r="K688" s="135"/>
      <c r="L688" s="135"/>
    </row>
    <row r="689" spans="2:12" ht="12" customHeight="1" x14ac:dyDescent="0.15">
      <c r="B689" s="2"/>
      <c r="C689" s="4"/>
      <c r="D689" s="4"/>
      <c r="E689" s="4"/>
      <c r="I689" s="135"/>
      <c r="J689" s="135"/>
      <c r="K689" s="135"/>
      <c r="L689" s="135"/>
    </row>
    <row r="690" spans="2:12" ht="12" customHeight="1" x14ac:dyDescent="0.15">
      <c r="B690" s="2"/>
      <c r="C690" s="4"/>
      <c r="D690" s="4"/>
      <c r="E690" s="4"/>
      <c r="I690" s="135"/>
      <c r="J690" s="135"/>
      <c r="K690" s="135"/>
      <c r="L690" s="135"/>
    </row>
    <row r="691" spans="2:12" ht="12" customHeight="1" x14ac:dyDescent="0.15">
      <c r="B691" s="2"/>
      <c r="C691" s="4"/>
      <c r="D691" s="4"/>
      <c r="E691" s="4"/>
      <c r="I691" s="135"/>
      <c r="J691" s="135"/>
      <c r="K691" s="135"/>
      <c r="L691" s="135"/>
    </row>
    <row r="692" spans="2:12" ht="12" customHeight="1" x14ac:dyDescent="0.15">
      <c r="B692" s="2"/>
      <c r="C692" s="4"/>
      <c r="D692" s="4"/>
      <c r="E692" s="4"/>
      <c r="I692" s="135"/>
      <c r="J692" s="135"/>
      <c r="K692" s="135"/>
      <c r="L692" s="135"/>
    </row>
    <row r="693" spans="2:12" ht="12" customHeight="1" x14ac:dyDescent="0.15">
      <c r="B693" s="2"/>
      <c r="C693" s="4"/>
      <c r="D693" s="4"/>
      <c r="E693" s="4"/>
      <c r="I693" s="135"/>
      <c r="J693" s="135"/>
      <c r="K693" s="135"/>
      <c r="L693" s="135"/>
    </row>
    <row r="694" spans="2:12" ht="12" customHeight="1" x14ac:dyDescent="0.15">
      <c r="B694" s="2"/>
      <c r="C694" s="4"/>
      <c r="D694" s="4"/>
      <c r="E694" s="4"/>
      <c r="I694" s="135"/>
      <c r="J694" s="135"/>
      <c r="K694" s="135"/>
      <c r="L694" s="135"/>
    </row>
    <row r="695" spans="2:12" ht="12" customHeight="1" x14ac:dyDescent="0.15">
      <c r="B695" s="2"/>
      <c r="C695" s="4"/>
      <c r="D695" s="4"/>
      <c r="E695" s="4"/>
      <c r="I695" s="135"/>
      <c r="J695" s="135"/>
      <c r="K695" s="135"/>
      <c r="L695" s="135"/>
    </row>
    <row r="696" spans="2:12" ht="12" customHeight="1" x14ac:dyDescent="0.15">
      <c r="B696" s="2"/>
      <c r="C696" s="4"/>
      <c r="D696" s="4"/>
      <c r="E696" s="4"/>
      <c r="I696" s="135"/>
      <c r="J696" s="135"/>
      <c r="K696" s="135"/>
      <c r="L696" s="135"/>
    </row>
    <row r="697" spans="2:12" ht="12" customHeight="1" x14ac:dyDescent="0.15">
      <c r="B697" s="2"/>
      <c r="C697" s="4"/>
      <c r="D697" s="4"/>
      <c r="E697" s="4"/>
      <c r="I697" s="135"/>
      <c r="J697" s="135"/>
      <c r="K697" s="135"/>
      <c r="L697" s="135"/>
    </row>
    <row r="698" spans="2:12" ht="12" customHeight="1" x14ac:dyDescent="0.15">
      <c r="B698" s="2"/>
      <c r="C698" s="4"/>
      <c r="D698" s="4"/>
      <c r="E698" s="4"/>
      <c r="I698" s="135"/>
      <c r="J698" s="135"/>
      <c r="K698" s="135"/>
      <c r="L698" s="135"/>
    </row>
    <row r="699" spans="2:12" ht="12" customHeight="1" x14ac:dyDescent="0.15">
      <c r="B699" s="2"/>
      <c r="C699" s="4"/>
      <c r="D699" s="4"/>
      <c r="E699" s="4"/>
      <c r="I699" s="135"/>
      <c r="J699" s="135"/>
      <c r="K699" s="135"/>
      <c r="L699" s="135"/>
    </row>
    <row r="700" spans="2:12" ht="12" customHeight="1" x14ac:dyDescent="0.15">
      <c r="B700" s="2"/>
      <c r="C700" s="4"/>
      <c r="D700" s="4"/>
      <c r="E700" s="4"/>
      <c r="I700" s="135"/>
      <c r="J700" s="135"/>
      <c r="K700" s="135"/>
      <c r="L700" s="135"/>
    </row>
    <row r="701" spans="2:12" ht="12" customHeight="1" x14ac:dyDescent="0.15">
      <c r="B701" s="2"/>
      <c r="C701" s="4"/>
      <c r="D701" s="4"/>
      <c r="E701" s="4"/>
      <c r="I701" s="135"/>
      <c r="J701" s="135"/>
      <c r="K701" s="135"/>
      <c r="L701" s="135"/>
    </row>
    <row r="702" spans="2:12" ht="12" customHeight="1" x14ac:dyDescent="0.15">
      <c r="B702" s="2"/>
      <c r="C702" s="4"/>
      <c r="D702" s="4"/>
      <c r="E702" s="4"/>
      <c r="I702" s="135"/>
      <c r="J702" s="135"/>
      <c r="K702" s="135"/>
      <c r="L702" s="135"/>
    </row>
    <row r="703" spans="2:12" ht="12" customHeight="1" x14ac:dyDescent="0.15">
      <c r="B703" s="2"/>
      <c r="C703" s="4"/>
      <c r="D703" s="4"/>
      <c r="E703" s="4"/>
      <c r="I703" s="135"/>
      <c r="J703" s="135"/>
      <c r="K703" s="135"/>
      <c r="L703" s="135"/>
    </row>
    <row r="704" spans="2:12" ht="12" customHeight="1" x14ac:dyDescent="0.15">
      <c r="B704" s="2"/>
      <c r="C704" s="4"/>
      <c r="D704" s="4"/>
      <c r="E704" s="4"/>
      <c r="I704" s="135"/>
      <c r="J704" s="135"/>
      <c r="K704" s="135"/>
      <c r="L704" s="135"/>
    </row>
    <row r="705" spans="2:12" ht="12" customHeight="1" x14ac:dyDescent="0.15">
      <c r="B705" s="2"/>
      <c r="C705" s="4"/>
      <c r="D705" s="4"/>
      <c r="E705" s="4"/>
      <c r="I705" s="135"/>
      <c r="J705" s="135"/>
      <c r="K705" s="135"/>
      <c r="L705" s="135"/>
    </row>
    <row r="706" spans="2:12" ht="12" customHeight="1" x14ac:dyDescent="0.15">
      <c r="B706" s="2"/>
      <c r="C706" s="4"/>
      <c r="D706" s="4"/>
      <c r="E706" s="4"/>
      <c r="I706" s="135"/>
      <c r="J706" s="135"/>
      <c r="K706" s="135"/>
      <c r="L706" s="135"/>
    </row>
    <row r="707" spans="2:12" ht="12" customHeight="1" x14ac:dyDescent="0.15">
      <c r="B707" s="2"/>
      <c r="C707" s="4"/>
      <c r="D707" s="4"/>
      <c r="E707" s="4"/>
      <c r="I707" s="135"/>
      <c r="J707" s="135"/>
      <c r="K707" s="135"/>
      <c r="L707" s="135"/>
    </row>
    <row r="708" spans="2:12" ht="12" customHeight="1" x14ac:dyDescent="0.15">
      <c r="B708" s="2"/>
      <c r="C708" s="4"/>
      <c r="D708" s="4"/>
      <c r="E708" s="4"/>
      <c r="I708" s="135"/>
      <c r="J708" s="135"/>
      <c r="K708" s="135"/>
      <c r="L708" s="135"/>
    </row>
    <row r="709" spans="2:12" ht="12" customHeight="1" x14ac:dyDescent="0.15">
      <c r="B709" s="2"/>
      <c r="C709" s="4"/>
      <c r="D709" s="4"/>
      <c r="E709" s="4"/>
      <c r="I709" s="135"/>
      <c r="J709" s="135"/>
      <c r="K709" s="135"/>
      <c r="L709" s="135"/>
    </row>
    <row r="710" spans="2:12" ht="12" customHeight="1" x14ac:dyDescent="0.15">
      <c r="B710" s="2"/>
      <c r="C710" s="4"/>
      <c r="D710" s="4"/>
      <c r="E710" s="4"/>
      <c r="I710" s="135"/>
      <c r="J710" s="135"/>
      <c r="K710" s="135"/>
      <c r="L710" s="135"/>
    </row>
    <row r="711" spans="2:12" ht="12" customHeight="1" x14ac:dyDescent="0.15">
      <c r="B711" s="2"/>
      <c r="C711" s="4"/>
      <c r="D711" s="4"/>
      <c r="E711" s="4"/>
      <c r="I711" s="135"/>
      <c r="J711" s="135"/>
      <c r="K711" s="135"/>
      <c r="L711" s="135"/>
    </row>
    <row r="712" spans="2:12" ht="12" customHeight="1" x14ac:dyDescent="0.15">
      <c r="B712" s="2"/>
      <c r="C712" s="4"/>
      <c r="D712" s="4"/>
      <c r="E712" s="4"/>
      <c r="I712" s="135"/>
      <c r="J712" s="135"/>
      <c r="K712" s="135"/>
      <c r="L712" s="135"/>
    </row>
    <row r="713" spans="2:12" ht="12" customHeight="1" x14ac:dyDescent="0.15">
      <c r="B713" s="2"/>
      <c r="C713" s="4"/>
      <c r="D713" s="4"/>
      <c r="E713" s="4"/>
      <c r="I713" s="135"/>
      <c r="J713" s="135"/>
      <c r="K713" s="135"/>
      <c r="L713" s="135"/>
    </row>
    <row r="714" spans="2:12" ht="12" customHeight="1" x14ac:dyDescent="0.15">
      <c r="B714" s="2"/>
      <c r="C714" s="4"/>
      <c r="D714" s="4"/>
      <c r="E714" s="4"/>
      <c r="I714" s="135"/>
      <c r="J714" s="135"/>
      <c r="K714" s="135"/>
      <c r="L714" s="135"/>
    </row>
    <row r="715" spans="2:12" ht="12" customHeight="1" x14ac:dyDescent="0.15">
      <c r="B715" s="2"/>
      <c r="C715" s="4"/>
      <c r="D715" s="4"/>
      <c r="E715" s="4"/>
      <c r="I715" s="135"/>
      <c r="J715" s="135"/>
      <c r="K715" s="135"/>
      <c r="L715" s="135"/>
    </row>
    <row r="716" spans="2:12" ht="12" customHeight="1" x14ac:dyDescent="0.15">
      <c r="B716" s="2"/>
      <c r="C716" s="4"/>
      <c r="D716" s="4"/>
      <c r="E716" s="4"/>
      <c r="I716" s="135"/>
      <c r="J716" s="135"/>
      <c r="K716" s="135"/>
      <c r="L716" s="135"/>
    </row>
    <row r="717" spans="2:12" ht="12" customHeight="1" x14ac:dyDescent="0.15">
      <c r="B717" s="2"/>
      <c r="C717" s="4"/>
      <c r="D717" s="4"/>
      <c r="E717" s="4"/>
      <c r="I717" s="135"/>
      <c r="J717" s="135"/>
      <c r="K717" s="135"/>
      <c r="L717" s="135"/>
    </row>
    <row r="718" spans="2:12" ht="12" customHeight="1" x14ac:dyDescent="0.15">
      <c r="B718" s="2"/>
      <c r="C718" s="4"/>
      <c r="D718" s="4"/>
      <c r="E718" s="4"/>
      <c r="I718" s="135"/>
      <c r="J718" s="135"/>
      <c r="K718" s="135"/>
      <c r="L718" s="135"/>
    </row>
    <row r="719" spans="2:12" ht="12" customHeight="1" x14ac:dyDescent="0.15">
      <c r="B719" s="2"/>
      <c r="C719" s="4"/>
      <c r="D719" s="4"/>
      <c r="E719" s="4"/>
      <c r="I719" s="135"/>
      <c r="J719" s="135"/>
      <c r="K719" s="135"/>
      <c r="L719" s="135"/>
    </row>
    <row r="720" spans="2:12" ht="12" customHeight="1" x14ac:dyDescent="0.15">
      <c r="B720" s="2"/>
      <c r="C720" s="4"/>
      <c r="D720" s="4"/>
      <c r="E720" s="4"/>
      <c r="I720" s="135"/>
      <c r="J720" s="135"/>
      <c r="K720" s="135"/>
      <c r="L720" s="135"/>
    </row>
    <row r="721" spans="2:12" ht="12" customHeight="1" x14ac:dyDescent="0.15">
      <c r="B721" s="2"/>
      <c r="C721" s="4"/>
      <c r="D721" s="4"/>
      <c r="E721" s="4"/>
      <c r="I721" s="135"/>
      <c r="J721" s="135"/>
      <c r="K721" s="135"/>
      <c r="L721" s="135"/>
    </row>
    <row r="722" spans="2:12" ht="12" customHeight="1" x14ac:dyDescent="0.15">
      <c r="B722" s="2"/>
      <c r="C722" s="4"/>
      <c r="D722" s="4"/>
      <c r="E722" s="4"/>
      <c r="I722" s="135"/>
      <c r="J722" s="135"/>
      <c r="K722" s="135"/>
      <c r="L722" s="135"/>
    </row>
    <row r="723" spans="2:12" ht="12" customHeight="1" x14ac:dyDescent="0.15">
      <c r="B723" s="2"/>
      <c r="C723" s="4"/>
      <c r="D723" s="4"/>
      <c r="E723" s="4"/>
      <c r="I723" s="135"/>
      <c r="J723" s="135"/>
      <c r="K723" s="135"/>
      <c r="L723" s="135"/>
    </row>
    <row r="724" spans="2:12" ht="12" customHeight="1" x14ac:dyDescent="0.15">
      <c r="B724" s="2"/>
      <c r="C724" s="4"/>
      <c r="D724" s="4"/>
      <c r="E724" s="4"/>
      <c r="I724" s="135"/>
      <c r="J724" s="135"/>
      <c r="K724" s="135"/>
      <c r="L724" s="135"/>
    </row>
    <row r="725" spans="2:12" ht="12" customHeight="1" x14ac:dyDescent="0.15">
      <c r="B725" s="2"/>
      <c r="C725" s="4"/>
      <c r="D725" s="4"/>
      <c r="E725" s="4"/>
      <c r="I725" s="135"/>
      <c r="J725" s="135"/>
      <c r="K725" s="135"/>
      <c r="L725" s="135"/>
    </row>
    <row r="726" spans="2:12" ht="12" customHeight="1" x14ac:dyDescent="0.15">
      <c r="B726" s="2"/>
      <c r="C726" s="4"/>
      <c r="D726" s="4"/>
      <c r="E726" s="4"/>
      <c r="I726" s="135"/>
      <c r="J726" s="135"/>
      <c r="K726" s="135"/>
      <c r="L726" s="135"/>
    </row>
    <row r="727" spans="2:12" ht="12" customHeight="1" x14ac:dyDescent="0.15">
      <c r="B727" s="2"/>
      <c r="C727" s="4"/>
      <c r="D727" s="4"/>
      <c r="E727" s="4"/>
      <c r="I727" s="135"/>
      <c r="J727" s="135"/>
      <c r="K727" s="135"/>
      <c r="L727" s="135"/>
    </row>
    <row r="728" spans="2:12" ht="12" customHeight="1" x14ac:dyDescent="0.15">
      <c r="B728" s="2"/>
      <c r="C728" s="4"/>
      <c r="D728" s="4"/>
      <c r="E728" s="4"/>
      <c r="I728" s="135"/>
      <c r="J728" s="135"/>
      <c r="K728" s="135"/>
      <c r="L728" s="135"/>
    </row>
    <row r="729" spans="2:12" ht="12" customHeight="1" x14ac:dyDescent="0.15">
      <c r="B729" s="2"/>
      <c r="C729" s="4"/>
      <c r="D729" s="4"/>
      <c r="E729" s="4"/>
      <c r="I729" s="135"/>
      <c r="J729" s="135"/>
      <c r="K729" s="135"/>
      <c r="L729" s="135"/>
    </row>
    <row r="730" spans="2:12" ht="12" customHeight="1" x14ac:dyDescent="0.15">
      <c r="B730" s="2"/>
      <c r="C730" s="4"/>
      <c r="D730" s="4"/>
      <c r="E730" s="4"/>
      <c r="I730" s="135"/>
      <c r="J730" s="135"/>
      <c r="K730" s="135"/>
      <c r="L730" s="135"/>
    </row>
    <row r="731" spans="2:12" ht="12" customHeight="1" x14ac:dyDescent="0.15">
      <c r="B731" s="2"/>
      <c r="C731" s="4"/>
      <c r="D731" s="4"/>
      <c r="E731" s="4"/>
      <c r="I731" s="135"/>
      <c r="J731" s="135"/>
      <c r="K731" s="135"/>
      <c r="L731" s="135"/>
    </row>
    <row r="732" spans="2:12" ht="12" customHeight="1" x14ac:dyDescent="0.15">
      <c r="B732" s="2"/>
      <c r="C732" s="4"/>
      <c r="D732" s="4"/>
      <c r="E732" s="4"/>
      <c r="I732" s="135"/>
      <c r="J732" s="135"/>
      <c r="K732" s="135"/>
      <c r="L732" s="135"/>
    </row>
    <row r="733" spans="2:12" ht="12" customHeight="1" x14ac:dyDescent="0.15">
      <c r="B733" s="2"/>
      <c r="C733" s="4"/>
      <c r="D733" s="4"/>
      <c r="E733" s="4"/>
      <c r="I733" s="135"/>
      <c r="J733" s="135"/>
      <c r="K733" s="135"/>
      <c r="L733" s="135"/>
    </row>
    <row r="734" spans="2:12" ht="12" customHeight="1" x14ac:dyDescent="0.15">
      <c r="B734" s="2"/>
      <c r="C734" s="4"/>
      <c r="D734" s="4"/>
      <c r="E734" s="4"/>
      <c r="I734" s="135"/>
      <c r="J734" s="135"/>
      <c r="K734" s="135"/>
      <c r="L734" s="135"/>
    </row>
    <row r="735" spans="2:12" ht="12" customHeight="1" x14ac:dyDescent="0.15">
      <c r="B735" s="2"/>
      <c r="C735" s="4"/>
      <c r="D735" s="4"/>
      <c r="E735" s="4"/>
      <c r="I735" s="135"/>
      <c r="J735" s="135"/>
      <c r="K735" s="135"/>
      <c r="L735" s="135"/>
    </row>
    <row r="736" spans="2:12" ht="12" customHeight="1" x14ac:dyDescent="0.15">
      <c r="B736" s="2"/>
      <c r="C736" s="4"/>
      <c r="D736" s="4"/>
      <c r="E736" s="4"/>
      <c r="I736" s="135"/>
      <c r="J736" s="135"/>
      <c r="K736" s="135"/>
      <c r="L736" s="135"/>
    </row>
    <row r="737" spans="2:12" ht="12" customHeight="1" x14ac:dyDescent="0.15">
      <c r="B737" s="2"/>
      <c r="C737" s="4"/>
      <c r="D737" s="4"/>
      <c r="E737" s="4"/>
      <c r="I737" s="135"/>
      <c r="J737" s="135"/>
      <c r="K737" s="135"/>
      <c r="L737" s="135"/>
    </row>
    <row r="738" spans="2:12" ht="12" customHeight="1" x14ac:dyDescent="0.15">
      <c r="B738" s="2"/>
      <c r="C738" s="4"/>
      <c r="D738" s="4"/>
      <c r="E738" s="4"/>
      <c r="I738" s="135"/>
      <c r="J738" s="135"/>
      <c r="K738" s="135"/>
      <c r="L738" s="135"/>
    </row>
    <row r="739" spans="2:12" ht="12" customHeight="1" x14ac:dyDescent="0.15">
      <c r="B739" s="2"/>
      <c r="C739" s="4"/>
      <c r="D739" s="4"/>
      <c r="E739" s="4"/>
      <c r="I739" s="135"/>
      <c r="J739" s="135"/>
      <c r="K739" s="135"/>
      <c r="L739" s="135"/>
    </row>
    <row r="740" spans="2:12" ht="12" customHeight="1" x14ac:dyDescent="0.15">
      <c r="B740" s="2"/>
      <c r="C740" s="4"/>
      <c r="D740" s="4"/>
      <c r="E740" s="4"/>
      <c r="I740" s="135"/>
      <c r="J740" s="135"/>
      <c r="K740" s="135"/>
      <c r="L740" s="135"/>
    </row>
    <row r="741" spans="2:12" ht="12" customHeight="1" x14ac:dyDescent="0.15">
      <c r="B741" s="2"/>
      <c r="C741" s="4"/>
      <c r="D741" s="4"/>
      <c r="E741" s="4"/>
      <c r="I741" s="135"/>
      <c r="J741" s="135"/>
      <c r="K741" s="135"/>
      <c r="L741" s="135"/>
    </row>
    <row r="742" spans="2:12" ht="12" customHeight="1" x14ac:dyDescent="0.15">
      <c r="B742" s="2"/>
      <c r="C742" s="4"/>
      <c r="D742" s="4"/>
      <c r="E742" s="4"/>
      <c r="I742" s="135"/>
      <c r="J742" s="135"/>
      <c r="K742" s="135"/>
      <c r="L742" s="135"/>
    </row>
    <row r="743" spans="2:12" ht="12" customHeight="1" x14ac:dyDescent="0.15">
      <c r="B743" s="2"/>
      <c r="C743" s="4"/>
      <c r="D743" s="4"/>
      <c r="E743" s="4"/>
      <c r="I743" s="135"/>
      <c r="J743" s="135"/>
      <c r="K743" s="135"/>
      <c r="L743" s="135"/>
    </row>
    <row r="744" spans="2:12" ht="12" customHeight="1" x14ac:dyDescent="0.15">
      <c r="B744" s="2"/>
      <c r="C744" s="4"/>
      <c r="D744" s="4"/>
      <c r="E744" s="4"/>
      <c r="I744" s="135"/>
      <c r="J744" s="135"/>
      <c r="K744" s="135"/>
      <c r="L744" s="135"/>
    </row>
    <row r="745" spans="2:12" ht="12" customHeight="1" x14ac:dyDescent="0.15">
      <c r="B745" s="2"/>
      <c r="C745" s="4"/>
      <c r="D745" s="4"/>
      <c r="E745" s="4"/>
      <c r="I745" s="135"/>
      <c r="J745" s="135"/>
      <c r="K745" s="135"/>
      <c r="L745" s="135"/>
    </row>
    <row r="746" spans="2:12" ht="12" customHeight="1" x14ac:dyDescent="0.15">
      <c r="B746" s="2"/>
      <c r="C746" s="4"/>
      <c r="D746" s="4"/>
      <c r="E746" s="4"/>
      <c r="I746" s="135"/>
      <c r="J746" s="135"/>
      <c r="K746" s="135"/>
      <c r="L746" s="135"/>
    </row>
    <row r="747" spans="2:12" ht="12" customHeight="1" x14ac:dyDescent="0.15">
      <c r="B747" s="2"/>
      <c r="C747" s="4"/>
      <c r="D747" s="4"/>
      <c r="E747" s="4"/>
      <c r="I747" s="135"/>
      <c r="J747" s="135"/>
      <c r="K747" s="135"/>
      <c r="L747" s="135"/>
    </row>
    <row r="748" spans="2:12" ht="12" customHeight="1" x14ac:dyDescent="0.15">
      <c r="B748" s="2"/>
      <c r="C748" s="4"/>
      <c r="D748" s="4"/>
      <c r="E748" s="4"/>
      <c r="I748" s="135"/>
      <c r="J748" s="135"/>
      <c r="K748" s="135"/>
      <c r="L748" s="135"/>
    </row>
    <row r="749" spans="2:12" ht="12" customHeight="1" x14ac:dyDescent="0.15">
      <c r="B749" s="2"/>
      <c r="C749" s="4"/>
      <c r="D749" s="4"/>
      <c r="E749" s="4"/>
      <c r="I749" s="135"/>
      <c r="J749" s="135"/>
      <c r="K749" s="135"/>
      <c r="L749" s="135"/>
    </row>
    <row r="750" spans="2:12" ht="12" customHeight="1" x14ac:dyDescent="0.15">
      <c r="B750" s="2"/>
      <c r="C750" s="4"/>
      <c r="D750" s="4"/>
      <c r="E750" s="4"/>
      <c r="I750" s="135"/>
      <c r="J750" s="135"/>
      <c r="K750" s="135"/>
      <c r="L750" s="135"/>
    </row>
    <row r="751" spans="2:12" ht="12" customHeight="1" x14ac:dyDescent="0.15">
      <c r="B751" s="2"/>
      <c r="C751" s="4"/>
      <c r="D751" s="4"/>
      <c r="E751" s="4"/>
      <c r="I751" s="135"/>
      <c r="J751" s="135"/>
      <c r="K751" s="135"/>
      <c r="L751" s="135"/>
    </row>
    <row r="752" spans="2:12" ht="12" customHeight="1" x14ac:dyDescent="0.15">
      <c r="B752" s="2"/>
      <c r="C752" s="4"/>
      <c r="D752" s="4"/>
      <c r="E752" s="4"/>
      <c r="I752" s="135"/>
      <c r="J752" s="135"/>
      <c r="K752" s="135"/>
      <c r="L752" s="135"/>
    </row>
    <row r="753" spans="2:12" ht="12" customHeight="1" x14ac:dyDescent="0.15">
      <c r="B753" s="2"/>
      <c r="C753" s="4"/>
      <c r="D753" s="4"/>
      <c r="E753" s="4"/>
      <c r="I753" s="135"/>
      <c r="J753" s="135"/>
      <c r="K753" s="135"/>
      <c r="L753" s="135"/>
    </row>
    <row r="754" spans="2:12" ht="12" customHeight="1" x14ac:dyDescent="0.15">
      <c r="B754" s="2"/>
      <c r="C754" s="4"/>
      <c r="D754" s="4"/>
      <c r="E754" s="4"/>
      <c r="I754" s="135"/>
      <c r="J754" s="135"/>
      <c r="K754" s="135"/>
      <c r="L754" s="135"/>
    </row>
    <row r="755" spans="2:12" ht="12" customHeight="1" x14ac:dyDescent="0.15">
      <c r="B755" s="2"/>
      <c r="C755" s="4"/>
      <c r="D755" s="4"/>
      <c r="E755" s="4"/>
      <c r="I755" s="135"/>
      <c r="J755" s="135"/>
      <c r="K755" s="135"/>
      <c r="L755" s="135"/>
    </row>
    <row r="756" spans="2:12" ht="12" customHeight="1" x14ac:dyDescent="0.15">
      <c r="B756" s="2"/>
      <c r="C756" s="4"/>
      <c r="D756" s="4"/>
      <c r="E756" s="4"/>
      <c r="I756" s="135"/>
      <c r="J756" s="135"/>
      <c r="K756" s="135"/>
      <c r="L756" s="135"/>
    </row>
    <row r="757" spans="2:12" ht="12" customHeight="1" x14ac:dyDescent="0.15">
      <c r="B757" s="2"/>
      <c r="C757" s="4"/>
      <c r="D757" s="4"/>
      <c r="E757" s="4"/>
      <c r="I757" s="135"/>
      <c r="J757" s="135"/>
      <c r="K757" s="135"/>
      <c r="L757" s="135"/>
    </row>
    <row r="758" spans="2:12" ht="12" customHeight="1" x14ac:dyDescent="0.15">
      <c r="B758" s="2"/>
      <c r="C758" s="4"/>
      <c r="D758" s="4"/>
      <c r="E758" s="4"/>
      <c r="I758" s="135"/>
      <c r="J758" s="135"/>
      <c r="K758" s="135"/>
      <c r="L758" s="135"/>
    </row>
    <row r="759" spans="2:12" ht="12" customHeight="1" x14ac:dyDescent="0.15">
      <c r="B759" s="2"/>
      <c r="C759" s="4"/>
      <c r="D759" s="4"/>
      <c r="E759" s="4"/>
      <c r="I759" s="135"/>
      <c r="J759" s="135"/>
      <c r="K759" s="135"/>
      <c r="L759" s="135"/>
    </row>
    <row r="760" spans="2:12" ht="12" customHeight="1" x14ac:dyDescent="0.15">
      <c r="B760" s="2"/>
      <c r="C760" s="4"/>
      <c r="D760" s="4"/>
      <c r="E760" s="4"/>
      <c r="I760" s="135"/>
      <c r="J760" s="135"/>
      <c r="K760" s="135"/>
      <c r="L760" s="135"/>
    </row>
    <row r="761" spans="2:12" ht="12" customHeight="1" x14ac:dyDescent="0.15">
      <c r="B761" s="2"/>
      <c r="C761" s="4"/>
      <c r="D761" s="4"/>
      <c r="E761" s="4"/>
      <c r="I761" s="135"/>
      <c r="J761" s="135"/>
      <c r="K761" s="135"/>
      <c r="L761" s="135"/>
    </row>
    <row r="762" spans="2:12" ht="12" customHeight="1" x14ac:dyDescent="0.15">
      <c r="B762" s="2"/>
      <c r="C762" s="4"/>
      <c r="D762" s="4"/>
      <c r="E762" s="4"/>
      <c r="I762" s="135"/>
      <c r="J762" s="135"/>
      <c r="K762" s="135"/>
      <c r="L762" s="135"/>
    </row>
    <row r="763" spans="2:12" ht="12" customHeight="1" x14ac:dyDescent="0.15">
      <c r="B763" s="2"/>
      <c r="C763" s="4"/>
      <c r="D763" s="4"/>
      <c r="E763" s="4"/>
      <c r="I763" s="135"/>
      <c r="J763" s="135"/>
      <c r="K763" s="135"/>
      <c r="L763" s="135"/>
    </row>
    <row r="764" spans="2:12" ht="12" customHeight="1" x14ac:dyDescent="0.15">
      <c r="B764" s="2"/>
      <c r="C764" s="4"/>
      <c r="D764" s="4"/>
      <c r="E764" s="4"/>
      <c r="I764" s="135"/>
      <c r="J764" s="135"/>
      <c r="K764" s="135"/>
      <c r="L764" s="135"/>
    </row>
    <row r="765" spans="2:12" ht="12" customHeight="1" x14ac:dyDescent="0.15">
      <c r="B765" s="2"/>
      <c r="C765" s="4"/>
      <c r="D765" s="4"/>
      <c r="E765" s="4"/>
      <c r="I765" s="135"/>
      <c r="J765" s="135"/>
      <c r="K765" s="135"/>
      <c r="L765" s="135"/>
    </row>
    <row r="766" spans="2:12" ht="12" customHeight="1" x14ac:dyDescent="0.15">
      <c r="B766" s="2"/>
      <c r="C766" s="4"/>
      <c r="D766" s="4"/>
      <c r="E766" s="4"/>
      <c r="I766" s="135"/>
      <c r="J766" s="135"/>
      <c r="K766" s="135"/>
      <c r="L766" s="135"/>
    </row>
    <row r="767" spans="2:12" ht="12" customHeight="1" x14ac:dyDescent="0.15">
      <c r="B767" s="2"/>
      <c r="C767" s="4"/>
      <c r="D767" s="4"/>
      <c r="E767" s="4"/>
      <c r="I767" s="135"/>
      <c r="J767" s="135"/>
      <c r="K767" s="135"/>
      <c r="L767" s="135"/>
    </row>
    <row r="768" spans="2:12" ht="12" customHeight="1" x14ac:dyDescent="0.15">
      <c r="B768" s="2"/>
      <c r="C768" s="4"/>
      <c r="D768" s="4"/>
      <c r="E768" s="4"/>
      <c r="I768" s="135"/>
      <c r="J768" s="135"/>
      <c r="K768" s="135"/>
      <c r="L768" s="135"/>
    </row>
    <row r="769" spans="2:12" ht="12" customHeight="1" x14ac:dyDescent="0.15">
      <c r="B769" s="2"/>
      <c r="C769" s="4"/>
      <c r="D769" s="4"/>
      <c r="E769" s="4"/>
      <c r="I769" s="135"/>
      <c r="J769" s="135"/>
      <c r="K769" s="135"/>
      <c r="L769" s="135"/>
    </row>
    <row r="770" spans="2:12" ht="12" customHeight="1" x14ac:dyDescent="0.15">
      <c r="B770" s="2"/>
      <c r="C770" s="4"/>
      <c r="D770" s="4"/>
      <c r="E770" s="4"/>
      <c r="I770" s="135"/>
      <c r="J770" s="135"/>
      <c r="K770" s="135"/>
      <c r="L770" s="135"/>
    </row>
    <row r="771" spans="2:12" ht="12" customHeight="1" x14ac:dyDescent="0.15">
      <c r="B771" s="2"/>
      <c r="C771" s="4"/>
      <c r="D771" s="4"/>
      <c r="E771" s="4"/>
      <c r="I771" s="135"/>
      <c r="J771" s="135"/>
      <c r="K771" s="135"/>
      <c r="L771" s="135"/>
    </row>
    <row r="772" spans="2:12" ht="12" customHeight="1" x14ac:dyDescent="0.15">
      <c r="B772" s="2"/>
      <c r="C772" s="4"/>
      <c r="D772" s="4"/>
      <c r="E772" s="4"/>
      <c r="I772" s="135"/>
      <c r="J772" s="135"/>
      <c r="K772" s="135"/>
      <c r="L772" s="135"/>
    </row>
    <row r="773" spans="2:12" ht="12" customHeight="1" x14ac:dyDescent="0.15">
      <c r="B773" s="2"/>
      <c r="C773" s="4"/>
      <c r="D773" s="4"/>
      <c r="E773" s="4"/>
      <c r="I773" s="135"/>
      <c r="J773" s="135"/>
      <c r="K773" s="135"/>
      <c r="L773" s="135"/>
    </row>
    <row r="774" spans="2:12" ht="12" customHeight="1" x14ac:dyDescent="0.15">
      <c r="B774" s="2"/>
      <c r="C774" s="4"/>
      <c r="D774" s="4"/>
      <c r="E774" s="4"/>
      <c r="I774" s="135"/>
      <c r="J774" s="135"/>
      <c r="K774" s="135"/>
      <c r="L774" s="135"/>
    </row>
    <row r="775" spans="2:12" ht="12" customHeight="1" x14ac:dyDescent="0.15">
      <c r="B775" s="2"/>
      <c r="C775" s="4"/>
      <c r="D775" s="4"/>
      <c r="E775" s="4"/>
      <c r="I775" s="135"/>
      <c r="J775" s="135"/>
      <c r="K775" s="135"/>
      <c r="L775" s="135"/>
    </row>
    <row r="776" spans="2:12" ht="12" customHeight="1" x14ac:dyDescent="0.15">
      <c r="B776" s="2"/>
      <c r="C776" s="4"/>
      <c r="D776" s="4"/>
      <c r="E776" s="4"/>
      <c r="I776" s="135"/>
      <c r="J776" s="135"/>
      <c r="K776" s="135"/>
      <c r="L776" s="135"/>
    </row>
    <row r="777" spans="2:12" ht="12" customHeight="1" x14ac:dyDescent="0.15">
      <c r="B777" s="2"/>
      <c r="C777" s="4"/>
      <c r="D777" s="4"/>
      <c r="E777" s="4"/>
      <c r="I777" s="135"/>
      <c r="J777" s="135"/>
      <c r="K777" s="135"/>
      <c r="L777" s="135"/>
    </row>
    <row r="778" spans="2:12" ht="12" customHeight="1" x14ac:dyDescent="0.15">
      <c r="B778" s="2"/>
      <c r="C778" s="4"/>
      <c r="D778" s="4"/>
      <c r="E778" s="4"/>
      <c r="I778" s="135"/>
      <c r="J778" s="135"/>
      <c r="K778" s="135"/>
      <c r="L778" s="135"/>
    </row>
    <row r="779" spans="2:12" ht="12" customHeight="1" x14ac:dyDescent="0.15">
      <c r="B779" s="2"/>
      <c r="C779" s="4"/>
      <c r="D779" s="4"/>
      <c r="E779" s="4"/>
      <c r="I779" s="135"/>
      <c r="J779" s="135"/>
      <c r="K779" s="135"/>
      <c r="L779" s="135"/>
    </row>
    <row r="780" spans="2:12" ht="12" customHeight="1" x14ac:dyDescent="0.15">
      <c r="B780" s="2"/>
      <c r="C780" s="4"/>
      <c r="D780" s="4"/>
      <c r="E780" s="4"/>
      <c r="I780" s="135"/>
      <c r="J780" s="135"/>
      <c r="K780" s="135"/>
      <c r="L780" s="135"/>
    </row>
    <row r="781" spans="2:12" ht="12" customHeight="1" x14ac:dyDescent="0.15">
      <c r="B781" s="2"/>
      <c r="C781" s="4"/>
      <c r="D781" s="4"/>
      <c r="E781" s="4"/>
      <c r="I781" s="135"/>
      <c r="J781" s="135"/>
      <c r="K781" s="135"/>
      <c r="L781" s="135"/>
    </row>
    <row r="782" spans="2:12" ht="12" customHeight="1" x14ac:dyDescent="0.15">
      <c r="B782" s="2"/>
      <c r="C782" s="4"/>
      <c r="D782" s="4"/>
      <c r="E782" s="4"/>
      <c r="I782" s="135"/>
      <c r="J782" s="135"/>
      <c r="K782" s="135"/>
      <c r="L782" s="135"/>
    </row>
    <row r="783" spans="2:12" ht="12" customHeight="1" x14ac:dyDescent="0.15">
      <c r="B783" s="2"/>
      <c r="C783" s="4"/>
      <c r="D783" s="4"/>
      <c r="E783" s="4"/>
      <c r="I783" s="135"/>
      <c r="J783" s="135"/>
      <c r="K783" s="135"/>
      <c r="L783" s="135"/>
    </row>
    <row r="784" spans="2:12" ht="12" customHeight="1" x14ac:dyDescent="0.15">
      <c r="B784" s="2"/>
      <c r="C784" s="4"/>
      <c r="D784" s="4"/>
      <c r="E784" s="4"/>
      <c r="I784" s="135"/>
      <c r="J784" s="135"/>
      <c r="K784" s="135"/>
      <c r="L784" s="135"/>
    </row>
    <row r="785" spans="2:12" ht="12" customHeight="1" x14ac:dyDescent="0.15">
      <c r="B785" s="2"/>
      <c r="C785" s="4"/>
      <c r="D785" s="4"/>
      <c r="E785" s="4"/>
      <c r="I785" s="135"/>
      <c r="J785" s="135"/>
      <c r="K785" s="135"/>
      <c r="L785" s="135"/>
    </row>
    <row r="786" spans="2:12" ht="12" customHeight="1" x14ac:dyDescent="0.15">
      <c r="B786" s="2"/>
      <c r="C786" s="4"/>
      <c r="D786" s="4"/>
      <c r="E786" s="4"/>
      <c r="I786" s="135"/>
      <c r="J786" s="135"/>
      <c r="K786" s="135"/>
      <c r="L786" s="135"/>
    </row>
    <row r="787" spans="2:12" ht="12" customHeight="1" x14ac:dyDescent="0.15">
      <c r="B787" s="2"/>
      <c r="C787" s="4"/>
      <c r="D787" s="4"/>
      <c r="E787" s="4"/>
      <c r="I787" s="135"/>
      <c r="J787" s="135"/>
      <c r="K787" s="135"/>
      <c r="L787" s="135"/>
    </row>
    <row r="788" spans="2:12" ht="12" customHeight="1" x14ac:dyDescent="0.15">
      <c r="B788" s="2"/>
      <c r="C788" s="4"/>
      <c r="D788" s="4"/>
      <c r="E788" s="4"/>
      <c r="I788" s="135"/>
      <c r="J788" s="135"/>
      <c r="K788" s="135"/>
      <c r="L788" s="135"/>
    </row>
    <row r="789" spans="2:12" ht="12" customHeight="1" x14ac:dyDescent="0.15">
      <c r="B789" s="2"/>
      <c r="C789" s="4"/>
      <c r="D789" s="4"/>
      <c r="E789" s="4"/>
      <c r="I789" s="135"/>
      <c r="J789" s="135"/>
      <c r="K789" s="135"/>
      <c r="L789" s="135"/>
    </row>
    <row r="790" spans="2:12" ht="12" customHeight="1" x14ac:dyDescent="0.15">
      <c r="B790" s="2"/>
      <c r="C790" s="4"/>
      <c r="D790" s="4"/>
      <c r="E790" s="4"/>
      <c r="I790" s="135"/>
      <c r="J790" s="135"/>
      <c r="K790" s="135"/>
      <c r="L790" s="135"/>
    </row>
    <row r="791" spans="2:12" ht="12" customHeight="1" x14ac:dyDescent="0.15">
      <c r="B791" s="2"/>
      <c r="C791" s="4"/>
      <c r="D791" s="4"/>
      <c r="E791" s="4"/>
      <c r="I791" s="135"/>
      <c r="J791" s="135"/>
      <c r="K791" s="135"/>
      <c r="L791" s="135"/>
    </row>
    <row r="792" spans="2:12" ht="12" customHeight="1" x14ac:dyDescent="0.15">
      <c r="B792" s="2"/>
      <c r="C792" s="4"/>
      <c r="D792" s="4"/>
      <c r="E792" s="4"/>
      <c r="I792" s="135"/>
      <c r="J792" s="135"/>
      <c r="K792" s="135"/>
      <c r="L792" s="135"/>
    </row>
    <row r="793" spans="2:12" ht="12" customHeight="1" x14ac:dyDescent="0.15">
      <c r="B793" s="2"/>
      <c r="C793" s="4"/>
      <c r="D793" s="4"/>
      <c r="E793" s="4"/>
      <c r="I793" s="135"/>
      <c r="J793" s="135"/>
      <c r="K793" s="135"/>
      <c r="L793" s="135"/>
    </row>
    <row r="794" spans="2:12" ht="12" customHeight="1" x14ac:dyDescent="0.15">
      <c r="B794" s="2"/>
      <c r="C794" s="4"/>
      <c r="D794" s="4"/>
      <c r="E794" s="4"/>
      <c r="I794" s="135"/>
      <c r="J794" s="135"/>
      <c r="K794" s="135"/>
      <c r="L794" s="135"/>
    </row>
    <row r="795" spans="2:12" ht="12" customHeight="1" x14ac:dyDescent="0.15">
      <c r="B795" s="2"/>
      <c r="C795" s="4"/>
      <c r="D795" s="4"/>
      <c r="E795" s="4"/>
      <c r="I795" s="135"/>
      <c r="J795" s="135"/>
      <c r="K795" s="135"/>
      <c r="L795" s="135"/>
    </row>
    <row r="796" spans="2:12" ht="12" customHeight="1" x14ac:dyDescent="0.15">
      <c r="B796" s="2"/>
      <c r="C796" s="4"/>
      <c r="D796" s="4"/>
      <c r="E796" s="4"/>
      <c r="I796" s="135"/>
      <c r="J796" s="135"/>
      <c r="K796" s="135"/>
      <c r="L796" s="135"/>
    </row>
    <row r="797" spans="2:12" ht="12" customHeight="1" x14ac:dyDescent="0.15">
      <c r="B797" s="2"/>
      <c r="C797" s="4"/>
      <c r="D797" s="4"/>
      <c r="E797" s="4"/>
      <c r="I797" s="135"/>
      <c r="J797" s="135"/>
      <c r="K797" s="135"/>
      <c r="L797" s="135"/>
    </row>
    <row r="798" spans="2:12" ht="12" customHeight="1" x14ac:dyDescent="0.15">
      <c r="B798" s="2"/>
      <c r="C798" s="4"/>
      <c r="D798" s="4"/>
      <c r="E798" s="4"/>
      <c r="I798" s="135"/>
      <c r="J798" s="135"/>
      <c r="K798" s="135"/>
      <c r="L798" s="135"/>
    </row>
    <row r="799" spans="2:12" ht="12" customHeight="1" x14ac:dyDescent="0.15">
      <c r="B799" s="2"/>
      <c r="C799" s="4"/>
      <c r="D799" s="4"/>
      <c r="E799" s="4"/>
      <c r="I799" s="135"/>
      <c r="J799" s="135"/>
      <c r="K799" s="135"/>
      <c r="L799" s="135"/>
    </row>
    <row r="800" spans="2:12" ht="12" customHeight="1" x14ac:dyDescent="0.15">
      <c r="B800" s="2"/>
      <c r="C800" s="4"/>
      <c r="D800" s="4"/>
      <c r="E800" s="4"/>
      <c r="I800" s="135"/>
      <c r="J800" s="135"/>
      <c r="K800" s="135"/>
      <c r="L800" s="135"/>
    </row>
    <row r="801" spans="2:12" ht="12" customHeight="1" x14ac:dyDescent="0.15">
      <c r="B801" s="2"/>
      <c r="C801" s="4"/>
      <c r="D801" s="4"/>
      <c r="E801" s="4"/>
      <c r="I801" s="135"/>
      <c r="J801" s="135"/>
      <c r="K801" s="135"/>
      <c r="L801" s="135"/>
    </row>
    <row r="802" spans="2:12" ht="12" customHeight="1" x14ac:dyDescent="0.15">
      <c r="B802" s="2"/>
      <c r="C802" s="4"/>
      <c r="D802" s="4"/>
      <c r="E802" s="4"/>
      <c r="I802" s="135"/>
      <c r="J802" s="135"/>
      <c r="K802" s="135"/>
      <c r="L802" s="135"/>
    </row>
    <row r="803" spans="2:12" ht="12" customHeight="1" x14ac:dyDescent="0.15">
      <c r="B803" s="2"/>
      <c r="C803" s="4"/>
      <c r="D803" s="4"/>
      <c r="E803" s="4"/>
      <c r="I803" s="135"/>
      <c r="J803" s="135"/>
      <c r="K803" s="135"/>
      <c r="L803" s="135"/>
    </row>
    <row r="804" spans="2:12" ht="12" customHeight="1" x14ac:dyDescent="0.15">
      <c r="B804" s="2"/>
      <c r="C804" s="4"/>
      <c r="D804" s="4"/>
      <c r="E804" s="4"/>
      <c r="I804" s="135"/>
      <c r="J804" s="135"/>
      <c r="K804" s="135"/>
      <c r="L804" s="135"/>
    </row>
    <row r="805" spans="2:12" ht="12" customHeight="1" x14ac:dyDescent="0.15">
      <c r="B805" s="2"/>
      <c r="C805" s="4"/>
      <c r="D805" s="4"/>
      <c r="E805" s="4"/>
      <c r="I805" s="135"/>
      <c r="J805" s="135"/>
      <c r="K805" s="135"/>
      <c r="L805" s="135"/>
    </row>
    <row r="806" spans="2:12" ht="12" customHeight="1" x14ac:dyDescent="0.15">
      <c r="B806" s="2"/>
      <c r="C806" s="4"/>
      <c r="D806" s="4"/>
      <c r="E806" s="4"/>
      <c r="I806" s="135"/>
      <c r="J806" s="135"/>
      <c r="K806" s="135"/>
      <c r="L806" s="135"/>
    </row>
    <row r="807" spans="2:12" ht="12" customHeight="1" x14ac:dyDescent="0.15">
      <c r="B807" s="2"/>
      <c r="C807" s="4"/>
      <c r="D807" s="4"/>
      <c r="E807" s="4"/>
      <c r="I807" s="135"/>
      <c r="J807" s="135"/>
      <c r="K807" s="135"/>
      <c r="L807" s="135"/>
    </row>
    <row r="808" spans="2:12" ht="12" customHeight="1" x14ac:dyDescent="0.15">
      <c r="B808" s="2"/>
      <c r="C808" s="4"/>
      <c r="D808" s="4"/>
      <c r="E808" s="4"/>
      <c r="I808" s="135"/>
      <c r="J808" s="135"/>
      <c r="K808" s="135"/>
      <c r="L808" s="135"/>
    </row>
    <row r="809" spans="2:12" ht="12" customHeight="1" x14ac:dyDescent="0.15">
      <c r="B809" s="2"/>
      <c r="C809" s="4"/>
      <c r="D809" s="4"/>
      <c r="E809" s="4"/>
      <c r="I809" s="135"/>
      <c r="J809" s="135"/>
      <c r="K809" s="135"/>
      <c r="L809" s="135"/>
    </row>
    <row r="810" spans="2:12" ht="12" customHeight="1" x14ac:dyDescent="0.15">
      <c r="B810" s="2"/>
      <c r="C810" s="4"/>
      <c r="D810" s="4"/>
      <c r="E810" s="4"/>
      <c r="I810" s="135"/>
      <c r="J810" s="135"/>
      <c r="K810" s="135"/>
      <c r="L810" s="135"/>
    </row>
    <row r="811" spans="2:12" ht="12" customHeight="1" x14ac:dyDescent="0.15">
      <c r="B811" s="2"/>
      <c r="C811" s="4"/>
      <c r="D811" s="4"/>
      <c r="E811" s="4"/>
      <c r="I811" s="135"/>
      <c r="J811" s="135"/>
      <c r="K811" s="135"/>
      <c r="L811" s="135"/>
    </row>
    <row r="812" spans="2:12" ht="12" customHeight="1" x14ac:dyDescent="0.15">
      <c r="B812" s="2"/>
      <c r="C812" s="4"/>
      <c r="D812" s="4"/>
      <c r="E812" s="4"/>
      <c r="I812" s="135"/>
      <c r="J812" s="135"/>
      <c r="K812" s="135"/>
      <c r="L812" s="135"/>
    </row>
    <row r="813" spans="2:12" ht="12" customHeight="1" x14ac:dyDescent="0.15">
      <c r="B813" s="2"/>
      <c r="C813" s="4"/>
      <c r="D813" s="4"/>
      <c r="E813" s="4"/>
      <c r="I813" s="135"/>
      <c r="J813" s="135"/>
      <c r="K813" s="135"/>
      <c r="L813" s="135"/>
    </row>
    <row r="814" spans="2:12" ht="12" customHeight="1" x14ac:dyDescent="0.15">
      <c r="B814" s="2"/>
      <c r="C814" s="4"/>
      <c r="D814" s="4"/>
      <c r="E814" s="4"/>
      <c r="I814" s="135"/>
      <c r="J814" s="135"/>
      <c r="K814" s="135"/>
      <c r="L814" s="135"/>
    </row>
    <row r="815" spans="2:12" ht="12" customHeight="1" x14ac:dyDescent="0.15">
      <c r="B815" s="2"/>
      <c r="C815" s="4"/>
      <c r="D815" s="4"/>
      <c r="E815" s="4"/>
      <c r="I815" s="135"/>
      <c r="J815" s="135"/>
      <c r="K815" s="135"/>
      <c r="L815" s="135"/>
    </row>
    <row r="816" spans="2:12" ht="12" customHeight="1" x14ac:dyDescent="0.15">
      <c r="B816" s="2"/>
      <c r="C816" s="4"/>
      <c r="D816" s="4"/>
      <c r="E816" s="4"/>
      <c r="I816" s="135"/>
      <c r="J816" s="135"/>
      <c r="K816" s="135"/>
      <c r="L816" s="135"/>
    </row>
    <row r="817" spans="2:12" ht="12" customHeight="1" x14ac:dyDescent="0.15">
      <c r="B817" s="2"/>
      <c r="C817" s="4"/>
      <c r="D817" s="4"/>
      <c r="E817" s="4"/>
      <c r="I817" s="135"/>
      <c r="J817" s="135"/>
      <c r="K817" s="135"/>
      <c r="L817" s="135"/>
    </row>
    <row r="818" spans="2:12" ht="12" customHeight="1" x14ac:dyDescent="0.15">
      <c r="B818" s="2"/>
      <c r="C818" s="4"/>
      <c r="D818" s="4"/>
      <c r="E818" s="4"/>
      <c r="I818" s="135"/>
      <c r="J818" s="135"/>
      <c r="K818" s="135"/>
      <c r="L818" s="135"/>
    </row>
    <row r="819" spans="2:12" ht="12" customHeight="1" x14ac:dyDescent="0.15">
      <c r="B819" s="2"/>
      <c r="C819" s="4"/>
      <c r="D819" s="4"/>
      <c r="E819" s="4"/>
      <c r="I819" s="135"/>
      <c r="J819" s="135"/>
      <c r="K819" s="135"/>
      <c r="L819" s="135"/>
    </row>
    <row r="820" spans="2:12" ht="12" customHeight="1" x14ac:dyDescent="0.15">
      <c r="B820" s="2"/>
      <c r="C820" s="4"/>
      <c r="D820" s="4"/>
      <c r="E820" s="4"/>
      <c r="I820" s="135"/>
      <c r="J820" s="135"/>
      <c r="K820" s="135"/>
      <c r="L820" s="135"/>
    </row>
    <row r="821" spans="2:12" ht="12" customHeight="1" x14ac:dyDescent="0.15">
      <c r="B821" s="2"/>
      <c r="C821" s="4"/>
      <c r="D821" s="4"/>
      <c r="E821" s="4"/>
      <c r="I821" s="135"/>
      <c r="J821" s="135"/>
      <c r="K821" s="135"/>
      <c r="L821" s="135"/>
    </row>
    <row r="822" spans="2:12" ht="12" customHeight="1" x14ac:dyDescent="0.15">
      <c r="B822" s="2"/>
      <c r="C822" s="4"/>
      <c r="D822" s="4"/>
      <c r="E822" s="4"/>
      <c r="I822" s="135"/>
      <c r="J822" s="135"/>
      <c r="K822" s="135"/>
      <c r="L822" s="135"/>
    </row>
    <row r="823" spans="2:12" ht="12" customHeight="1" x14ac:dyDescent="0.15">
      <c r="B823" s="2"/>
      <c r="C823" s="4"/>
      <c r="D823" s="4"/>
      <c r="E823" s="4"/>
      <c r="I823" s="135"/>
      <c r="J823" s="135"/>
      <c r="K823" s="135"/>
      <c r="L823" s="135"/>
    </row>
    <row r="824" spans="2:12" ht="12" customHeight="1" x14ac:dyDescent="0.15">
      <c r="B824" s="2"/>
      <c r="C824" s="4"/>
      <c r="D824" s="4"/>
      <c r="E824" s="4"/>
      <c r="I824" s="135"/>
      <c r="J824" s="135"/>
      <c r="K824" s="135"/>
      <c r="L824" s="135"/>
    </row>
    <row r="825" spans="2:12" ht="12" customHeight="1" x14ac:dyDescent="0.15">
      <c r="B825" s="2"/>
      <c r="C825" s="4"/>
      <c r="D825" s="4"/>
      <c r="E825" s="4"/>
      <c r="I825" s="135"/>
      <c r="J825" s="135"/>
      <c r="K825" s="135"/>
      <c r="L825" s="135"/>
    </row>
    <row r="826" spans="2:12" ht="12" customHeight="1" x14ac:dyDescent="0.15">
      <c r="B826" s="2"/>
      <c r="C826" s="4"/>
      <c r="D826" s="4"/>
      <c r="E826" s="4"/>
      <c r="I826" s="135"/>
      <c r="J826" s="135"/>
      <c r="K826" s="135"/>
      <c r="L826" s="135"/>
    </row>
    <row r="827" spans="2:12" ht="12" customHeight="1" x14ac:dyDescent="0.15">
      <c r="B827" s="2"/>
      <c r="C827" s="4"/>
      <c r="D827" s="4"/>
      <c r="E827" s="4"/>
      <c r="I827" s="135"/>
      <c r="J827" s="135"/>
      <c r="K827" s="135"/>
      <c r="L827" s="135"/>
    </row>
    <row r="828" spans="2:12" ht="12" customHeight="1" x14ac:dyDescent="0.15">
      <c r="B828" s="2"/>
      <c r="C828" s="4"/>
      <c r="D828" s="4"/>
      <c r="E828" s="4"/>
      <c r="I828" s="135"/>
      <c r="J828" s="135"/>
      <c r="K828" s="135"/>
      <c r="L828" s="135"/>
    </row>
    <row r="829" spans="2:12" ht="12" customHeight="1" x14ac:dyDescent="0.15">
      <c r="B829" s="2"/>
      <c r="C829" s="4"/>
      <c r="D829" s="4"/>
      <c r="E829" s="4"/>
      <c r="I829" s="135"/>
      <c r="J829" s="135"/>
      <c r="K829" s="135"/>
      <c r="L829" s="135"/>
    </row>
    <row r="830" spans="2:12" ht="12" customHeight="1" x14ac:dyDescent="0.15">
      <c r="B830" s="2"/>
      <c r="C830" s="4"/>
      <c r="D830" s="4"/>
      <c r="E830" s="4"/>
      <c r="I830" s="135"/>
      <c r="J830" s="135"/>
      <c r="K830" s="135"/>
      <c r="L830" s="135"/>
    </row>
    <row r="831" spans="2:12" ht="12" customHeight="1" x14ac:dyDescent="0.15">
      <c r="B831" s="2"/>
      <c r="C831" s="4"/>
      <c r="D831" s="4"/>
      <c r="E831" s="4"/>
      <c r="I831" s="135"/>
      <c r="J831" s="135"/>
      <c r="K831" s="135"/>
      <c r="L831" s="135"/>
    </row>
    <row r="832" spans="2:12" ht="12" customHeight="1" x14ac:dyDescent="0.15">
      <c r="B832" s="2"/>
      <c r="C832" s="4"/>
      <c r="D832" s="4"/>
      <c r="E832" s="4"/>
      <c r="I832" s="135"/>
      <c r="J832" s="135"/>
      <c r="K832" s="135"/>
      <c r="L832" s="135"/>
    </row>
    <row r="833" spans="2:12" ht="12" customHeight="1" x14ac:dyDescent="0.15">
      <c r="B833" s="2"/>
      <c r="C833" s="4"/>
      <c r="D833" s="4"/>
      <c r="E833" s="4"/>
      <c r="I833" s="135"/>
      <c r="J833" s="135"/>
      <c r="K833" s="135"/>
      <c r="L833" s="135"/>
    </row>
    <row r="834" spans="2:12" ht="12" customHeight="1" x14ac:dyDescent="0.15">
      <c r="B834" s="2"/>
      <c r="C834" s="4"/>
      <c r="D834" s="4"/>
      <c r="E834" s="4"/>
      <c r="I834" s="135"/>
      <c r="J834" s="135"/>
      <c r="K834" s="135"/>
      <c r="L834" s="135"/>
    </row>
    <row r="835" spans="2:12" ht="12" customHeight="1" x14ac:dyDescent="0.15">
      <c r="B835" s="2"/>
      <c r="C835" s="4"/>
      <c r="D835" s="4"/>
      <c r="E835" s="4"/>
      <c r="I835" s="135"/>
      <c r="J835" s="135"/>
      <c r="K835" s="135"/>
      <c r="L835" s="135"/>
    </row>
    <row r="836" spans="2:12" ht="12" customHeight="1" x14ac:dyDescent="0.15">
      <c r="B836" s="2"/>
      <c r="C836" s="4"/>
      <c r="D836" s="4"/>
      <c r="E836" s="4"/>
      <c r="I836" s="135"/>
      <c r="J836" s="135"/>
      <c r="K836" s="135"/>
      <c r="L836" s="135"/>
    </row>
    <row r="837" spans="2:12" ht="12" customHeight="1" x14ac:dyDescent="0.15">
      <c r="B837" s="2"/>
      <c r="C837" s="4"/>
      <c r="D837" s="4"/>
      <c r="E837" s="4"/>
      <c r="I837" s="135"/>
      <c r="J837" s="135"/>
      <c r="K837" s="135"/>
      <c r="L837" s="135"/>
    </row>
    <row r="838" spans="2:12" ht="12" customHeight="1" x14ac:dyDescent="0.15">
      <c r="B838" s="2"/>
      <c r="C838" s="4"/>
      <c r="D838" s="4"/>
      <c r="E838" s="4"/>
      <c r="I838" s="135"/>
      <c r="J838" s="135"/>
      <c r="K838" s="135"/>
      <c r="L838" s="135"/>
    </row>
    <row r="839" spans="2:12" ht="12" customHeight="1" x14ac:dyDescent="0.15">
      <c r="B839" s="2"/>
      <c r="C839" s="4"/>
      <c r="D839" s="4"/>
      <c r="E839" s="4"/>
      <c r="I839" s="135"/>
      <c r="J839" s="135"/>
      <c r="K839" s="135"/>
      <c r="L839" s="135"/>
    </row>
    <row r="840" spans="2:12" ht="12" customHeight="1" x14ac:dyDescent="0.15">
      <c r="B840" s="2"/>
      <c r="C840" s="4"/>
      <c r="D840" s="4"/>
      <c r="E840" s="4"/>
      <c r="I840" s="135"/>
      <c r="J840" s="135"/>
      <c r="K840" s="135"/>
      <c r="L840" s="135"/>
    </row>
    <row r="841" spans="2:12" ht="12" customHeight="1" x14ac:dyDescent="0.15">
      <c r="B841" s="2"/>
      <c r="C841" s="4"/>
      <c r="D841" s="4"/>
      <c r="E841" s="4"/>
      <c r="I841" s="135"/>
      <c r="J841" s="135"/>
      <c r="K841" s="135"/>
      <c r="L841" s="135"/>
    </row>
    <row r="842" spans="2:12" ht="12" customHeight="1" x14ac:dyDescent="0.15">
      <c r="B842" s="2"/>
      <c r="C842" s="4"/>
      <c r="D842" s="4"/>
      <c r="E842" s="4"/>
      <c r="I842" s="135"/>
      <c r="J842" s="135"/>
      <c r="K842" s="135"/>
      <c r="L842" s="135"/>
    </row>
    <row r="843" spans="2:12" ht="12" customHeight="1" x14ac:dyDescent="0.15">
      <c r="B843" s="2"/>
      <c r="C843" s="4"/>
      <c r="D843" s="4"/>
      <c r="E843" s="4"/>
      <c r="I843" s="135"/>
      <c r="J843" s="135"/>
      <c r="K843" s="135"/>
      <c r="L843" s="135"/>
    </row>
    <row r="844" spans="2:12" ht="12" customHeight="1" x14ac:dyDescent="0.15">
      <c r="B844" s="2"/>
      <c r="C844" s="4"/>
      <c r="D844" s="4"/>
      <c r="E844" s="4"/>
      <c r="I844" s="135"/>
      <c r="J844" s="135"/>
      <c r="K844" s="135"/>
      <c r="L844" s="135"/>
    </row>
    <row r="845" spans="2:12" ht="12" customHeight="1" x14ac:dyDescent="0.15">
      <c r="B845" s="2"/>
      <c r="C845" s="4"/>
      <c r="D845" s="4"/>
      <c r="E845" s="4"/>
      <c r="I845" s="135"/>
      <c r="J845" s="135"/>
      <c r="K845" s="135"/>
      <c r="L845" s="135"/>
    </row>
    <row r="846" spans="2:12" ht="12" customHeight="1" x14ac:dyDescent="0.15">
      <c r="B846" s="2"/>
      <c r="C846" s="4"/>
      <c r="D846" s="4"/>
      <c r="E846" s="4"/>
      <c r="I846" s="135"/>
      <c r="J846" s="135"/>
      <c r="K846" s="135"/>
      <c r="L846" s="135"/>
    </row>
    <row r="847" spans="2:12" ht="12" customHeight="1" x14ac:dyDescent="0.15">
      <c r="B847" s="2"/>
      <c r="C847" s="4"/>
      <c r="D847" s="4"/>
      <c r="E847" s="4"/>
      <c r="I847" s="135"/>
      <c r="J847" s="135"/>
      <c r="K847" s="135"/>
      <c r="L847" s="135"/>
    </row>
    <row r="848" spans="2:12" ht="12" customHeight="1" x14ac:dyDescent="0.15">
      <c r="B848" s="2"/>
      <c r="C848" s="4"/>
      <c r="D848" s="4"/>
      <c r="E848" s="4"/>
      <c r="I848" s="135"/>
      <c r="J848" s="135"/>
      <c r="K848" s="135"/>
      <c r="L848" s="135"/>
    </row>
    <row r="849" spans="2:12" ht="12" customHeight="1" x14ac:dyDescent="0.15">
      <c r="B849" s="2"/>
      <c r="C849" s="4"/>
      <c r="D849" s="4"/>
      <c r="E849" s="4"/>
      <c r="I849" s="135"/>
      <c r="J849" s="135"/>
      <c r="K849" s="135"/>
      <c r="L849" s="135"/>
    </row>
    <row r="850" spans="2:12" ht="12" customHeight="1" x14ac:dyDescent="0.15">
      <c r="B850" s="2"/>
      <c r="C850" s="4"/>
      <c r="D850" s="4"/>
      <c r="E850" s="4"/>
      <c r="I850" s="135"/>
      <c r="J850" s="135"/>
      <c r="K850" s="135"/>
      <c r="L850" s="135"/>
    </row>
    <row r="851" spans="2:12" ht="12" customHeight="1" x14ac:dyDescent="0.15">
      <c r="B851" s="2"/>
      <c r="C851" s="4"/>
      <c r="D851" s="4"/>
      <c r="E851" s="4"/>
      <c r="I851" s="135"/>
      <c r="J851" s="135"/>
      <c r="K851" s="135"/>
      <c r="L851" s="135"/>
    </row>
    <row r="852" spans="2:12" ht="12" customHeight="1" x14ac:dyDescent="0.15">
      <c r="B852" s="2"/>
      <c r="C852" s="4"/>
      <c r="D852" s="4"/>
      <c r="E852" s="4"/>
      <c r="I852" s="135"/>
      <c r="J852" s="135"/>
      <c r="K852" s="135"/>
      <c r="L852" s="135"/>
    </row>
    <row r="853" spans="2:12" ht="12" customHeight="1" x14ac:dyDescent="0.15">
      <c r="B853" s="2"/>
      <c r="C853" s="4"/>
      <c r="D853" s="4"/>
      <c r="E853" s="4"/>
      <c r="I853" s="135"/>
      <c r="J853" s="135"/>
      <c r="K853" s="135"/>
      <c r="L853" s="135"/>
    </row>
    <row r="854" spans="2:12" ht="12" customHeight="1" x14ac:dyDescent="0.15">
      <c r="B854" s="2"/>
      <c r="C854" s="4"/>
      <c r="D854" s="4"/>
      <c r="E854" s="4"/>
      <c r="I854" s="135"/>
      <c r="J854" s="135"/>
      <c r="K854" s="135"/>
      <c r="L854" s="135"/>
    </row>
    <row r="855" spans="2:12" ht="12" customHeight="1" x14ac:dyDescent="0.15">
      <c r="B855" s="2"/>
      <c r="C855" s="4"/>
      <c r="D855" s="4"/>
      <c r="E855" s="4"/>
      <c r="I855" s="135"/>
      <c r="J855" s="135"/>
      <c r="K855" s="135"/>
      <c r="L855" s="135"/>
    </row>
    <row r="856" spans="2:12" ht="12" customHeight="1" x14ac:dyDescent="0.15">
      <c r="B856" s="2"/>
      <c r="C856" s="4"/>
      <c r="D856" s="4"/>
      <c r="E856" s="4"/>
      <c r="I856" s="135"/>
      <c r="J856" s="135"/>
      <c r="K856" s="135"/>
      <c r="L856" s="135"/>
    </row>
    <row r="857" spans="2:12" ht="12" customHeight="1" x14ac:dyDescent="0.15">
      <c r="B857" s="2"/>
      <c r="C857" s="4"/>
      <c r="D857" s="4"/>
      <c r="E857" s="4"/>
      <c r="I857" s="135"/>
      <c r="J857" s="135"/>
      <c r="K857" s="135"/>
      <c r="L857" s="135"/>
    </row>
    <row r="858" spans="2:12" ht="12" customHeight="1" x14ac:dyDescent="0.15">
      <c r="B858" s="2"/>
      <c r="C858" s="4"/>
      <c r="D858" s="4"/>
      <c r="E858" s="4"/>
      <c r="I858" s="135"/>
      <c r="J858" s="135"/>
      <c r="K858" s="135"/>
      <c r="L858" s="135"/>
    </row>
    <row r="859" spans="2:12" ht="12" customHeight="1" x14ac:dyDescent="0.15">
      <c r="B859" s="2"/>
      <c r="C859" s="4"/>
      <c r="D859" s="4"/>
      <c r="E859" s="4"/>
      <c r="I859" s="135"/>
      <c r="J859" s="135"/>
      <c r="K859" s="135"/>
      <c r="L859" s="135"/>
    </row>
    <row r="860" spans="2:12" ht="12" customHeight="1" x14ac:dyDescent="0.15">
      <c r="B860" s="2"/>
      <c r="C860" s="4"/>
      <c r="D860" s="4"/>
      <c r="E860" s="4"/>
      <c r="I860" s="135"/>
      <c r="J860" s="135"/>
      <c r="K860" s="135"/>
      <c r="L860" s="135"/>
    </row>
    <row r="861" spans="2:12" ht="12" customHeight="1" x14ac:dyDescent="0.15">
      <c r="B861" s="2"/>
      <c r="C861" s="4"/>
      <c r="D861" s="4"/>
      <c r="E861" s="4"/>
      <c r="I861" s="135"/>
      <c r="J861" s="135"/>
      <c r="K861" s="135"/>
      <c r="L861" s="135"/>
    </row>
    <row r="862" spans="2:12" ht="12" customHeight="1" x14ac:dyDescent="0.15">
      <c r="B862" s="2"/>
      <c r="C862" s="4"/>
      <c r="D862" s="4"/>
      <c r="E862" s="4"/>
      <c r="I862" s="135"/>
      <c r="J862" s="135"/>
      <c r="K862" s="135"/>
      <c r="L862" s="135"/>
    </row>
    <row r="863" spans="2:12" ht="12" customHeight="1" x14ac:dyDescent="0.15">
      <c r="B863" s="2"/>
      <c r="C863" s="4"/>
      <c r="D863" s="4"/>
      <c r="E863" s="4"/>
      <c r="I863" s="135"/>
      <c r="J863" s="135"/>
      <c r="K863" s="135"/>
      <c r="L863" s="135"/>
    </row>
    <row r="864" spans="2:12" ht="12" customHeight="1" x14ac:dyDescent="0.15">
      <c r="B864" s="2"/>
      <c r="C864" s="4"/>
      <c r="D864" s="4"/>
      <c r="E864" s="4"/>
      <c r="I864" s="135"/>
      <c r="J864" s="135"/>
      <c r="K864" s="135"/>
      <c r="L864" s="135"/>
    </row>
    <row r="865" spans="2:12" ht="12" customHeight="1" x14ac:dyDescent="0.15">
      <c r="B865" s="2"/>
      <c r="C865" s="4"/>
      <c r="D865" s="4"/>
      <c r="E865" s="4"/>
      <c r="I865" s="135"/>
      <c r="J865" s="135"/>
      <c r="K865" s="135"/>
      <c r="L865" s="135"/>
    </row>
    <row r="866" spans="2:12" ht="12" customHeight="1" x14ac:dyDescent="0.15">
      <c r="B866" s="2"/>
      <c r="C866" s="4"/>
      <c r="D866" s="4"/>
      <c r="E866" s="4"/>
      <c r="I866" s="135"/>
      <c r="J866" s="135"/>
      <c r="K866" s="135"/>
      <c r="L866" s="135"/>
    </row>
    <row r="867" spans="2:12" ht="12" customHeight="1" x14ac:dyDescent="0.15">
      <c r="B867" s="2"/>
      <c r="C867" s="4"/>
      <c r="D867" s="4"/>
      <c r="E867" s="4"/>
      <c r="I867" s="135"/>
      <c r="J867" s="135"/>
      <c r="K867" s="135"/>
      <c r="L867" s="135"/>
    </row>
    <row r="868" spans="2:12" ht="12" customHeight="1" x14ac:dyDescent="0.15">
      <c r="B868" s="2"/>
      <c r="C868" s="4"/>
      <c r="D868" s="4"/>
      <c r="E868" s="4"/>
      <c r="I868" s="135"/>
      <c r="J868" s="135"/>
      <c r="K868" s="135"/>
      <c r="L868" s="135"/>
    </row>
    <row r="869" spans="2:12" ht="12" customHeight="1" x14ac:dyDescent="0.15">
      <c r="B869" s="2"/>
      <c r="C869" s="4"/>
      <c r="D869" s="4"/>
      <c r="E869" s="4"/>
      <c r="I869" s="135"/>
      <c r="J869" s="135"/>
      <c r="K869" s="135"/>
      <c r="L869" s="135"/>
    </row>
    <row r="870" spans="2:12" ht="12" customHeight="1" x14ac:dyDescent="0.15">
      <c r="B870" s="2"/>
      <c r="C870" s="4"/>
      <c r="D870" s="4"/>
      <c r="E870" s="4"/>
      <c r="I870" s="135"/>
      <c r="J870" s="135"/>
      <c r="K870" s="135"/>
      <c r="L870" s="135"/>
    </row>
    <row r="871" spans="2:12" ht="12" customHeight="1" x14ac:dyDescent="0.15">
      <c r="B871" s="2"/>
      <c r="C871" s="4"/>
      <c r="D871" s="4"/>
      <c r="E871" s="4"/>
      <c r="I871" s="135"/>
      <c r="J871" s="135"/>
      <c r="K871" s="135"/>
      <c r="L871" s="135"/>
    </row>
    <row r="872" spans="2:12" ht="12" customHeight="1" x14ac:dyDescent="0.15">
      <c r="B872" s="2"/>
      <c r="C872" s="4"/>
      <c r="D872" s="4"/>
      <c r="E872" s="4"/>
      <c r="I872" s="135"/>
      <c r="J872" s="135"/>
      <c r="K872" s="135"/>
      <c r="L872" s="135"/>
    </row>
    <row r="873" spans="2:12" ht="12" customHeight="1" x14ac:dyDescent="0.15">
      <c r="B873" s="2"/>
      <c r="C873" s="4"/>
      <c r="D873" s="4"/>
      <c r="E873" s="4"/>
      <c r="I873" s="135"/>
      <c r="J873" s="135"/>
      <c r="K873" s="135"/>
      <c r="L873" s="135"/>
    </row>
    <row r="874" spans="2:12" ht="12" customHeight="1" x14ac:dyDescent="0.15">
      <c r="B874" s="2"/>
      <c r="C874" s="4"/>
      <c r="D874" s="4"/>
      <c r="E874" s="4"/>
      <c r="I874" s="135"/>
      <c r="J874" s="135"/>
      <c r="K874" s="135"/>
      <c r="L874" s="135"/>
    </row>
    <row r="875" spans="2:12" ht="12" customHeight="1" x14ac:dyDescent="0.15">
      <c r="B875" s="2"/>
      <c r="C875" s="4"/>
      <c r="D875" s="4"/>
      <c r="E875" s="4"/>
      <c r="I875" s="135"/>
      <c r="J875" s="135"/>
      <c r="K875" s="135"/>
      <c r="L875" s="135"/>
    </row>
    <row r="876" spans="2:12" ht="12" customHeight="1" x14ac:dyDescent="0.15">
      <c r="B876" s="2"/>
      <c r="C876" s="4"/>
      <c r="D876" s="4"/>
      <c r="E876" s="4"/>
      <c r="I876" s="135"/>
      <c r="J876" s="135"/>
      <c r="K876" s="135"/>
      <c r="L876" s="135"/>
    </row>
    <row r="877" spans="2:12" ht="12" customHeight="1" x14ac:dyDescent="0.15">
      <c r="B877" s="2"/>
      <c r="C877" s="4"/>
      <c r="D877" s="4"/>
      <c r="E877" s="4"/>
      <c r="I877" s="135"/>
      <c r="J877" s="135"/>
      <c r="K877" s="135"/>
      <c r="L877" s="135"/>
    </row>
    <row r="878" spans="2:12" ht="12" customHeight="1" x14ac:dyDescent="0.15">
      <c r="B878" s="2"/>
      <c r="C878" s="4"/>
      <c r="D878" s="4"/>
      <c r="E878" s="4"/>
      <c r="I878" s="135"/>
      <c r="J878" s="135"/>
      <c r="K878" s="135"/>
      <c r="L878" s="135"/>
    </row>
    <row r="879" spans="2:12" ht="12" customHeight="1" x14ac:dyDescent="0.15">
      <c r="B879" s="2"/>
      <c r="C879" s="4"/>
      <c r="D879" s="4"/>
      <c r="E879" s="4"/>
      <c r="I879" s="135"/>
      <c r="J879" s="135"/>
      <c r="K879" s="135"/>
      <c r="L879" s="135"/>
    </row>
    <row r="880" spans="2:12" ht="12" customHeight="1" x14ac:dyDescent="0.15">
      <c r="B880" s="2"/>
      <c r="C880" s="4"/>
      <c r="D880" s="4"/>
      <c r="E880" s="4"/>
      <c r="I880" s="135"/>
      <c r="J880" s="135"/>
      <c r="K880" s="135"/>
      <c r="L880" s="135"/>
    </row>
    <row r="881" spans="2:12" ht="12" customHeight="1" x14ac:dyDescent="0.15">
      <c r="B881" s="2"/>
      <c r="C881" s="4"/>
      <c r="D881" s="4"/>
      <c r="E881" s="4"/>
      <c r="I881" s="135"/>
      <c r="J881" s="135"/>
      <c r="K881" s="135"/>
      <c r="L881" s="135"/>
    </row>
    <row r="882" spans="2:12" ht="12" customHeight="1" x14ac:dyDescent="0.15">
      <c r="B882" s="2"/>
      <c r="C882" s="4"/>
      <c r="D882" s="4"/>
      <c r="E882" s="4"/>
      <c r="I882" s="135"/>
      <c r="J882" s="135"/>
      <c r="K882" s="135"/>
      <c r="L882" s="135"/>
    </row>
    <row r="883" spans="2:12" ht="12" customHeight="1" x14ac:dyDescent="0.15">
      <c r="B883" s="2"/>
      <c r="C883" s="4"/>
      <c r="D883" s="4"/>
      <c r="E883" s="4"/>
      <c r="I883" s="135"/>
      <c r="J883" s="135"/>
      <c r="K883" s="135"/>
      <c r="L883" s="135"/>
    </row>
    <row r="884" spans="2:12" ht="12" customHeight="1" x14ac:dyDescent="0.15">
      <c r="B884" s="2"/>
      <c r="C884" s="4"/>
      <c r="D884" s="4"/>
      <c r="E884" s="4"/>
      <c r="I884" s="135"/>
      <c r="J884" s="135"/>
      <c r="K884" s="135"/>
      <c r="L884" s="135"/>
    </row>
    <row r="885" spans="2:12" ht="12" customHeight="1" x14ac:dyDescent="0.15">
      <c r="B885" s="2"/>
      <c r="C885" s="4"/>
      <c r="D885" s="4"/>
      <c r="E885" s="4"/>
      <c r="I885" s="135"/>
      <c r="J885" s="135"/>
      <c r="K885" s="135"/>
      <c r="L885" s="135"/>
    </row>
    <row r="886" spans="2:12" ht="12" customHeight="1" x14ac:dyDescent="0.15">
      <c r="B886" s="2"/>
      <c r="C886" s="4"/>
      <c r="D886" s="4"/>
      <c r="E886" s="4"/>
      <c r="I886" s="135"/>
      <c r="J886" s="135"/>
      <c r="K886" s="135"/>
      <c r="L886" s="135"/>
    </row>
    <row r="887" spans="2:12" ht="12" customHeight="1" x14ac:dyDescent="0.15">
      <c r="B887" s="2"/>
      <c r="C887" s="4"/>
      <c r="D887" s="4"/>
      <c r="E887" s="4"/>
      <c r="I887" s="135"/>
      <c r="J887" s="135"/>
      <c r="K887" s="135"/>
      <c r="L887" s="135"/>
    </row>
    <row r="888" spans="2:12" ht="12" customHeight="1" x14ac:dyDescent="0.15">
      <c r="B888" s="2"/>
      <c r="C888" s="4"/>
      <c r="D888" s="4"/>
      <c r="E888" s="4"/>
      <c r="I888" s="135"/>
      <c r="J888" s="135"/>
      <c r="K888" s="135"/>
      <c r="L888" s="135"/>
    </row>
    <row r="889" spans="2:12" ht="12" customHeight="1" x14ac:dyDescent="0.15">
      <c r="B889" s="2"/>
      <c r="C889" s="4"/>
      <c r="D889" s="4"/>
      <c r="E889" s="4"/>
      <c r="I889" s="135"/>
      <c r="J889" s="135"/>
      <c r="K889" s="135"/>
      <c r="L889" s="135"/>
    </row>
    <row r="890" spans="2:12" ht="12" customHeight="1" x14ac:dyDescent="0.15">
      <c r="B890" s="2"/>
      <c r="C890" s="4"/>
      <c r="D890" s="4"/>
      <c r="E890" s="4"/>
      <c r="I890" s="135"/>
      <c r="J890" s="135"/>
      <c r="K890" s="135"/>
      <c r="L890" s="135"/>
    </row>
    <row r="891" spans="2:12" ht="12" customHeight="1" x14ac:dyDescent="0.15">
      <c r="B891" s="2"/>
      <c r="C891" s="4"/>
      <c r="D891" s="4"/>
      <c r="E891" s="4"/>
      <c r="I891" s="135"/>
      <c r="J891" s="135"/>
      <c r="K891" s="135"/>
      <c r="L891" s="135"/>
    </row>
    <row r="892" spans="2:12" ht="12" customHeight="1" x14ac:dyDescent="0.15">
      <c r="B892" s="2"/>
      <c r="C892" s="4"/>
      <c r="D892" s="4"/>
      <c r="E892" s="4"/>
      <c r="I892" s="135"/>
      <c r="J892" s="135"/>
      <c r="K892" s="135"/>
      <c r="L892" s="135"/>
    </row>
    <row r="893" spans="2:12" ht="12" customHeight="1" x14ac:dyDescent="0.15">
      <c r="B893" s="2"/>
      <c r="C893" s="4"/>
      <c r="D893" s="4"/>
      <c r="E893" s="4"/>
      <c r="I893" s="135"/>
      <c r="J893" s="135"/>
      <c r="K893" s="135"/>
      <c r="L893" s="135"/>
    </row>
    <row r="894" spans="2:12" ht="12" customHeight="1" x14ac:dyDescent="0.15">
      <c r="B894" s="2"/>
      <c r="C894" s="4"/>
      <c r="D894" s="4"/>
      <c r="E894" s="4"/>
      <c r="I894" s="135"/>
      <c r="J894" s="135"/>
      <c r="K894" s="135"/>
      <c r="L894" s="135"/>
    </row>
    <row r="895" spans="2:12" ht="12" customHeight="1" x14ac:dyDescent="0.15">
      <c r="B895" s="2"/>
      <c r="C895" s="4"/>
      <c r="D895" s="4"/>
      <c r="E895" s="4"/>
      <c r="I895" s="135"/>
      <c r="J895" s="135"/>
      <c r="K895" s="135"/>
      <c r="L895" s="135"/>
    </row>
    <row r="896" spans="2:12" ht="12" customHeight="1" x14ac:dyDescent="0.15">
      <c r="B896" s="2"/>
      <c r="C896" s="4"/>
      <c r="D896" s="4"/>
      <c r="E896" s="4"/>
      <c r="I896" s="135"/>
      <c r="J896" s="135"/>
      <c r="K896" s="135"/>
      <c r="L896" s="135"/>
    </row>
    <row r="897" spans="2:12" ht="12" customHeight="1" x14ac:dyDescent="0.15">
      <c r="B897" s="2"/>
      <c r="C897" s="4"/>
      <c r="D897" s="4"/>
      <c r="E897" s="4"/>
      <c r="I897" s="135"/>
      <c r="J897" s="135"/>
      <c r="K897" s="135"/>
      <c r="L897" s="135"/>
    </row>
    <row r="898" spans="2:12" ht="12" customHeight="1" x14ac:dyDescent="0.15">
      <c r="B898" s="2"/>
      <c r="C898" s="4"/>
      <c r="D898" s="4"/>
      <c r="E898" s="4"/>
      <c r="I898" s="135"/>
      <c r="J898" s="135"/>
      <c r="K898" s="135"/>
      <c r="L898" s="135"/>
    </row>
    <row r="899" spans="2:12" ht="12" customHeight="1" x14ac:dyDescent="0.15">
      <c r="B899" s="2"/>
      <c r="C899" s="4"/>
      <c r="D899" s="4"/>
      <c r="E899" s="4"/>
      <c r="I899" s="135"/>
      <c r="J899" s="135"/>
      <c r="K899" s="135"/>
      <c r="L899" s="135"/>
    </row>
    <row r="900" spans="2:12" ht="12" customHeight="1" x14ac:dyDescent="0.15">
      <c r="B900" s="2"/>
      <c r="C900" s="4"/>
      <c r="D900" s="4"/>
      <c r="E900" s="4"/>
      <c r="I900" s="135"/>
      <c r="J900" s="135"/>
      <c r="K900" s="135"/>
      <c r="L900" s="135"/>
    </row>
    <row r="901" spans="2:12" ht="12" customHeight="1" x14ac:dyDescent="0.15">
      <c r="B901" s="2"/>
      <c r="C901" s="4"/>
      <c r="D901" s="4"/>
      <c r="E901" s="4"/>
      <c r="I901" s="135"/>
      <c r="J901" s="135"/>
      <c r="K901" s="135"/>
      <c r="L901" s="135"/>
    </row>
    <row r="902" spans="2:12" ht="12" customHeight="1" x14ac:dyDescent="0.15">
      <c r="B902" s="2"/>
      <c r="C902" s="4"/>
      <c r="D902" s="4"/>
      <c r="E902" s="4"/>
      <c r="I902" s="135"/>
      <c r="J902" s="135"/>
      <c r="K902" s="135"/>
      <c r="L902" s="135"/>
    </row>
    <row r="903" spans="2:12" ht="12" customHeight="1" x14ac:dyDescent="0.15">
      <c r="B903" s="2"/>
      <c r="C903" s="4"/>
      <c r="D903" s="4"/>
      <c r="E903" s="4"/>
      <c r="I903" s="135"/>
      <c r="J903" s="135"/>
      <c r="K903" s="135"/>
      <c r="L903" s="135"/>
    </row>
    <row r="904" spans="2:12" ht="12" customHeight="1" x14ac:dyDescent="0.15">
      <c r="B904" s="2"/>
      <c r="C904" s="4"/>
      <c r="D904" s="4"/>
      <c r="E904" s="4"/>
      <c r="I904" s="135"/>
      <c r="J904" s="135"/>
      <c r="K904" s="135"/>
      <c r="L904" s="135"/>
    </row>
    <row r="905" spans="2:12" ht="12" customHeight="1" x14ac:dyDescent="0.15">
      <c r="B905" s="2"/>
      <c r="C905" s="4"/>
      <c r="D905" s="4"/>
      <c r="E905" s="4"/>
      <c r="I905" s="135"/>
      <c r="J905" s="135"/>
      <c r="K905" s="135"/>
      <c r="L905" s="135"/>
    </row>
    <row r="906" spans="2:12" ht="12" customHeight="1" x14ac:dyDescent="0.15">
      <c r="B906" s="2"/>
      <c r="C906" s="4"/>
      <c r="D906" s="4"/>
      <c r="E906" s="4"/>
      <c r="I906" s="135"/>
      <c r="J906" s="135"/>
      <c r="K906" s="135"/>
      <c r="L906" s="135"/>
    </row>
    <row r="907" spans="2:12" ht="12" customHeight="1" x14ac:dyDescent="0.15">
      <c r="B907" s="2"/>
      <c r="C907" s="4"/>
      <c r="D907" s="4"/>
      <c r="E907" s="4"/>
      <c r="I907" s="135"/>
      <c r="J907" s="135"/>
      <c r="K907" s="135"/>
      <c r="L907" s="135"/>
    </row>
    <row r="908" spans="2:12" ht="12" customHeight="1" x14ac:dyDescent="0.15">
      <c r="B908" s="2"/>
      <c r="C908" s="4"/>
      <c r="D908" s="4"/>
      <c r="E908" s="4"/>
      <c r="I908" s="135"/>
      <c r="J908" s="135"/>
      <c r="K908" s="135"/>
      <c r="L908" s="135"/>
    </row>
    <row r="909" spans="2:12" ht="12" customHeight="1" x14ac:dyDescent="0.15">
      <c r="B909" s="2"/>
      <c r="C909" s="4"/>
      <c r="D909" s="4"/>
      <c r="E909" s="4"/>
      <c r="I909" s="135"/>
      <c r="J909" s="135"/>
      <c r="K909" s="135"/>
      <c r="L909" s="135"/>
    </row>
    <row r="910" spans="2:12" ht="12" customHeight="1" x14ac:dyDescent="0.15">
      <c r="B910" s="2"/>
      <c r="C910" s="4"/>
      <c r="D910" s="4"/>
      <c r="E910" s="4"/>
      <c r="I910" s="135"/>
      <c r="J910" s="135"/>
      <c r="K910" s="135"/>
      <c r="L910" s="135"/>
    </row>
    <row r="911" spans="2:12" ht="12" customHeight="1" x14ac:dyDescent="0.15">
      <c r="B911" s="2"/>
      <c r="C911" s="4"/>
      <c r="D911" s="4"/>
      <c r="E911" s="4"/>
      <c r="I911" s="135"/>
      <c r="J911" s="135"/>
      <c r="K911" s="135"/>
      <c r="L911" s="135"/>
    </row>
    <row r="912" spans="2:12" ht="12" customHeight="1" x14ac:dyDescent="0.15">
      <c r="B912" s="2"/>
      <c r="C912" s="4"/>
      <c r="D912" s="4"/>
      <c r="E912" s="4"/>
      <c r="I912" s="135"/>
      <c r="J912" s="135"/>
      <c r="K912" s="135"/>
      <c r="L912" s="135"/>
    </row>
    <row r="913" spans="2:12" ht="12" customHeight="1" x14ac:dyDescent="0.15">
      <c r="B913" s="2"/>
      <c r="C913" s="4"/>
      <c r="D913" s="4"/>
      <c r="E913" s="4"/>
      <c r="I913" s="135"/>
      <c r="J913" s="135"/>
      <c r="K913" s="135"/>
      <c r="L913" s="135"/>
    </row>
    <row r="914" spans="2:12" ht="12" customHeight="1" x14ac:dyDescent="0.15">
      <c r="B914" s="2"/>
      <c r="C914" s="4"/>
      <c r="D914" s="4"/>
      <c r="E914" s="4"/>
      <c r="I914" s="135"/>
      <c r="J914" s="135"/>
      <c r="K914" s="135"/>
      <c r="L914" s="135"/>
    </row>
    <row r="915" spans="2:12" ht="12" customHeight="1" x14ac:dyDescent="0.15">
      <c r="B915" s="2"/>
      <c r="C915" s="4"/>
      <c r="D915" s="4"/>
      <c r="E915" s="4"/>
      <c r="I915" s="135"/>
      <c r="J915" s="135"/>
      <c r="K915" s="135"/>
      <c r="L915" s="135"/>
    </row>
    <row r="916" spans="2:12" ht="12" customHeight="1" x14ac:dyDescent="0.15">
      <c r="B916" s="2"/>
      <c r="C916" s="4"/>
      <c r="D916" s="4"/>
      <c r="E916" s="4"/>
      <c r="I916" s="135"/>
      <c r="J916" s="135"/>
      <c r="K916" s="135"/>
      <c r="L916" s="135"/>
    </row>
    <row r="917" spans="2:12" ht="12" customHeight="1" x14ac:dyDescent="0.15">
      <c r="B917" s="2"/>
      <c r="C917" s="4"/>
      <c r="D917" s="4"/>
      <c r="E917" s="4"/>
      <c r="I917" s="135"/>
      <c r="J917" s="135"/>
      <c r="K917" s="135"/>
      <c r="L917" s="135"/>
    </row>
    <row r="918" spans="2:12" ht="12" customHeight="1" x14ac:dyDescent="0.15">
      <c r="B918" s="2"/>
      <c r="C918" s="4"/>
      <c r="D918" s="4"/>
      <c r="E918" s="4"/>
      <c r="I918" s="135"/>
      <c r="J918" s="135"/>
      <c r="K918" s="135"/>
      <c r="L918" s="135"/>
    </row>
    <row r="919" spans="2:12" ht="12" customHeight="1" x14ac:dyDescent="0.15">
      <c r="B919" s="2"/>
      <c r="C919" s="4"/>
      <c r="D919" s="4"/>
      <c r="E919" s="4"/>
      <c r="I919" s="135"/>
      <c r="J919" s="135"/>
      <c r="K919" s="135"/>
      <c r="L919" s="135"/>
    </row>
    <row r="920" spans="2:12" ht="12" customHeight="1" x14ac:dyDescent="0.15">
      <c r="B920" s="2"/>
      <c r="C920" s="4"/>
      <c r="D920" s="4"/>
      <c r="E920" s="4"/>
      <c r="I920" s="135"/>
      <c r="J920" s="135"/>
      <c r="K920" s="135"/>
      <c r="L920" s="135"/>
    </row>
    <row r="921" spans="2:12" ht="12" customHeight="1" x14ac:dyDescent="0.15">
      <c r="B921" s="2"/>
      <c r="C921" s="4"/>
      <c r="D921" s="4"/>
      <c r="E921" s="4"/>
      <c r="I921" s="135"/>
      <c r="J921" s="135"/>
      <c r="K921" s="135"/>
      <c r="L921" s="135"/>
    </row>
    <row r="922" spans="2:12" ht="12" customHeight="1" x14ac:dyDescent="0.15">
      <c r="B922" s="2"/>
      <c r="C922" s="4"/>
      <c r="D922" s="4"/>
      <c r="E922" s="4"/>
      <c r="I922" s="135"/>
      <c r="J922" s="135"/>
      <c r="K922" s="135"/>
      <c r="L922" s="135"/>
    </row>
    <row r="923" spans="2:12" ht="12" customHeight="1" x14ac:dyDescent="0.15">
      <c r="B923" s="2"/>
      <c r="C923" s="4"/>
      <c r="D923" s="4"/>
      <c r="E923" s="4"/>
      <c r="I923" s="135"/>
      <c r="J923" s="135"/>
      <c r="K923" s="135"/>
      <c r="L923" s="135"/>
    </row>
    <row r="924" spans="2:12" ht="12" customHeight="1" x14ac:dyDescent="0.15">
      <c r="B924" s="2"/>
      <c r="C924" s="4"/>
      <c r="D924" s="4"/>
      <c r="E924" s="4"/>
      <c r="I924" s="135"/>
      <c r="J924" s="135"/>
      <c r="K924" s="135"/>
      <c r="L924" s="135"/>
    </row>
    <row r="925" spans="2:12" ht="12" customHeight="1" x14ac:dyDescent="0.15">
      <c r="B925" s="2"/>
      <c r="C925" s="4"/>
      <c r="D925" s="4"/>
      <c r="E925" s="4"/>
      <c r="I925" s="135"/>
      <c r="J925" s="135"/>
      <c r="K925" s="135"/>
      <c r="L925" s="135"/>
    </row>
    <row r="926" spans="2:12" ht="12" customHeight="1" x14ac:dyDescent="0.15">
      <c r="B926" s="2"/>
      <c r="C926" s="4"/>
      <c r="D926" s="4"/>
      <c r="E926" s="4"/>
      <c r="I926" s="135"/>
      <c r="J926" s="135"/>
      <c r="K926" s="135"/>
      <c r="L926" s="135"/>
    </row>
    <row r="927" spans="2:12" ht="12" customHeight="1" x14ac:dyDescent="0.15">
      <c r="B927" s="2"/>
      <c r="C927" s="4"/>
      <c r="D927" s="4"/>
      <c r="E927" s="4"/>
      <c r="I927" s="135"/>
      <c r="J927" s="135"/>
      <c r="K927" s="135"/>
      <c r="L927" s="135"/>
    </row>
    <row r="928" spans="2:12" ht="12" customHeight="1" x14ac:dyDescent="0.15">
      <c r="B928" s="2"/>
      <c r="C928" s="4"/>
      <c r="D928" s="4"/>
      <c r="E928" s="4"/>
      <c r="I928" s="135"/>
      <c r="J928" s="135"/>
      <c r="K928" s="135"/>
      <c r="L928" s="135"/>
    </row>
    <row r="929" spans="2:12" ht="12" customHeight="1" x14ac:dyDescent="0.15">
      <c r="B929" s="2"/>
      <c r="C929" s="4"/>
      <c r="D929" s="4"/>
      <c r="E929" s="4"/>
      <c r="I929" s="135"/>
      <c r="J929" s="135"/>
      <c r="K929" s="135"/>
      <c r="L929" s="135"/>
    </row>
    <row r="930" spans="2:12" ht="12" customHeight="1" x14ac:dyDescent="0.15">
      <c r="B930" s="2"/>
      <c r="C930" s="4"/>
      <c r="D930" s="4"/>
      <c r="E930" s="4"/>
      <c r="I930" s="135"/>
      <c r="J930" s="135"/>
      <c r="K930" s="135"/>
      <c r="L930" s="135"/>
    </row>
    <row r="931" spans="2:12" ht="12" customHeight="1" x14ac:dyDescent="0.15">
      <c r="B931" s="2"/>
      <c r="C931" s="4"/>
      <c r="D931" s="4"/>
      <c r="E931" s="4"/>
      <c r="I931" s="135"/>
      <c r="J931" s="135"/>
      <c r="K931" s="135"/>
      <c r="L931" s="135"/>
    </row>
    <row r="932" spans="2:12" ht="12" customHeight="1" x14ac:dyDescent="0.15">
      <c r="B932" s="2"/>
      <c r="C932" s="4"/>
      <c r="D932" s="4"/>
      <c r="E932" s="4"/>
      <c r="I932" s="135"/>
      <c r="J932" s="135"/>
      <c r="K932" s="135"/>
      <c r="L932" s="135"/>
    </row>
    <row r="933" spans="2:12" ht="12" customHeight="1" x14ac:dyDescent="0.15">
      <c r="B933" s="2"/>
      <c r="C933" s="4"/>
      <c r="D933" s="4"/>
      <c r="E933" s="4"/>
      <c r="I933" s="135"/>
      <c r="J933" s="135"/>
      <c r="K933" s="135"/>
      <c r="L933" s="135"/>
    </row>
    <row r="934" spans="2:12" ht="12" customHeight="1" x14ac:dyDescent="0.15">
      <c r="B934" s="2"/>
      <c r="C934" s="4"/>
      <c r="D934" s="4"/>
      <c r="E934" s="4"/>
      <c r="I934" s="135"/>
      <c r="J934" s="135"/>
      <c r="K934" s="135"/>
      <c r="L934" s="135"/>
    </row>
    <row r="935" spans="2:12" ht="12" customHeight="1" x14ac:dyDescent="0.15">
      <c r="B935" s="2"/>
      <c r="C935" s="4"/>
      <c r="D935" s="4"/>
      <c r="E935" s="4"/>
      <c r="I935" s="135"/>
      <c r="J935" s="135"/>
      <c r="K935" s="135"/>
      <c r="L935" s="135"/>
    </row>
    <row r="936" spans="2:12" ht="12" customHeight="1" x14ac:dyDescent="0.15">
      <c r="B936" s="2"/>
      <c r="C936" s="4"/>
      <c r="D936" s="4"/>
      <c r="E936" s="4"/>
      <c r="I936" s="135"/>
      <c r="J936" s="135"/>
      <c r="K936" s="135"/>
      <c r="L936" s="135"/>
    </row>
    <row r="937" spans="2:12" ht="12" customHeight="1" x14ac:dyDescent="0.15">
      <c r="B937" s="2"/>
      <c r="C937" s="4"/>
      <c r="D937" s="4"/>
      <c r="E937" s="4"/>
      <c r="I937" s="135"/>
      <c r="J937" s="135"/>
      <c r="K937" s="135"/>
      <c r="L937" s="135"/>
    </row>
    <row r="938" spans="2:12" ht="12" customHeight="1" x14ac:dyDescent="0.15">
      <c r="B938" s="2"/>
      <c r="C938" s="4"/>
      <c r="D938" s="4"/>
      <c r="E938" s="4"/>
      <c r="I938" s="135"/>
      <c r="J938" s="135"/>
      <c r="K938" s="135"/>
      <c r="L938" s="135"/>
    </row>
    <row r="939" spans="2:12" ht="12" customHeight="1" x14ac:dyDescent="0.15">
      <c r="B939" s="2"/>
      <c r="C939" s="4"/>
      <c r="D939" s="4"/>
      <c r="E939" s="4"/>
      <c r="I939" s="135"/>
      <c r="J939" s="135"/>
      <c r="K939" s="135"/>
      <c r="L939" s="135"/>
    </row>
    <row r="940" spans="2:12" ht="12" customHeight="1" x14ac:dyDescent="0.15">
      <c r="B940" s="2"/>
      <c r="C940" s="4"/>
      <c r="D940" s="4"/>
      <c r="E940" s="4"/>
      <c r="I940" s="135"/>
      <c r="J940" s="135"/>
      <c r="K940" s="135"/>
      <c r="L940" s="135"/>
    </row>
    <row r="941" spans="2:12" ht="12" customHeight="1" x14ac:dyDescent="0.15">
      <c r="B941" s="2"/>
      <c r="C941" s="4"/>
      <c r="D941" s="4"/>
      <c r="E941" s="4"/>
      <c r="I941" s="135"/>
      <c r="J941" s="135"/>
      <c r="K941" s="135"/>
      <c r="L941" s="135"/>
    </row>
    <row r="942" spans="2:12" ht="12" customHeight="1" x14ac:dyDescent="0.15">
      <c r="B942" s="2"/>
      <c r="C942" s="4"/>
      <c r="D942" s="4"/>
      <c r="E942" s="4"/>
      <c r="I942" s="135"/>
      <c r="J942" s="135"/>
      <c r="K942" s="135"/>
      <c r="L942" s="135"/>
    </row>
    <row r="943" spans="2:12" ht="12" customHeight="1" x14ac:dyDescent="0.15">
      <c r="B943" s="2"/>
      <c r="C943" s="4"/>
      <c r="D943" s="4"/>
      <c r="E943" s="4"/>
      <c r="I943" s="135"/>
      <c r="J943" s="135"/>
      <c r="K943" s="135"/>
      <c r="L943" s="135"/>
    </row>
    <row r="944" spans="2:12" ht="12" customHeight="1" x14ac:dyDescent="0.15">
      <c r="B944" s="2"/>
      <c r="C944" s="4"/>
      <c r="D944" s="4"/>
      <c r="E944" s="4"/>
      <c r="I944" s="135"/>
      <c r="J944" s="135"/>
      <c r="K944" s="135"/>
      <c r="L944" s="135"/>
    </row>
    <row r="945" spans="2:12" ht="12" customHeight="1" x14ac:dyDescent="0.15">
      <c r="B945" s="2"/>
      <c r="C945" s="4"/>
      <c r="D945" s="4"/>
      <c r="E945" s="4"/>
      <c r="I945" s="135"/>
      <c r="J945" s="135"/>
      <c r="K945" s="135"/>
      <c r="L945" s="135"/>
    </row>
    <row r="946" spans="2:12" ht="12" customHeight="1" x14ac:dyDescent="0.15">
      <c r="B946" s="2"/>
      <c r="C946" s="4"/>
      <c r="D946" s="4"/>
      <c r="E946" s="4"/>
      <c r="I946" s="135"/>
      <c r="J946" s="135"/>
      <c r="K946" s="135"/>
      <c r="L946" s="135"/>
    </row>
    <row r="947" spans="2:12" ht="12" customHeight="1" x14ac:dyDescent="0.15">
      <c r="B947" s="2"/>
      <c r="C947" s="4"/>
      <c r="D947" s="4"/>
      <c r="E947" s="4"/>
      <c r="I947" s="135"/>
      <c r="J947" s="135"/>
      <c r="K947" s="135"/>
      <c r="L947" s="135"/>
    </row>
    <row r="948" spans="2:12" ht="12" customHeight="1" x14ac:dyDescent="0.15">
      <c r="B948" s="2"/>
      <c r="C948" s="4"/>
      <c r="D948" s="4"/>
      <c r="E948" s="4"/>
      <c r="I948" s="135"/>
      <c r="J948" s="135"/>
      <c r="K948" s="135"/>
      <c r="L948" s="135"/>
    </row>
    <row r="949" spans="2:12" ht="12" customHeight="1" x14ac:dyDescent="0.15">
      <c r="B949" s="2"/>
      <c r="C949" s="4"/>
      <c r="D949" s="4"/>
      <c r="E949" s="4"/>
      <c r="I949" s="135"/>
      <c r="J949" s="135"/>
      <c r="K949" s="135"/>
      <c r="L949" s="135"/>
    </row>
    <row r="950" spans="2:12" ht="12" customHeight="1" x14ac:dyDescent="0.15">
      <c r="B950" s="2"/>
      <c r="C950" s="4"/>
      <c r="D950" s="4"/>
      <c r="E950" s="4"/>
      <c r="I950" s="135"/>
      <c r="J950" s="135"/>
      <c r="K950" s="135"/>
      <c r="L950" s="135"/>
    </row>
    <row r="951" spans="2:12" ht="12" customHeight="1" x14ac:dyDescent="0.15">
      <c r="B951" s="2"/>
      <c r="C951" s="4"/>
      <c r="D951" s="4"/>
      <c r="E951" s="4"/>
      <c r="I951" s="135"/>
      <c r="J951" s="135"/>
      <c r="K951" s="135"/>
      <c r="L951" s="135"/>
    </row>
    <row r="952" spans="2:12" ht="12" customHeight="1" x14ac:dyDescent="0.15">
      <c r="B952" s="2"/>
      <c r="C952" s="4"/>
      <c r="D952" s="4"/>
      <c r="E952" s="4"/>
      <c r="I952" s="135"/>
      <c r="J952" s="135"/>
      <c r="K952" s="135"/>
      <c r="L952" s="135"/>
    </row>
    <row r="953" spans="2:12" ht="12" customHeight="1" x14ac:dyDescent="0.15">
      <c r="B953" s="2"/>
      <c r="C953" s="4"/>
      <c r="D953" s="4"/>
      <c r="E953" s="4"/>
      <c r="I953" s="135"/>
      <c r="J953" s="135"/>
      <c r="K953" s="135"/>
      <c r="L953" s="135"/>
    </row>
    <row r="954" spans="2:12" ht="12" customHeight="1" x14ac:dyDescent="0.15">
      <c r="B954" s="2"/>
      <c r="C954" s="4"/>
      <c r="D954" s="4"/>
      <c r="E954" s="4"/>
      <c r="I954" s="135"/>
      <c r="J954" s="135"/>
      <c r="K954" s="135"/>
      <c r="L954" s="135"/>
    </row>
    <row r="955" spans="2:12" ht="12" customHeight="1" x14ac:dyDescent="0.15">
      <c r="B955" s="2"/>
      <c r="C955" s="4"/>
      <c r="D955" s="4"/>
      <c r="E955" s="4"/>
      <c r="I955" s="135"/>
      <c r="J955" s="135"/>
      <c r="K955" s="135"/>
      <c r="L955" s="135"/>
    </row>
    <row r="956" spans="2:12" ht="12" customHeight="1" x14ac:dyDescent="0.15">
      <c r="B956" s="2"/>
      <c r="C956" s="4"/>
      <c r="D956" s="4"/>
      <c r="E956" s="4"/>
      <c r="I956" s="135"/>
      <c r="J956" s="135"/>
      <c r="K956" s="135"/>
      <c r="L956" s="135"/>
    </row>
    <row r="957" spans="2:12" ht="12" customHeight="1" x14ac:dyDescent="0.15">
      <c r="B957" s="2"/>
      <c r="C957" s="4"/>
      <c r="D957" s="4"/>
      <c r="E957" s="4"/>
      <c r="I957" s="135"/>
      <c r="J957" s="135"/>
      <c r="K957" s="135"/>
      <c r="L957" s="135"/>
    </row>
    <row r="958" spans="2:12" ht="12" customHeight="1" x14ac:dyDescent="0.15">
      <c r="B958" s="2"/>
      <c r="C958" s="4"/>
      <c r="D958" s="4"/>
      <c r="E958" s="4"/>
      <c r="I958" s="135"/>
      <c r="J958" s="135"/>
      <c r="K958" s="135"/>
      <c r="L958" s="135"/>
    </row>
    <row r="959" spans="2:12" ht="12" customHeight="1" x14ac:dyDescent="0.15">
      <c r="B959" s="2"/>
      <c r="C959" s="4"/>
      <c r="D959" s="4"/>
      <c r="E959" s="4"/>
      <c r="I959" s="135"/>
      <c r="J959" s="135"/>
      <c r="K959" s="135"/>
      <c r="L959" s="135"/>
    </row>
    <row r="960" spans="2:12" ht="12" customHeight="1" x14ac:dyDescent="0.15">
      <c r="B960" s="2"/>
      <c r="C960" s="4"/>
      <c r="D960" s="4"/>
      <c r="E960" s="4"/>
      <c r="I960" s="135"/>
      <c r="J960" s="135"/>
      <c r="K960" s="135"/>
      <c r="L960" s="135"/>
    </row>
    <row r="961" spans="2:12" ht="12" customHeight="1" x14ac:dyDescent="0.15">
      <c r="B961" s="2"/>
      <c r="C961" s="4"/>
      <c r="D961" s="4"/>
      <c r="E961" s="4"/>
      <c r="I961" s="135"/>
      <c r="J961" s="135"/>
      <c r="K961" s="135"/>
      <c r="L961" s="135"/>
    </row>
    <row r="962" spans="2:12" ht="12" customHeight="1" x14ac:dyDescent="0.15">
      <c r="B962" s="2"/>
      <c r="C962" s="4"/>
      <c r="D962" s="4"/>
      <c r="E962" s="4"/>
      <c r="I962" s="135"/>
      <c r="J962" s="135"/>
      <c r="K962" s="135"/>
      <c r="L962" s="135"/>
    </row>
    <row r="963" spans="2:12" ht="12" customHeight="1" x14ac:dyDescent="0.15">
      <c r="B963" s="2"/>
      <c r="C963" s="4"/>
      <c r="D963" s="4"/>
      <c r="E963" s="4"/>
      <c r="I963" s="135"/>
      <c r="J963" s="135"/>
      <c r="K963" s="135"/>
      <c r="L963" s="135"/>
    </row>
    <row r="964" spans="2:12" ht="12" customHeight="1" x14ac:dyDescent="0.15">
      <c r="B964" s="2"/>
      <c r="C964" s="4"/>
      <c r="D964" s="4"/>
      <c r="E964" s="4"/>
      <c r="I964" s="135"/>
      <c r="J964" s="135"/>
      <c r="K964" s="135"/>
      <c r="L964" s="135"/>
    </row>
    <row r="965" spans="2:12" ht="12" customHeight="1" x14ac:dyDescent="0.15">
      <c r="B965" s="2"/>
      <c r="C965" s="4"/>
      <c r="D965" s="4"/>
      <c r="E965" s="4"/>
      <c r="I965" s="135"/>
      <c r="J965" s="135"/>
      <c r="K965" s="135"/>
      <c r="L965" s="135"/>
    </row>
    <row r="966" spans="2:12" ht="12" customHeight="1" x14ac:dyDescent="0.15">
      <c r="B966" s="2"/>
      <c r="C966" s="4"/>
      <c r="D966" s="4"/>
      <c r="E966" s="4"/>
      <c r="I966" s="135"/>
      <c r="J966" s="135"/>
      <c r="K966" s="135"/>
      <c r="L966" s="135"/>
    </row>
    <row r="967" spans="2:12" ht="12" customHeight="1" x14ac:dyDescent="0.15">
      <c r="B967" s="2"/>
      <c r="C967" s="4"/>
      <c r="D967" s="4"/>
      <c r="E967" s="4"/>
      <c r="I967" s="135"/>
      <c r="J967" s="135"/>
      <c r="K967" s="135"/>
      <c r="L967" s="135"/>
    </row>
    <row r="968" spans="2:12" ht="12" customHeight="1" x14ac:dyDescent="0.15">
      <c r="B968" s="2"/>
      <c r="C968" s="4"/>
      <c r="D968" s="4"/>
      <c r="E968" s="4"/>
      <c r="I968" s="135"/>
      <c r="J968" s="135"/>
      <c r="K968" s="135"/>
      <c r="L968" s="135"/>
    </row>
    <row r="969" spans="2:12" ht="12" customHeight="1" x14ac:dyDescent="0.15">
      <c r="B969" s="2"/>
      <c r="C969" s="4"/>
      <c r="D969" s="4"/>
      <c r="E969" s="4"/>
      <c r="I969" s="135"/>
      <c r="J969" s="135"/>
      <c r="K969" s="135"/>
      <c r="L969" s="135"/>
    </row>
    <row r="970" spans="2:12" ht="12" customHeight="1" x14ac:dyDescent="0.15">
      <c r="B970" s="2"/>
      <c r="C970" s="4"/>
      <c r="D970" s="4"/>
      <c r="E970" s="4"/>
      <c r="I970" s="135"/>
      <c r="J970" s="135"/>
      <c r="K970" s="135"/>
      <c r="L970" s="135"/>
    </row>
    <row r="971" spans="2:12" ht="12" customHeight="1" x14ac:dyDescent="0.15">
      <c r="B971" s="2"/>
      <c r="C971" s="4"/>
      <c r="D971" s="4"/>
      <c r="E971" s="4"/>
      <c r="I971" s="135"/>
      <c r="J971" s="135"/>
      <c r="K971" s="135"/>
      <c r="L971" s="135"/>
    </row>
    <row r="972" spans="2:12" ht="12" customHeight="1" x14ac:dyDescent="0.15">
      <c r="B972" s="2"/>
      <c r="C972" s="4"/>
      <c r="D972" s="4"/>
      <c r="E972" s="4"/>
      <c r="I972" s="135"/>
      <c r="J972" s="135"/>
      <c r="K972" s="135"/>
      <c r="L972" s="135"/>
    </row>
    <row r="973" spans="2:12" ht="12" customHeight="1" x14ac:dyDescent="0.15">
      <c r="B973" s="2"/>
      <c r="C973" s="4"/>
      <c r="D973" s="4"/>
      <c r="E973" s="4"/>
      <c r="I973" s="135"/>
      <c r="J973" s="135"/>
      <c r="K973" s="135"/>
      <c r="L973" s="135"/>
    </row>
    <row r="974" spans="2:12" ht="12" customHeight="1" x14ac:dyDescent="0.15">
      <c r="B974" s="2"/>
      <c r="C974" s="4"/>
      <c r="D974" s="4"/>
      <c r="E974" s="4"/>
      <c r="I974" s="135"/>
      <c r="J974" s="135"/>
      <c r="K974" s="135"/>
      <c r="L974" s="135"/>
    </row>
    <row r="975" spans="2:12" ht="12" customHeight="1" x14ac:dyDescent="0.15">
      <c r="B975" s="2"/>
      <c r="C975" s="4"/>
      <c r="D975" s="4"/>
      <c r="E975" s="4"/>
      <c r="I975" s="135"/>
      <c r="J975" s="135"/>
      <c r="K975" s="135"/>
      <c r="L975" s="135"/>
    </row>
    <row r="976" spans="2:12" ht="12" customHeight="1" x14ac:dyDescent="0.15">
      <c r="B976" s="2"/>
      <c r="C976" s="4"/>
      <c r="D976" s="4"/>
      <c r="E976" s="4"/>
      <c r="I976" s="135"/>
      <c r="J976" s="135"/>
      <c r="K976" s="135"/>
      <c r="L976" s="135"/>
    </row>
    <row r="977" spans="2:12" ht="12" customHeight="1" x14ac:dyDescent="0.15">
      <c r="B977" s="2"/>
      <c r="C977" s="4"/>
      <c r="D977" s="4"/>
      <c r="E977" s="4"/>
      <c r="I977" s="135"/>
      <c r="J977" s="135"/>
      <c r="K977" s="135"/>
      <c r="L977" s="135"/>
    </row>
    <row r="978" spans="2:12" ht="12" customHeight="1" x14ac:dyDescent="0.15">
      <c r="B978" s="2"/>
      <c r="C978" s="4"/>
      <c r="D978" s="4"/>
      <c r="E978" s="4"/>
      <c r="I978" s="135"/>
      <c r="J978" s="135"/>
      <c r="K978" s="135"/>
      <c r="L978" s="135"/>
    </row>
    <row r="979" spans="2:12" ht="12" customHeight="1" x14ac:dyDescent="0.15">
      <c r="B979" s="2"/>
      <c r="C979" s="4"/>
      <c r="D979" s="4"/>
      <c r="E979" s="4"/>
      <c r="I979" s="135"/>
      <c r="J979" s="135"/>
      <c r="K979" s="135"/>
      <c r="L979" s="135"/>
    </row>
    <row r="980" spans="2:12" ht="12" customHeight="1" x14ac:dyDescent="0.15">
      <c r="B980" s="2"/>
      <c r="C980" s="4"/>
      <c r="D980" s="4"/>
      <c r="E980" s="4"/>
      <c r="I980" s="135"/>
      <c r="J980" s="135"/>
      <c r="K980" s="135"/>
      <c r="L980" s="135"/>
    </row>
    <row r="981" spans="2:12" ht="12" customHeight="1" x14ac:dyDescent="0.15">
      <c r="B981" s="2"/>
      <c r="C981" s="4"/>
      <c r="D981" s="4"/>
      <c r="E981" s="4"/>
      <c r="I981" s="135"/>
      <c r="J981" s="135"/>
      <c r="K981" s="135"/>
      <c r="L981" s="135"/>
    </row>
    <row r="982" spans="2:12" ht="12" customHeight="1" x14ac:dyDescent="0.15">
      <c r="B982" s="2"/>
      <c r="C982" s="4"/>
      <c r="D982" s="4"/>
      <c r="E982" s="4"/>
      <c r="I982" s="135"/>
      <c r="J982" s="135"/>
      <c r="K982" s="135"/>
      <c r="L982" s="135"/>
    </row>
    <row r="983" spans="2:12" ht="12" customHeight="1" x14ac:dyDescent="0.15">
      <c r="B983" s="2"/>
      <c r="C983" s="4"/>
      <c r="D983" s="4"/>
      <c r="E983" s="4"/>
      <c r="I983" s="135"/>
      <c r="J983" s="135"/>
      <c r="K983" s="135"/>
      <c r="L983" s="135"/>
    </row>
    <row r="984" spans="2:12" ht="12" customHeight="1" x14ac:dyDescent="0.15">
      <c r="B984" s="2"/>
      <c r="C984" s="4"/>
      <c r="D984" s="4"/>
      <c r="E984" s="4"/>
      <c r="I984" s="135"/>
      <c r="J984" s="135"/>
      <c r="K984" s="135"/>
      <c r="L984" s="135"/>
    </row>
    <row r="985" spans="2:12" ht="12" customHeight="1" x14ac:dyDescent="0.15">
      <c r="B985" s="2"/>
      <c r="C985" s="4"/>
      <c r="D985" s="4"/>
      <c r="E985" s="4"/>
      <c r="I985" s="135"/>
      <c r="J985" s="135"/>
      <c r="K985" s="135"/>
      <c r="L985" s="135"/>
    </row>
    <row r="986" spans="2:12" ht="12" customHeight="1" x14ac:dyDescent="0.15">
      <c r="B986" s="2"/>
      <c r="C986" s="4"/>
      <c r="D986" s="4"/>
      <c r="E986" s="4"/>
      <c r="I986" s="135"/>
      <c r="J986" s="135"/>
      <c r="K986" s="135"/>
      <c r="L986" s="135"/>
    </row>
    <row r="987" spans="2:12" ht="12" customHeight="1" x14ac:dyDescent="0.15">
      <c r="B987" s="2"/>
      <c r="C987" s="4"/>
      <c r="D987" s="4"/>
      <c r="E987" s="4"/>
      <c r="I987" s="135"/>
      <c r="J987" s="135"/>
      <c r="K987" s="135"/>
      <c r="L987" s="135"/>
    </row>
    <row r="988" spans="2:12" ht="12" customHeight="1" x14ac:dyDescent="0.15">
      <c r="B988" s="2"/>
      <c r="C988" s="4"/>
      <c r="D988" s="4"/>
      <c r="E988" s="4"/>
      <c r="I988" s="135"/>
      <c r="J988" s="135"/>
      <c r="K988" s="135"/>
      <c r="L988" s="135"/>
    </row>
    <row r="989" spans="2:12" ht="12" customHeight="1" x14ac:dyDescent="0.15">
      <c r="B989" s="2"/>
      <c r="C989" s="4"/>
      <c r="D989" s="4"/>
      <c r="E989" s="4"/>
      <c r="I989" s="135"/>
      <c r="J989" s="135"/>
      <c r="K989" s="135"/>
      <c r="L989" s="135"/>
    </row>
    <row r="990" spans="2:12" ht="12" customHeight="1" x14ac:dyDescent="0.15">
      <c r="B990" s="2"/>
      <c r="C990" s="4"/>
      <c r="D990" s="4"/>
      <c r="E990" s="4"/>
      <c r="I990" s="135"/>
      <c r="J990" s="135"/>
      <c r="K990" s="135"/>
      <c r="L990" s="135"/>
    </row>
    <row r="991" spans="2:12" ht="12" customHeight="1" x14ac:dyDescent="0.15">
      <c r="B991" s="2"/>
      <c r="C991" s="4"/>
      <c r="D991" s="4"/>
      <c r="E991" s="4"/>
      <c r="I991" s="135"/>
      <c r="J991" s="135"/>
      <c r="K991" s="135"/>
      <c r="L991" s="135"/>
    </row>
    <row r="992" spans="2:12" ht="12" customHeight="1" x14ac:dyDescent="0.15">
      <c r="B992" s="2"/>
      <c r="C992" s="4"/>
      <c r="D992" s="4"/>
      <c r="E992" s="4"/>
      <c r="I992" s="135"/>
      <c r="J992" s="135"/>
      <c r="K992" s="135"/>
      <c r="L992" s="135"/>
    </row>
    <row r="993" spans="2:12" ht="12" customHeight="1" x14ac:dyDescent="0.15">
      <c r="B993" s="2"/>
      <c r="C993" s="4"/>
      <c r="D993" s="4"/>
      <c r="E993" s="4"/>
      <c r="I993" s="135"/>
      <c r="J993" s="135"/>
      <c r="K993" s="135"/>
      <c r="L993" s="135"/>
    </row>
    <row r="994" spans="2:12" ht="12" customHeight="1" x14ac:dyDescent="0.15">
      <c r="B994" s="2"/>
      <c r="C994" s="4"/>
      <c r="D994" s="4"/>
      <c r="E994" s="4"/>
      <c r="I994" s="135"/>
      <c r="J994" s="135"/>
      <c r="K994" s="135"/>
      <c r="L994" s="135"/>
    </row>
    <row r="995" spans="2:12" ht="12" customHeight="1" x14ac:dyDescent="0.15">
      <c r="B995" s="2"/>
      <c r="C995" s="4"/>
      <c r="D995" s="4"/>
      <c r="E995" s="4"/>
      <c r="I995" s="135"/>
      <c r="J995" s="135"/>
      <c r="K995" s="135"/>
      <c r="L995" s="135"/>
    </row>
    <row r="996" spans="2:12" ht="12" customHeight="1" x14ac:dyDescent="0.15">
      <c r="B996" s="2"/>
      <c r="C996" s="4"/>
      <c r="D996" s="4"/>
      <c r="E996" s="4"/>
      <c r="I996" s="135"/>
      <c r="J996" s="135"/>
      <c r="K996" s="135"/>
      <c r="L996" s="135"/>
    </row>
    <row r="997" spans="2:12" ht="12" customHeight="1" x14ac:dyDescent="0.15">
      <c r="B997" s="2"/>
      <c r="C997" s="4"/>
      <c r="D997" s="4"/>
      <c r="E997" s="4"/>
      <c r="I997" s="135"/>
      <c r="J997" s="135"/>
      <c r="K997" s="135"/>
      <c r="L997" s="135"/>
    </row>
    <row r="998" spans="2:12" ht="12" customHeight="1" x14ac:dyDescent="0.15">
      <c r="B998" s="2"/>
      <c r="C998" s="4"/>
      <c r="D998" s="4"/>
      <c r="E998" s="4"/>
      <c r="I998" s="135"/>
      <c r="J998" s="135"/>
      <c r="K998" s="135"/>
      <c r="L998" s="135"/>
    </row>
    <row r="999" spans="2:12" ht="12" customHeight="1" x14ac:dyDescent="0.15">
      <c r="B999" s="2"/>
      <c r="C999" s="4"/>
      <c r="D999" s="4"/>
      <c r="E999" s="4"/>
      <c r="I999" s="135"/>
      <c r="J999" s="135"/>
      <c r="K999" s="135"/>
      <c r="L999" s="135"/>
    </row>
    <row r="1000" spans="2:12" ht="12" customHeight="1" x14ac:dyDescent="0.15">
      <c r="B1000" s="2"/>
      <c r="C1000" s="4"/>
      <c r="D1000" s="4"/>
      <c r="E1000" s="4"/>
      <c r="I1000" s="135"/>
      <c r="J1000" s="135"/>
      <c r="K1000" s="135"/>
      <c r="L1000" s="135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9" workbookViewId="0"/>
  </sheetViews>
  <sheetFormatPr baseColWidth="10" defaultColWidth="12.6640625" defaultRowHeight="15" customHeight="1" x14ac:dyDescent="0.15"/>
  <cols>
    <col min="1" max="1" width="4.5" customWidth="1"/>
    <col min="2" max="2" width="59.33203125" customWidth="1"/>
    <col min="3" max="3" width="13" customWidth="1"/>
    <col min="4" max="4" width="53.8320312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1" spans="1:26" ht="54" customHeight="1" x14ac:dyDescent="0.15">
      <c r="A1" s="1"/>
      <c r="B1" s="1"/>
      <c r="C1" s="1"/>
      <c r="D1" s="1"/>
      <c r="E1" s="1"/>
      <c r="F1" s="1"/>
      <c r="G1" s="1"/>
      <c r="I1" s="135"/>
      <c r="J1" s="135"/>
      <c r="K1" s="135"/>
      <c r="L1" s="135"/>
    </row>
    <row r="2" spans="1:26" ht="12" customHeight="1" x14ac:dyDescent="0.15">
      <c r="B2" s="2"/>
      <c r="C2" s="4"/>
      <c r="D2" s="4"/>
      <c r="E2" s="4"/>
      <c r="I2" s="135"/>
      <c r="J2" s="135"/>
      <c r="K2" s="135"/>
      <c r="L2" s="135"/>
    </row>
    <row r="3" spans="1:26" ht="18.75" customHeight="1" x14ac:dyDescent="0.2">
      <c r="A3" s="5" t="s">
        <v>0</v>
      </c>
      <c r="C3" s="4"/>
      <c r="D3" s="4"/>
      <c r="E3" s="4"/>
      <c r="F3" s="5"/>
      <c r="G3" s="5"/>
      <c r="I3" s="135"/>
      <c r="J3" s="135"/>
      <c r="K3" s="135"/>
      <c r="L3" s="135"/>
    </row>
    <row r="4" spans="1:26" ht="12" customHeight="1" x14ac:dyDescent="0.15">
      <c r="A4" s="2" t="s">
        <v>1</v>
      </c>
      <c r="C4" s="4"/>
      <c r="D4" s="4"/>
      <c r="E4" s="4"/>
      <c r="F4" s="2"/>
      <c r="G4" s="2"/>
      <c r="I4" s="135"/>
      <c r="J4" s="135"/>
      <c r="K4" s="135"/>
      <c r="L4" s="135"/>
    </row>
    <row r="5" spans="1:26" ht="12" customHeight="1" x14ac:dyDescent="0.15">
      <c r="B5" s="2"/>
      <c r="C5" s="4"/>
      <c r="D5" s="4"/>
      <c r="E5" s="4"/>
      <c r="I5" s="135"/>
      <c r="J5" s="135"/>
      <c r="K5" s="135"/>
      <c r="L5" s="135"/>
    </row>
    <row r="6" spans="1:26" ht="12" customHeight="1" x14ac:dyDescent="0.15">
      <c r="B6" s="6"/>
      <c r="C6" s="4"/>
      <c r="D6" s="4"/>
      <c r="E6" s="4"/>
      <c r="F6" s="159" t="s">
        <v>284</v>
      </c>
      <c r="G6" s="160"/>
      <c r="I6" s="135"/>
      <c r="J6" s="135"/>
      <c r="K6" s="135"/>
      <c r="L6" s="135"/>
    </row>
    <row r="7" spans="1:26" ht="17.25" customHeight="1" x14ac:dyDescent="0.15">
      <c r="A7" s="8"/>
      <c r="B7" s="161" t="s">
        <v>319</v>
      </c>
      <c r="C7" s="162"/>
      <c r="D7" s="162"/>
      <c r="E7" s="163"/>
      <c r="F7" s="8"/>
      <c r="G7" s="8"/>
      <c r="H7" s="8"/>
      <c r="I7" s="164"/>
      <c r="J7" s="164"/>
      <c r="K7" s="164"/>
      <c r="L7" s="16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" customHeight="1" x14ac:dyDescent="0.15">
      <c r="B8" s="2"/>
      <c r="C8" s="4"/>
      <c r="D8" s="4"/>
      <c r="E8" s="4"/>
      <c r="I8" s="135"/>
      <c r="J8" s="135"/>
      <c r="K8" s="135"/>
      <c r="L8" s="135"/>
    </row>
    <row r="9" spans="1:26" ht="16.5" customHeight="1" x14ac:dyDescent="0.15">
      <c r="B9" s="165"/>
      <c r="C9" s="166"/>
      <c r="D9" s="167"/>
      <c r="E9" s="168" t="s">
        <v>225</v>
      </c>
      <c r="I9" s="135"/>
      <c r="J9" s="135"/>
      <c r="K9" s="135"/>
      <c r="L9" s="135"/>
    </row>
    <row r="10" spans="1:26" ht="13.5" customHeight="1" x14ac:dyDescent="0.15">
      <c r="B10" s="115" t="s">
        <v>320</v>
      </c>
      <c r="C10" s="170"/>
      <c r="D10" s="141"/>
      <c r="E10" s="134">
        <v>12048</v>
      </c>
      <c r="I10" s="135"/>
      <c r="J10" s="135"/>
      <c r="K10" s="135"/>
      <c r="L10" s="135"/>
    </row>
    <row r="11" spans="1:26" ht="15" customHeight="1" x14ac:dyDescent="0.15">
      <c r="A11" s="7"/>
      <c r="B11" s="115" t="s">
        <v>321</v>
      </c>
      <c r="C11" s="147"/>
      <c r="D11" s="172"/>
      <c r="E11" s="227">
        <v>7000</v>
      </c>
      <c r="I11" s="135"/>
      <c r="J11" s="135"/>
      <c r="K11" s="135"/>
      <c r="L11" s="135"/>
    </row>
    <row r="12" spans="1:26" ht="15" customHeight="1" x14ac:dyDescent="0.15">
      <c r="A12" s="7"/>
      <c r="B12" s="115" t="s">
        <v>322</v>
      </c>
      <c r="C12" s="4"/>
      <c r="D12" s="175"/>
      <c r="E12" s="134">
        <v>7500</v>
      </c>
      <c r="I12" s="135"/>
      <c r="J12" s="135"/>
      <c r="K12" s="135"/>
      <c r="L12" s="135"/>
    </row>
    <row r="13" spans="1:26" ht="15" customHeight="1" x14ac:dyDescent="0.15">
      <c r="A13" s="7"/>
      <c r="B13" s="115" t="s">
        <v>323</v>
      </c>
      <c r="C13" s="4"/>
      <c r="D13" s="175"/>
      <c r="E13" s="227">
        <v>12298.45</v>
      </c>
      <c r="I13" s="135"/>
      <c r="J13" s="135"/>
      <c r="K13" s="135"/>
      <c r="L13" s="135"/>
    </row>
    <row r="14" spans="1:26" ht="15" customHeight="1" x14ac:dyDescent="0.15">
      <c r="A14" s="7"/>
      <c r="B14" s="115" t="s">
        <v>324</v>
      </c>
      <c r="C14" s="4"/>
      <c r="D14" s="134"/>
      <c r="E14" s="134">
        <v>7000</v>
      </c>
      <c r="I14" s="135"/>
      <c r="J14" s="135"/>
      <c r="K14" s="135"/>
      <c r="L14" s="135"/>
    </row>
    <row r="15" spans="1:26" ht="15" customHeight="1" x14ac:dyDescent="0.15">
      <c r="A15" s="7"/>
      <c r="B15" s="115" t="s">
        <v>325</v>
      </c>
      <c r="C15" s="147"/>
      <c r="D15" s="176"/>
      <c r="E15" s="4">
        <v>18369.23</v>
      </c>
      <c r="I15" s="135"/>
      <c r="J15" s="135"/>
      <c r="K15" s="135"/>
      <c r="L15" s="135"/>
    </row>
    <row r="16" spans="1:26" ht="18.75" customHeight="1" x14ac:dyDescent="0.15">
      <c r="A16" s="7"/>
      <c r="B16" s="64" t="s">
        <v>326</v>
      </c>
      <c r="C16" s="4"/>
      <c r="D16" s="134"/>
      <c r="E16" s="227"/>
      <c r="I16" s="135"/>
      <c r="J16" s="135"/>
      <c r="K16" s="135"/>
      <c r="L16" s="135"/>
    </row>
    <row r="17" spans="1:15" ht="15" customHeight="1" x14ac:dyDescent="0.15">
      <c r="A17" s="7"/>
      <c r="B17" s="174" t="s">
        <v>327</v>
      </c>
      <c r="C17" s="4"/>
      <c r="D17" s="134"/>
      <c r="E17" s="134">
        <v>7500</v>
      </c>
      <c r="I17" s="135"/>
      <c r="J17" s="135"/>
      <c r="K17" s="135"/>
      <c r="L17" s="135"/>
    </row>
    <row r="18" spans="1:15" ht="7.5" customHeight="1" x14ac:dyDescent="0.15">
      <c r="A18" s="7"/>
      <c r="B18" s="64"/>
      <c r="C18" s="4"/>
      <c r="D18" s="134"/>
      <c r="E18" s="134"/>
      <c r="I18" s="135"/>
      <c r="J18" s="135"/>
      <c r="K18" s="135"/>
      <c r="L18" s="135"/>
    </row>
    <row r="19" spans="1:15" ht="15" customHeight="1" x14ac:dyDescent="0.15">
      <c r="A19" s="7"/>
      <c r="B19" s="171"/>
      <c r="C19" s="4"/>
      <c r="D19" s="134"/>
      <c r="E19" s="173"/>
      <c r="I19" s="135"/>
      <c r="J19" s="135"/>
      <c r="K19" s="135"/>
      <c r="L19" s="135"/>
    </row>
    <row r="20" spans="1:15" ht="7.5" customHeight="1" x14ac:dyDescent="0.15">
      <c r="B20" s="177"/>
      <c r="C20" s="178"/>
      <c r="D20" s="179"/>
      <c r="E20" s="134"/>
      <c r="I20" s="135"/>
      <c r="J20" s="135"/>
      <c r="K20" s="135"/>
      <c r="L20" s="135"/>
    </row>
    <row r="21" spans="1:15" ht="15" customHeight="1" x14ac:dyDescent="0.15">
      <c r="B21" s="180"/>
      <c r="C21" s="181"/>
      <c r="D21" s="182" t="s">
        <v>292</v>
      </c>
      <c r="E21" s="183">
        <f>SUM(E10:E20)</f>
        <v>71715.679999999993</v>
      </c>
      <c r="I21" s="135"/>
      <c r="J21" s="135"/>
      <c r="K21" s="135"/>
      <c r="L21" s="135"/>
    </row>
    <row r="22" spans="1:15" ht="15" customHeight="1" x14ac:dyDescent="0.15">
      <c r="B22" s="184" t="s">
        <v>293</v>
      </c>
      <c r="C22" s="185"/>
      <c r="D22" s="185"/>
      <c r="E22" s="185"/>
      <c r="I22" s="135"/>
      <c r="J22" s="135"/>
      <c r="K22" s="135"/>
      <c r="L22" s="135"/>
    </row>
    <row r="23" spans="1:15" ht="15" customHeight="1" x14ac:dyDescent="0.15">
      <c r="B23" s="184" t="s">
        <v>294</v>
      </c>
      <c r="C23" s="185"/>
      <c r="D23" s="185"/>
      <c r="E23" s="185"/>
      <c r="I23" s="135"/>
      <c r="J23" s="135"/>
      <c r="K23" s="135"/>
      <c r="L23" s="135"/>
    </row>
    <row r="24" spans="1:15" ht="15" customHeight="1" x14ac:dyDescent="0.15">
      <c r="B24" s="186" t="s">
        <v>295</v>
      </c>
      <c r="C24" s="4"/>
      <c r="D24" s="4"/>
      <c r="E24" s="4"/>
      <c r="I24" s="135"/>
      <c r="J24" s="135"/>
      <c r="K24" s="135"/>
      <c r="L24" s="135"/>
    </row>
    <row r="25" spans="1:15" ht="15" customHeight="1" x14ac:dyDescent="0.15">
      <c r="B25" s="186" t="s">
        <v>296</v>
      </c>
      <c r="C25" s="4"/>
      <c r="D25" s="4"/>
      <c r="E25" s="4"/>
      <c r="I25" s="135"/>
      <c r="J25" s="135"/>
      <c r="K25" s="135"/>
      <c r="L25" s="135"/>
    </row>
    <row r="26" spans="1:15" ht="15" customHeight="1" x14ac:dyDescent="0.15">
      <c r="B26" s="187"/>
      <c r="C26" s="4"/>
      <c r="D26" s="4"/>
      <c r="E26" s="4"/>
      <c r="I26" s="135"/>
      <c r="J26" s="135"/>
      <c r="K26" s="135"/>
      <c r="L26" s="135"/>
    </row>
    <row r="27" spans="1:15" ht="15" customHeight="1" x14ac:dyDescent="0.15">
      <c r="B27" s="187" t="s">
        <v>297</v>
      </c>
      <c r="C27" s="4"/>
      <c r="D27" s="4"/>
      <c r="E27" s="4"/>
      <c r="I27" s="135"/>
      <c r="J27" s="135"/>
      <c r="K27" s="135"/>
      <c r="L27" s="135"/>
    </row>
    <row r="28" spans="1:15" ht="15" customHeight="1" x14ac:dyDescent="0.15">
      <c r="B28" s="187" t="s">
        <v>298</v>
      </c>
      <c r="C28" s="4"/>
      <c r="D28" s="4"/>
      <c r="E28" s="4"/>
      <c r="I28" s="135"/>
      <c r="J28" s="135"/>
      <c r="K28" s="135"/>
      <c r="L28" s="135"/>
    </row>
    <row r="29" spans="1:15" ht="15" customHeight="1" x14ac:dyDescent="0.15">
      <c r="B29" s="187"/>
      <c r="C29" s="4"/>
      <c r="D29" s="4"/>
      <c r="E29" s="4"/>
      <c r="I29" s="135"/>
      <c r="J29" s="135"/>
      <c r="K29" s="135"/>
      <c r="L29" s="135"/>
    </row>
    <row r="30" spans="1:15" ht="15" customHeight="1" x14ac:dyDescent="0.2">
      <c r="B30" s="188" t="s">
        <v>328</v>
      </c>
      <c r="C30" s="189"/>
      <c r="D30" s="190"/>
      <c r="E30" s="191">
        <f>E21</f>
        <v>71715.679999999993</v>
      </c>
      <c r="H30" s="192" t="s">
        <v>300</v>
      </c>
      <c r="I30" s="193" t="s">
        <v>301</v>
      </c>
      <c r="J30" s="194" t="s">
        <v>302</v>
      </c>
      <c r="K30" s="194" t="s">
        <v>303</v>
      </c>
      <c r="L30" s="195" t="s">
        <v>304</v>
      </c>
      <c r="M30" s="196" t="s">
        <v>305</v>
      </c>
      <c r="N30" s="197"/>
      <c r="O30" s="198"/>
    </row>
    <row r="31" spans="1:15" ht="15" customHeight="1" x14ac:dyDescent="0.15">
      <c r="B31" s="199" t="s">
        <v>306</v>
      </c>
      <c r="C31" s="200" t="s">
        <v>307</v>
      </c>
      <c r="D31" s="201" t="s">
        <v>308</v>
      </c>
      <c r="E31" s="200" t="s">
        <v>309</v>
      </c>
      <c r="H31" s="202">
        <v>1</v>
      </c>
      <c r="I31" s="135">
        <f>E30</f>
        <v>71715.679999999993</v>
      </c>
      <c r="J31" s="135">
        <v>3385038.8048100215</v>
      </c>
      <c r="K31" s="135">
        <v>26236200</v>
      </c>
      <c r="L31" s="224">
        <f>J31/J38*100</f>
        <v>12.902168777528845</v>
      </c>
      <c r="M31" s="135">
        <f t="shared" ref="M31:M37" si="0">(I31*J31/K31)</f>
        <v>9252.8780735524942</v>
      </c>
      <c r="N31" s="203">
        <f t="shared" ref="N31:N37" si="1">M31</f>
        <v>9252.8780735524942</v>
      </c>
    </row>
    <row r="32" spans="1:15" ht="15" customHeight="1" x14ac:dyDescent="0.15">
      <c r="B32" s="204" t="s">
        <v>184</v>
      </c>
      <c r="C32" s="205" t="s">
        <v>185</v>
      </c>
      <c r="D32" s="206">
        <v>0.129</v>
      </c>
      <c r="E32" s="207">
        <f t="shared" ref="E32:E38" si="2">M31</f>
        <v>9252.8780735524942</v>
      </c>
      <c r="H32" s="202">
        <v>2</v>
      </c>
      <c r="I32" s="135">
        <f>E30</f>
        <v>71715.679999999993</v>
      </c>
      <c r="J32" s="135">
        <v>3452215.7605962222</v>
      </c>
      <c r="K32" s="135">
        <v>26236200</v>
      </c>
      <c r="L32" s="225">
        <f>J32/J38*100</f>
        <v>13.158215597518785</v>
      </c>
      <c r="M32" s="135">
        <f t="shared" si="0"/>
        <v>9436.5037916266556</v>
      </c>
      <c r="N32" s="203">
        <f t="shared" si="1"/>
        <v>9436.5037916266556</v>
      </c>
    </row>
    <row r="33" spans="2:14" ht="12" customHeight="1" x14ac:dyDescent="0.15">
      <c r="B33" s="208" t="s">
        <v>187</v>
      </c>
      <c r="C33" s="209" t="s">
        <v>188</v>
      </c>
      <c r="D33" s="210">
        <v>0.13159999999999999</v>
      </c>
      <c r="E33" s="211">
        <f t="shared" si="2"/>
        <v>9436.5037916266556</v>
      </c>
      <c r="H33" s="202">
        <v>3</v>
      </c>
      <c r="I33" s="135">
        <f>E30</f>
        <v>71715.679999999993</v>
      </c>
      <c r="J33" s="135">
        <v>4062206.5109048504</v>
      </c>
      <c r="K33" s="135">
        <v>26236200</v>
      </c>
      <c r="L33" s="225">
        <f>J33/J38*100</f>
        <v>15.483212168320303</v>
      </c>
      <c r="M33" s="135">
        <f t="shared" si="0"/>
        <v>11103.890892353647</v>
      </c>
      <c r="N33" s="203">
        <f t="shared" si="1"/>
        <v>11103.890892353647</v>
      </c>
    </row>
    <row r="34" spans="2:14" ht="12" customHeight="1" x14ac:dyDescent="0.15">
      <c r="B34" s="208" t="s">
        <v>189</v>
      </c>
      <c r="C34" s="209" t="s">
        <v>190</v>
      </c>
      <c r="D34" s="210">
        <v>0.15479999999999999</v>
      </c>
      <c r="E34" s="211">
        <f t="shared" si="2"/>
        <v>11103.890892353647</v>
      </c>
      <c r="H34" s="202">
        <v>4</v>
      </c>
      <c r="I34" s="135">
        <f>E30</f>
        <v>71715.679999999993</v>
      </c>
      <c r="J34" s="135">
        <v>2069290.155914224</v>
      </c>
      <c r="K34" s="135">
        <v>26236200</v>
      </c>
      <c r="L34" s="225">
        <f>J34/J38*100</f>
        <v>7.8871565086187196</v>
      </c>
      <c r="M34" s="135">
        <f t="shared" si="0"/>
        <v>5656.3279228201718</v>
      </c>
      <c r="N34" s="203">
        <f t="shared" si="1"/>
        <v>5656.3279228201718</v>
      </c>
    </row>
    <row r="35" spans="2:14" ht="12" customHeight="1" x14ac:dyDescent="0.15">
      <c r="B35" s="208" t="s">
        <v>191</v>
      </c>
      <c r="C35" s="209" t="s">
        <v>192</v>
      </c>
      <c r="D35" s="210">
        <v>7.8899999999999998E-2</v>
      </c>
      <c r="E35" s="211">
        <f t="shared" si="2"/>
        <v>5656.3279228201718</v>
      </c>
      <c r="H35" s="202">
        <v>5</v>
      </c>
      <c r="I35" s="135">
        <f>E30</f>
        <v>71715.679999999993</v>
      </c>
      <c r="J35" s="135">
        <v>2539128.9835855695</v>
      </c>
      <c r="K35" s="135">
        <v>26236200</v>
      </c>
      <c r="L35" s="225">
        <f>J35/J38*100</f>
        <v>9.6779601603340808</v>
      </c>
      <c r="M35" s="135">
        <f t="shared" si="0"/>
        <v>6940.6149391126746</v>
      </c>
      <c r="N35" s="203">
        <f t="shared" si="1"/>
        <v>6940.6149391126746</v>
      </c>
    </row>
    <row r="36" spans="2:14" ht="12" customHeight="1" x14ac:dyDescent="0.15">
      <c r="B36" s="208" t="s">
        <v>310</v>
      </c>
      <c r="C36" s="209" t="s">
        <v>194</v>
      </c>
      <c r="D36" s="210">
        <v>9.6799999999999997E-2</v>
      </c>
      <c r="E36" s="211">
        <f t="shared" si="2"/>
        <v>6940.6149391126746</v>
      </c>
      <c r="H36" s="202">
        <v>6</v>
      </c>
      <c r="I36" s="135">
        <f>E30</f>
        <v>71715.679999999993</v>
      </c>
      <c r="J36" s="135">
        <v>4172168.7897215486</v>
      </c>
      <c r="K36" s="135">
        <v>26236200</v>
      </c>
      <c r="L36" s="225">
        <f>J36/J38*100</f>
        <v>15.902336427232411</v>
      </c>
      <c r="M36" s="135">
        <f t="shared" si="0"/>
        <v>11404.468704677423</v>
      </c>
      <c r="N36" s="203">
        <f t="shared" si="1"/>
        <v>11404.468704677423</v>
      </c>
    </row>
    <row r="37" spans="2:14" ht="12" customHeight="1" x14ac:dyDescent="0.15">
      <c r="B37" s="208" t="s">
        <v>329</v>
      </c>
      <c r="C37" s="209" t="s">
        <v>196</v>
      </c>
      <c r="D37" s="210">
        <v>0.159</v>
      </c>
      <c r="E37" s="211">
        <f t="shared" si="2"/>
        <v>11404.468704677423</v>
      </c>
      <c r="H37" s="202">
        <v>7</v>
      </c>
      <c r="I37" s="135">
        <f>E30</f>
        <v>71715.679999999993</v>
      </c>
      <c r="J37" s="135">
        <v>6556150.9944675583</v>
      </c>
      <c r="K37" s="135">
        <v>26236200</v>
      </c>
      <c r="L37" s="225">
        <f>J37/J38*100</f>
        <v>24.988950360446864</v>
      </c>
      <c r="M37" s="135">
        <f t="shared" si="0"/>
        <v>17920.995675856913</v>
      </c>
      <c r="N37" s="203">
        <f t="shared" si="1"/>
        <v>17920.995675856913</v>
      </c>
    </row>
    <row r="38" spans="2:14" ht="12" customHeight="1" x14ac:dyDescent="0.15">
      <c r="B38" s="208" t="s">
        <v>197</v>
      </c>
      <c r="C38" s="209" t="s">
        <v>198</v>
      </c>
      <c r="D38" s="210">
        <v>0.24990000000000001</v>
      </c>
      <c r="E38" s="211">
        <f t="shared" si="2"/>
        <v>17920.995675856913</v>
      </c>
      <c r="H38" s="212"/>
      <c r="I38" s="213"/>
      <c r="J38" s="214">
        <f>SUM(J31:J37)</f>
        <v>26236199.999999993</v>
      </c>
      <c r="K38" s="214"/>
      <c r="L38" s="214">
        <f t="shared" ref="L38:N38" si="3">SUM(L31:L37)</f>
        <v>100.00000000000001</v>
      </c>
      <c r="M38" s="214">
        <f t="shared" si="3"/>
        <v>71715.679999999993</v>
      </c>
      <c r="N38" s="215">
        <f t="shared" si="3"/>
        <v>71715.679999999993</v>
      </c>
    </row>
    <row r="39" spans="2:14" ht="12" customHeight="1" x14ac:dyDescent="0.15">
      <c r="B39" s="216" t="s">
        <v>225</v>
      </c>
      <c r="C39" s="217"/>
      <c r="D39" s="218">
        <f t="shared" ref="D39:E39" si="4">SUM(D32:D38)</f>
        <v>1</v>
      </c>
      <c r="E39" s="219">
        <f t="shared" si="4"/>
        <v>71715.679999999993</v>
      </c>
      <c r="I39" s="135"/>
      <c r="J39" s="135"/>
      <c r="K39" s="135"/>
      <c r="L39" s="135"/>
    </row>
    <row r="40" spans="2:14" ht="12" customHeight="1" x14ac:dyDescent="0.15">
      <c r="B40" s="220"/>
      <c r="C40" s="75"/>
      <c r="D40" s="221"/>
      <c r="E40" s="185"/>
      <c r="I40" s="135"/>
      <c r="J40" s="135"/>
      <c r="K40" s="135"/>
      <c r="L40" s="135"/>
    </row>
    <row r="41" spans="2:14" ht="12" customHeight="1" x14ac:dyDescent="0.15">
      <c r="B41" s="2"/>
      <c r="C41" s="4"/>
      <c r="D41" s="4"/>
      <c r="E41" s="4"/>
      <c r="I41" s="135"/>
      <c r="J41" s="135"/>
      <c r="K41" s="135"/>
      <c r="L41" s="135"/>
    </row>
    <row r="42" spans="2:14" ht="12" customHeight="1" x14ac:dyDescent="0.15">
      <c r="B42" s="2"/>
      <c r="C42" s="4"/>
      <c r="D42" s="4"/>
      <c r="E42" s="4"/>
      <c r="I42" s="135"/>
      <c r="J42" s="135"/>
      <c r="K42" s="135"/>
      <c r="L42" s="135"/>
    </row>
    <row r="43" spans="2:14" ht="12" customHeight="1" x14ac:dyDescent="0.15">
      <c r="B43" s="226"/>
      <c r="C43" s="135"/>
      <c r="D43" s="4"/>
      <c r="E43" s="206"/>
      <c r="I43" s="135"/>
      <c r="J43" s="135"/>
      <c r="K43" s="135"/>
      <c r="L43" s="135"/>
      <c r="M43" s="135"/>
    </row>
    <row r="44" spans="2:14" ht="12" customHeight="1" x14ac:dyDescent="0.15">
      <c r="B44" s="226"/>
      <c r="C44" s="135"/>
      <c r="D44" s="4"/>
      <c r="E44" s="210"/>
      <c r="I44" s="135"/>
      <c r="J44" s="135"/>
      <c r="K44" s="135"/>
      <c r="L44" s="135"/>
    </row>
    <row r="45" spans="2:14" ht="12" customHeight="1" x14ac:dyDescent="0.15">
      <c r="B45" s="226"/>
      <c r="C45" s="135"/>
      <c r="D45" s="4"/>
      <c r="E45" s="210"/>
      <c r="I45" s="135"/>
      <c r="J45" s="135"/>
      <c r="K45" s="135"/>
      <c r="L45" s="135"/>
    </row>
    <row r="46" spans="2:14" ht="12" customHeight="1" x14ac:dyDescent="0.15">
      <c r="B46" s="226"/>
      <c r="C46" s="135"/>
      <c r="D46" s="4"/>
      <c r="E46" s="210"/>
      <c r="I46" s="135"/>
      <c r="J46" s="135"/>
      <c r="K46" s="135"/>
      <c r="L46" s="135"/>
    </row>
    <row r="47" spans="2:14" ht="12" customHeight="1" x14ac:dyDescent="0.15">
      <c r="B47" s="226"/>
      <c r="C47" s="135"/>
      <c r="D47" s="4"/>
      <c r="E47" s="210"/>
      <c r="I47" s="135"/>
      <c r="J47" s="135"/>
      <c r="K47" s="135"/>
      <c r="L47" s="135"/>
    </row>
    <row r="48" spans="2:14" ht="12" customHeight="1" x14ac:dyDescent="0.15">
      <c r="B48" s="226"/>
      <c r="C48" s="135"/>
      <c r="D48" s="4"/>
      <c r="E48" s="210"/>
      <c r="I48" s="135"/>
      <c r="J48" s="135"/>
      <c r="K48" s="135"/>
      <c r="L48" s="135"/>
    </row>
    <row r="49" spans="2:12" ht="12" customHeight="1" x14ac:dyDescent="0.15">
      <c r="B49" s="226"/>
      <c r="C49" s="135"/>
      <c r="D49" s="4"/>
      <c r="E49" s="210"/>
      <c r="I49" s="135"/>
      <c r="J49" s="135"/>
      <c r="K49" s="135"/>
      <c r="L49" s="135"/>
    </row>
    <row r="50" spans="2:12" ht="12" customHeight="1" x14ac:dyDescent="0.15">
      <c r="B50" s="2"/>
      <c r="C50" s="147"/>
      <c r="D50" s="4"/>
      <c r="E50" s="4"/>
      <c r="I50" s="135"/>
      <c r="J50" s="135"/>
      <c r="K50" s="135"/>
      <c r="L50" s="135"/>
    </row>
    <row r="51" spans="2:12" ht="12" customHeight="1" x14ac:dyDescent="0.15">
      <c r="B51" s="2"/>
      <c r="C51" s="4"/>
      <c r="D51" s="4"/>
      <c r="E51" s="4"/>
      <c r="I51" s="135"/>
      <c r="J51" s="135"/>
      <c r="K51" s="135"/>
      <c r="L51" s="135"/>
    </row>
    <row r="52" spans="2:12" ht="12" customHeight="1" x14ac:dyDescent="0.15">
      <c r="B52" s="2"/>
      <c r="C52" s="4"/>
      <c r="D52" s="4"/>
      <c r="E52" s="4"/>
      <c r="I52" s="135"/>
      <c r="J52" s="135"/>
      <c r="K52" s="135"/>
      <c r="L52" s="135"/>
    </row>
    <row r="53" spans="2:12" ht="12" customHeight="1" x14ac:dyDescent="0.15">
      <c r="B53" s="2"/>
      <c r="C53" s="4"/>
      <c r="D53" s="4"/>
      <c r="E53" s="4"/>
      <c r="I53" s="135"/>
      <c r="J53" s="135"/>
      <c r="K53" s="135"/>
      <c r="L53" s="135"/>
    </row>
    <row r="54" spans="2:12" ht="12" customHeight="1" x14ac:dyDescent="0.15">
      <c r="B54" s="2"/>
      <c r="C54" s="4"/>
      <c r="D54" s="4"/>
      <c r="E54" s="4"/>
      <c r="I54" s="135"/>
      <c r="J54" s="135"/>
      <c r="K54" s="135"/>
      <c r="L54" s="135"/>
    </row>
    <row r="55" spans="2:12" ht="12" customHeight="1" x14ac:dyDescent="0.15">
      <c r="B55" s="2"/>
      <c r="C55" s="4"/>
      <c r="D55" s="4"/>
      <c r="E55" s="4"/>
      <c r="I55" s="135"/>
      <c r="J55" s="135"/>
      <c r="K55" s="135"/>
      <c r="L55" s="135"/>
    </row>
    <row r="56" spans="2:12" ht="12" customHeight="1" x14ac:dyDescent="0.15">
      <c r="B56" s="2"/>
      <c r="C56" s="4"/>
      <c r="D56" s="4"/>
      <c r="E56" s="4"/>
      <c r="I56" s="135"/>
      <c r="J56" s="135"/>
      <c r="K56" s="135"/>
      <c r="L56" s="135"/>
    </row>
    <row r="57" spans="2:12" ht="12" customHeight="1" x14ac:dyDescent="0.15">
      <c r="B57" s="2"/>
      <c r="C57" s="4"/>
      <c r="D57" s="4"/>
      <c r="E57" s="4"/>
      <c r="I57" s="135"/>
      <c r="J57" s="135"/>
      <c r="K57" s="135"/>
      <c r="L57" s="135"/>
    </row>
    <row r="58" spans="2:12" ht="12" customHeight="1" x14ac:dyDescent="0.15">
      <c r="B58" s="2"/>
      <c r="C58" s="4"/>
      <c r="D58" s="4"/>
      <c r="E58" s="4"/>
      <c r="I58" s="135"/>
      <c r="J58" s="135"/>
      <c r="K58" s="135"/>
      <c r="L58" s="135"/>
    </row>
    <row r="59" spans="2:12" ht="12" customHeight="1" x14ac:dyDescent="0.15">
      <c r="B59" s="2"/>
      <c r="C59" s="4"/>
      <c r="D59" s="4"/>
      <c r="E59" s="4"/>
      <c r="I59" s="135"/>
      <c r="J59" s="135"/>
      <c r="K59" s="135"/>
      <c r="L59" s="135"/>
    </row>
    <row r="60" spans="2:12" ht="12" customHeight="1" x14ac:dyDescent="0.15">
      <c r="B60" s="2"/>
      <c r="C60" s="4"/>
      <c r="D60" s="4"/>
      <c r="E60" s="4"/>
      <c r="I60" s="135"/>
      <c r="J60" s="135"/>
      <c r="K60" s="135"/>
      <c r="L60" s="135"/>
    </row>
    <row r="61" spans="2:12" ht="12" customHeight="1" x14ac:dyDescent="0.15">
      <c r="B61" s="2"/>
      <c r="C61" s="4"/>
      <c r="D61" s="4"/>
      <c r="E61" s="4"/>
      <c r="I61" s="135"/>
      <c r="J61" s="135"/>
      <c r="K61" s="135"/>
      <c r="L61" s="135"/>
    </row>
    <row r="62" spans="2:12" ht="12" customHeight="1" x14ac:dyDescent="0.15">
      <c r="B62" s="2"/>
      <c r="C62" s="4"/>
      <c r="D62" s="4"/>
      <c r="E62" s="4"/>
      <c r="I62" s="135"/>
      <c r="J62" s="135"/>
      <c r="K62" s="135"/>
      <c r="L62" s="135"/>
    </row>
    <row r="63" spans="2:12" ht="12" customHeight="1" x14ac:dyDescent="0.15">
      <c r="B63" s="2"/>
      <c r="C63" s="4"/>
      <c r="D63" s="4"/>
      <c r="E63" s="4"/>
      <c r="I63" s="135"/>
      <c r="J63" s="135"/>
      <c r="K63" s="135"/>
      <c r="L63" s="135"/>
    </row>
    <row r="64" spans="2:12" ht="12" customHeight="1" x14ac:dyDescent="0.15">
      <c r="B64" s="2"/>
      <c r="C64" s="4"/>
      <c r="D64" s="4"/>
      <c r="E64" s="4"/>
      <c r="I64" s="135"/>
      <c r="J64" s="135"/>
      <c r="K64" s="135"/>
      <c r="L64" s="135"/>
    </row>
    <row r="65" spans="2:12" ht="12" customHeight="1" x14ac:dyDescent="0.15">
      <c r="B65" s="2"/>
      <c r="C65" s="4"/>
      <c r="D65" s="4"/>
      <c r="E65" s="4"/>
      <c r="I65" s="135"/>
      <c r="J65" s="135"/>
      <c r="K65" s="135"/>
      <c r="L65" s="135"/>
    </row>
    <row r="66" spans="2:12" ht="12" customHeight="1" x14ac:dyDescent="0.15">
      <c r="B66" s="2"/>
      <c r="C66" s="4"/>
      <c r="D66" s="4"/>
      <c r="E66" s="4"/>
      <c r="I66" s="135"/>
      <c r="J66" s="135"/>
      <c r="K66" s="135"/>
      <c r="L66" s="135"/>
    </row>
    <row r="67" spans="2:12" ht="12" customHeight="1" x14ac:dyDescent="0.15">
      <c r="B67" s="2"/>
      <c r="C67" s="4"/>
      <c r="D67" s="4"/>
      <c r="E67" s="4"/>
      <c r="I67" s="135"/>
      <c r="J67" s="135"/>
      <c r="K67" s="135"/>
      <c r="L67" s="135"/>
    </row>
    <row r="68" spans="2:12" ht="12" customHeight="1" x14ac:dyDescent="0.15">
      <c r="B68" s="2"/>
      <c r="C68" s="4"/>
      <c r="D68" s="4"/>
      <c r="E68" s="4"/>
      <c r="I68" s="135"/>
      <c r="J68" s="135"/>
      <c r="K68" s="135"/>
      <c r="L68" s="135"/>
    </row>
    <row r="69" spans="2:12" ht="12" customHeight="1" x14ac:dyDescent="0.15">
      <c r="B69" s="2"/>
      <c r="C69" s="4"/>
      <c r="D69" s="4"/>
      <c r="E69" s="4"/>
      <c r="I69" s="135"/>
      <c r="J69" s="135"/>
      <c r="K69" s="135"/>
      <c r="L69" s="135"/>
    </row>
    <row r="70" spans="2:12" ht="12" customHeight="1" x14ac:dyDescent="0.15">
      <c r="B70" s="2"/>
      <c r="C70" s="4"/>
      <c r="D70" s="4"/>
      <c r="E70" s="4"/>
      <c r="I70" s="135"/>
      <c r="J70" s="135"/>
      <c r="K70" s="135"/>
      <c r="L70" s="135"/>
    </row>
    <row r="71" spans="2:12" ht="12" customHeight="1" x14ac:dyDescent="0.15">
      <c r="B71" s="2"/>
      <c r="C71" s="4"/>
      <c r="D71" s="4"/>
      <c r="E71" s="4"/>
      <c r="I71" s="135"/>
      <c r="J71" s="135"/>
      <c r="K71" s="135"/>
      <c r="L71" s="135"/>
    </row>
    <row r="72" spans="2:12" ht="12" customHeight="1" x14ac:dyDescent="0.15">
      <c r="B72" s="2"/>
      <c r="C72" s="4"/>
      <c r="D72" s="4"/>
      <c r="E72" s="4"/>
      <c r="I72" s="135"/>
      <c r="J72" s="135"/>
      <c r="K72" s="135"/>
      <c r="L72" s="135"/>
    </row>
    <row r="73" spans="2:12" ht="12" customHeight="1" x14ac:dyDescent="0.15">
      <c r="B73" s="2"/>
      <c r="C73" s="4"/>
      <c r="D73" s="4"/>
      <c r="E73" s="4"/>
      <c r="I73" s="135"/>
      <c r="J73" s="135"/>
      <c r="K73" s="135"/>
      <c r="L73" s="135"/>
    </row>
    <row r="74" spans="2:12" ht="12" customHeight="1" x14ac:dyDescent="0.15">
      <c r="B74" s="2"/>
      <c r="C74" s="4"/>
      <c r="D74" s="4"/>
      <c r="E74" s="4"/>
      <c r="I74" s="135"/>
      <c r="J74" s="135"/>
      <c r="K74" s="135"/>
      <c r="L74" s="135"/>
    </row>
    <row r="75" spans="2:12" ht="12" customHeight="1" x14ac:dyDescent="0.15">
      <c r="B75" s="2"/>
      <c r="C75" s="4"/>
      <c r="D75" s="4"/>
      <c r="E75" s="4"/>
      <c r="I75" s="135"/>
      <c r="J75" s="135"/>
      <c r="K75" s="135"/>
      <c r="L75" s="135"/>
    </row>
    <row r="76" spans="2:12" ht="12" customHeight="1" x14ac:dyDescent="0.15">
      <c r="B76" s="2"/>
      <c r="C76" s="4"/>
      <c r="D76" s="4"/>
      <c r="E76" s="4"/>
      <c r="I76" s="135"/>
      <c r="J76" s="135"/>
      <c r="K76" s="135"/>
      <c r="L76" s="135"/>
    </row>
    <row r="77" spans="2:12" ht="12" customHeight="1" x14ac:dyDescent="0.15">
      <c r="B77" s="2"/>
      <c r="C77" s="4"/>
      <c r="D77" s="4"/>
      <c r="E77" s="4"/>
      <c r="I77" s="135"/>
      <c r="J77" s="135"/>
      <c r="K77" s="135"/>
      <c r="L77" s="135"/>
    </row>
    <row r="78" spans="2:12" ht="12" customHeight="1" x14ac:dyDescent="0.15">
      <c r="B78" s="2"/>
      <c r="C78" s="4"/>
      <c r="D78" s="4"/>
      <c r="E78" s="4"/>
      <c r="I78" s="135"/>
      <c r="J78" s="135"/>
      <c r="K78" s="135"/>
      <c r="L78" s="135"/>
    </row>
    <row r="79" spans="2:12" ht="12" customHeight="1" x14ac:dyDescent="0.15">
      <c r="B79" s="2"/>
      <c r="C79" s="4"/>
      <c r="D79" s="4"/>
      <c r="E79" s="4"/>
      <c r="I79" s="135"/>
      <c r="J79" s="135"/>
      <c r="K79" s="135"/>
      <c r="L79" s="135"/>
    </row>
    <row r="80" spans="2:12" ht="12" customHeight="1" x14ac:dyDescent="0.15">
      <c r="B80" s="2"/>
      <c r="C80" s="4"/>
      <c r="D80" s="4"/>
      <c r="E80" s="4"/>
      <c r="I80" s="135"/>
      <c r="J80" s="135"/>
      <c r="K80" s="135"/>
      <c r="L80" s="135"/>
    </row>
    <row r="81" spans="2:12" ht="12" customHeight="1" x14ac:dyDescent="0.15">
      <c r="B81" s="2"/>
      <c r="C81" s="4"/>
      <c r="D81" s="4"/>
      <c r="E81" s="4"/>
      <c r="I81" s="135"/>
      <c r="J81" s="135"/>
      <c r="K81" s="135"/>
      <c r="L81" s="135"/>
    </row>
    <row r="82" spans="2:12" ht="12" customHeight="1" x14ac:dyDescent="0.15">
      <c r="B82" s="2"/>
      <c r="C82" s="4"/>
      <c r="D82" s="4"/>
      <c r="E82" s="4"/>
      <c r="I82" s="135"/>
      <c r="J82" s="135"/>
      <c r="K82" s="135"/>
      <c r="L82" s="135"/>
    </row>
    <row r="83" spans="2:12" ht="12" customHeight="1" x14ac:dyDescent="0.15">
      <c r="B83" s="2"/>
      <c r="C83" s="4"/>
      <c r="D83" s="4"/>
      <c r="E83" s="4"/>
      <c r="I83" s="135"/>
      <c r="J83" s="135"/>
      <c r="K83" s="135"/>
      <c r="L83" s="135"/>
    </row>
    <row r="84" spans="2:12" ht="12" customHeight="1" x14ac:dyDescent="0.15">
      <c r="B84" s="2"/>
      <c r="C84" s="4"/>
      <c r="D84" s="4"/>
      <c r="E84" s="4"/>
      <c r="I84" s="135"/>
      <c r="J84" s="135"/>
      <c r="K84" s="135"/>
      <c r="L84" s="135"/>
    </row>
    <row r="85" spans="2:12" ht="12" customHeight="1" x14ac:dyDescent="0.15">
      <c r="B85" s="2"/>
      <c r="C85" s="4"/>
      <c r="D85" s="4"/>
      <c r="E85" s="4"/>
      <c r="I85" s="135"/>
      <c r="J85" s="135"/>
      <c r="K85" s="135"/>
      <c r="L85" s="135"/>
    </row>
    <row r="86" spans="2:12" ht="12" customHeight="1" x14ac:dyDescent="0.15">
      <c r="B86" s="2"/>
      <c r="C86" s="4"/>
      <c r="D86" s="4"/>
      <c r="E86" s="4"/>
      <c r="I86" s="135"/>
      <c r="J86" s="135"/>
      <c r="K86" s="135"/>
      <c r="L86" s="135"/>
    </row>
    <row r="87" spans="2:12" ht="12" customHeight="1" x14ac:dyDescent="0.15">
      <c r="B87" s="2"/>
      <c r="C87" s="4"/>
      <c r="D87" s="4"/>
      <c r="E87" s="4"/>
      <c r="I87" s="135"/>
      <c r="J87" s="135"/>
      <c r="K87" s="135"/>
      <c r="L87" s="135"/>
    </row>
    <row r="88" spans="2:12" ht="12" customHeight="1" x14ac:dyDescent="0.15">
      <c r="B88" s="2"/>
      <c r="C88" s="4"/>
      <c r="D88" s="4"/>
      <c r="E88" s="4"/>
      <c r="I88" s="135"/>
      <c r="J88" s="135"/>
      <c r="K88" s="135"/>
      <c r="L88" s="135"/>
    </row>
    <row r="89" spans="2:12" ht="12" customHeight="1" x14ac:dyDescent="0.15">
      <c r="B89" s="2"/>
      <c r="C89" s="4"/>
      <c r="D89" s="4"/>
      <c r="E89" s="4"/>
      <c r="I89" s="135"/>
      <c r="J89" s="135"/>
      <c r="K89" s="135"/>
      <c r="L89" s="135"/>
    </row>
    <row r="90" spans="2:12" ht="12" customHeight="1" x14ac:dyDescent="0.15">
      <c r="B90" s="2"/>
      <c r="C90" s="4"/>
      <c r="D90" s="4"/>
      <c r="E90" s="4"/>
      <c r="I90" s="135"/>
      <c r="J90" s="135"/>
      <c r="K90" s="135"/>
      <c r="L90" s="135"/>
    </row>
    <row r="91" spans="2:12" ht="12" customHeight="1" x14ac:dyDescent="0.15">
      <c r="B91" s="2"/>
      <c r="C91" s="4"/>
      <c r="D91" s="4"/>
      <c r="E91" s="4"/>
      <c r="I91" s="135"/>
      <c r="J91" s="135"/>
      <c r="K91" s="135"/>
      <c r="L91" s="135"/>
    </row>
    <row r="92" spans="2:12" ht="12" customHeight="1" x14ac:dyDescent="0.15">
      <c r="B92" s="2"/>
      <c r="C92" s="4"/>
      <c r="D92" s="4"/>
      <c r="E92" s="4"/>
      <c r="I92" s="135"/>
      <c r="J92" s="135"/>
      <c r="K92" s="135"/>
      <c r="L92" s="135"/>
    </row>
    <row r="93" spans="2:12" ht="12" customHeight="1" x14ac:dyDescent="0.15">
      <c r="B93" s="2"/>
      <c r="C93" s="4"/>
      <c r="D93" s="4"/>
      <c r="E93" s="4"/>
      <c r="I93" s="135"/>
      <c r="J93" s="135"/>
      <c r="K93" s="135"/>
      <c r="L93" s="135"/>
    </row>
    <row r="94" spans="2:12" ht="12" customHeight="1" x14ac:dyDescent="0.15">
      <c r="B94" s="2"/>
      <c r="C94" s="4"/>
      <c r="D94" s="4"/>
      <c r="E94" s="4"/>
      <c r="I94" s="135"/>
      <c r="J94" s="135"/>
      <c r="K94" s="135"/>
      <c r="L94" s="135"/>
    </row>
    <row r="95" spans="2:12" ht="12" customHeight="1" x14ac:dyDescent="0.15">
      <c r="B95" s="2"/>
      <c r="C95" s="4"/>
      <c r="D95" s="4"/>
      <c r="E95" s="4"/>
      <c r="I95" s="135"/>
      <c r="J95" s="135"/>
      <c r="K95" s="135"/>
      <c r="L95" s="135"/>
    </row>
    <row r="96" spans="2:12" ht="12" customHeight="1" x14ac:dyDescent="0.15">
      <c r="B96" s="2"/>
      <c r="C96" s="4"/>
      <c r="D96" s="4"/>
      <c r="E96" s="4"/>
      <c r="I96" s="135"/>
      <c r="J96" s="135"/>
      <c r="K96" s="135"/>
      <c r="L96" s="135"/>
    </row>
    <row r="97" spans="2:12" ht="12" customHeight="1" x14ac:dyDescent="0.15">
      <c r="B97" s="2"/>
      <c r="C97" s="4"/>
      <c r="D97" s="4"/>
      <c r="E97" s="4"/>
      <c r="I97" s="135"/>
      <c r="J97" s="135"/>
      <c r="K97" s="135"/>
      <c r="L97" s="135"/>
    </row>
    <row r="98" spans="2:12" ht="12" customHeight="1" x14ac:dyDescent="0.15">
      <c r="B98" s="2"/>
      <c r="C98" s="4"/>
      <c r="D98" s="4"/>
      <c r="E98" s="4"/>
      <c r="I98" s="135"/>
      <c r="J98" s="135"/>
      <c r="K98" s="135"/>
      <c r="L98" s="135"/>
    </row>
    <row r="99" spans="2:12" ht="12" customHeight="1" x14ac:dyDescent="0.15">
      <c r="B99" s="2"/>
      <c r="C99" s="4"/>
      <c r="D99" s="4"/>
      <c r="E99" s="4"/>
      <c r="I99" s="135"/>
      <c r="J99" s="135"/>
      <c r="K99" s="135"/>
      <c r="L99" s="135"/>
    </row>
    <row r="100" spans="2:12" ht="12" customHeight="1" x14ac:dyDescent="0.15">
      <c r="B100" s="2"/>
      <c r="C100" s="4"/>
      <c r="D100" s="4"/>
      <c r="E100" s="4"/>
      <c r="I100" s="135"/>
      <c r="J100" s="135"/>
      <c r="K100" s="135"/>
      <c r="L100" s="135"/>
    </row>
    <row r="101" spans="2:12" ht="12" customHeight="1" x14ac:dyDescent="0.15">
      <c r="B101" s="2"/>
      <c r="C101" s="4"/>
      <c r="D101" s="4"/>
      <c r="E101" s="4"/>
      <c r="I101" s="135"/>
      <c r="J101" s="135"/>
      <c r="K101" s="135"/>
      <c r="L101" s="135"/>
    </row>
    <row r="102" spans="2:12" ht="12" customHeight="1" x14ac:dyDescent="0.15">
      <c r="B102" s="2"/>
      <c r="C102" s="4"/>
      <c r="D102" s="4"/>
      <c r="E102" s="4"/>
      <c r="I102" s="135"/>
      <c r="J102" s="135"/>
      <c r="K102" s="135"/>
      <c r="L102" s="135"/>
    </row>
    <row r="103" spans="2:12" ht="12" customHeight="1" x14ac:dyDescent="0.15">
      <c r="B103" s="2"/>
      <c r="C103" s="4"/>
      <c r="D103" s="4"/>
      <c r="E103" s="4"/>
      <c r="I103" s="135"/>
      <c r="J103" s="135"/>
      <c r="K103" s="135"/>
      <c r="L103" s="135"/>
    </row>
    <row r="104" spans="2:12" ht="12" customHeight="1" x14ac:dyDescent="0.15">
      <c r="B104" s="2"/>
      <c r="C104" s="4"/>
      <c r="D104" s="4"/>
      <c r="E104" s="4"/>
      <c r="I104" s="135"/>
      <c r="J104" s="135"/>
      <c r="K104" s="135"/>
      <c r="L104" s="135"/>
    </row>
    <row r="105" spans="2:12" ht="12" customHeight="1" x14ac:dyDescent="0.15">
      <c r="B105" s="2"/>
      <c r="C105" s="4"/>
      <c r="D105" s="4"/>
      <c r="E105" s="4"/>
      <c r="I105" s="135"/>
      <c r="J105" s="135"/>
      <c r="K105" s="135"/>
      <c r="L105" s="135"/>
    </row>
    <row r="106" spans="2:12" ht="12" customHeight="1" x14ac:dyDescent="0.15">
      <c r="B106" s="2"/>
      <c r="C106" s="4"/>
      <c r="D106" s="4"/>
      <c r="E106" s="4"/>
      <c r="I106" s="135"/>
      <c r="J106" s="135"/>
      <c r="K106" s="135"/>
      <c r="L106" s="135"/>
    </row>
    <row r="107" spans="2:12" ht="12" customHeight="1" x14ac:dyDescent="0.15">
      <c r="B107" s="2"/>
      <c r="C107" s="4"/>
      <c r="D107" s="4"/>
      <c r="E107" s="4"/>
      <c r="I107" s="135"/>
      <c r="J107" s="135"/>
      <c r="K107" s="135"/>
      <c r="L107" s="135"/>
    </row>
    <row r="108" spans="2:12" ht="12" customHeight="1" x14ac:dyDescent="0.15">
      <c r="B108" s="2"/>
      <c r="C108" s="4"/>
      <c r="D108" s="4"/>
      <c r="E108" s="4"/>
      <c r="I108" s="135"/>
      <c r="J108" s="135"/>
      <c r="K108" s="135"/>
      <c r="L108" s="135"/>
    </row>
    <row r="109" spans="2:12" ht="12" customHeight="1" x14ac:dyDescent="0.15">
      <c r="B109" s="2"/>
      <c r="C109" s="4"/>
      <c r="D109" s="4"/>
      <c r="E109" s="4"/>
      <c r="I109" s="135"/>
      <c r="J109" s="135"/>
      <c r="K109" s="135"/>
      <c r="L109" s="135"/>
    </row>
    <row r="110" spans="2:12" ht="12" customHeight="1" x14ac:dyDescent="0.15">
      <c r="B110" s="2"/>
      <c r="C110" s="4"/>
      <c r="D110" s="4"/>
      <c r="E110" s="4"/>
      <c r="I110" s="135"/>
      <c r="J110" s="135"/>
      <c r="K110" s="135"/>
      <c r="L110" s="135"/>
    </row>
    <row r="111" spans="2:12" ht="12" customHeight="1" x14ac:dyDescent="0.15">
      <c r="B111" s="2"/>
      <c r="C111" s="4"/>
      <c r="D111" s="4"/>
      <c r="E111" s="4"/>
      <c r="I111" s="135"/>
      <c r="J111" s="135"/>
      <c r="K111" s="135"/>
      <c r="L111" s="135"/>
    </row>
    <row r="112" spans="2:12" ht="12" customHeight="1" x14ac:dyDescent="0.15">
      <c r="B112" s="2"/>
      <c r="C112" s="4"/>
      <c r="D112" s="4"/>
      <c r="E112" s="4"/>
      <c r="I112" s="135"/>
      <c r="J112" s="135"/>
      <c r="K112" s="135"/>
      <c r="L112" s="135"/>
    </row>
    <row r="113" spans="2:12" ht="12" customHeight="1" x14ac:dyDescent="0.15">
      <c r="B113" s="2"/>
      <c r="C113" s="4"/>
      <c r="D113" s="4"/>
      <c r="E113" s="4"/>
      <c r="I113" s="135"/>
      <c r="J113" s="135"/>
      <c r="K113" s="135"/>
      <c r="L113" s="135"/>
    </row>
    <row r="114" spans="2:12" ht="12" customHeight="1" x14ac:dyDescent="0.15">
      <c r="B114" s="2"/>
      <c r="C114" s="4"/>
      <c r="D114" s="4"/>
      <c r="E114" s="4"/>
      <c r="I114" s="135"/>
      <c r="J114" s="135"/>
      <c r="K114" s="135"/>
      <c r="L114" s="135"/>
    </row>
    <row r="115" spans="2:12" ht="12" customHeight="1" x14ac:dyDescent="0.15">
      <c r="B115" s="2"/>
      <c r="C115" s="4"/>
      <c r="D115" s="4"/>
      <c r="E115" s="4"/>
      <c r="I115" s="135"/>
      <c r="J115" s="135"/>
      <c r="K115" s="135"/>
      <c r="L115" s="135"/>
    </row>
    <row r="116" spans="2:12" ht="12" customHeight="1" x14ac:dyDescent="0.15">
      <c r="B116" s="2"/>
      <c r="C116" s="4"/>
      <c r="D116" s="4"/>
      <c r="E116" s="4"/>
      <c r="I116" s="135"/>
      <c r="J116" s="135"/>
      <c r="K116" s="135"/>
      <c r="L116" s="135"/>
    </row>
    <row r="117" spans="2:12" ht="12" customHeight="1" x14ac:dyDescent="0.15">
      <c r="B117" s="2"/>
      <c r="C117" s="4"/>
      <c r="D117" s="4"/>
      <c r="E117" s="4"/>
      <c r="I117" s="135"/>
      <c r="J117" s="135"/>
      <c r="K117" s="135"/>
      <c r="L117" s="135"/>
    </row>
    <row r="118" spans="2:12" ht="12" customHeight="1" x14ac:dyDescent="0.15">
      <c r="B118" s="2"/>
      <c r="C118" s="4"/>
      <c r="D118" s="4"/>
      <c r="E118" s="4"/>
      <c r="I118" s="135"/>
      <c r="J118" s="135"/>
      <c r="K118" s="135"/>
      <c r="L118" s="135"/>
    </row>
    <row r="119" spans="2:12" ht="12" customHeight="1" x14ac:dyDescent="0.15">
      <c r="B119" s="2"/>
      <c r="C119" s="4"/>
      <c r="D119" s="4"/>
      <c r="E119" s="4"/>
      <c r="I119" s="135"/>
      <c r="J119" s="135"/>
      <c r="K119" s="135"/>
      <c r="L119" s="135"/>
    </row>
    <row r="120" spans="2:12" ht="12" customHeight="1" x14ac:dyDescent="0.15">
      <c r="B120" s="2"/>
      <c r="C120" s="4"/>
      <c r="D120" s="4"/>
      <c r="E120" s="4"/>
      <c r="I120" s="135"/>
      <c r="J120" s="135"/>
      <c r="K120" s="135"/>
      <c r="L120" s="135"/>
    </row>
    <row r="121" spans="2:12" ht="12" customHeight="1" x14ac:dyDescent="0.15">
      <c r="B121" s="2"/>
      <c r="C121" s="4"/>
      <c r="D121" s="4"/>
      <c r="E121" s="4"/>
      <c r="I121" s="135"/>
      <c r="J121" s="135"/>
      <c r="K121" s="135"/>
      <c r="L121" s="135"/>
    </row>
    <row r="122" spans="2:12" ht="12" customHeight="1" x14ac:dyDescent="0.15">
      <c r="B122" s="2"/>
      <c r="C122" s="4"/>
      <c r="D122" s="4"/>
      <c r="E122" s="4"/>
      <c r="I122" s="135"/>
      <c r="J122" s="135"/>
      <c r="K122" s="135"/>
      <c r="L122" s="135"/>
    </row>
    <row r="123" spans="2:12" ht="12" customHeight="1" x14ac:dyDescent="0.15">
      <c r="B123" s="2"/>
      <c r="C123" s="4"/>
      <c r="D123" s="4"/>
      <c r="E123" s="4"/>
      <c r="I123" s="135"/>
      <c r="J123" s="135"/>
      <c r="K123" s="135"/>
      <c r="L123" s="135"/>
    </row>
    <row r="124" spans="2:12" ht="12" customHeight="1" x14ac:dyDescent="0.15">
      <c r="B124" s="2"/>
      <c r="C124" s="4"/>
      <c r="D124" s="4"/>
      <c r="E124" s="4"/>
      <c r="I124" s="135"/>
      <c r="J124" s="135"/>
      <c r="K124" s="135"/>
      <c r="L124" s="135"/>
    </row>
    <row r="125" spans="2:12" ht="12" customHeight="1" x14ac:dyDescent="0.15">
      <c r="B125" s="2"/>
      <c r="C125" s="4"/>
      <c r="D125" s="4"/>
      <c r="E125" s="4"/>
      <c r="I125" s="135"/>
      <c r="J125" s="135"/>
      <c r="K125" s="135"/>
      <c r="L125" s="135"/>
    </row>
    <row r="126" spans="2:12" ht="12" customHeight="1" x14ac:dyDescent="0.15">
      <c r="B126" s="2"/>
      <c r="C126" s="4"/>
      <c r="D126" s="4"/>
      <c r="E126" s="4"/>
      <c r="I126" s="135"/>
      <c r="J126" s="135"/>
      <c r="K126" s="135"/>
      <c r="L126" s="135"/>
    </row>
    <row r="127" spans="2:12" ht="12" customHeight="1" x14ac:dyDescent="0.15">
      <c r="B127" s="2"/>
      <c r="C127" s="4"/>
      <c r="D127" s="4"/>
      <c r="E127" s="4"/>
      <c r="I127" s="135"/>
      <c r="J127" s="135"/>
      <c r="K127" s="135"/>
      <c r="L127" s="135"/>
    </row>
    <row r="128" spans="2:12" ht="12" customHeight="1" x14ac:dyDescent="0.15">
      <c r="B128" s="2"/>
      <c r="C128" s="4"/>
      <c r="D128" s="4"/>
      <c r="E128" s="4"/>
      <c r="I128" s="135"/>
      <c r="J128" s="135"/>
      <c r="K128" s="135"/>
      <c r="L128" s="135"/>
    </row>
    <row r="129" spans="2:12" ht="12" customHeight="1" x14ac:dyDescent="0.15">
      <c r="B129" s="2"/>
      <c r="C129" s="4"/>
      <c r="D129" s="4"/>
      <c r="E129" s="4"/>
      <c r="I129" s="135"/>
      <c r="J129" s="135"/>
      <c r="K129" s="135"/>
      <c r="L129" s="135"/>
    </row>
    <row r="130" spans="2:12" ht="12" customHeight="1" x14ac:dyDescent="0.15">
      <c r="B130" s="2"/>
      <c r="C130" s="4"/>
      <c r="D130" s="4"/>
      <c r="E130" s="4"/>
      <c r="I130" s="135"/>
      <c r="J130" s="135"/>
      <c r="K130" s="135"/>
      <c r="L130" s="135"/>
    </row>
    <row r="131" spans="2:12" ht="12" customHeight="1" x14ac:dyDescent="0.15">
      <c r="B131" s="2"/>
      <c r="C131" s="4"/>
      <c r="D131" s="4"/>
      <c r="E131" s="4"/>
      <c r="I131" s="135"/>
      <c r="J131" s="135"/>
      <c r="K131" s="135"/>
      <c r="L131" s="135"/>
    </row>
    <row r="132" spans="2:12" ht="12" customHeight="1" x14ac:dyDescent="0.15">
      <c r="B132" s="2"/>
      <c r="C132" s="4"/>
      <c r="D132" s="4"/>
      <c r="E132" s="4"/>
      <c r="I132" s="135"/>
      <c r="J132" s="135"/>
      <c r="K132" s="135"/>
      <c r="L132" s="135"/>
    </row>
    <row r="133" spans="2:12" ht="12" customHeight="1" x14ac:dyDescent="0.15">
      <c r="B133" s="2"/>
      <c r="C133" s="4"/>
      <c r="D133" s="4"/>
      <c r="E133" s="4"/>
      <c r="I133" s="135"/>
      <c r="J133" s="135"/>
      <c r="K133" s="135"/>
      <c r="L133" s="135"/>
    </row>
    <row r="134" spans="2:12" ht="12" customHeight="1" x14ac:dyDescent="0.15">
      <c r="B134" s="2"/>
      <c r="C134" s="4"/>
      <c r="D134" s="4"/>
      <c r="E134" s="4"/>
      <c r="I134" s="135"/>
      <c r="J134" s="135"/>
      <c r="K134" s="135"/>
      <c r="L134" s="135"/>
    </row>
    <row r="135" spans="2:12" ht="12" customHeight="1" x14ac:dyDescent="0.15">
      <c r="B135" s="2"/>
      <c r="C135" s="4"/>
      <c r="D135" s="4"/>
      <c r="E135" s="4"/>
      <c r="I135" s="135"/>
      <c r="J135" s="135"/>
      <c r="K135" s="135"/>
      <c r="L135" s="135"/>
    </row>
    <row r="136" spans="2:12" ht="12" customHeight="1" x14ac:dyDescent="0.15">
      <c r="B136" s="2"/>
      <c r="C136" s="4"/>
      <c r="D136" s="4"/>
      <c r="E136" s="4"/>
      <c r="I136" s="135"/>
      <c r="J136" s="135"/>
      <c r="K136" s="135"/>
      <c r="L136" s="135"/>
    </row>
    <row r="137" spans="2:12" ht="12" customHeight="1" x14ac:dyDescent="0.15">
      <c r="B137" s="2"/>
      <c r="C137" s="4"/>
      <c r="D137" s="4"/>
      <c r="E137" s="4"/>
      <c r="I137" s="135"/>
      <c r="J137" s="135"/>
      <c r="K137" s="135"/>
      <c r="L137" s="135"/>
    </row>
    <row r="138" spans="2:12" ht="12" customHeight="1" x14ac:dyDescent="0.15">
      <c r="B138" s="2"/>
      <c r="C138" s="4"/>
      <c r="D138" s="4"/>
      <c r="E138" s="4"/>
      <c r="I138" s="135"/>
      <c r="J138" s="135"/>
      <c r="K138" s="135"/>
      <c r="L138" s="135"/>
    </row>
    <row r="139" spans="2:12" ht="12" customHeight="1" x14ac:dyDescent="0.15">
      <c r="B139" s="2"/>
      <c r="C139" s="4"/>
      <c r="D139" s="4"/>
      <c r="E139" s="4"/>
      <c r="I139" s="135"/>
      <c r="J139" s="135"/>
      <c r="K139" s="135"/>
      <c r="L139" s="135"/>
    </row>
    <row r="140" spans="2:12" ht="12" customHeight="1" x14ac:dyDescent="0.15">
      <c r="B140" s="2"/>
      <c r="C140" s="4"/>
      <c r="D140" s="4"/>
      <c r="E140" s="4"/>
      <c r="I140" s="135"/>
      <c r="J140" s="135"/>
      <c r="K140" s="135"/>
      <c r="L140" s="135"/>
    </row>
    <row r="141" spans="2:12" ht="12" customHeight="1" x14ac:dyDescent="0.15">
      <c r="B141" s="2"/>
      <c r="C141" s="4"/>
      <c r="D141" s="4"/>
      <c r="E141" s="4"/>
      <c r="I141" s="135"/>
      <c r="J141" s="135"/>
      <c r="K141" s="135"/>
      <c r="L141" s="135"/>
    </row>
    <row r="142" spans="2:12" ht="12" customHeight="1" x14ac:dyDescent="0.15">
      <c r="B142" s="2"/>
      <c r="C142" s="4"/>
      <c r="D142" s="4"/>
      <c r="E142" s="4"/>
      <c r="I142" s="135"/>
      <c r="J142" s="135"/>
      <c r="K142" s="135"/>
      <c r="L142" s="135"/>
    </row>
    <row r="143" spans="2:12" ht="12" customHeight="1" x14ac:dyDescent="0.15">
      <c r="B143" s="2"/>
      <c r="C143" s="4"/>
      <c r="D143" s="4"/>
      <c r="E143" s="4"/>
      <c r="I143" s="135"/>
      <c r="J143" s="135"/>
      <c r="K143" s="135"/>
      <c r="L143" s="135"/>
    </row>
    <row r="144" spans="2:12" ht="12" customHeight="1" x14ac:dyDescent="0.15">
      <c r="B144" s="2"/>
      <c r="C144" s="4"/>
      <c r="D144" s="4"/>
      <c r="E144" s="4"/>
      <c r="I144" s="135"/>
      <c r="J144" s="135"/>
      <c r="K144" s="135"/>
      <c r="L144" s="135"/>
    </row>
    <row r="145" spans="2:12" ht="12" customHeight="1" x14ac:dyDescent="0.15">
      <c r="B145" s="2"/>
      <c r="C145" s="4"/>
      <c r="D145" s="4"/>
      <c r="E145" s="4"/>
      <c r="I145" s="135"/>
      <c r="J145" s="135"/>
      <c r="K145" s="135"/>
      <c r="L145" s="135"/>
    </row>
    <row r="146" spans="2:12" ht="12" customHeight="1" x14ac:dyDescent="0.15">
      <c r="B146" s="2"/>
      <c r="C146" s="4"/>
      <c r="D146" s="4"/>
      <c r="E146" s="4"/>
      <c r="I146" s="135"/>
      <c r="J146" s="135"/>
      <c r="K146" s="135"/>
      <c r="L146" s="135"/>
    </row>
    <row r="147" spans="2:12" ht="12" customHeight="1" x14ac:dyDescent="0.15">
      <c r="B147" s="2"/>
      <c r="C147" s="4"/>
      <c r="D147" s="4"/>
      <c r="E147" s="4"/>
      <c r="I147" s="135"/>
      <c r="J147" s="135"/>
      <c r="K147" s="135"/>
      <c r="L147" s="135"/>
    </row>
    <row r="148" spans="2:12" ht="12" customHeight="1" x14ac:dyDescent="0.15">
      <c r="B148" s="2"/>
      <c r="C148" s="4"/>
      <c r="D148" s="4"/>
      <c r="E148" s="4"/>
      <c r="I148" s="135"/>
      <c r="J148" s="135"/>
      <c r="K148" s="135"/>
      <c r="L148" s="135"/>
    </row>
    <row r="149" spans="2:12" ht="12" customHeight="1" x14ac:dyDescent="0.15">
      <c r="B149" s="2"/>
      <c r="C149" s="4"/>
      <c r="D149" s="4"/>
      <c r="E149" s="4"/>
      <c r="I149" s="135"/>
      <c r="J149" s="135"/>
      <c r="K149" s="135"/>
      <c r="L149" s="135"/>
    </row>
    <row r="150" spans="2:12" ht="12" customHeight="1" x14ac:dyDescent="0.15">
      <c r="B150" s="2"/>
      <c r="C150" s="4"/>
      <c r="D150" s="4"/>
      <c r="E150" s="4"/>
      <c r="I150" s="135"/>
      <c r="J150" s="135"/>
      <c r="K150" s="135"/>
      <c r="L150" s="135"/>
    </row>
    <row r="151" spans="2:12" ht="12" customHeight="1" x14ac:dyDescent="0.15">
      <c r="B151" s="2"/>
      <c r="C151" s="4"/>
      <c r="D151" s="4"/>
      <c r="E151" s="4"/>
      <c r="I151" s="135"/>
      <c r="J151" s="135"/>
      <c r="K151" s="135"/>
      <c r="L151" s="135"/>
    </row>
    <row r="152" spans="2:12" ht="12" customHeight="1" x14ac:dyDescent="0.15">
      <c r="B152" s="2"/>
      <c r="C152" s="4"/>
      <c r="D152" s="4"/>
      <c r="E152" s="4"/>
      <c r="I152" s="135"/>
      <c r="J152" s="135"/>
      <c r="K152" s="135"/>
      <c r="L152" s="135"/>
    </row>
    <row r="153" spans="2:12" ht="12" customHeight="1" x14ac:dyDescent="0.15">
      <c r="B153" s="2"/>
      <c r="C153" s="4"/>
      <c r="D153" s="4"/>
      <c r="E153" s="4"/>
      <c r="I153" s="135"/>
      <c r="J153" s="135"/>
      <c r="K153" s="135"/>
      <c r="L153" s="135"/>
    </row>
    <row r="154" spans="2:12" ht="12" customHeight="1" x14ac:dyDescent="0.15">
      <c r="B154" s="2"/>
      <c r="C154" s="4"/>
      <c r="D154" s="4"/>
      <c r="E154" s="4"/>
      <c r="I154" s="135"/>
      <c r="J154" s="135"/>
      <c r="K154" s="135"/>
      <c r="L154" s="135"/>
    </row>
    <row r="155" spans="2:12" ht="12" customHeight="1" x14ac:dyDescent="0.15">
      <c r="B155" s="2"/>
      <c r="C155" s="4"/>
      <c r="D155" s="4"/>
      <c r="E155" s="4"/>
      <c r="I155" s="135"/>
      <c r="J155" s="135"/>
      <c r="K155" s="135"/>
      <c r="L155" s="135"/>
    </row>
    <row r="156" spans="2:12" ht="12" customHeight="1" x14ac:dyDescent="0.15">
      <c r="B156" s="2"/>
      <c r="C156" s="4"/>
      <c r="D156" s="4"/>
      <c r="E156" s="4"/>
      <c r="I156" s="135"/>
      <c r="J156" s="135"/>
      <c r="K156" s="135"/>
      <c r="L156" s="135"/>
    </row>
    <row r="157" spans="2:12" ht="12" customHeight="1" x14ac:dyDescent="0.15">
      <c r="B157" s="2"/>
      <c r="C157" s="4"/>
      <c r="D157" s="4"/>
      <c r="E157" s="4"/>
      <c r="I157" s="135"/>
      <c r="J157" s="135"/>
      <c r="K157" s="135"/>
      <c r="L157" s="135"/>
    </row>
    <row r="158" spans="2:12" ht="12" customHeight="1" x14ac:dyDescent="0.15">
      <c r="B158" s="2"/>
      <c r="C158" s="4"/>
      <c r="D158" s="4"/>
      <c r="E158" s="4"/>
      <c r="I158" s="135"/>
      <c r="J158" s="135"/>
      <c r="K158" s="135"/>
      <c r="L158" s="135"/>
    </row>
    <row r="159" spans="2:12" ht="12" customHeight="1" x14ac:dyDescent="0.15">
      <c r="B159" s="2"/>
      <c r="C159" s="4"/>
      <c r="D159" s="4"/>
      <c r="E159" s="4"/>
      <c r="I159" s="135"/>
      <c r="J159" s="135"/>
      <c r="K159" s="135"/>
      <c r="L159" s="135"/>
    </row>
    <row r="160" spans="2:12" ht="12" customHeight="1" x14ac:dyDescent="0.15">
      <c r="B160" s="2"/>
      <c r="C160" s="4"/>
      <c r="D160" s="4"/>
      <c r="E160" s="4"/>
      <c r="I160" s="135"/>
      <c r="J160" s="135"/>
      <c r="K160" s="135"/>
      <c r="L160" s="135"/>
    </row>
    <row r="161" spans="2:12" ht="12" customHeight="1" x14ac:dyDescent="0.15">
      <c r="B161" s="2"/>
      <c r="C161" s="4"/>
      <c r="D161" s="4"/>
      <c r="E161" s="4"/>
      <c r="I161" s="135"/>
      <c r="J161" s="135"/>
      <c r="K161" s="135"/>
      <c r="L161" s="135"/>
    </row>
    <row r="162" spans="2:12" ht="12" customHeight="1" x14ac:dyDescent="0.15">
      <c r="B162" s="2"/>
      <c r="C162" s="4"/>
      <c r="D162" s="4"/>
      <c r="E162" s="4"/>
      <c r="I162" s="135"/>
      <c r="J162" s="135"/>
      <c r="K162" s="135"/>
      <c r="L162" s="135"/>
    </row>
    <row r="163" spans="2:12" ht="12" customHeight="1" x14ac:dyDescent="0.15">
      <c r="B163" s="2"/>
      <c r="C163" s="4"/>
      <c r="D163" s="4"/>
      <c r="E163" s="4"/>
      <c r="I163" s="135"/>
      <c r="J163" s="135"/>
      <c r="K163" s="135"/>
      <c r="L163" s="135"/>
    </row>
    <row r="164" spans="2:12" ht="12" customHeight="1" x14ac:dyDescent="0.15">
      <c r="B164" s="2"/>
      <c r="C164" s="4"/>
      <c r="D164" s="4"/>
      <c r="E164" s="4"/>
      <c r="I164" s="135"/>
      <c r="J164" s="135"/>
      <c r="K164" s="135"/>
      <c r="L164" s="135"/>
    </row>
    <row r="165" spans="2:12" ht="12" customHeight="1" x14ac:dyDescent="0.15">
      <c r="B165" s="2"/>
      <c r="C165" s="4"/>
      <c r="D165" s="4"/>
      <c r="E165" s="4"/>
      <c r="I165" s="135"/>
      <c r="J165" s="135"/>
      <c r="K165" s="135"/>
      <c r="L165" s="135"/>
    </row>
    <row r="166" spans="2:12" ht="12" customHeight="1" x14ac:dyDescent="0.15">
      <c r="B166" s="2"/>
      <c r="C166" s="4"/>
      <c r="D166" s="4"/>
      <c r="E166" s="4"/>
      <c r="I166" s="135"/>
      <c r="J166" s="135"/>
      <c r="K166" s="135"/>
      <c r="L166" s="135"/>
    </row>
    <row r="167" spans="2:12" ht="12" customHeight="1" x14ac:dyDescent="0.15">
      <c r="B167" s="2"/>
      <c r="C167" s="4"/>
      <c r="D167" s="4"/>
      <c r="E167" s="4"/>
      <c r="I167" s="135"/>
      <c r="J167" s="135"/>
      <c r="K167" s="135"/>
      <c r="L167" s="135"/>
    </row>
    <row r="168" spans="2:12" ht="12" customHeight="1" x14ac:dyDescent="0.15">
      <c r="B168" s="2"/>
      <c r="C168" s="4"/>
      <c r="D168" s="4"/>
      <c r="E168" s="4"/>
      <c r="I168" s="135"/>
      <c r="J168" s="135"/>
      <c r="K168" s="135"/>
      <c r="L168" s="135"/>
    </row>
    <row r="169" spans="2:12" ht="12" customHeight="1" x14ac:dyDescent="0.15">
      <c r="B169" s="2"/>
      <c r="C169" s="4"/>
      <c r="D169" s="4"/>
      <c r="E169" s="4"/>
      <c r="I169" s="135"/>
      <c r="J169" s="135"/>
      <c r="K169" s="135"/>
      <c r="L169" s="135"/>
    </row>
    <row r="170" spans="2:12" ht="12" customHeight="1" x14ac:dyDescent="0.15">
      <c r="B170" s="2"/>
      <c r="C170" s="4"/>
      <c r="D170" s="4"/>
      <c r="E170" s="4"/>
      <c r="I170" s="135"/>
      <c r="J170" s="135"/>
      <c r="K170" s="135"/>
      <c r="L170" s="135"/>
    </row>
    <row r="171" spans="2:12" ht="12" customHeight="1" x14ac:dyDescent="0.15">
      <c r="B171" s="2"/>
      <c r="C171" s="4"/>
      <c r="D171" s="4"/>
      <c r="E171" s="4"/>
      <c r="I171" s="135"/>
      <c r="J171" s="135"/>
      <c r="K171" s="135"/>
      <c r="L171" s="135"/>
    </row>
    <row r="172" spans="2:12" ht="12" customHeight="1" x14ac:dyDescent="0.15">
      <c r="B172" s="2"/>
      <c r="C172" s="4"/>
      <c r="D172" s="4"/>
      <c r="E172" s="4"/>
      <c r="I172" s="135"/>
      <c r="J172" s="135"/>
      <c r="K172" s="135"/>
      <c r="L172" s="135"/>
    </row>
    <row r="173" spans="2:12" ht="12" customHeight="1" x14ac:dyDescent="0.15">
      <c r="B173" s="2"/>
      <c r="C173" s="4"/>
      <c r="D173" s="4"/>
      <c r="E173" s="4"/>
      <c r="I173" s="135"/>
      <c r="J173" s="135"/>
      <c r="K173" s="135"/>
      <c r="L173" s="135"/>
    </row>
    <row r="174" spans="2:12" ht="12" customHeight="1" x14ac:dyDescent="0.15">
      <c r="B174" s="2"/>
      <c r="C174" s="4"/>
      <c r="D174" s="4"/>
      <c r="E174" s="4"/>
      <c r="I174" s="135"/>
      <c r="J174" s="135"/>
      <c r="K174" s="135"/>
      <c r="L174" s="135"/>
    </row>
    <row r="175" spans="2:12" ht="12" customHeight="1" x14ac:dyDescent="0.15">
      <c r="B175" s="2"/>
      <c r="C175" s="4"/>
      <c r="D175" s="4"/>
      <c r="E175" s="4"/>
      <c r="I175" s="135"/>
      <c r="J175" s="135"/>
      <c r="K175" s="135"/>
      <c r="L175" s="135"/>
    </row>
    <row r="176" spans="2:12" ht="12" customHeight="1" x14ac:dyDescent="0.15">
      <c r="B176" s="2"/>
      <c r="C176" s="4"/>
      <c r="D176" s="4"/>
      <c r="E176" s="4"/>
      <c r="I176" s="135"/>
      <c r="J176" s="135"/>
      <c r="K176" s="135"/>
      <c r="L176" s="135"/>
    </row>
    <row r="177" spans="2:12" ht="12" customHeight="1" x14ac:dyDescent="0.15">
      <c r="B177" s="2"/>
      <c r="C177" s="4"/>
      <c r="D177" s="4"/>
      <c r="E177" s="4"/>
      <c r="I177" s="135"/>
      <c r="J177" s="135"/>
      <c r="K177" s="135"/>
      <c r="L177" s="135"/>
    </row>
    <row r="178" spans="2:12" ht="12" customHeight="1" x14ac:dyDescent="0.15">
      <c r="B178" s="2"/>
      <c r="C178" s="4"/>
      <c r="D178" s="4"/>
      <c r="E178" s="4"/>
      <c r="I178" s="135"/>
      <c r="J178" s="135"/>
      <c r="K178" s="135"/>
      <c r="L178" s="135"/>
    </row>
    <row r="179" spans="2:12" ht="12" customHeight="1" x14ac:dyDescent="0.15">
      <c r="B179" s="2"/>
      <c r="C179" s="4"/>
      <c r="D179" s="4"/>
      <c r="E179" s="4"/>
      <c r="I179" s="135"/>
      <c r="J179" s="135"/>
      <c r="K179" s="135"/>
      <c r="L179" s="135"/>
    </row>
    <row r="180" spans="2:12" ht="12" customHeight="1" x14ac:dyDescent="0.15">
      <c r="B180" s="2"/>
      <c r="C180" s="4"/>
      <c r="D180" s="4"/>
      <c r="E180" s="4"/>
      <c r="I180" s="135"/>
      <c r="J180" s="135"/>
      <c r="K180" s="135"/>
      <c r="L180" s="135"/>
    </row>
    <row r="181" spans="2:12" ht="12" customHeight="1" x14ac:dyDescent="0.15">
      <c r="B181" s="2"/>
      <c r="C181" s="4"/>
      <c r="D181" s="4"/>
      <c r="E181" s="4"/>
      <c r="I181" s="135"/>
      <c r="J181" s="135"/>
      <c r="K181" s="135"/>
      <c r="L181" s="135"/>
    </row>
    <row r="182" spans="2:12" ht="12" customHeight="1" x14ac:dyDescent="0.15">
      <c r="B182" s="2"/>
      <c r="C182" s="4"/>
      <c r="D182" s="4"/>
      <c r="E182" s="4"/>
      <c r="I182" s="135"/>
      <c r="J182" s="135"/>
      <c r="K182" s="135"/>
      <c r="L182" s="135"/>
    </row>
    <row r="183" spans="2:12" ht="12" customHeight="1" x14ac:dyDescent="0.15">
      <c r="B183" s="2"/>
      <c r="C183" s="4"/>
      <c r="D183" s="4"/>
      <c r="E183" s="4"/>
      <c r="I183" s="135"/>
      <c r="J183" s="135"/>
      <c r="K183" s="135"/>
      <c r="L183" s="135"/>
    </row>
    <row r="184" spans="2:12" ht="12" customHeight="1" x14ac:dyDescent="0.15">
      <c r="B184" s="2"/>
      <c r="C184" s="4"/>
      <c r="D184" s="4"/>
      <c r="E184" s="4"/>
      <c r="I184" s="135"/>
      <c r="J184" s="135"/>
      <c r="K184" s="135"/>
      <c r="L184" s="135"/>
    </row>
    <row r="185" spans="2:12" ht="12" customHeight="1" x14ac:dyDescent="0.15">
      <c r="B185" s="2"/>
      <c r="C185" s="4"/>
      <c r="D185" s="4"/>
      <c r="E185" s="4"/>
      <c r="I185" s="135"/>
      <c r="J185" s="135"/>
      <c r="K185" s="135"/>
      <c r="L185" s="135"/>
    </row>
    <row r="186" spans="2:12" ht="12" customHeight="1" x14ac:dyDescent="0.15">
      <c r="B186" s="2"/>
      <c r="C186" s="4"/>
      <c r="D186" s="4"/>
      <c r="E186" s="4"/>
      <c r="I186" s="135"/>
      <c r="J186" s="135"/>
      <c r="K186" s="135"/>
      <c r="L186" s="135"/>
    </row>
    <row r="187" spans="2:12" ht="12" customHeight="1" x14ac:dyDescent="0.15">
      <c r="B187" s="2"/>
      <c r="C187" s="4"/>
      <c r="D187" s="4"/>
      <c r="E187" s="4"/>
      <c r="I187" s="135"/>
      <c r="J187" s="135"/>
      <c r="K187" s="135"/>
      <c r="L187" s="135"/>
    </row>
    <row r="188" spans="2:12" ht="12" customHeight="1" x14ac:dyDescent="0.15">
      <c r="B188" s="2"/>
      <c r="C188" s="4"/>
      <c r="D188" s="4"/>
      <c r="E188" s="4"/>
      <c r="I188" s="135"/>
      <c r="J188" s="135"/>
      <c r="K188" s="135"/>
      <c r="L188" s="135"/>
    </row>
    <row r="189" spans="2:12" ht="12" customHeight="1" x14ac:dyDescent="0.15">
      <c r="B189" s="2"/>
      <c r="C189" s="4"/>
      <c r="D189" s="4"/>
      <c r="E189" s="4"/>
      <c r="I189" s="135"/>
      <c r="J189" s="135"/>
      <c r="K189" s="135"/>
      <c r="L189" s="135"/>
    </row>
    <row r="190" spans="2:12" ht="12" customHeight="1" x14ac:dyDescent="0.15">
      <c r="B190" s="2"/>
      <c r="C190" s="4"/>
      <c r="D190" s="4"/>
      <c r="E190" s="4"/>
      <c r="I190" s="135"/>
      <c r="J190" s="135"/>
      <c r="K190" s="135"/>
      <c r="L190" s="135"/>
    </row>
    <row r="191" spans="2:12" ht="12" customHeight="1" x14ac:dyDescent="0.15">
      <c r="B191" s="2"/>
      <c r="C191" s="4"/>
      <c r="D191" s="4"/>
      <c r="E191" s="4"/>
      <c r="I191" s="135"/>
      <c r="J191" s="135"/>
      <c r="K191" s="135"/>
      <c r="L191" s="135"/>
    </row>
    <row r="192" spans="2:12" ht="12" customHeight="1" x14ac:dyDescent="0.15">
      <c r="B192" s="2"/>
      <c r="C192" s="4"/>
      <c r="D192" s="4"/>
      <c r="E192" s="4"/>
      <c r="I192" s="135"/>
      <c r="J192" s="135"/>
      <c r="K192" s="135"/>
      <c r="L192" s="135"/>
    </row>
    <row r="193" spans="2:12" ht="12" customHeight="1" x14ac:dyDescent="0.15">
      <c r="B193" s="2"/>
      <c r="C193" s="4"/>
      <c r="D193" s="4"/>
      <c r="E193" s="4"/>
      <c r="I193" s="135"/>
      <c r="J193" s="135"/>
      <c r="K193" s="135"/>
      <c r="L193" s="135"/>
    </row>
    <row r="194" spans="2:12" ht="12" customHeight="1" x14ac:dyDescent="0.15">
      <c r="B194" s="2"/>
      <c r="C194" s="4"/>
      <c r="D194" s="4"/>
      <c r="E194" s="4"/>
      <c r="I194" s="135"/>
      <c r="J194" s="135"/>
      <c r="K194" s="135"/>
      <c r="L194" s="135"/>
    </row>
    <row r="195" spans="2:12" ht="12" customHeight="1" x14ac:dyDescent="0.15">
      <c r="B195" s="2"/>
      <c r="C195" s="4"/>
      <c r="D195" s="4"/>
      <c r="E195" s="4"/>
      <c r="I195" s="135"/>
      <c r="J195" s="135"/>
      <c r="K195" s="135"/>
      <c r="L195" s="135"/>
    </row>
    <row r="196" spans="2:12" ht="12" customHeight="1" x14ac:dyDescent="0.15">
      <c r="B196" s="2"/>
      <c r="C196" s="4"/>
      <c r="D196" s="4"/>
      <c r="E196" s="4"/>
      <c r="I196" s="135"/>
      <c r="J196" s="135"/>
      <c r="K196" s="135"/>
      <c r="L196" s="135"/>
    </row>
    <row r="197" spans="2:12" ht="12" customHeight="1" x14ac:dyDescent="0.15">
      <c r="B197" s="2"/>
      <c r="C197" s="4"/>
      <c r="D197" s="4"/>
      <c r="E197" s="4"/>
      <c r="I197" s="135"/>
      <c r="J197" s="135"/>
      <c r="K197" s="135"/>
      <c r="L197" s="135"/>
    </row>
    <row r="198" spans="2:12" ht="12" customHeight="1" x14ac:dyDescent="0.15">
      <c r="B198" s="2"/>
      <c r="C198" s="4"/>
      <c r="D198" s="4"/>
      <c r="E198" s="4"/>
      <c r="I198" s="135"/>
      <c r="J198" s="135"/>
      <c r="K198" s="135"/>
      <c r="L198" s="135"/>
    </row>
    <row r="199" spans="2:12" ht="12" customHeight="1" x14ac:dyDescent="0.15">
      <c r="B199" s="2"/>
      <c r="C199" s="4"/>
      <c r="D199" s="4"/>
      <c r="E199" s="4"/>
      <c r="I199" s="135"/>
      <c r="J199" s="135"/>
      <c r="K199" s="135"/>
      <c r="L199" s="135"/>
    </row>
    <row r="200" spans="2:12" ht="12" customHeight="1" x14ac:dyDescent="0.15">
      <c r="B200" s="2"/>
      <c r="C200" s="4"/>
      <c r="D200" s="4"/>
      <c r="E200" s="4"/>
      <c r="I200" s="135"/>
      <c r="J200" s="135"/>
      <c r="K200" s="135"/>
      <c r="L200" s="135"/>
    </row>
    <row r="201" spans="2:12" ht="12" customHeight="1" x14ac:dyDescent="0.15">
      <c r="B201" s="2"/>
      <c r="C201" s="4"/>
      <c r="D201" s="4"/>
      <c r="E201" s="4"/>
      <c r="I201" s="135"/>
      <c r="J201" s="135"/>
      <c r="K201" s="135"/>
      <c r="L201" s="135"/>
    </row>
    <row r="202" spans="2:12" ht="12" customHeight="1" x14ac:dyDescent="0.15">
      <c r="B202" s="2"/>
      <c r="C202" s="4"/>
      <c r="D202" s="4"/>
      <c r="E202" s="4"/>
      <c r="I202" s="135"/>
      <c r="J202" s="135"/>
      <c r="K202" s="135"/>
      <c r="L202" s="135"/>
    </row>
    <row r="203" spans="2:12" ht="12" customHeight="1" x14ac:dyDescent="0.15">
      <c r="B203" s="2"/>
      <c r="C203" s="4"/>
      <c r="D203" s="4"/>
      <c r="E203" s="4"/>
      <c r="I203" s="135"/>
      <c r="J203" s="135"/>
      <c r="K203" s="135"/>
      <c r="L203" s="135"/>
    </row>
    <row r="204" spans="2:12" ht="12" customHeight="1" x14ac:dyDescent="0.15">
      <c r="B204" s="2"/>
      <c r="C204" s="4"/>
      <c r="D204" s="4"/>
      <c r="E204" s="4"/>
      <c r="I204" s="135"/>
      <c r="J204" s="135"/>
      <c r="K204" s="135"/>
      <c r="L204" s="135"/>
    </row>
    <row r="205" spans="2:12" ht="12" customHeight="1" x14ac:dyDescent="0.15">
      <c r="B205" s="2"/>
      <c r="C205" s="4"/>
      <c r="D205" s="4"/>
      <c r="E205" s="4"/>
      <c r="I205" s="135"/>
      <c r="J205" s="135"/>
      <c r="K205" s="135"/>
      <c r="L205" s="135"/>
    </row>
    <row r="206" spans="2:12" ht="12" customHeight="1" x14ac:dyDescent="0.15">
      <c r="B206" s="2"/>
      <c r="C206" s="4"/>
      <c r="D206" s="4"/>
      <c r="E206" s="4"/>
      <c r="I206" s="135"/>
      <c r="J206" s="135"/>
      <c r="K206" s="135"/>
      <c r="L206" s="135"/>
    </row>
    <row r="207" spans="2:12" ht="12" customHeight="1" x14ac:dyDescent="0.15">
      <c r="B207" s="2"/>
      <c r="C207" s="4"/>
      <c r="D207" s="4"/>
      <c r="E207" s="4"/>
      <c r="I207" s="135"/>
      <c r="J207" s="135"/>
      <c r="K207" s="135"/>
      <c r="L207" s="135"/>
    </row>
    <row r="208" spans="2:12" ht="12" customHeight="1" x14ac:dyDescent="0.15">
      <c r="B208" s="2"/>
      <c r="C208" s="4"/>
      <c r="D208" s="4"/>
      <c r="E208" s="4"/>
      <c r="I208" s="135"/>
      <c r="J208" s="135"/>
      <c r="K208" s="135"/>
      <c r="L208" s="135"/>
    </row>
    <row r="209" spans="2:12" ht="12" customHeight="1" x14ac:dyDescent="0.15">
      <c r="B209" s="2"/>
      <c r="C209" s="4"/>
      <c r="D209" s="4"/>
      <c r="E209" s="4"/>
      <c r="I209" s="135"/>
      <c r="J209" s="135"/>
      <c r="K209" s="135"/>
      <c r="L209" s="135"/>
    </row>
    <row r="210" spans="2:12" ht="12" customHeight="1" x14ac:dyDescent="0.15">
      <c r="B210" s="2"/>
      <c r="C210" s="4"/>
      <c r="D210" s="4"/>
      <c r="E210" s="4"/>
      <c r="I210" s="135"/>
      <c r="J210" s="135"/>
      <c r="K210" s="135"/>
      <c r="L210" s="135"/>
    </row>
    <row r="211" spans="2:12" ht="12" customHeight="1" x14ac:dyDescent="0.15">
      <c r="B211" s="2"/>
      <c r="C211" s="4"/>
      <c r="D211" s="4"/>
      <c r="E211" s="4"/>
      <c r="I211" s="135"/>
      <c r="J211" s="135"/>
      <c r="K211" s="135"/>
      <c r="L211" s="135"/>
    </row>
    <row r="212" spans="2:12" ht="12" customHeight="1" x14ac:dyDescent="0.15">
      <c r="B212" s="2"/>
      <c r="C212" s="4"/>
      <c r="D212" s="4"/>
      <c r="E212" s="4"/>
      <c r="I212" s="135"/>
      <c r="J212" s="135"/>
      <c r="K212" s="135"/>
      <c r="L212" s="135"/>
    </row>
    <row r="213" spans="2:12" ht="12" customHeight="1" x14ac:dyDescent="0.15">
      <c r="B213" s="2"/>
      <c r="C213" s="4"/>
      <c r="D213" s="4"/>
      <c r="E213" s="4"/>
      <c r="I213" s="135"/>
      <c r="J213" s="135"/>
      <c r="K213" s="135"/>
      <c r="L213" s="135"/>
    </row>
    <row r="214" spans="2:12" ht="12" customHeight="1" x14ac:dyDescent="0.15">
      <c r="B214" s="2"/>
      <c r="C214" s="4"/>
      <c r="D214" s="4"/>
      <c r="E214" s="4"/>
      <c r="I214" s="135"/>
      <c r="J214" s="135"/>
      <c r="K214" s="135"/>
      <c r="L214" s="135"/>
    </row>
    <row r="215" spans="2:12" ht="12" customHeight="1" x14ac:dyDescent="0.15">
      <c r="B215" s="2"/>
      <c r="C215" s="4"/>
      <c r="D215" s="4"/>
      <c r="E215" s="4"/>
      <c r="I215" s="135"/>
      <c r="J215" s="135"/>
      <c r="K215" s="135"/>
      <c r="L215" s="135"/>
    </row>
    <row r="216" spans="2:12" ht="12" customHeight="1" x14ac:dyDescent="0.15">
      <c r="B216" s="2"/>
      <c r="C216" s="4"/>
      <c r="D216" s="4"/>
      <c r="E216" s="4"/>
      <c r="I216" s="135"/>
      <c r="J216" s="135"/>
      <c r="K216" s="135"/>
      <c r="L216" s="135"/>
    </row>
    <row r="217" spans="2:12" ht="12" customHeight="1" x14ac:dyDescent="0.15">
      <c r="B217" s="2"/>
      <c r="C217" s="4"/>
      <c r="D217" s="4"/>
      <c r="E217" s="4"/>
      <c r="I217" s="135"/>
      <c r="J217" s="135"/>
      <c r="K217" s="135"/>
      <c r="L217" s="135"/>
    </row>
    <row r="218" spans="2:12" ht="12" customHeight="1" x14ac:dyDescent="0.15">
      <c r="B218" s="2"/>
      <c r="C218" s="4"/>
      <c r="D218" s="4"/>
      <c r="E218" s="4"/>
      <c r="I218" s="135"/>
      <c r="J218" s="135"/>
      <c r="K218" s="135"/>
      <c r="L218" s="135"/>
    </row>
    <row r="219" spans="2:12" ht="12" customHeight="1" x14ac:dyDescent="0.15">
      <c r="B219" s="2"/>
      <c r="C219" s="4"/>
      <c r="D219" s="4"/>
      <c r="E219" s="4"/>
      <c r="I219" s="135"/>
      <c r="J219" s="135"/>
      <c r="K219" s="135"/>
      <c r="L219" s="135"/>
    </row>
    <row r="220" spans="2:12" ht="12" customHeight="1" x14ac:dyDescent="0.15">
      <c r="B220" s="2"/>
      <c r="C220" s="4"/>
      <c r="D220" s="4"/>
      <c r="E220" s="4"/>
      <c r="I220" s="135"/>
      <c r="J220" s="135"/>
      <c r="K220" s="135"/>
      <c r="L220" s="135"/>
    </row>
    <row r="221" spans="2:12" ht="12" customHeight="1" x14ac:dyDescent="0.15">
      <c r="B221" s="2"/>
      <c r="C221" s="4"/>
      <c r="D221" s="4"/>
      <c r="E221" s="4"/>
      <c r="I221" s="135"/>
      <c r="J221" s="135"/>
      <c r="K221" s="135"/>
      <c r="L221" s="135"/>
    </row>
    <row r="222" spans="2:12" ht="12" customHeight="1" x14ac:dyDescent="0.15">
      <c r="B222" s="2"/>
      <c r="C222" s="4"/>
      <c r="D222" s="4"/>
      <c r="E222" s="4"/>
      <c r="I222" s="135"/>
      <c r="J222" s="135"/>
      <c r="K222" s="135"/>
      <c r="L222" s="135"/>
    </row>
    <row r="223" spans="2:12" ht="12" customHeight="1" x14ac:dyDescent="0.15">
      <c r="B223" s="2"/>
      <c r="C223" s="4"/>
      <c r="D223" s="4"/>
      <c r="E223" s="4"/>
      <c r="I223" s="135"/>
      <c r="J223" s="135"/>
      <c r="K223" s="135"/>
      <c r="L223" s="135"/>
    </row>
    <row r="224" spans="2:12" ht="12" customHeight="1" x14ac:dyDescent="0.15">
      <c r="B224" s="2"/>
      <c r="C224" s="4"/>
      <c r="D224" s="4"/>
      <c r="E224" s="4"/>
      <c r="I224" s="135"/>
      <c r="J224" s="135"/>
      <c r="K224" s="135"/>
      <c r="L224" s="135"/>
    </row>
    <row r="225" spans="2:12" ht="12" customHeight="1" x14ac:dyDescent="0.15">
      <c r="B225" s="2"/>
      <c r="C225" s="4"/>
      <c r="D225" s="4"/>
      <c r="E225" s="4"/>
      <c r="I225" s="135"/>
      <c r="J225" s="135"/>
      <c r="K225" s="135"/>
      <c r="L225" s="135"/>
    </row>
    <row r="226" spans="2:12" ht="12" customHeight="1" x14ac:dyDescent="0.15">
      <c r="B226" s="2"/>
      <c r="C226" s="4"/>
      <c r="D226" s="4"/>
      <c r="E226" s="4"/>
      <c r="I226" s="135"/>
      <c r="J226" s="135"/>
      <c r="K226" s="135"/>
      <c r="L226" s="135"/>
    </row>
    <row r="227" spans="2:12" ht="12" customHeight="1" x14ac:dyDescent="0.15">
      <c r="B227" s="2"/>
      <c r="C227" s="4"/>
      <c r="D227" s="4"/>
      <c r="E227" s="4"/>
      <c r="I227" s="135"/>
      <c r="J227" s="135"/>
      <c r="K227" s="135"/>
      <c r="L227" s="135"/>
    </row>
    <row r="228" spans="2:12" ht="12" customHeight="1" x14ac:dyDescent="0.15">
      <c r="B228" s="2"/>
      <c r="C228" s="4"/>
      <c r="D228" s="4"/>
      <c r="E228" s="4"/>
      <c r="I228" s="135"/>
      <c r="J228" s="135"/>
      <c r="K228" s="135"/>
      <c r="L228" s="135"/>
    </row>
    <row r="229" spans="2:12" ht="12" customHeight="1" x14ac:dyDescent="0.15">
      <c r="B229" s="2"/>
      <c r="C229" s="4"/>
      <c r="D229" s="4"/>
      <c r="E229" s="4"/>
      <c r="I229" s="135"/>
      <c r="J229" s="135"/>
      <c r="K229" s="135"/>
      <c r="L229" s="135"/>
    </row>
    <row r="230" spans="2:12" ht="12" customHeight="1" x14ac:dyDescent="0.15">
      <c r="B230" s="2"/>
      <c r="C230" s="4"/>
      <c r="D230" s="4"/>
      <c r="E230" s="4"/>
      <c r="I230" s="135"/>
      <c r="J230" s="135"/>
      <c r="K230" s="135"/>
      <c r="L230" s="135"/>
    </row>
    <row r="231" spans="2:12" ht="12" customHeight="1" x14ac:dyDescent="0.15">
      <c r="B231" s="2"/>
      <c r="C231" s="4"/>
      <c r="D231" s="4"/>
      <c r="E231" s="4"/>
      <c r="I231" s="135"/>
      <c r="J231" s="135"/>
      <c r="K231" s="135"/>
      <c r="L231" s="135"/>
    </row>
    <row r="232" spans="2:12" ht="12" customHeight="1" x14ac:dyDescent="0.15">
      <c r="B232" s="2"/>
      <c r="C232" s="4"/>
      <c r="D232" s="4"/>
      <c r="E232" s="4"/>
      <c r="I232" s="135"/>
      <c r="J232" s="135"/>
      <c r="K232" s="135"/>
      <c r="L232" s="135"/>
    </row>
    <row r="233" spans="2:12" ht="12" customHeight="1" x14ac:dyDescent="0.15">
      <c r="B233" s="2"/>
      <c r="C233" s="4"/>
      <c r="D233" s="4"/>
      <c r="E233" s="4"/>
      <c r="I233" s="135"/>
      <c r="J233" s="135"/>
      <c r="K233" s="135"/>
      <c r="L233" s="135"/>
    </row>
    <row r="234" spans="2:12" ht="12" customHeight="1" x14ac:dyDescent="0.15">
      <c r="B234" s="2"/>
      <c r="C234" s="4"/>
      <c r="D234" s="4"/>
      <c r="E234" s="4"/>
      <c r="I234" s="135"/>
      <c r="J234" s="135"/>
      <c r="K234" s="135"/>
      <c r="L234" s="135"/>
    </row>
    <row r="235" spans="2:12" ht="12" customHeight="1" x14ac:dyDescent="0.15">
      <c r="B235" s="2"/>
      <c r="C235" s="4"/>
      <c r="D235" s="4"/>
      <c r="E235" s="4"/>
      <c r="I235" s="135"/>
      <c r="J235" s="135"/>
      <c r="K235" s="135"/>
      <c r="L235" s="135"/>
    </row>
    <row r="236" spans="2:12" ht="12" customHeight="1" x14ac:dyDescent="0.15">
      <c r="B236" s="2"/>
      <c r="C236" s="4"/>
      <c r="D236" s="4"/>
      <c r="E236" s="4"/>
      <c r="I236" s="135"/>
      <c r="J236" s="135"/>
      <c r="K236" s="135"/>
      <c r="L236" s="135"/>
    </row>
    <row r="237" spans="2:12" ht="12" customHeight="1" x14ac:dyDescent="0.15">
      <c r="B237" s="2"/>
      <c r="C237" s="4"/>
      <c r="D237" s="4"/>
      <c r="E237" s="4"/>
      <c r="I237" s="135"/>
      <c r="J237" s="135"/>
      <c r="K237" s="135"/>
      <c r="L237" s="135"/>
    </row>
    <row r="238" spans="2:12" ht="12" customHeight="1" x14ac:dyDescent="0.15">
      <c r="B238" s="2"/>
      <c r="C238" s="4"/>
      <c r="D238" s="4"/>
      <c r="E238" s="4"/>
      <c r="I238" s="135"/>
      <c r="J238" s="135"/>
      <c r="K238" s="135"/>
      <c r="L238" s="135"/>
    </row>
    <row r="239" spans="2:12" ht="12" customHeight="1" x14ac:dyDescent="0.15">
      <c r="B239" s="2"/>
      <c r="C239" s="4"/>
      <c r="D239" s="4"/>
      <c r="E239" s="4"/>
      <c r="I239" s="135"/>
      <c r="J239" s="135"/>
      <c r="K239" s="135"/>
      <c r="L239" s="135"/>
    </row>
    <row r="240" spans="2:12" ht="12" customHeight="1" x14ac:dyDescent="0.15">
      <c r="B240" s="2"/>
      <c r="C240" s="4"/>
      <c r="D240" s="4"/>
      <c r="E240" s="4"/>
      <c r="I240" s="135"/>
      <c r="J240" s="135"/>
      <c r="K240" s="135"/>
      <c r="L240" s="135"/>
    </row>
    <row r="241" spans="2:12" ht="12" customHeight="1" x14ac:dyDescent="0.15">
      <c r="B241" s="2"/>
      <c r="C241" s="4"/>
      <c r="D241" s="4"/>
      <c r="E241" s="4"/>
      <c r="I241" s="135"/>
      <c r="J241" s="135"/>
      <c r="K241" s="135"/>
      <c r="L241" s="135"/>
    </row>
    <row r="242" spans="2:12" ht="12" customHeight="1" x14ac:dyDescent="0.15">
      <c r="B242" s="2"/>
      <c r="C242" s="4"/>
      <c r="D242" s="4"/>
      <c r="E242" s="4"/>
      <c r="I242" s="135"/>
      <c r="J242" s="135"/>
      <c r="K242" s="135"/>
      <c r="L242" s="135"/>
    </row>
    <row r="243" spans="2:12" ht="12" customHeight="1" x14ac:dyDescent="0.15">
      <c r="B243" s="2"/>
      <c r="C243" s="4"/>
      <c r="D243" s="4"/>
      <c r="E243" s="4"/>
      <c r="I243" s="135"/>
      <c r="J243" s="135"/>
      <c r="K243" s="135"/>
      <c r="L243" s="135"/>
    </row>
    <row r="244" spans="2:12" ht="12" customHeight="1" x14ac:dyDescent="0.15">
      <c r="B244" s="2"/>
      <c r="C244" s="4"/>
      <c r="D244" s="4"/>
      <c r="E244" s="4"/>
      <c r="I244" s="135"/>
      <c r="J244" s="135"/>
      <c r="K244" s="135"/>
      <c r="L244" s="135"/>
    </row>
    <row r="245" spans="2:12" ht="12" customHeight="1" x14ac:dyDescent="0.15">
      <c r="B245" s="2"/>
      <c r="C245" s="4"/>
      <c r="D245" s="4"/>
      <c r="E245" s="4"/>
      <c r="I245" s="135"/>
      <c r="J245" s="135"/>
      <c r="K245" s="135"/>
      <c r="L245" s="135"/>
    </row>
    <row r="246" spans="2:12" ht="12" customHeight="1" x14ac:dyDescent="0.15">
      <c r="B246" s="2"/>
      <c r="C246" s="4"/>
      <c r="D246" s="4"/>
      <c r="E246" s="4"/>
      <c r="I246" s="135"/>
      <c r="J246" s="135"/>
      <c r="K246" s="135"/>
      <c r="L246" s="135"/>
    </row>
    <row r="247" spans="2:12" ht="12" customHeight="1" x14ac:dyDescent="0.15">
      <c r="B247" s="2"/>
      <c r="C247" s="4"/>
      <c r="D247" s="4"/>
      <c r="E247" s="4"/>
      <c r="I247" s="135"/>
      <c r="J247" s="135"/>
      <c r="K247" s="135"/>
      <c r="L247" s="135"/>
    </row>
    <row r="248" spans="2:12" ht="12" customHeight="1" x14ac:dyDescent="0.15">
      <c r="B248" s="2"/>
      <c r="C248" s="4"/>
      <c r="D248" s="4"/>
      <c r="E248" s="4"/>
      <c r="I248" s="135"/>
      <c r="J248" s="135"/>
      <c r="K248" s="135"/>
      <c r="L248" s="135"/>
    </row>
    <row r="249" spans="2:12" ht="12" customHeight="1" x14ac:dyDescent="0.15">
      <c r="B249" s="2"/>
      <c r="C249" s="4"/>
      <c r="D249" s="4"/>
      <c r="E249" s="4"/>
      <c r="I249" s="135"/>
      <c r="J249" s="135"/>
      <c r="K249" s="135"/>
      <c r="L249" s="135"/>
    </row>
    <row r="250" spans="2:12" ht="12" customHeight="1" x14ac:dyDescent="0.15">
      <c r="B250" s="2"/>
      <c r="C250" s="4"/>
      <c r="D250" s="4"/>
      <c r="E250" s="4"/>
      <c r="I250" s="135"/>
      <c r="J250" s="135"/>
      <c r="K250" s="135"/>
      <c r="L250" s="135"/>
    </row>
    <row r="251" spans="2:12" ht="12" customHeight="1" x14ac:dyDescent="0.15">
      <c r="B251" s="2"/>
      <c r="C251" s="4"/>
      <c r="D251" s="4"/>
      <c r="E251" s="4"/>
      <c r="I251" s="135"/>
      <c r="J251" s="135"/>
      <c r="K251" s="135"/>
      <c r="L251" s="135"/>
    </row>
    <row r="252" spans="2:12" ht="12" customHeight="1" x14ac:dyDescent="0.15">
      <c r="B252" s="2"/>
      <c r="C252" s="4"/>
      <c r="D252" s="4"/>
      <c r="E252" s="4"/>
      <c r="I252" s="135"/>
      <c r="J252" s="135"/>
      <c r="K252" s="135"/>
      <c r="L252" s="135"/>
    </row>
    <row r="253" spans="2:12" ht="12" customHeight="1" x14ac:dyDescent="0.15">
      <c r="B253" s="2"/>
      <c r="C253" s="4"/>
      <c r="D253" s="4"/>
      <c r="E253" s="4"/>
      <c r="I253" s="135"/>
      <c r="J253" s="135"/>
      <c r="K253" s="135"/>
      <c r="L253" s="135"/>
    </row>
    <row r="254" spans="2:12" ht="12" customHeight="1" x14ac:dyDescent="0.15">
      <c r="B254" s="2"/>
      <c r="C254" s="4"/>
      <c r="D254" s="4"/>
      <c r="E254" s="4"/>
      <c r="I254" s="135"/>
      <c r="J254" s="135"/>
      <c r="K254" s="135"/>
      <c r="L254" s="135"/>
    </row>
    <row r="255" spans="2:12" ht="12" customHeight="1" x14ac:dyDescent="0.15">
      <c r="B255" s="2"/>
      <c r="C255" s="4"/>
      <c r="D255" s="4"/>
      <c r="E255" s="4"/>
      <c r="I255" s="135"/>
      <c r="J255" s="135"/>
      <c r="K255" s="135"/>
      <c r="L255" s="135"/>
    </row>
    <row r="256" spans="2:12" ht="12" customHeight="1" x14ac:dyDescent="0.15">
      <c r="B256" s="2"/>
      <c r="C256" s="4"/>
      <c r="D256" s="4"/>
      <c r="E256" s="4"/>
      <c r="I256" s="135"/>
      <c r="J256" s="135"/>
      <c r="K256" s="135"/>
      <c r="L256" s="135"/>
    </row>
    <row r="257" spans="2:12" ht="12" customHeight="1" x14ac:dyDescent="0.15">
      <c r="B257" s="2"/>
      <c r="C257" s="4"/>
      <c r="D257" s="4"/>
      <c r="E257" s="4"/>
      <c r="I257" s="135"/>
      <c r="J257" s="135"/>
      <c r="K257" s="135"/>
      <c r="L257" s="135"/>
    </row>
    <row r="258" spans="2:12" ht="12" customHeight="1" x14ac:dyDescent="0.15">
      <c r="B258" s="2"/>
      <c r="C258" s="4"/>
      <c r="D258" s="4"/>
      <c r="E258" s="4"/>
      <c r="I258" s="135"/>
      <c r="J258" s="135"/>
      <c r="K258" s="135"/>
      <c r="L258" s="135"/>
    </row>
    <row r="259" spans="2:12" ht="12" customHeight="1" x14ac:dyDescent="0.15">
      <c r="B259" s="2"/>
      <c r="C259" s="4"/>
      <c r="D259" s="4"/>
      <c r="E259" s="4"/>
      <c r="I259" s="135"/>
      <c r="J259" s="135"/>
      <c r="K259" s="135"/>
      <c r="L259" s="135"/>
    </row>
    <row r="260" spans="2:12" ht="12" customHeight="1" x14ac:dyDescent="0.15">
      <c r="B260" s="2"/>
      <c r="C260" s="4"/>
      <c r="D260" s="4"/>
      <c r="E260" s="4"/>
      <c r="I260" s="135"/>
      <c r="J260" s="135"/>
      <c r="K260" s="135"/>
      <c r="L260" s="135"/>
    </row>
    <row r="261" spans="2:12" ht="12" customHeight="1" x14ac:dyDescent="0.15">
      <c r="B261" s="2"/>
      <c r="C261" s="4"/>
      <c r="D261" s="4"/>
      <c r="E261" s="4"/>
      <c r="I261" s="135"/>
      <c r="J261" s="135"/>
      <c r="K261" s="135"/>
      <c r="L261" s="135"/>
    </row>
    <row r="262" spans="2:12" ht="12" customHeight="1" x14ac:dyDescent="0.15">
      <c r="B262" s="2"/>
      <c r="C262" s="4"/>
      <c r="D262" s="4"/>
      <c r="E262" s="4"/>
      <c r="I262" s="135"/>
      <c r="J262" s="135"/>
      <c r="K262" s="135"/>
      <c r="L262" s="135"/>
    </row>
    <row r="263" spans="2:12" ht="12" customHeight="1" x14ac:dyDescent="0.15">
      <c r="B263" s="2"/>
      <c r="C263" s="4"/>
      <c r="D263" s="4"/>
      <c r="E263" s="4"/>
      <c r="I263" s="135"/>
      <c r="J263" s="135"/>
      <c r="K263" s="135"/>
      <c r="L263" s="135"/>
    </row>
    <row r="264" spans="2:12" ht="12" customHeight="1" x14ac:dyDescent="0.15">
      <c r="B264" s="2"/>
      <c r="C264" s="4"/>
      <c r="D264" s="4"/>
      <c r="E264" s="4"/>
      <c r="I264" s="135"/>
      <c r="J264" s="135"/>
      <c r="K264" s="135"/>
      <c r="L264" s="135"/>
    </row>
    <row r="265" spans="2:12" ht="12" customHeight="1" x14ac:dyDescent="0.15">
      <c r="B265" s="2"/>
      <c r="C265" s="4"/>
      <c r="D265" s="4"/>
      <c r="E265" s="4"/>
      <c r="I265" s="135"/>
      <c r="J265" s="135"/>
      <c r="K265" s="135"/>
      <c r="L265" s="135"/>
    </row>
    <row r="266" spans="2:12" ht="12" customHeight="1" x14ac:dyDescent="0.15">
      <c r="B266" s="2"/>
      <c r="C266" s="4"/>
      <c r="D266" s="4"/>
      <c r="E266" s="4"/>
      <c r="I266" s="135"/>
      <c r="J266" s="135"/>
      <c r="K266" s="135"/>
      <c r="L266" s="135"/>
    </row>
    <row r="267" spans="2:12" ht="12" customHeight="1" x14ac:dyDescent="0.15">
      <c r="B267" s="2"/>
      <c r="C267" s="4"/>
      <c r="D267" s="4"/>
      <c r="E267" s="4"/>
      <c r="I267" s="135"/>
      <c r="J267" s="135"/>
      <c r="K267" s="135"/>
      <c r="L267" s="135"/>
    </row>
    <row r="268" spans="2:12" ht="12" customHeight="1" x14ac:dyDescent="0.15">
      <c r="B268" s="2"/>
      <c r="C268" s="4"/>
      <c r="D268" s="4"/>
      <c r="E268" s="4"/>
      <c r="I268" s="135"/>
      <c r="J268" s="135"/>
      <c r="K268" s="135"/>
      <c r="L268" s="135"/>
    </row>
    <row r="269" spans="2:12" ht="12" customHeight="1" x14ac:dyDescent="0.15">
      <c r="B269" s="2"/>
      <c r="C269" s="4"/>
      <c r="D269" s="4"/>
      <c r="E269" s="4"/>
      <c r="I269" s="135"/>
      <c r="J269" s="135"/>
      <c r="K269" s="135"/>
      <c r="L269" s="135"/>
    </row>
    <row r="270" spans="2:12" ht="12" customHeight="1" x14ac:dyDescent="0.15">
      <c r="B270" s="2"/>
      <c r="C270" s="4"/>
      <c r="D270" s="4"/>
      <c r="E270" s="4"/>
      <c r="I270" s="135"/>
      <c r="J270" s="135"/>
      <c r="K270" s="135"/>
      <c r="L270" s="135"/>
    </row>
    <row r="271" spans="2:12" ht="12" customHeight="1" x14ac:dyDescent="0.15">
      <c r="B271" s="2"/>
      <c r="C271" s="4"/>
      <c r="D271" s="4"/>
      <c r="E271" s="4"/>
      <c r="I271" s="135"/>
      <c r="J271" s="135"/>
      <c r="K271" s="135"/>
      <c r="L271" s="135"/>
    </row>
    <row r="272" spans="2:12" ht="12" customHeight="1" x14ac:dyDescent="0.15">
      <c r="B272" s="2"/>
      <c r="C272" s="4"/>
      <c r="D272" s="4"/>
      <c r="E272" s="4"/>
      <c r="I272" s="135"/>
      <c r="J272" s="135"/>
      <c r="K272" s="135"/>
      <c r="L272" s="135"/>
    </row>
    <row r="273" spans="2:12" ht="12" customHeight="1" x14ac:dyDescent="0.15">
      <c r="B273" s="2"/>
      <c r="C273" s="4"/>
      <c r="D273" s="4"/>
      <c r="E273" s="4"/>
      <c r="I273" s="135"/>
      <c r="J273" s="135"/>
      <c r="K273" s="135"/>
      <c r="L273" s="135"/>
    </row>
    <row r="274" spans="2:12" ht="12" customHeight="1" x14ac:dyDescent="0.15">
      <c r="B274" s="2"/>
      <c r="C274" s="4"/>
      <c r="D274" s="4"/>
      <c r="E274" s="4"/>
      <c r="I274" s="135"/>
      <c r="J274" s="135"/>
      <c r="K274" s="135"/>
      <c r="L274" s="135"/>
    </row>
    <row r="275" spans="2:12" ht="12" customHeight="1" x14ac:dyDescent="0.15">
      <c r="B275" s="2"/>
      <c r="C275" s="4"/>
      <c r="D275" s="4"/>
      <c r="E275" s="4"/>
      <c r="I275" s="135"/>
      <c r="J275" s="135"/>
      <c r="K275" s="135"/>
      <c r="L275" s="135"/>
    </row>
    <row r="276" spans="2:12" ht="12" customHeight="1" x14ac:dyDescent="0.15">
      <c r="B276" s="2"/>
      <c r="C276" s="4"/>
      <c r="D276" s="4"/>
      <c r="E276" s="4"/>
      <c r="I276" s="135"/>
      <c r="J276" s="135"/>
      <c r="K276" s="135"/>
      <c r="L276" s="135"/>
    </row>
    <row r="277" spans="2:12" ht="12" customHeight="1" x14ac:dyDescent="0.15">
      <c r="B277" s="2"/>
      <c r="C277" s="4"/>
      <c r="D277" s="4"/>
      <c r="E277" s="4"/>
      <c r="I277" s="135"/>
      <c r="J277" s="135"/>
      <c r="K277" s="135"/>
      <c r="L277" s="135"/>
    </row>
    <row r="278" spans="2:12" ht="12" customHeight="1" x14ac:dyDescent="0.15">
      <c r="B278" s="2"/>
      <c r="C278" s="4"/>
      <c r="D278" s="4"/>
      <c r="E278" s="4"/>
      <c r="I278" s="135"/>
      <c r="J278" s="135"/>
      <c r="K278" s="135"/>
      <c r="L278" s="135"/>
    </row>
    <row r="279" spans="2:12" ht="12" customHeight="1" x14ac:dyDescent="0.15">
      <c r="B279" s="2"/>
      <c r="C279" s="4"/>
      <c r="D279" s="4"/>
      <c r="E279" s="4"/>
      <c r="I279" s="135"/>
      <c r="J279" s="135"/>
      <c r="K279" s="135"/>
      <c r="L279" s="135"/>
    </row>
    <row r="280" spans="2:12" ht="12" customHeight="1" x14ac:dyDescent="0.15">
      <c r="B280" s="2"/>
      <c r="C280" s="4"/>
      <c r="D280" s="4"/>
      <c r="E280" s="4"/>
      <c r="I280" s="135"/>
      <c r="J280" s="135"/>
      <c r="K280" s="135"/>
      <c r="L280" s="135"/>
    </row>
    <row r="281" spans="2:12" ht="12" customHeight="1" x14ac:dyDescent="0.15">
      <c r="B281" s="2"/>
      <c r="C281" s="4"/>
      <c r="D281" s="4"/>
      <c r="E281" s="4"/>
      <c r="I281" s="135"/>
      <c r="J281" s="135"/>
      <c r="K281" s="135"/>
      <c r="L281" s="135"/>
    </row>
    <row r="282" spans="2:12" ht="12" customHeight="1" x14ac:dyDescent="0.15">
      <c r="B282" s="2"/>
      <c r="C282" s="4"/>
      <c r="D282" s="4"/>
      <c r="E282" s="4"/>
      <c r="I282" s="135"/>
      <c r="J282" s="135"/>
      <c r="K282" s="135"/>
      <c r="L282" s="135"/>
    </row>
    <row r="283" spans="2:12" ht="12" customHeight="1" x14ac:dyDescent="0.15">
      <c r="B283" s="2"/>
      <c r="C283" s="4"/>
      <c r="D283" s="4"/>
      <c r="E283" s="4"/>
      <c r="I283" s="135"/>
      <c r="J283" s="135"/>
      <c r="K283" s="135"/>
      <c r="L283" s="135"/>
    </row>
    <row r="284" spans="2:12" ht="12" customHeight="1" x14ac:dyDescent="0.15">
      <c r="B284" s="2"/>
      <c r="C284" s="4"/>
      <c r="D284" s="4"/>
      <c r="E284" s="4"/>
      <c r="I284" s="135"/>
      <c r="J284" s="135"/>
      <c r="K284" s="135"/>
      <c r="L284" s="135"/>
    </row>
    <row r="285" spans="2:12" ht="12" customHeight="1" x14ac:dyDescent="0.15">
      <c r="B285" s="2"/>
      <c r="C285" s="4"/>
      <c r="D285" s="4"/>
      <c r="E285" s="4"/>
      <c r="I285" s="135"/>
      <c r="J285" s="135"/>
      <c r="K285" s="135"/>
      <c r="L285" s="135"/>
    </row>
    <row r="286" spans="2:12" ht="12" customHeight="1" x14ac:dyDescent="0.15">
      <c r="B286" s="2"/>
      <c r="C286" s="4"/>
      <c r="D286" s="4"/>
      <c r="E286" s="4"/>
      <c r="I286" s="135"/>
      <c r="J286" s="135"/>
      <c r="K286" s="135"/>
      <c r="L286" s="135"/>
    </row>
    <row r="287" spans="2:12" ht="12" customHeight="1" x14ac:dyDescent="0.15">
      <c r="B287" s="2"/>
      <c r="C287" s="4"/>
      <c r="D287" s="4"/>
      <c r="E287" s="4"/>
      <c r="I287" s="135"/>
      <c r="J287" s="135"/>
      <c r="K287" s="135"/>
      <c r="L287" s="135"/>
    </row>
    <row r="288" spans="2:12" ht="12" customHeight="1" x14ac:dyDescent="0.15">
      <c r="B288" s="2"/>
      <c r="C288" s="4"/>
      <c r="D288" s="4"/>
      <c r="E288" s="4"/>
      <c r="I288" s="135"/>
      <c r="J288" s="135"/>
      <c r="K288" s="135"/>
      <c r="L288" s="135"/>
    </row>
    <row r="289" spans="2:12" ht="12" customHeight="1" x14ac:dyDescent="0.15">
      <c r="B289" s="2"/>
      <c r="C289" s="4"/>
      <c r="D289" s="4"/>
      <c r="E289" s="4"/>
      <c r="I289" s="135"/>
      <c r="J289" s="135"/>
      <c r="K289" s="135"/>
      <c r="L289" s="135"/>
    </row>
    <row r="290" spans="2:12" ht="12" customHeight="1" x14ac:dyDescent="0.15">
      <c r="B290" s="2"/>
      <c r="C290" s="4"/>
      <c r="D290" s="4"/>
      <c r="E290" s="4"/>
      <c r="I290" s="135"/>
      <c r="J290" s="135"/>
      <c r="K290" s="135"/>
      <c r="L290" s="135"/>
    </row>
    <row r="291" spans="2:12" ht="12" customHeight="1" x14ac:dyDescent="0.15">
      <c r="B291" s="2"/>
      <c r="C291" s="4"/>
      <c r="D291" s="4"/>
      <c r="E291" s="4"/>
      <c r="I291" s="135"/>
      <c r="J291" s="135"/>
      <c r="K291" s="135"/>
      <c r="L291" s="135"/>
    </row>
    <row r="292" spans="2:12" ht="12" customHeight="1" x14ac:dyDescent="0.15">
      <c r="B292" s="2"/>
      <c r="C292" s="4"/>
      <c r="D292" s="4"/>
      <c r="E292" s="4"/>
      <c r="I292" s="135"/>
      <c r="J292" s="135"/>
      <c r="K292" s="135"/>
      <c r="L292" s="135"/>
    </row>
    <row r="293" spans="2:12" ht="12" customHeight="1" x14ac:dyDescent="0.15">
      <c r="B293" s="2"/>
      <c r="C293" s="4"/>
      <c r="D293" s="4"/>
      <c r="E293" s="4"/>
      <c r="I293" s="135"/>
      <c r="J293" s="135"/>
      <c r="K293" s="135"/>
      <c r="L293" s="135"/>
    </row>
    <row r="294" spans="2:12" ht="12" customHeight="1" x14ac:dyDescent="0.15">
      <c r="B294" s="2"/>
      <c r="C294" s="4"/>
      <c r="D294" s="4"/>
      <c r="E294" s="4"/>
      <c r="I294" s="135"/>
      <c r="J294" s="135"/>
      <c r="K294" s="135"/>
      <c r="L294" s="135"/>
    </row>
    <row r="295" spans="2:12" ht="12" customHeight="1" x14ac:dyDescent="0.15">
      <c r="B295" s="2"/>
      <c r="C295" s="4"/>
      <c r="D295" s="4"/>
      <c r="E295" s="4"/>
      <c r="I295" s="135"/>
      <c r="J295" s="135"/>
      <c r="K295" s="135"/>
      <c r="L295" s="135"/>
    </row>
    <row r="296" spans="2:12" ht="12" customHeight="1" x14ac:dyDescent="0.15">
      <c r="B296" s="2"/>
      <c r="C296" s="4"/>
      <c r="D296" s="4"/>
      <c r="E296" s="4"/>
      <c r="I296" s="135"/>
      <c r="J296" s="135"/>
      <c r="K296" s="135"/>
      <c r="L296" s="135"/>
    </row>
    <row r="297" spans="2:12" ht="12" customHeight="1" x14ac:dyDescent="0.15">
      <c r="B297" s="2"/>
      <c r="C297" s="4"/>
      <c r="D297" s="4"/>
      <c r="E297" s="4"/>
      <c r="I297" s="135"/>
      <c r="J297" s="135"/>
      <c r="K297" s="135"/>
      <c r="L297" s="135"/>
    </row>
    <row r="298" spans="2:12" ht="12" customHeight="1" x14ac:dyDescent="0.15">
      <c r="B298" s="2"/>
      <c r="C298" s="4"/>
      <c r="D298" s="4"/>
      <c r="E298" s="4"/>
      <c r="I298" s="135"/>
      <c r="J298" s="135"/>
      <c r="K298" s="135"/>
      <c r="L298" s="135"/>
    </row>
    <row r="299" spans="2:12" ht="12" customHeight="1" x14ac:dyDescent="0.15">
      <c r="B299" s="2"/>
      <c r="C299" s="4"/>
      <c r="D299" s="4"/>
      <c r="E299" s="4"/>
      <c r="I299" s="135"/>
      <c r="J299" s="135"/>
      <c r="K299" s="135"/>
      <c r="L299" s="135"/>
    </row>
    <row r="300" spans="2:12" ht="12" customHeight="1" x14ac:dyDescent="0.15">
      <c r="B300" s="2"/>
      <c r="C300" s="4"/>
      <c r="D300" s="4"/>
      <c r="E300" s="4"/>
      <c r="I300" s="135"/>
      <c r="J300" s="135"/>
      <c r="K300" s="135"/>
      <c r="L300" s="135"/>
    </row>
    <row r="301" spans="2:12" ht="12" customHeight="1" x14ac:dyDescent="0.15">
      <c r="B301" s="2"/>
      <c r="C301" s="4"/>
      <c r="D301" s="4"/>
      <c r="E301" s="4"/>
      <c r="I301" s="135"/>
      <c r="J301" s="135"/>
      <c r="K301" s="135"/>
      <c r="L301" s="135"/>
    </row>
    <row r="302" spans="2:12" ht="12" customHeight="1" x14ac:dyDescent="0.15">
      <c r="B302" s="2"/>
      <c r="C302" s="4"/>
      <c r="D302" s="4"/>
      <c r="E302" s="4"/>
      <c r="I302" s="135"/>
      <c r="J302" s="135"/>
      <c r="K302" s="135"/>
      <c r="L302" s="135"/>
    </row>
    <row r="303" spans="2:12" ht="12" customHeight="1" x14ac:dyDescent="0.15">
      <c r="B303" s="2"/>
      <c r="C303" s="4"/>
      <c r="D303" s="4"/>
      <c r="E303" s="4"/>
      <c r="I303" s="135"/>
      <c r="J303" s="135"/>
      <c r="K303" s="135"/>
      <c r="L303" s="135"/>
    </row>
    <row r="304" spans="2:12" ht="12" customHeight="1" x14ac:dyDescent="0.15">
      <c r="B304" s="2"/>
      <c r="C304" s="4"/>
      <c r="D304" s="4"/>
      <c r="E304" s="4"/>
      <c r="I304" s="135"/>
      <c r="J304" s="135"/>
      <c r="K304" s="135"/>
      <c r="L304" s="135"/>
    </row>
    <row r="305" spans="2:12" ht="12" customHeight="1" x14ac:dyDescent="0.15">
      <c r="B305" s="2"/>
      <c r="C305" s="4"/>
      <c r="D305" s="4"/>
      <c r="E305" s="4"/>
      <c r="I305" s="135"/>
      <c r="J305" s="135"/>
      <c r="K305" s="135"/>
      <c r="L305" s="135"/>
    </row>
    <row r="306" spans="2:12" ht="12" customHeight="1" x14ac:dyDescent="0.15">
      <c r="B306" s="2"/>
      <c r="C306" s="4"/>
      <c r="D306" s="4"/>
      <c r="E306" s="4"/>
      <c r="I306" s="135"/>
      <c r="J306" s="135"/>
      <c r="K306" s="135"/>
      <c r="L306" s="135"/>
    </row>
    <row r="307" spans="2:12" ht="12" customHeight="1" x14ac:dyDescent="0.15">
      <c r="B307" s="2"/>
      <c r="C307" s="4"/>
      <c r="D307" s="4"/>
      <c r="E307" s="4"/>
      <c r="I307" s="135"/>
      <c r="J307" s="135"/>
      <c r="K307" s="135"/>
      <c r="L307" s="135"/>
    </row>
    <row r="308" spans="2:12" ht="12" customHeight="1" x14ac:dyDescent="0.15">
      <c r="B308" s="2"/>
      <c r="C308" s="4"/>
      <c r="D308" s="4"/>
      <c r="E308" s="4"/>
      <c r="I308" s="135"/>
      <c r="J308" s="135"/>
      <c r="K308" s="135"/>
      <c r="L308" s="135"/>
    </row>
    <row r="309" spans="2:12" ht="12" customHeight="1" x14ac:dyDescent="0.15">
      <c r="B309" s="2"/>
      <c r="C309" s="4"/>
      <c r="D309" s="4"/>
      <c r="E309" s="4"/>
      <c r="I309" s="135"/>
      <c r="J309" s="135"/>
      <c r="K309" s="135"/>
      <c r="L309" s="135"/>
    </row>
    <row r="310" spans="2:12" ht="12" customHeight="1" x14ac:dyDescent="0.15">
      <c r="B310" s="2"/>
      <c r="C310" s="4"/>
      <c r="D310" s="4"/>
      <c r="E310" s="4"/>
      <c r="I310" s="135"/>
      <c r="J310" s="135"/>
      <c r="K310" s="135"/>
      <c r="L310" s="135"/>
    </row>
    <row r="311" spans="2:12" ht="12" customHeight="1" x14ac:dyDescent="0.15">
      <c r="B311" s="2"/>
      <c r="C311" s="4"/>
      <c r="D311" s="4"/>
      <c r="E311" s="4"/>
      <c r="I311" s="135"/>
      <c r="J311" s="135"/>
      <c r="K311" s="135"/>
      <c r="L311" s="135"/>
    </row>
    <row r="312" spans="2:12" ht="12" customHeight="1" x14ac:dyDescent="0.15">
      <c r="B312" s="2"/>
      <c r="C312" s="4"/>
      <c r="D312" s="4"/>
      <c r="E312" s="4"/>
      <c r="I312" s="135"/>
      <c r="J312" s="135"/>
      <c r="K312" s="135"/>
      <c r="L312" s="135"/>
    </row>
    <row r="313" spans="2:12" ht="12" customHeight="1" x14ac:dyDescent="0.15">
      <c r="B313" s="2"/>
      <c r="C313" s="4"/>
      <c r="D313" s="4"/>
      <c r="E313" s="4"/>
      <c r="I313" s="135"/>
      <c r="J313" s="135"/>
      <c r="K313" s="135"/>
      <c r="L313" s="135"/>
    </row>
    <row r="314" spans="2:12" ht="12" customHeight="1" x14ac:dyDescent="0.15">
      <c r="B314" s="2"/>
      <c r="C314" s="4"/>
      <c r="D314" s="4"/>
      <c r="E314" s="4"/>
      <c r="I314" s="135"/>
      <c r="J314" s="135"/>
      <c r="K314" s="135"/>
      <c r="L314" s="135"/>
    </row>
    <row r="315" spans="2:12" ht="12" customHeight="1" x14ac:dyDescent="0.15">
      <c r="B315" s="2"/>
      <c r="C315" s="4"/>
      <c r="D315" s="4"/>
      <c r="E315" s="4"/>
      <c r="I315" s="135"/>
      <c r="J315" s="135"/>
      <c r="K315" s="135"/>
      <c r="L315" s="135"/>
    </row>
    <row r="316" spans="2:12" ht="12" customHeight="1" x14ac:dyDescent="0.15">
      <c r="B316" s="2"/>
      <c r="C316" s="4"/>
      <c r="D316" s="4"/>
      <c r="E316" s="4"/>
      <c r="I316" s="135"/>
      <c r="J316" s="135"/>
      <c r="K316" s="135"/>
      <c r="L316" s="135"/>
    </row>
    <row r="317" spans="2:12" ht="12" customHeight="1" x14ac:dyDescent="0.15">
      <c r="B317" s="2"/>
      <c r="C317" s="4"/>
      <c r="D317" s="4"/>
      <c r="E317" s="4"/>
      <c r="I317" s="135"/>
      <c r="J317" s="135"/>
      <c r="K317" s="135"/>
      <c r="L317" s="135"/>
    </row>
    <row r="318" spans="2:12" ht="12" customHeight="1" x14ac:dyDescent="0.15">
      <c r="B318" s="2"/>
      <c r="C318" s="4"/>
      <c r="D318" s="4"/>
      <c r="E318" s="4"/>
      <c r="I318" s="135"/>
      <c r="J318" s="135"/>
      <c r="K318" s="135"/>
      <c r="L318" s="135"/>
    </row>
    <row r="319" spans="2:12" ht="12" customHeight="1" x14ac:dyDescent="0.15">
      <c r="B319" s="2"/>
      <c r="C319" s="4"/>
      <c r="D319" s="4"/>
      <c r="E319" s="4"/>
      <c r="I319" s="135"/>
      <c r="J319" s="135"/>
      <c r="K319" s="135"/>
      <c r="L319" s="135"/>
    </row>
    <row r="320" spans="2:12" ht="12" customHeight="1" x14ac:dyDescent="0.15">
      <c r="B320" s="2"/>
      <c r="C320" s="4"/>
      <c r="D320" s="4"/>
      <c r="E320" s="4"/>
      <c r="I320" s="135"/>
      <c r="J320" s="135"/>
      <c r="K320" s="135"/>
      <c r="L320" s="135"/>
    </row>
    <row r="321" spans="2:12" ht="12" customHeight="1" x14ac:dyDescent="0.15">
      <c r="B321" s="2"/>
      <c r="C321" s="4"/>
      <c r="D321" s="4"/>
      <c r="E321" s="4"/>
      <c r="I321" s="135"/>
      <c r="J321" s="135"/>
      <c r="K321" s="135"/>
      <c r="L321" s="135"/>
    </row>
    <row r="322" spans="2:12" ht="12" customHeight="1" x14ac:dyDescent="0.15">
      <c r="B322" s="2"/>
      <c r="C322" s="4"/>
      <c r="D322" s="4"/>
      <c r="E322" s="4"/>
      <c r="I322" s="135"/>
      <c r="J322" s="135"/>
      <c r="K322" s="135"/>
      <c r="L322" s="135"/>
    </row>
    <row r="323" spans="2:12" ht="12" customHeight="1" x14ac:dyDescent="0.15">
      <c r="B323" s="2"/>
      <c r="C323" s="4"/>
      <c r="D323" s="4"/>
      <c r="E323" s="4"/>
      <c r="I323" s="135"/>
      <c r="J323" s="135"/>
      <c r="K323" s="135"/>
      <c r="L323" s="135"/>
    </row>
    <row r="324" spans="2:12" ht="12" customHeight="1" x14ac:dyDescent="0.15">
      <c r="B324" s="2"/>
      <c r="C324" s="4"/>
      <c r="D324" s="4"/>
      <c r="E324" s="4"/>
      <c r="I324" s="135"/>
      <c r="J324" s="135"/>
      <c r="K324" s="135"/>
      <c r="L324" s="135"/>
    </row>
    <row r="325" spans="2:12" ht="12" customHeight="1" x14ac:dyDescent="0.15">
      <c r="B325" s="2"/>
      <c r="C325" s="4"/>
      <c r="D325" s="4"/>
      <c r="E325" s="4"/>
      <c r="I325" s="135"/>
      <c r="J325" s="135"/>
      <c r="K325" s="135"/>
      <c r="L325" s="135"/>
    </row>
    <row r="326" spans="2:12" ht="12" customHeight="1" x14ac:dyDescent="0.15">
      <c r="B326" s="2"/>
      <c r="C326" s="4"/>
      <c r="D326" s="4"/>
      <c r="E326" s="4"/>
      <c r="I326" s="135"/>
      <c r="J326" s="135"/>
      <c r="K326" s="135"/>
      <c r="L326" s="135"/>
    </row>
    <row r="327" spans="2:12" ht="12" customHeight="1" x14ac:dyDescent="0.15">
      <c r="B327" s="2"/>
      <c r="C327" s="4"/>
      <c r="D327" s="4"/>
      <c r="E327" s="4"/>
      <c r="I327" s="135"/>
      <c r="J327" s="135"/>
      <c r="K327" s="135"/>
      <c r="L327" s="135"/>
    </row>
    <row r="328" spans="2:12" ht="12" customHeight="1" x14ac:dyDescent="0.15">
      <c r="B328" s="2"/>
      <c r="C328" s="4"/>
      <c r="D328" s="4"/>
      <c r="E328" s="4"/>
      <c r="I328" s="135"/>
      <c r="J328" s="135"/>
      <c r="K328" s="135"/>
      <c r="L328" s="135"/>
    </row>
    <row r="329" spans="2:12" ht="12" customHeight="1" x14ac:dyDescent="0.15">
      <c r="B329" s="2"/>
      <c r="C329" s="4"/>
      <c r="D329" s="4"/>
      <c r="E329" s="4"/>
      <c r="I329" s="135"/>
      <c r="J329" s="135"/>
      <c r="K329" s="135"/>
      <c r="L329" s="135"/>
    </row>
    <row r="330" spans="2:12" ht="12" customHeight="1" x14ac:dyDescent="0.15">
      <c r="B330" s="2"/>
      <c r="C330" s="4"/>
      <c r="D330" s="4"/>
      <c r="E330" s="4"/>
      <c r="I330" s="135"/>
      <c r="J330" s="135"/>
      <c r="K330" s="135"/>
      <c r="L330" s="135"/>
    </row>
    <row r="331" spans="2:12" ht="12" customHeight="1" x14ac:dyDescent="0.15">
      <c r="B331" s="2"/>
      <c r="C331" s="4"/>
      <c r="D331" s="4"/>
      <c r="E331" s="4"/>
      <c r="I331" s="135"/>
      <c r="J331" s="135"/>
      <c r="K331" s="135"/>
      <c r="L331" s="135"/>
    </row>
    <row r="332" spans="2:12" ht="12" customHeight="1" x14ac:dyDescent="0.15">
      <c r="B332" s="2"/>
      <c r="C332" s="4"/>
      <c r="D332" s="4"/>
      <c r="E332" s="4"/>
      <c r="I332" s="135"/>
      <c r="J332" s="135"/>
      <c r="K332" s="135"/>
      <c r="L332" s="135"/>
    </row>
    <row r="333" spans="2:12" ht="12" customHeight="1" x14ac:dyDescent="0.15">
      <c r="B333" s="2"/>
      <c r="C333" s="4"/>
      <c r="D333" s="4"/>
      <c r="E333" s="4"/>
      <c r="I333" s="135"/>
      <c r="J333" s="135"/>
      <c r="K333" s="135"/>
      <c r="L333" s="135"/>
    </row>
    <row r="334" spans="2:12" ht="12" customHeight="1" x14ac:dyDescent="0.15">
      <c r="B334" s="2"/>
      <c r="C334" s="4"/>
      <c r="D334" s="4"/>
      <c r="E334" s="4"/>
      <c r="I334" s="135"/>
      <c r="J334" s="135"/>
      <c r="K334" s="135"/>
      <c r="L334" s="135"/>
    </row>
    <row r="335" spans="2:12" ht="12" customHeight="1" x14ac:dyDescent="0.15">
      <c r="B335" s="2"/>
      <c r="C335" s="4"/>
      <c r="D335" s="4"/>
      <c r="E335" s="4"/>
      <c r="I335" s="135"/>
      <c r="J335" s="135"/>
      <c r="K335" s="135"/>
      <c r="L335" s="135"/>
    </row>
    <row r="336" spans="2:12" ht="12" customHeight="1" x14ac:dyDescent="0.15">
      <c r="B336" s="2"/>
      <c r="C336" s="4"/>
      <c r="D336" s="4"/>
      <c r="E336" s="4"/>
      <c r="I336" s="135"/>
      <c r="J336" s="135"/>
      <c r="K336" s="135"/>
      <c r="L336" s="135"/>
    </row>
    <row r="337" spans="2:12" ht="12" customHeight="1" x14ac:dyDescent="0.15">
      <c r="B337" s="2"/>
      <c r="C337" s="4"/>
      <c r="D337" s="4"/>
      <c r="E337" s="4"/>
      <c r="I337" s="135"/>
      <c r="J337" s="135"/>
      <c r="K337" s="135"/>
      <c r="L337" s="135"/>
    </row>
    <row r="338" spans="2:12" ht="12" customHeight="1" x14ac:dyDescent="0.15">
      <c r="B338" s="2"/>
      <c r="C338" s="4"/>
      <c r="D338" s="4"/>
      <c r="E338" s="4"/>
      <c r="I338" s="135"/>
      <c r="J338" s="135"/>
      <c r="K338" s="135"/>
      <c r="L338" s="135"/>
    </row>
    <row r="339" spans="2:12" ht="12" customHeight="1" x14ac:dyDescent="0.15">
      <c r="B339" s="2"/>
      <c r="C339" s="4"/>
      <c r="D339" s="4"/>
      <c r="E339" s="4"/>
      <c r="I339" s="135"/>
      <c r="J339" s="135"/>
      <c r="K339" s="135"/>
      <c r="L339" s="135"/>
    </row>
    <row r="340" spans="2:12" ht="12" customHeight="1" x14ac:dyDescent="0.15">
      <c r="B340" s="2"/>
      <c r="C340" s="4"/>
      <c r="D340" s="4"/>
      <c r="E340" s="4"/>
      <c r="I340" s="135"/>
      <c r="J340" s="135"/>
      <c r="K340" s="135"/>
      <c r="L340" s="135"/>
    </row>
    <row r="341" spans="2:12" ht="12" customHeight="1" x14ac:dyDescent="0.15">
      <c r="B341" s="2"/>
      <c r="C341" s="4"/>
      <c r="D341" s="4"/>
      <c r="E341" s="4"/>
      <c r="I341" s="135"/>
      <c r="J341" s="135"/>
      <c r="K341" s="135"/>
      <c r="L341" s="135"/>
    </row>
    <row r="342" spans="2:12" ht="12" customHeight="1" x14ac:dyDescent="0.15">
      <c r="B342" s="2"/>
      <c r="C342" s="4"/>
      <c r="D342" s="4"/>
      <c r="E342" s="4"/>
      <c r="I342" s="135"/>
      <c r="J342" s="135"/>
      <c r="K342" s="135"/>
      <c r="L342" s="135"/>
    </row>
    <row r="343" spans="2:12" ht="12" customHeight="1" x14ac:dyDescent="0.15">
      <c r="B343" s="2"/>
      <c r="C343" s="4"/>
      <c r="D343" s="4"/>
      <c r="E343" s="4"/>
      <c r="I343" s="135"/>
      <c r="J343" s="135"/>
      <c r="K343" s="135"/>
      <c r="L343" s="135"/>
    </row>
    <row r="344" spans="2:12" ht="12" customHeight="1" x14ac:dyDescent="0.15">
      <c r="B344" s="2"/>
      <c r="C344" s="4"/>
      <c r="D344" s="4"/>
      <c r="E344" s="4"/>
      <c r="I344" s="135"/>
      <c r="J344" s="135"/>
      <c r="K344" s="135"/>
      <c r="L344" s="135"/>
    </row>
    <row r="345" spans="2:12" ht="12" customHeight="1" x14ac:dyDescent="0.15">
      <c r="B345" s="2"/>
      <c r="C345" s="4"/>
      <c r="D345" s="4"/>
      <c r="E345" s="4"/>
      <c r="I345" s="135"/>
      <c r="J345" s="135"/>
      <c r="K345" s="135"/>
      <c r="L345" s="135"/>
    </row>
    <row r="346" spans="2:12" ht="12" customHeight="1" x14ac:dyDescent="0.15">
      <c r="B346" s="2"/>
      <c r="C346" s="4"/>
      <c r="D346" s="4"/>
      <c r="E346" s="4"/>
      <c r="I346" s="135"/>
      <c r="J346" s="135"/>
      <c r="K346" s="135"/>
      <c r="L346" s="135"/>
    </row>
    <row r="347" spans="2:12" ht="12" customHeight="1" x14ac:dyDescent="0.15">
      <c r="B347" s="2"/>
      <c r="C347" s="4"/>
      <c r="D347" s="4"/>
      <c r="E347" s="4"/>
      <c r="I347" s="135"/>
      <c r="J347" s="135"/>
      <c r="K347" s="135"/>
      <c r="L347" s="135"/>
    </row>
    <row r="348" spans="2:12" ht="12" customHeight="1" x14ac:dyDescent="0.15">
      <c r="B348" s="2"/>
      <c r="C348" s="4"/>
      <c r="D348" s="4"/>
      <c r="E348" s="4"/>
      <c r="I348" s="135"/>
      <c r="J348" s="135"/>
      <c r="K348" s="135"/>
      <c r="L348" s="135"/>
    </row>
    <row r="349" spans="2:12" ht="12" customHeight="1" x14ac:dyDescent="0.15">
      <c r="B349" s="2"/>
      <c r="C349" s="4"/>
      <c r="D349" s="4"/>
      <c r="E349" s="4"/>
      <c r="I349" s="135"/>
      <c r="J349" s="135"/>
      <c r="K349" s="135"/>
      <c r="L349" s="135"/>
    </row>
    <row r="350" spans="2:12" ht="12" customHeight="1" x14ac:dyDescent="0.15">
      <c r="B350" s="2"/>
      <c r="C350" s="4"/>
      <c r="D350" s="4"/>
      <c r="E350" s="4"/>
      <c r="I350" s="135"/>
      <c r="J350" s="135"/>
      <c r="K350" s="135"/>
      <c r="L350" s="135"/>
    </row>
    <row r="351" spans="2:12" ht="12" customHeight="1" x14ac:dyDescent="0.15">
      <c r="B351" s="2"/>
      <c r="C351" s="4"/>
      <c r="D351" s="4"/>
      <c r="E351" s="4"/>
      <c r="I351" s="135"/>
      <c r="J351" s="135"/>
      <c r="K351" s="135"/>
      <c r="L351" s="135"/>
    </row>
    <row r="352" spans="2:12" ht="12" customHeight="1" x14ac:dyDescent="0.15">
      <c r="B352" s="2"/>
      <c r="C352" s="4"/>
      <c r="D352" s="4"/>
      <c r="E352" s="4"/>
      <c r="I352" s="135"/>
      <c r="J352" s="135"/>
      <c r="K352" s="135"/>
      <c r="L352" s="135"/>
    </row>
    <row r="353" spans="2:12" ht="12" customHeight="1" x14ac:dyDescent="0.15">
      <c r="B353" s="2"/>
      <c r="C353" s="4"/>
      <c r="D353" s="4"/>
      <c r="E353" s="4"/>
      <c r="I353" s="135"/>
      <c r="J353" s="135"/>
      <c r="K353" s="135"/>
      <c r="L353" s="135"/>
    </row>
    <row r="354" spans="2:12" ht="12" customHeight="1" x14ac:dyDescent="0.15">
      <c r="B354" s="2"/>
      <c r="C354" s="4"/>
      <c r="D354" s="4"/>
      <c r="E354" s="4"/>
      <c r="I354" s="135"/>
      <c r="J354" s="135"/>
      <c r="K354" s="135"/>
      <c r="L354" s="135"/>
    </row>
    <row r="355" spans="2:12" ht="12" customHeight="1" x14ac:dyDescent="0.15">
      <c r="B355" s="2"/>
      <c r="C355" s="4"/>
      <c r="D355" s="4"/>
      <c r="E355" s="4"/>
      <c r="I355" s="135"/>
      <c r="J355" s="135"/>
      <c r="K355" s="135"/>
      <c r="L355" s="135"/>
    </row>
    <row r="356" spans="2:12" ht="12" customHeight="1" x14ac:dyDescent="0.15">
      <c r="B356" s="2"/>
      <c r="C356" s="4"/>
      <c r="D356" s="4"/>
      <c r="E356" s="4"/>
      <c r="I356" s="135"/>
      <c r="J356" s="135"/>
      <c r="K356" s="135"/>
      <c r="L356" s="135"/>
    </row>
    <row r="357" spans="2:12" ht="12" customHeight="1" x14ac:dyDescent="0.15">
      <c r="B357" s="2"/>
      <c r="C357" s="4"/>
      <c r="D357" s="4"/>
      <c r="E357" s="4"/>
      <c r="I357" s="135"/>
      <c r="J357" s="135"/>
      <c r="K357" s="135"/>
      <c r="L357" s="135"/>
    </row>
    <row r="358" spans="2:12" ht="12" customHeight="1" x14ac:dyDescent="0.15">
      <c r="B358" s="2"/>
      <c r="C358" s="4"/>
      <c r="D358" s="4"/>
      <c r="E358" s="4"/>
      <c r="I358" s="135"/>
      <c r="J358" s="135"/>
      <c r="K358" s="135"/>
      <c r="L358" s="135"/>
    </row>
    <row r="359" spans="2:12" ht="12" customHeight="1" x14ac:dyDescent="0.15">
      <c r="B359" s="2"/>
      <c r="C359" s="4"/>
      <c r="D359" s="4"/>
      <c r="E359" s="4"/>
      <c r="I359" s="135"/>
      <c r="J359" s="135"/>
      <c r="K359" s="135"/>
      <c r="L359" s="135"/>
    </row>
    <row r="360" spans="2:12" ht="12" customHeight="1" x14ac:dyDescent="0.15">
      <c r="B360" s="2"/>
      <c r="C360" s="4"/>
      <c r="D360" s="4"/>
      <c r="E360" s="4"/>
      <c r="I360" s="135"/>
      <c r="J360" s="135"/>
      <c r="K360" s="135"/>
      <c r="L360" s="135"/>
    </row>
    <row r="361" spans="2:12" ht="12" customHeight="1" x14ac:dyDescent="0.15">
      <c r="B361" s="2"/>
      <c r="C361" s="4"/>
      <c r="D361" s="4"/>
      <c r="E361" s="4"/>
      <c r="I361" s="135"/>
      <c r="J361" s="135"/>
      <c r="K361" s="135"/>
      <c r="L361" s="135"/>
    </row>
    <row r="362" spans="2:12" ht="12" customHeight="1" x14ac:dyDescent="0.15">
      <c r="B362" s="2"/>
      <c r="C362" s="4"/>
      <c r="D362" s="4"/>
      <c r="E362" s="4"/>
      <c r="I362" s="135"/>
      <c r="J362" s="135"/>
      <c r="K362" s="135"/>
      <c r="L362" s="135"/>
    </row>
    <row r="363" spans="2:12" ht="12" customHeight="1" x14ac:dyDescent="0.15">
      <c r="B363" s="2"/>
      <c r="C363" s="4"/>
      <c r="D363" s="4"/>
      <c r="E363" s="4"/>
      <c r="I363" s="135"/>
      <c r="J363" s="135"/>
      <c r="K363" s="135"/>
      <c r="L363" s="135"/>
    </row>
    <row r="364" spans="2:12" ht="12" customHeight="1" x14ac:dyDescent="0.15">
      <c r="B364" s="2"/>
      <c r="C364" s="4"/>
      <c r="D364" s="4"/>
      <c r="E364" s="4"/>
      <c r="I364" s="135"/>
      <c r="J364" s="135"/>
      <c r="K364" s="135"/>
      <c r="L364" s="135"/>
    </row>
    <row r="365" spans="2:12" ht="12" customHeight="1" x14ac:dyDescent="0.15">
      <c r="B365" s="2"/>
      <c r="C365" s="4"/>
      <c r="D365" s="4"/>
      <c r="E365" s="4"/>
      <c r="I365" s="135"/>
      <c r="J365" s="135"/>
      <c r="K365" s="135"/>
      <c r="L365" s="135"/>
    </row>
    <row r="366" spans="2:12" ht="12" customHeight="1" x14ac:dyDescent="0.15">
      <c r="B366" s="2"/>
      <c r="C366" s="4"/>
      <c r="D366" s="4"/>
      <c r="E366" s="4"/>
      <c r="I366" s="135"/>
      <c r="J366" s="135"/>
      <c r="K366" s="135"/>
      <c r="L366" s="135"/>
    </row>
    <row r="367" spans="2:12" ht="12" customHeight="1" x14ac:dyDescent="0.15">
      <c r="B367" s="2"/>
      <c r="C367" s="4"/>
      <c r="D367" s="4"/>
      <c r="E367" s="4"/>
      <c r="I367" s="135"/>
      <c r="J367" s="135"/>
      <c r="K367" s="135"/>
      <c r="L367" s="135"/>
    </row>
    <row r="368" spans="2:12" ht="12" customHeight="1" x14ac:dyDescent="0.15">
      <c r="B368" s="2"/>
      <c r="C368" s="4"/>
      <c r="D368" s="4"/>
      <c r="E368" s="4"/>
      <c r="I368" s="135"/>
      <c r="J368" s="135"/>
      <c r="K368" s="135"/>
      <c r="L368" s="135"/>
    </row>
    <row r="369" spans="2:12" ht="12" customHeight="1" x14ac:dyDescent="0.15">
      <c r="B369" s="2"/>
      <c r="C369" s="4"/>
      <c r="D369" s="4"/>
      <c r="E369" s="4"/>
      <c r="I369" s="135"/>
      <c r="J369" s="135"/>
      <c r="K369" s="135"/>
      <c r="L369" s="135"/>
    </row>
    <row r="370" spans="2:12" ht="12" customHeight="1" x14ac:dyDescent="0.15">
      <c r="B370" s="2"/>
      <c r="C370" s="4"/>
      <c r="D370" s="4"/>
      <c r="E370" s="4"/>
      <c r="I370" s="135"/>
      <c r="J370" s="135"/>
      <c r="K370" s="135"/>
      <c r="L370" s="135"/>
    </row>
    <row r="371" spans="2:12" ht="12" customHeight="1" x14ac:dyDescent="0.15">
      <c r="B371" s="2"/>
      <c r="C371" s="4"/>
      <c r="D371" s="4"/>
      <c r="E371" s="4"/>
      <c r="I371" s="135"/>
      <c r="J371" s="135"/>
      <c r="K371" s="135"/>
      <c r="L371" s="135"/>
    </row>
    <row r="372" spans="2:12" ht="12" customHeight="1" x14ac:dyDescent="0.15">
      <c r="B372" s="2"/>
      <c r="C372" s="4"/>
      <c r="D372" s="4"/>
      <c r="E372" s="4"/>
      <c r="I372" s="135"/>
      <c r="J372" s="135"/>
      <c r="K372" s="135"/>
      <c r="L372" s="135"/>
    </row>
    <row r="373" spans="2:12" ht="12" customHeight="1" x14ac:dyDescent="0.15">
      <c r="B373" s="2"/>
      <c r="C373" s="4"/>
      <c r="D373" s="4"/>
      <c r="E373" s="4"/>
      <c r="I373" s="135"/>
      <c r="J373" s="135"/>
      <c r="K373" s="135"/>
      <c r="L373" s="135"/>
    </row>
    <row r="374" spans="2:12" ht="12" customHeight="1" x14ac:dyDescent="0.15">
      <c r="B374" s="2"/>
      <c r="C374" s="4"/>
      <c r="D374" s="4"/>
      <c r="E374" s="4"/>
      <c r="I374" s="135"/>
      <c r="J374" s="135"/>
      <c r="K374" s="135"/>
      <c r="L374" s="135"/>
    </row>
    <row r="375" spans="2:12" ht="12" customHeight="1" x14ac:dyDescent="0.15">
      <c r="B375" s="2"/>
      <c r="C375" s="4"/>
      <c r="D375" s="4"/>
      <c r="E375" s="4"/>
      <c r="I375" s="135"/>
      <c r="J375" s="135"/>
      <c r="K375" s="135"/>
      <c r="L375" s="135"/>
    </row>
    <row r="376" spans="2:12" ht="12" customHeight="1" x14ac:dyDescent="0.15">
      <c r="B376" s="2"/>
      <c r="C376" s="4"/>
      <c r="D376" s="4"/>
      <c r="E376" s="4"/>
      <c r="I376" s="135"/>
      <c r="J376" s="135"/>
      <c r="K376" s="135"/>
      <c r="L376" s="135"/>
    </row>
    <row r="377" spans="2:12" ht="12" customHeight="1" x14ac:dyDescent="0.15">
      <c r="B377" s="2"/>
      <c r="C377" s="4"/>
      <c r="D377" s="4"/>
      <c r="E377" s="4"/>
      <c r="I377" s="135"/>
      <c r="J377" s="135"/>
      <c r="K377" s="135"/>
      <c r="L377" s="135"/>
    </row>
    <row r="378" spans="2:12" ht="12" customHeight="1" x14ac:dyDescent="0.15">
      <c r="B378" s="2"/>
      <c r="C378" s="4"/>
      <c r="D378" s="4"/>
      <c r="E378" s="4"/>
      <c r="I378" s="135"/>
      <c r="J378" s="135"/>
      <c r="K378" s="135"/>
      <c r="L378" s="135"/>
    </row>
    <row r="379" spans="2:12" ht="12" customHeight="1" x14ac:dyDescent="0.15">
      <c r="B379" s="2"/>
      <c r="C379" s="4"/>
      <c r="D379" s="4"/>
      <c r="E379" s="4"/>
      <c r="I379" s="135"/>
      <c r="J379" s="135"/>
      <c r="K379" s="135"/>
      <c r="L379" s="135"/>
    </row>
    <row r="380" spans="2:12" ht="12" customHeight="1" x14ac:dyDescent="0.15">
      <c r="B380" s="2"/>
      <c r="C380" s="4"/>
      <c r="D380" s="4"/>
      <c r="E380" s="4"/>
      <c r="I380" s="135"/>
      <c r="J380" s="135"/>
      <c r="K380" s="135"/>
      <c r="L380" s="135"/>
    </row>
    <row r="381" spans="2:12" ht="12" customHeight="1" x14ac:dyDescent="0.15">
      <c r="B381" s="2"/>
      <c r="C381" s="4"/>
      <c r="D381" s="4"/>
      <c r="E381" s="4"/>
      <c r="I381" s="135"/>
      <c r="J381" s="135"/>
      <c r="K381" s="135"/>
      <c r="L381" s="135"/>
    </row>
    <row r="382" spans="2:12" ht="12" customHeight="1" x14ac:dyDescent="0.15">
      <c r="B382" s="2"/>
      <c r="C382" s="4"/>
      <c r="D382" s="4"/>
      <c r="E382" s="4"/>
      <c r="I382" s="135"/>
      <c r="J382" s="135"/>
      <c r="K382" s="135"/>
      <c r="L382" s="135"/>
    </row>
    <row r="383" spans="2:12" ht="12" customHeight="1" x14ac:dyDescent="0.15">
      <c r="B383" s="2"/>
      <c r="C383" s="4"/>
      <c r="D383" s="4"/>
      <c r="E383" s="4"/>
      <c r="I383" s="135"/>
      <c r="J383" s="135"/>
      <c r="K383" s="135"/>
      <c r="L383" s="135"/>
    </row>
    <row r="384" spans="2:12" ht="12" customHeight="1" x14ac:dyDescent="0.15">
      <c r="B384" s="2"/>
      <c r="C384" s="4"/>
      <c r="D384" s="4"/>
      <c r="E384" s="4"/>
      <c r="I384" s="135"/>
      <c r="J384" s="135"/>
      <c r="K384" s="135"/>
      <c r="L384" s="135"/>
    </row>
    <row r="385" spans="2:12" ht="12" customHeight="1" x14ac:dyDescent="0.15">
      <c r="B385" s="2"/>
      <c r="C385" s="4"/>
      <c r="D385" s="4"/>
      <c r="E385" s="4"/>
      <c r="I385" s="135"/>
      <c r="J385" s="135"/>
      <c r="K385" s="135"/>
      <c r="L385" s="135"/>
    </row>
    <row r="386" spans="2:12" ht="12" customHeight="1" x14ac:dyDescent="0.15">
      <c r="B386" s="2"/>
      <c r="C386" s="4"/>
      <c r="D386" s="4"/>
      <c r="E386" s="4"/>
      <c r="I386" s="135"/>
      <c r="J386" s="135"/>
      <c r="K386" s="135"/>
      <c r="L386" s="135"/>
    </row>
    <row r="387" spans="2:12" ht="12" customHeight="1" x14ac:dyDescent="0.15">
      <c r="B387" s="2"/>
      <c r="C387" s="4"/>
      <c r="D387" s="4"/>
      <c r="E387" s="4"/>
      <c r="I387" s="135"/>
      <c r="J387" s="135"/>
      <c r="K387" s="135"/>
      <c r="L387" s="135"/>
    </row>
    <row r="388" spans="2:12" ht="12" customHeight="1" x14ac:dyDescent="0.15">
      <c r="B388" s="2"/>
      <c r="C388" s="4"/>
      <c r="D388" s="4"/>
      <c r="E388" s="4"/>
      <c r="I388" s="135"/>
      <c r="J388" s="135"/>
      <c r="K388" s="135"/>
      <c r="L388" s="135"/>
    </row>
    <row r="389" spans="2:12" ht="12" customHeight="1" x14ac:dyDescent="0.15">
      <c r="B389" s="2"/>
      <c r="C389" s="4"/>
      <c r="D389" s="4"/>
      <c r="E389" s="4"/>
      <c r="I389" s="135"/>
      <c r="J389" s="135"/>
      <c r="K389" s="135"/>
      <c r="L389" s="135"/>
    </row>
    <row r="390" spans="2:12" ht="12" customHeight="1" x14ac:dyDescent="0.15">
      <c r="B390" s="2"/>
      <c r="C390" s="4"/>
      <c r="D390" s="4"/>
      <c r="E390" s="4"/>
      <c r="I390" s="135"/>
      <c r="J390" s="135"/>
      <c r="K390" s="135"/>
      <c r="L390" s="135"/>
    </row>
    <row r="391" spans="2:12" ht="12" customHeight="1" x14ac:dyDescent="0.15">
      <c r="B391" s="2"/>
      <c r="C391" s="4"/>
      <c r="D391" s="4"/>
      <c r="E391" s="4"/>
      <c r="I391" s="135"/>
      <c r="J391" s="135"/>
      <c r="K391" s="135"/>
      <c r="L391" s="135"/>
    </row>
    <row r="392" spans="2:12" ht="12" customHeight="1" x14ac:dyDescent="0.15">
      <c r="B392" s="2"/>
      <c r="C392" s="4"/>
      <c r="D392" s="4"/>
      <c r="E392" s="4"/>
      <c r="I392" s="135"/>
      <c r="J392" s="135"/>
      <c r="K392" s="135"/>
      <c r="L392" s="135"/>
    </row>
    <row r="393" spans="2:12" ht="12" customHeight="1" x14ac:dyDescent="0.15">
      <c r="B393" s="2"/>
      <c r="C393" s="4"/>
      <c r="D393" s="4"/>
      <c r="E393" s="4"/>
      <c r="I393" s="135"/>
      <c r="J393" s="135"/>
      <c r="K393" s="135"/>
      <c r="L393" s="135"/>
    </row>
    <row r="394" spans="2:12" ht="12" customHeight="1" x14ac:dyDescent="0.15">
      <c r="B394" s="2"/>
      <c r="C394" s="4"/>
      <c r="D394" s="4"/>
      <c r="E394" s="4"/>
      <c r="I394" s="135"/>
      <c r="J394" s="135"/>
      <c r="K394" s="135"/>
      <c r="L394" s="135"/>
    </row>
    <row r="395" spans="2:12" ht="12" customHeight="1" x14ac:dyDescent="0.15">
      <c r="B395" s="2"/>
      <c r="C395" s="4"/>
      <c r="D395" s="4"/>
      <c r="E395" s="4"/>
      <c r="I395" s="135"/>
      <c r="J395" s="135"/>
      <c r="K395" s="135"/>
      <c r="L395" s="135"/>
    </row>
    <row r="396" spans="2:12" ht="12" customHeight="1" x14ac:dyDescent="0.15">
      <c r="B396" s="2"/>
      <c r="C396" s="4"/>
      <c r="D396" s="4"/>
      <c r="E396" s="4"/>
      <c r="I396" s="135"/>
      <c r="J396" s="135"/>
      <c r="K396" s="135"/>
      <c r="L396" s="135"/>
    </row>
    <row r="397" spans="2:12" ht="12" customHeight="1" x14ac:dyDescent="0.15">
      <c r="B397" s="2"/>
      <c r="C397" s="4"/>
      <c r="D397" s="4"/>
      <c r="E397" s="4"/>
      <c r="I397" s="135"/>
      <c r="J397" s="135"/>
      <c r="K397" s="135"/>
      <c r="L397" s="135"/>
    </row>
    <row r="398" spans="2:12" ht="12" customHeight="1" x14ac:dyDescent="0.15">
      <c r="B398" s="2"/>
      <c r="C398" s="4"/>
      <c r="D398" s="4"/>
      <c r="E398" s="4"/>
      <c r="I398" s="135"/>
      <c r="J398" s="135"/>
      <c r="K398" s="135"/>
      <c r="L398" s="135"/>
    </row>
    <row r="399" spans="2:12" ht="12" customHeight="1" x14ac:dyDescent="0.15">
      <c r="B399" s="2"/>
      <c r="C399" s="4"/>
      <c r="D399" s="4"/>
      <c r="E399" s="4"/>
      <c r="I399" s="135"/>
      <c r="J399" s="135"/>
      <c r="K399" s="135"/>
      <c r="L399" s="135"/>
    </row>
    <row r="400" spans="2:12" ht="12" customHeight="1" x14ac:dyDescent="0.15">
      <c r="B400" s="2"/>
      <c r="C400" s="4"/>
      <c r="D400" s="4"/>
      <c r="E400" s="4"/>
      <c r="I400" s="135"/>
      <c r="J400" s="135"/>
      <c r="K400" s="135"/>
      <c r="L400" s="135"/>
    </row>
    <row r="401" spans="2:12" ht="12" customHeight="1" x14ac:dyDescent="0.15">
      <c r="B401" s="2"/>
      <c r="C401" s="4"/>
      <c r="D401" s="4"/>
      <c r="E401" s="4"/>
      <c r="I401" s="135"/>
      <c r="J401" s="135"/>
      <c r="K401" s="135"/>
      <c r="L401" s="135"/>
    </row>
    <row r="402" spans="2:12" ht="12" customHeight="1" x14ac:dyDescent="0.15">
      <c r="B402" s="2"/>
      <c r="C402" s="4"/>
      <c r="D402" s="4"/>
      <c r="E402" s="4"/>
      <c r="I402" s="135"/>
      <c r="J402" s="135"/>
      <c r="K402" s="135"/>
      <c r="L402" s="135"/>
    </row>
    <row r="403" spans="2:12" ht="12" customHeight="1" x14ac:dyDescent="0.15">
      <c r="B403" s="2"/>
      <c r="C403" s="4"/>
      <c r="D403" s="4"/>
      <c r="E403" s="4"/>
      <c r="I403" s="135"/>
      <c r="J403" s="135"/>
      <c r="K403" s="135"/>
      <c r="L403" s="135"/>
    </row>
    <row r="404" spans="2:12" ht="12" customHeight="1" x14ac:dyDescent="0.15">
      <c r="B404" s="2"/>
      <c r="C404" s="4"/>
      <c r="D404" s="4"/>
      <c r="E404" s="4"/>
      <c r="I404" s="135"/>
      <c r="J404" s="135"/>
      <c r="K404" s="135"/>
      <c r="L404" s="135"/>
    </row>
    <row r="405" spans="2:12" ht="12" customHeight="1" x14ac:dyDescent="0.15">
      <c r="B405" s="2"/>
      <c r="C405" s="4"/>
      <c r="D405" s="4"/>
      <c r="E405" s="4"/>
      <c r="I405" s="135"/>
      <c r="J405" s="135"/>
      <c r="K405" s="135"/>
      <c r="L405" s="135"/>
    </row>
    <row r="406" spans="2:12" ht="12" customHeight="1" x14ac:dyDescent="0.15">
      <c r="B406" s="2"/>
      <c r="C406" s="4"/>
      <c r="D406" s="4"/>
      <c r="E406" s="4"/>
      <c r="I406" s="135"/>
      <c r="J406" s="135"/>
      <c r="K406" s="135"/>
      <c r="L406" s="135"/>
    </row>
    <row r="407" spans="2:12" ht="12" customHeight="1" x14ac:dyDescent="0.15">
      <c r="B407" s="2"/>
      <c r="C407" s="4"/>
      <c r="D407" s="4"/>
      <c r="E407" s="4"/>
      <c r="I407" s="135"/>
      <c r="J407" s="135"/>
      <c r="K407" s="135"/>
      <c r="L407" s="135"/>
    </row>
    <row r="408" spans="2:12" ht="12" customHeight="1" x14ac:dyDescent="0.15">
      <c r="B408" s="2"/>
      <c r="C408" s="4"/>
      <c r="D408" s="4"/>
      <c r="E408" s="4"/>
      <c r="I408" s="135"/>
      <c r="J408" s="135"/>
      <c r="K408" s="135"/>
      <c r="L408" s="135"/>
    </row>
    <row r="409" spans="2:12" ht="12" customHeight="1" x14ac:dyDescent="0.15">
      <c r="B409" s="2"/>
      <c r="C409" s="4"/>
      <c r="D409" s="4"/>
      <c r="E409" s="4"/>
      <c r="I409" s="135"/>
      <c r="J409" s="135"/>
      <c r="K409" s="135"/>
      <c r="L409" s="135"/>
    </row>
    <row r="410" spans="2:12" ht="12" customHeight="1" x14ac:dyDescent="0.15">
      <c r="B410" s="2"/>
      <c r="C410" s="4"/>
      <c r="D410" s="4"/>
      <c r="E410" s="4"/>
      <c r="I410" s="135"/>
      <c r="J410" s="135"/>
      <c r="K410" s="135"/>
      <c r="L410" s="135"/>
    </row>
    <row r="411" spans="2:12" ht="12" customHeight="1" x14ac:dyDescent="0.15">
      <c r="B411" s="2"/>
      <c r="C411" s="4"/>
      <c r="D411" s="4"/>
      <c r="E411" s="4"/>
      <c r="I411" s="135"/>
      <c r="J411" s="135"/>
      <c r="K411" s="135"/>
      <c r="L411" s="135"/>
    </row>
    <row r="412" spans="2:12" ht="12" customHeight="1" x14ac:dyDescent="0.15">
      <c r="B412" s="2"/>
      <c r="C412" s="4"/>
      <c r="D412" s="4"/>
      <c r="E412" s="4"/>
      <c r="I412" s="135"/>
      <c r="J412" s="135"/>
      <c r="K412" s="135"/>
      <c r="L412" s="135"/>
    </row>
    <row r="413" spans="2:12" ht="12" customHeight="1" x14ac:dyDescent="0.15">
      <c r="B413" s="2"/>
      <c r="C413" s="4"/>
      <c r="D413" s="4"/>
      <c r="E413" s="4"/>
      <c r="I413" s="135"/>
      <c r="J413" s="135"/>
      <c r="K413" s="135"/>
      <c r="L413" s="135"/>
    </row>
    <row r="414" spans="2:12" ht="12" customHeight="1" x14ac:dyDescent="0.15">
      <c r="B414" s="2"/>
      <c r="C414" s="4"/>
      <c r="D414" s="4"/>
      <c r="E414" s="4"/>
      <c r="I414" s="135"/>
      <c r="J414" s="135"/>
      <c r="K414" s="135"/>
      <c r="L414" s="135"/>
    </row>
    <row r="415" spans="2:12" ht="12" customHeight="1" x14ac:dyDescent="0.15">
      <c r="B415" s="2"/>
      <c r="C415" s="4"/>
      <c r="D415" s="4"/>
      <c r="E415" s="4"/>
      <c r="I415" s="135"/>
      <c r="J415" s="135"/>
      <c r="K415" s="135"/>
      <c r="L415" s="135"/>
    </row>
    <row r="416" spans="2:12" ht="12" customHeight="1" x14ac:dyDescent="0.15">
      <c r="B416" s="2"/>
      <c r="C416" s="4"/>
      <c r="D416" s="4"/>
      <c r="E416" s="4"/>
      <c r="I416" s="135"/>
      <c r="J416" s="135"/>
      <c r="K416" s="135"/>
      <c r="L416" s="135"/>
    </row>
    <row r="417" spans="2:12" ht="12" customHeight="1" x14ac:dyDescent="0.15">
      <c r="B417" s="2"/>
      <c r="C417" s="4"/>
      <c r="D417" s="4"/>
      <c r="E417" s="4"/>
      <c r="I417" s="135"/>
      <c r="J417" s="135"/>
      <c r="K417" s="135"/>
      <c r="L417" s="135"/>
    </row>
    <row r="418" spans="2:12" ht="12" customHeight="1" x14ac:dyDescent="0.15">
      <c r="B418" s="2"/>
      <c r="C418" s="4"/>
      <c r="D418" s="4"/>
      <c r="E418" s="4"/>
      <c r="I418" s="135"/>
      <c r="J418" s="135"/>
      <c r="K418" s="135"/>
      <c r="L418" s="135"/>
    </row>
    <row r="419" spans="2:12" ht="12" customHeight="1" x14ac:dyDescent="0.15">
      <c r="B419" s="2"/>
      <c r="C419" s="4"/>
      <c r="D419" s="4"/>
      <c r="E419" s="4"/>
      <c r="I419" s="135"/>
      <c r="J419" s="135"/>
      <c r="K419" s="135"/>
      <c r="L419" s="135"/>
    </row>
    <row r="420" spans="2:12" ht="12" customHeight="1" x14ac:dyDescent="0.15">
      <c r="B420" s="2"/>
      <c r="C420" s="4"/>
      <c r="D420" s="4"/>
      <c r="E420" s="4"/>
      <c r="I420" s="135"/>
      <c r="J420" s="135"/>
      <c r="K420" s="135"/>
      <c r="L420" s="135"/>
    </row>
    <row r="421" spans="2:12" ht="12" customHeight="1" x14ac:dyDescent="0.15">
      <c r="B421" s="2"/>
      <c r="C421" s="4"/>
      <c r="D421" s="4"/>
      <c r="E421" s="4"/>
      <c r="I421" s="135"/>
      <c r="J421" s="135"/>
      <c r="K421" s="135"/>
      <c r="L421" s="135"/>
    </row>
    <row r="422" spans="2:12" ht="12" customHeight="1" x14ac:dyDescent="0.15">
      <c r="B422" s="2"/>
      <c r="C422" s="4"/>
      <c r="D422" s="4"/>
      <c r="E422" s="4"/>
      <c r="I422" s="135"/>
      <c r="J422" s="135"/>
      <c r="K422" s="135"/>
      <c r="L422" s="135"/>
    </row>
    <row r="423" spans="2:12" ht="12" customHeight="1" x14ac:dyDescent="0.15">
      <c r="B423" s="2"/>
      <c r="C423" s="4"/>
      <c r="D423" s="4"/>
      <c r="E423" s="4"/>
      <c r="I423" s="135"/>
      <c r="J423" s="135"/>
      <c r="K423" s="135"/>
      <c r="L423" s="135"/>
    </row>
    <row r="424" spans="2:12" ht="12" customHeight="1" x14ac:dyDescent="0.15">
      <c r="B424" s="2"/>
      <c r="C424" s="4"/>
      <c r="D424" s="4"/>
      <c r="E424" s="4"/>
      <c r="I424" s="135"/>
      <c r="J424" s="135"/>
      <c r="K424" s="135"/>
      <c r="L424" s="135"/>
    </row>
    <row r="425" spans="2:12" ht="12" customHeight="1" x14ac:dyDescent="0.15">
      <c r="B425" s="2"/>
      <c r="C425" s="4"/>
      <c r="D425" s="4"/>
      <c r="E425" s="4"/>
      <c r="I425" s="135"/>
      <c r="J425" s="135"/>
      <c r="K425" s="135"/>
      <c r="L425" s="135"/>
    </row>
    <row r="426" spans="2:12" ht="12" customHeight="1" x14ac:dyDescent="0.15">
      <c r="B426" s="2"/>
      <c r="C426" s="4"/>
      <c r="D426" s="4"/>
      <c r="E426" s="4"/>
      <c r="I426" s="135"/>
      <c r="J426" s="135"/>
      <c r="K426" s="135"/>
      <c r="L426" s="135"/>
    </row>
    <row r="427" spans="2:12" ht="12" customHeight="1" x14ac:dyDescent="0.15">
      <c r="B427" s="2"/>
      <c r="C427" s="4"/>
      <c r="D427" s="4"/>
      <c r="E427" s="4"/>
      <c r="I427" s="135"/>
      <c r="J427" s="135"/>
      <c r="K427" s="135"/>
      <c r="L427" s="135"/>
    </row>
    <row r="428" spans="2:12" ht="12" customHeight="1" x14ac:dyDescent="0.15">
      <c r="B428" s="2"/>
      <c r="C428" s="4"/>
      <c r="D428" s="4"/>
      <c r="E428" s="4"/>
      <c r="I428" s="135"/>
      <c r="J428" s="135"/>
      <c r="K428" s="135"/>
      <c r="L428" s="135"/>
    </row>
    <row r="429" spans="2:12" ht="12" customHeight="1" x14ac:dyDescent="0.15">
      <c r="B429" s="2"/>
      <c r="C429" s="4"/>
      <c r="D429" s="4"/>
      <c r="E429" s="4"/>
      <c r="I429" s="135"/>
      <c r="J429" s="135"/>
      <c r="K429" s="135"/>
      <c r="L429" s="135"/>
    </row>
    <row r="430" spans="2:12" ht="12" customHeight="1" x14ac:dyDescent="0.15">
      <c r="B430" s="2"/>
      <c r="C430" s="4"/>
      <c r="D430" s="4"/>
      <c r="E430" s="4"/>
      <c r="I430" s="135"/>
      <c r="J430" s="135"/>
      <c r="K430" s="135"/>
      <c r="L430" s="135"/>
    </row>
    <row r="431" spans="2:12" ht="12" customHeight="1" x14ac:dyDescent="0.15">
      <c r="B431" s="2"/>
      <c r="C431" s="4"/>
      <c r="D431" s="4"/>
      <c r="E431" s="4"/>
      <c r="I431" s="135"/>
      <c r="J431" s="135"/>
      <c r="K431" s="135"/>
      <c r="L431" s="135"/>
    </row>
    <row r="432" spans="2:12" ht="12" customHeight="1" x14ac:dyDescent="0.15">
      <c r="B432" s="2"/>
      <c r="C432" s="4"/>
      <c r="D432" s="4"/>
      <c r="E432" s="4"/>
      <c r="I432" s="135"/>
      <c r="J432" s="135"/>
      <c r="K432" s="135"/>
      <c r="L432" s="135"/>
    </row>
    <row r="433" spans="2:12" ht="12" customHeight="1" x14ac:dyDescent="0.15">
      <c r="B433" s="2"/>
      <c r="C433" s="4"/>
      <c r="D433" s="4"/>
      <c r="E433" s="4"/>
      <c r="I433" s="135"/>
      <c r="J433" s="135"/>
      <c r="K433" s="135"/>
      <c r="L433" s="135"/>
    </row>
    <row r="434" spans="2:12" ht="12" customHeight="1" x14ac:dyDescent="0.15">
      <c r="B434" s="2"/>
      <c r="C434" s="4"/>
      <c r="D434" s="4"/>
      <c r="E434" s="4"/>
      <c r="I434" s="135"/>
      <c r="J434" s="135"/>
      <c r="K434" s="135"/>
      <c r="L434" s="135"/>
    </row>
    <row r="435" spans="2:12" ht="12" customHeight="1" x14ac:dyDescent="0.15">
      <c r="B435" s="2"/>
      <c r="C435" s="4"/>
      <c r="D435" s="4"/>
      <c r="E435" s="4"/>
      <c r="I435" s="135"/>
      <c r="J435" s="135"/>
      <c r="K435" s="135"/>
      <c r="L435" s="135"/>
    </row>
    <row r="436" spans="2:12" ht="12" customHeight="1" x14ac:dyDescent="0.15">
      <c r="B436" s="2"/>
      <c r="C436" s="4"/>
      <c r="D436" s="4"/>
      <c r="E436" s="4"/>
      <c r="I436" s="135"/>
      <c r="J436" s="135"/>
      <c r="K436" s="135"/>
      <c r="L436" s="135"/>
    </row>
    <row r="437" spans="2:12" ht="12" customHeight="1" x14ac:dyDescent="0.15">
      <c r="B437" s="2"/>
      <c r="C437" s="4"/>
      <c r="D437" s="4"/>
      <c r="E437" s="4"/>
      <c r="I437" s="135"/>
      <c r="J437" s="135"/>
      <c r="K437" s="135"/>
      <c r="L437" s="135"/>
    </row>
    <row r="438" spans="2:12" ht="12" customHeight="1" x14ac:dyDescent="0.15">
      <c r="B438" s="2"/>
      <c r="C438" s="4"/>
      <c r="D438" s="4"/>
      <c r="E438" s="4"/>
      <c r="I438" s="135"/>
      <c r="J438" s="135"/>
      <c r="K438" s="135"/>
      <c r="L438" s="135"/>
    </row>
    <row r="439" spans="2:12" ht="12" customHeight="1" x14ac:dyDescent="0.15">
      <c r="B439" s="2"/>
      <c r="C439" s="4"/>
      <c r="D439" s="4"/>
      <c r="E439" s="4"/>
      <c r="I439" s="135"/>
      <c r="J439" s="135"/>
      <c r="K439" s="135"/>
      <c r="L439" s="135"/>
    </row>
    <row r="440" spans="2:12" ht="12" customHeight="1" x14ac:dyDescent="0.15">
      <c r="B440" s="2"/>
      <c r="C440" s="4"/>
      <c r="D440" s="4"/>
      <c r="E440" s="4"/>
      <c r="I440" s="135"/>
      <c r="J440" s="135"/>
      <c r="K440" s="135"/>
      <c r="L440" s="135"/>
    </row>
    <row r="441" spans="2:12" ht="12" customHeight="1" x14ac:dyDescent="0.15">
      <c r="B441" s="2"/>
      <c r="C441" s="4"/>
      <c r="D441" s="4"/>
      <c r="E441" s="4"/>
      <c r="I441" s="135"/>
      <c r="J441" s="135"/>
      <c r="K441" s="135"/>
      <c r="L441" s="135"/>
    </row>
    <row r="442" spans="2:12" ht="12" customHeight="1" x14ac:dyDescent="0.15">
      <c r="B442" s="2"/>
      <c r="C442" s="4"/>
      <c r="D442" s="4"/>
      <c r="E442" s="4"/>
      <c r="I442" s="135"/>
      <c r="J442" s="135"/>
      <c r="K442" s="135"/>
      <c r="L442" s="135"/>
    </row>
    <row r="443" spans="2:12" ht="12" customHeight="1" x14ac:dyDescent="0.15">
      <c r="B443" s="2"/>
      <c r="C443" s="4"/>
      <c r="D443" s="4"/>
      <c r="E443" s="4"/>
      <c r="I443" s="135"/>
      <c r="J443" s="135"/>
      <c r="K443" s="135"/>
      <c r="L443" s="135"/>
    </row>
    <row r="444" spans="2:12" ht="12" customHeight="1" x14ac:dyDescent="0.15">
      <c r="B444" s="2"/>
      <c r="C444" s="4"/>
      <c r="D444" s="4"/>
      <c r="E444" s="4"/>
      <c r="I444" s="135"/>
      <c r="J444" s="135"/>
      <c r="K444" s="135"/>
      <c r="L444" s="135"/>
    </row>
    <row r="445" spans="2:12" ht="12" customHeight="1" x14ac:dyDescent="0.15">
      <c r="B445" s="2"/>
      <c r="C445" s="4"/>
      <c r="D445" s="4"/>
      <c r="E445" s="4"/>
      <c r="I445" s="135"/>
      <c r="J445" s="135"/>
      <c r="K445" s="135"/>
      <c r="L445" s="135"/>
    </row>
    <row r="446" spans="2:12" ht="12" customHeight="1" x14ac:dyDescent="0.15">
      <c r="B446" s="2"/>
      <c r="C446" s="4"/>
      <c r="D446" s="4"/>
      <c r="E446" s="4"/>
      <c r="I446" s="135"/>
      <c r="J446" s="135"/>
      <c r="K446" s="135"/>
      <c r="L446" s="135"/>
    </row>
    <row r="447" spans="2:12" ht="12" customHeight="1" x14ac:dyDescent="0.15">
      <c r="B447" s="2"/>
      <c r="C447" s="4"/>
      <c r="D447" s="4"/>
      <c r="E447" s="4"/>
      <c r="I447" s="135"/>
      <c r="J447" s="135"/>
      <c r="K447" s="135"/>
      <c r="L447" s="135"/>
    </row>
    <row r="448" spans="2:12" ht="12" customHeight="1" x14ac:dyDescent="0.15">
      <c r="B448" s="2"/>
      <c r="C448" s="4"/>
      <c r="D448" s="4"/>
      <c r="E448" s="4"/>
      <c r="I448" s="135"/>
      <c r="J448" s="135"/>
      <c r="K448" s="135"/>
      <c r="L448" s="135"/>
    </row>
    <row r="449" spans="2:12" ht="12" customHeight="1" x14ac:dyDescent="0.15">
      <c r="B449" s="2"/>
      <c r="C449" s="4"/>
      <c r="D449" s="4"/>
      <c r="E449" s="4"/>
      <c r="I449" s="135"/>
      <c r="J449" s="135"/>
      <c r="K449" s="135"/>
      <c r="L449" s="135"/>
    </row>
    <row r="450" spans="2:12" ht="12" customHeight="1" x14ac:dyDescent="0.15">
      <c r="B450" s="2"/>
      <c r="C450" s="4"/>
      <c r="D450" s="4"/>
      <c r="E450" s="4"/>
      <c r="I450" s="135"/>
      <c r="J450" s="135"/>
      <c r="K450" s="135"/>
      <c r="L450" s="135"/>
    </row>
    <row r="451" spans="2:12" ht="12" customHeight="1" x14ac:dyDescent="0.15">
      <c r="B451" s="2"/>
      <c r="C451" s="4"/>
      <c r="D451" s="4"/>
      <c r="E451" s="4"/>
      <c r="I451" s="135"/>
      <c r="J451" s="135"/>
      <c r="K451" s="135"/>
      <c r="L451" s="135"/>
    </row>
    <row r="452" spans="2:12" ht="12" customHeight="1" x14ac:dyDescent="0.15">
      <c r="B452" s="2"/>
      <c r="C452" s="4"/>
      <c r="D452" s="4"/>
      <c r="E452" s="4"/>
      <c r="I452" s="135"/>
      <c r="J452" s="135"/>
      <c r="K452" s="135"/>
      <c r="L452" s="135"/>
    </row>
    <row r="453" spans="2:12" ht="12" customHeight="1" x14ac:dyDescent="0.15">
      <c r="B453" s="2"/>
      <c r="C453" s="4"/>
      <c r="D453" s="4"/>
      <c r="E453" s="4"/>
      <c r="I453" s="135"/>
      <c r="J453" s="135"/>
      <c r="K453" s="135"/>
      <c r="L453" s="135"/>
    </row>
    <row r="454" spans="2:12" ht="12" customHeight="1" x14ac:dyDescent="0.15">
      <c r="B454" s="2"/>
      <c r="C454" s="4"/>
      <c r="D454" s="4"/>
      <c r="E454" s="4"/>
      <c r="I454" s="135"/>
      <c r="J454" s="135"/>
      <c r="K454" s="135"/>
      <c r="L454" s="135"/>
    </row>
    <row r="455" spans="2:12" ht="12" customHeight="1" x14ac:dyDescent="0.15">
      <c r="B455" s="2"/>
      <c r="C455" s="4"/>
      <c r="D455" s="4"/>
      <c r="E455" s="4"/>
      <c r="I455" s="135"/>
      <c r="J455" s="135"/>
      <c r="K455" s="135"/>
      <c r="L455" s="135"/>
    </row>
    <row r="456" spans="2:12" ht="12" customHeight="1" x14ac:dyDescent="0.15">
      <c r="B456" s="2"/>
      <c r="C456" s="4"/>
      <c r="D456" s="4"/>
      <c r="E456" s="4"/>
      <c r="I456" s="135"/>
      <c r="J456" s="135"/>
      <c r="K456" s="135"/>
      <c r="L456" s="135"/>
    </row>
    <row r="457" spans="2:12" ht="12" customHeight="1" x14ac:dyDescent="0.15">
      <c r="B457" s="2"/>
      <c r="C457" s="4"/>
      <c r="D457" s="4"/>
      <c r="E457" s="4"/>
      <c r="I457" s="135"/>
      <c r="J457" s="135"/>
      <c r="K457" s="135"/>
      <c r="L457" s="135"/>
    </row>
    <row r="458" spans="2:12" ht="12" customHeight="1" x14ac:dyDescent="0.15">
      <c r="B458" s="2"/>
      <c r="C458" s="4"/>
      <c r="D458" s="4"/>
      <c r="E458" s="4"/>
      <c r="I458" s="135"/>
      <c r="J458" s="135"/>
      <c r="K458" s="135"/>
      <c r="L458" s="135"/>
    </row>
    <row r="459" spans="2:12" ht="12" customHeight="1" x14ac:dyDescent="0.15">
      <c r="B459" s="2"/>
      <c r="C459" s="4"/>
      <c r="D459" s="4"/>
      <c r="E459" s="4"/>
      <c r="I459" s="135"/>
      <c r="J459" s="135"/>
      <c r="K459" s="135"/>
      <c r="L459" s="135"/>
    </row>
    <row r="460" spans="2:12" ht="12" customHeight="1" x14ac:dyDescent="0.15">
      <c r="B460" s="2"/>
      <c r="C460" s="4"/>
      <c r="D460" s="4"/>
      <c r="E460" s="4"/>
      <c r="I460" s="135"/>
      <c r="J460" s="135"/>
      <c r="K460" s="135"/>
      <c r="L460" s="135"/>
    </row>
    <row r="461" spans="2:12" ht="12" customHeight="1" x14ac:dyDescent="0.15">
      <c r="B461" s="2"/>
      <c r="C461" s="4"/>
      <c r="D461" s="4"/>
      <c r="E461" s="4"/>
      <c r="I461" s="135"/>
      <c r="J461" s="135"/>
      <c r="K461" s="135"/>
      <c r="L461" s="135"/>
    </row>
    <row r="462" spans="2:12" ht="12" customHeight="1" x14ac:dyDescent="0.15">
      <c r="B462" s="2"/>
      <c r="C462" s="4"/>
      <c r="D462" s="4"/>
      <c r="E462" s="4"/>
      <c r="I462" s="135"/>
      <c r="J462" s="135"/>
      <c r="K462" s="135"/>
      <c r="L462" s="135"/>
    </row>
    <row r="463" spans="2:12" ht="12" customHeight="1" x14ac:dyDescent="0.15">
      <c r="B463" s="2"/>
      <c r="C463" s="4"/>
      <c r="D463" s="4"/>
      <c r="E463" s="4"/>
      <c r="I463" s="135"/>
      <c r="J463" s="135"/>
      <c r="K463" s="135"/>
      <c r="L463" s="135"/>
    </row>
    <row r="464" spans="2:12" ht="12" customHeight="1" x14ac:dyDescent="0.15">
      <c r="B464" s="2"/>
      <c r="C464" s="4"/>
      <c r="D464" s="4"/>
      <c r="E464" s="4"/>
      <c r="I464" s="135"/>
      <c r="J464" s="135"/>
      <c r="K464" s="135"/>
      <c r="L464" s="135"/>
    </row>
    <row r="465" spans="2:12" ht="12" customHeight="1" x14ac:dyDescent="0.15">
      <c r="B465" s="2"/>
      <c r="C465" s="4"/>
      <c r="D465" s="4"/>
      <c r="E465" s="4"/>
      <c r="I465" s="135"/>
      <c r="J465" s="135"/>
      <c r="K465" s="135"/>
      <c r="L465" s="135"/>
    </row>
    <row r="466" spans="2:12" ht="12" customHeight="1" x14ac:dyDescent="0.15">
      <c r="B466" s="2"/>
      <c r="C466" s="4"/>
      <c r="D466" s="4"/>
      <c r="E466" s="4"/>
      <c r="I466" s="135"/>
      <c r="J466" s="135"/>
      <c r="K466" s="135"/>
      <c r="L466" s="135"/>
    </row>
    <row r="467" spans="2:12" ht="12" customHeight="1" x14ac:dyDescent="0.15">
      <c r="B467" s="2"/>
      <c r="C467" s="4"/>
      <c r="D467" s="4"/>
      <c r="E467" s="4"/>
      <c r="I467" s="135"/>
      <c r="J467" s="135"/>
      <c r="K467" s="135"/>
      <c r="L467" s="135"/>
    </row>
    <row r="468" spans="2:12" ht="12" customHeight="1" x14ac:dyDescent="0.15">
      <c r="B468" s="2"/>
      <c r="C468" s="4"/>
      <c r="D468" s="4"/>
      <c r="E468" s="4"/>
      <c r="I468" s="135"/>
      <c r="J468" s="135"/>
      <c r="K468" s="135"/>
      <c r="L468" s="135"/>
    </row>
    <row r="469" spans="2:12" ht="12" customHeight="1" x14ac:dyDescent="0.15">
      <c r="B469" s="2"/>
      <c r="C469" s="4"/>
      <c r="D469" s="4"/>
      <c r="E469" s="4"/>
      <c r="I469" s="135"/>
      <c r="J469" s="135"/>
      <c r="K469" s="135"/>
      <c r="L469" s="135"/>
    </row>
    <row r="470" spans="2:12" ht="12" customHeight="1" x14ac:dyDescent="0.15">
      <c r="B470" s="2"/>
      <c r="C470" s="4"/>
      <c r="D470" s="4"/>
      <c r="E470" s="4"/>
      <c r="I470" s="135"/>
      <c r="J470" s="135"/>
      <c r="K470" s="135"/>
      <c r="L470" s="135"/>
    </row>
    <row r="471" spans="2:12" ht="12" customHeight="1" x14ac:dyDescent="0.15">
      <c r="B471" s="2"/>
      <c r="C471" s="4"/>
      <c r="D471" s="4"/>
      <c r="E471" s="4"/>
      <c r="I471" s="135"/>
      <c r="J471" s="135"/>
      <c r="K471" s="135"/>
      <c r="L471" s="135"/>
    </row>
    <row r="472" spans="2:12" ht="12" customHeight="1" x14ac:dyDescent="0.15">
      <c r="B472" s="2"/>
      <c r="C472" s="4"/>
      <c r="D472" s="4"/>
      <c r="E472" s="4"/>
      <c r="I472" s="135"/>
      <c r="J472" s="135"/>
      <c r="K472" s="135"/>
      <c r="L472" s="135"/>
    </row>
    <row r="473" spans="2:12" ht="12" customHeight="1" x14ac:dyDescent="0.15">
      <c r="B473" s="2"/>
      <c r="C473" s="4"/>
      <c r="D473" s="4"/>
      <c r="E473" s="4"/>
      <c r="I473" s="135"/>
      <c r="J473" s="135"/>
      <c r="K473" s="135"/>
      <c r="L473" s="135"/>
    </row>
    <row r="474" spans="2:12" ht="12" customHeight="1" x14ac:dyDescent="0.15">
      <c r="B474" s="2"/>
      <c r="C474" s="4"/>
      <c r="D474" s="4"/>
      <c r="E474" s="4"/>
      <c r="I474" s="135"/>
      <c r="J474" s="135"/>
      <c r="K474" s="135"/>
      <c r="L474" s="135"/>
    </row>
    <row r="475" spans="2:12" ht="12" customHeight="1" x14ac:dyDescent="0.15">
      <c r="B475" s="2"/>
      <c r="C475" s="4"/>
      <c r="D475" s="4"/>
      <c r="E475" s="4"/>
      <c r="I475" s="135"/>
      <c r="J475" s="135"/>
      <c r="K475" s="135"/>
      <c r="L475" s="135"/>
    </row>
    <row r="476" spans="2:12" ht="12" customHeight="1" x14ac:dyDescent="0.15">
      <c r="B476" s="2"/>
      <c r="C476" s="4"/>
      <c r="D476" s="4"/>
      <c r="E476" s="4"/>
      <c r="I476" s="135"/>
      <c r="J476" s="135"/>
      <c r="K476" s="135"/>
      <c r="L476" s="135"/>
    </row>
    <row r="477" spans="2:12" ht="12" customHeight="1" x14ac:dyDescent="0.15">
      <c r="B477" s="2"/>
      <c r="C477" s="4"/>
      <c r="D477" s="4"/>
      <c r="E477" s="4"/>
      <c r="I477" s="135"/>
      <c r="J477" s="135"/>
      <c r="K477" s="135"/>
      <c r="L477" s="135"/>
    </row>
    <row r="478" spans="2:12" ht="12" customHeight="1" x14ac:dyDescent="0.15">
      <c r="B478" s="2"/>
      <c r="C478" s="4"/>
      <c r="D478" s="4"/>
      <c r="E478" s="4"/>
      <c r="I478" s="135"/>
      <c r="J478" s="135"/>
      <c r="K478" s="135"/>
      <c r="L478" s="135"/>
    </row>
    <row r="479" spans="2:12" ht="12" customHeight="1" x14ac:dyDescent="0.15">
      <c r="B479" s="2"/>
      <c r="C479" s="4"/>
      <c r="D479" s="4"/>
      <c r="E479" s="4"/>
      <c r="I479" s="135"/>
      <c r="J479" s="135"/>
      <c r="K479" s="135"/>
      <c r="L479" s="135"/>
    </row>
    <row r="480" spans="2:12" ht="12" customHeight="1" x14ac:dyDescent="0.15">
      <c r="B480" s="2"/>
      <c r="C480" s="4"/>
      <c r="D480" s="4"/>
      <c r="E480" s="4"/>
      <c r="I480" s="135"/>
      <c r="J480" s="135"/>
      <c r="K480" s="135"/>
      <c r="L480" s="135"/>
    </row>
    <row r="481" spans="2:12" ht="12" customHeight="1" x14ac:dyDescent="0.15">
      <c r="B481" s="2"/>
      <c r="C481" s="4"/>
      <c r="D481" s="4"/>
      <c r="E481" s="4"/>
      <c r="I481" s="135"/>
      <c r="J481" s="135"/>
      <c r="K481" s="135"/>
      <c r="L481" s="135"/>
    </row>
    <row r="482" spans="2:12" ht="12" customHeight="1" x14ac:dyDescent="0.15">
      <c r="B482" s="2"/>
      <c r="C482" s="4"/>
      <c r="D482" s="4"/>
      <c r="E482" s="4"/>
      <c r="I482" s="135"/>
      <c r="J482" s="135"/>
      <c r="K482" s="135"/>
      <c r="L482" s="135"/>
    </row>
    <row r="483" spans="2:12" ht="12" customHeight="1" x14ac:dyDescent="0.15">
      <c r="B483" s="2"/>
      <c r="C483" s="4"/>
      <c r="D483" s="4"/>
      <c r="E483" s="4"/>
      <c r="I483" s="135"/>
      <c r="J483" s="135"/>
      <c r="K483" s="135"/>
      <c r="L483" s="135"/>
    </row>
    <row r="484" spans="2:12" ht="12" customHeight="1" x14ac:dyDescent="0.15">
      <c r="B484" s="2"/>
      <c r="C484" s="4"/>
      <c r="D484" s="4"/>
      <c r="E484" s="4"/>
      <c r="I484" s="135"/>
      <c r="J484" s="135"/>
      <c r="K484" s="135"/>
      <c r="L484" s="135"/>
    </row>
    <row r="485" spans="2:12" ht="12" customHeight="1" x14ac:dyDescent="0.15">
      <c r="B485" s="2"/>
      <c r="C485" s="4"/>
      <c r="D485" s="4"/>
      <c r="E485" s="4"/>
      <c r="I485" s="135"/>
      <c r="J485" s="135"/>
      <c r="K485" s="135"/>
      <c r="L485" s="135"/>
    </row>
    <row r="486" spans="2:12" ht="12" customHeight="1" x14ac:dyDescent="0.15">
      <c r="B486" s="2"/>
      <c r="C486" s="4"/>
      <c r="D486" s="4"/>
      <c r="E486" s="4"/>
      <c r="I486" s="135"/>
      <c r="J486" s="135"/>
      <c r="K486" s="135"/>
      <c r="L486" s="135"/>
    </row>
    <row r="487" spans="2:12" ht="12" customHeight="1" x14ac:dyDescent="0.15">
      <c r="B487" s="2"/>
      <c r="C487" s="4"/>
      <c r="D487" s="4"/>
      <c r="E487" s="4"/>
      <c r="I487" s="135"/>
      <c r="J487" s="135"/>
      <c r="K487" s="135"/>
      <c r="L487" s="135"/>
    </row>
    <row r="488" spans="2:12" ht="12" customHeight="1" x14ac:dyDescent="0.15">
      <c r="B488" s="2"/>
      <c r="C488" s="4"/>
      <c r="D488" s="4"/>
      <c r="E488" s="4"/>
      <c r="I488" s="135"/>
      <c r="J488" s="135"/>
      <c r="K488" s="135"/>
      <c r="L488" s="135"/>
    </row>
    <row r="489" spans="2:12" ht="12" customHeight="1" x14ac:dyDescent="0.15">
      <c r="B489" s="2"/>
      <c r="C489" s="4"/>
      <c r="D489" s="4"/>
      <c r="E489" s="4"/>
      <c r="I489" s="135"/>
      <c r="J489" s="135"/>
      <c r="K489" s="135"/>
      <c r="L489" s="135"/>
    </row>
    <row r="490" spans="2:12" ht="12" customHeight="1" x14ac:dyDescent="0.15">
      <c r="B490" s="2"/>
      <c r="C490" s="4"/>
      <c r="D490" s="4"/>
      <c r="E490" s="4"/>
      <c r="I490" s="135"/>
      <c r="J490" s="135"/>
      <c r="K490" s="135"/>
      <c r="L490" s="135"/>
    </row>
    <row r="491" spans="2:12" ht="12" customHeight="1" x14ac:dyDescent="0.15">
      <c r="B491" s="2"/>
      <c r="C491" s="4"/>
      <c r="D491" s="4"/>
      <c r="E491" s="4"/>
      <c r="I491" s="135"/>
      <c r="J491" s="135"/>
      <c r="K491" s="135"/>
      <c r="L491" s="135"/>
    </row>
    <row r="492" spans="2:12" ht="12" customHeight="1" x14ac:dyDescent="0.15">
      <c r="B492" s="2"/>
      <c r="C492" s="4"/>
      <c r="D492" s="4"/>
      <c r="E492" s="4"/>
      <c r="I492" s="135"/>
      <c r="J492" s="135"/>
      <c r="K492" s="135"/>
      <c r="L492" s="135"/>
    </row>
    <row r="493" spans="2:12" ht="12" customHeight="1" x14ac:dyDescent="0.15">
      <c r="B493" s="2"/>
      <c r="C493" s="4"/>
      <c r="D493" s="4"/>
      <c r="E493" s="4"/>
      <c r="I493" s="135"/>
      <c r="J493" s="135"/>
      <c r="K493" s="135"/>
      <c r="L493" s="135"/>
    </row>
    <row r="494" spans="2:12" ht="12" customHeight="1" x14ac:dyDescent="0.15">
      <c r="B494" s="2"/>
      <c r="C494" s="4"/>
      <c r="D494" s="4"/>
      <c r="E494" s="4"/>
      <c r="I494" s="135"/>
      <c r="J494" s="135"/>
      <c r="K494" s="135"/>
      <c r="L494" s="135"/>
    </row>
    <row r="495" spans="2:12" ht="12" customHeight="1" x14ac:dyDescent="0.15">
      <c r="B495" s="2"/>
      <c r="C495" s="4"/>
      <c r="D495" s="4"/>
      <c r="E495" s="4"/>
      <c r="I495" s="135"/>
      <c r="J495" s="135"/>
      <c r="K495" s="135"/>
      <c r="L495" s="135"/>
    </row>
    <row r="496" spans="2:12" ht="12" customHeight="1" x14ac:dyDescent="0.15">
      <c r="B496" s="2"/>
      <c r="C496" s="4"/>
      <c r="D496" s="4"/>
      <c r="E496" s="4"/>
      <c r="I496" s="135"/>
      <c r="J496" s="135"/>
      <c r="K496" s="135"/>
      <c r="L496" s="135"/>
    </row>
    <row r="497" spans="2:12" ht="12" customHeight="1" x14ac:dyDescent="0.15">
      <c r="B497" s="2"/>
      <c r="C497" s="4"/>
      <c r="D497" s="4"/>
      <c r="E497" s="4"/>
      <c r="I497" s="135"/>
      <c r="J497" s="135"/>
      <c r="K497" s="135"/>
      <c r="L497" s="135"/>
    </row>
    <row r="498" spans="2:12" ht="12" customHeight="1" x14ac:dyDescent="0.15">
      <c r="B498" s="2"/>
      <c r="C498" s="4"/>
      <c r="D498" s="4"/>
      <c r="E498" s="4"/>
      <c r="I498" s="135"/>
      <c r="J498" s="135"/>
      <c r="K498" s="135"/>
      <c r="L498" s="135"/>
    </row>
    <row r="499" spans="2:12" ht="12" customHeight="1" x14ac:dyDescent="0.15">
      <c r="B499" s="2"/>
      <c r="C499" s="4"/>
      <c r="D499" s="4"/>
      <c r="E499" s="4"/>
      <c r="I499" s="135"/>
      <c r="J499" s="135"/>
      <c r="K499" s="135"/>
      <c r="L499" s="135"/>
    </row>
    <row r="500" spans="2:12" ht="12" customHeight="1" x14ac:dyDescent="0.15">
      <c r="B500" s="2"/>
      <c r="C500" s="4"/>
      <c r="D500" s="4"/>
      <c r="E500" s="4"/>
      <c r="I500" s="135"/>
      <c r="J500" s="135"/>
      <c r="K500" s="135"/>
      <c r="L500" s="135"/>
    </row>
    <row r="501" spans="2:12" ht="12" customHeight="1" x14ac:dyDescent="0.15">
      <c r="B501" s="2"/>
      <c r="C501" s="4"/>
      <c r="D501" s="4"/>
      <c r="E501" s="4"/>
      <c r="I501" s="135"/>
      <c r="J501" s="135"/>
      <c r="K501" s="135"/>
      <c r="L501" s="135"/>
    </row>
    <row r="502" spans="2:12" ht="12" customHeight="1" x14ac:dyDescent="0.15">
      <c r="B502" s="2"/>
      <c r="C502" s="4"/>
      <c r="D502" s="4"/>
      <c r="E502" s="4"/>
      <c r="I502" s="135"/>
      <c r="J502" s="135"/>
      <c r="K502" s="135"/>
      <c r="L502" s="135"/>
    </row>
    <row r="503" spans="2:12" ht="12" customHeight="1" x14ac:dyDescent="0.15">
      <c r="B503" s="2"/>
      <c r="C503" s="4"/>
      <c r="D503" s="4"/>
      <c r="E503" s="4"/>
      <c r="I503" s="135"/>
      <c r="J503" s="135"/>
      <c r="K503" s="135"/>
      <c r="L503" s="135"/>
    </row>
    <row r="504" spans="2:12" ht="12" customHeight="1" x14ac:dyDescent="0.15">
      <c r="B504" s="2"/>
      <c r="C504" s="4"/>
      <c r="D504" s="4"/>
      <c r="E504" s="4"/>
      <c r="I504" s="135"/>
      <c r="J504" s="135"/>
      <c r="K504" s="135"/>
      <c r="L504" s="135"/>
    </row>
    <row r="505" spans="2:12" ht="12" customHeight="1" x14ac:dyDescent="0.15">
      <c r="B505" s="2"/>
      <c r="C505" s="4"/>
      <c r="D505" s="4"/>
      <c r="E505" s="4"/>
      <c r="I505" s="135"/>
      <c r="J505" s="135"/>
      <c r="K505" s="135"/>
      <c r="L505" s="135"/>
    </row>
    <row r="506" spans="2:12" ht="12" customHeight="1" x14ac:dyDescent="0.15">
      <c r="B506" s="2"/>
      <c r="C506" s="4"/>
      <c r="D506" s="4"/>
      <c r="E506" s="4"/>
      <c r="I506" s="135"/>
      <c r="J506" s="135"/>
      <c r="K506" s="135"/>
      <c r="L506" s="135"/>
    </row>
    <row r="507" spans="2:12" ht="12" customHeight="1" x14ac:dyDescent="0.15">
      <c r="B507" s="2"/>
      <c r="C507" s="4"/>
      <c r="D507" s="4"/>
      <c r="E507" s="4"/>
      <c r="I507" s="135"/>
      <c r="J507" s="135"/>
      <c r="K507" s="135"/>
      <c r="L507" s="135"/>
    </row>
    <row r="508" spans="2:12" ht="12" customHeight="1" x14ac:dyDescent="0.15">
      <c r="B508" s="2"/>
      <c r="C508" s="4"/>
      <c r="D508" s="4"/>
      <c r="E508" s="4"/>
      <c r="I508" s="135"/>
      <c r="J508" s="135"/>
      <c r="K508" s="135"/>
      <c r="L508" s="135"/>
    </row>
    <row r="509" spans="2:12" ht="12" customHeight="1" x14ac:dyDescent="0.15">
      <c r="B509" s="2"/>
      <c r="C509" s="4"/>
      <c r="D509" s="4"/>
      <c r="E509" s="4"/>
      <c r="I509" s="135"/>
      <c r="J509" s="135"/>
      <c r="K509" s="135"/>
      <c r="L509" s="135"/>
    </row>
    <row r="510" spans="2:12" ht="12" customHeight="1" x14ac:dyDescent="0.15">
      <c r="B510" s="2"/>
      <c r="C510" s="4"/>
      <c r="D510" s="4"/>
      <c r="E510" s="4"/>
      <c r="I510" s="135"/>
      <c r="J510" s="135"/>
      <c r="K510" s="135"/>
      <c r="L510" s="135"/>
    </row>
    <row r="511" spans="2:12" ht="12" customHeight="1" x14ac:dyDescent="0.15">
      <c r="B511" s="2"/>
      <c r="C511" s="4"/>
      <c r="D511" s="4"/>
      <c r="E511" s="4"/>
      <c r="I511" s="135"/>
      <c r="J511" s="135"/>
      <c r="K511" s="135"/>
      <c r="L511" s="135"/>
    </row>
    <row r="512" spans="2:12" ht="12" customHeight="1" x14ac:dyDescent="0.15">
      <c r="B512" s="2"/>
      <c r="C512" s="4"/>
      <c r="D512" s="4"/>
      <c r="E512" s="4"/>
      <c r="I512" s="135"/>
      <c r="J512" s="135"/>
      <c r="K512" s="135"/>
      <c r="L512" s="135"/>
    </row>
    <row r="513" spans="2:12" ht="12" customHeight="1" x14ac:dyDescent="0.15">
      <c r="B513" s="2"/>
      <c r="C513" s="4"/>
      <c r="D513" s="4"/>
      <c r="E513" s="4"/>
      <c r="I513" s="135"/>
      <c r="J513" s="135"/>
      <c r="K513" s="135"/>
      <c r="L513" s="135"/>
    </row>
    <row r="514" spans="2:12" ht="12" customHeight="1" x14ac:dyDescent="0.15">
      <c r="B514" s="2"/>
      <c r="C514" s="4"/>
      <c r="D514" s="4"/>
      <c r="E514" s="4"/>
      <c r="I514" s="135"/>
      <c r="J514" s="135"/>
      <c r="K514" s="135"/>
      <c r="L514" s="135"/>
    </row>
    <row r="515" spans="2:12" ht="12" customHeight="1" x14ac:dyDescent="0.15">
      <c r="B515" s="2"/>
      <c r="C515" s="4"/>
      <c r="D515" s="4"/>
      <c r="E515" s="4"/>
      <c r="I515" s="135"/>
      <c r="J515" s="135"/>
      <c r="K515" s="135"/>
      <c r="L515" s="135"/>
    </row>
    <row r="516" spans="2:12" ht="12" customHeight="1" x14ac:dyDescent="0.15">
      <c r="B516" s="2"/>
      <c r="C516" s="4"/>
      <c r="D516" s="4"/>
      <c r="E516" s="4"/>
      <c r="I516" s="135"/>
      <c r="J516" s="135"/>
      <c r="K516" s="135"/>
      <c r="L516" s="135"/>
    </row>
    <row r="517" spans="2:12" ht="12" customHeight="1" x14ac:dyDescent="0.15">
      <c r="B517" s="2"/>
      <c r="C517" s="4"/>
      <c r="D517" s="4"/>
      <c r="E517" s="4"/>
      <c r="I517" s="135"/>
      <c r="J517" s="135"/>
      <c r="K517" s="135"/>
      <c r="L517" s="135"/>
    </row>
    <row r="518" spans="2:12" ht="12" customHeight="1" x14ac:dyDescent="0.15">
      <c r="B518" s="2"/>
      <c r="C518" s="4"/>
      <c r="D518" s="4"/>
      <c r="E518" s="4"/>
      <c r="I518" s="135"/>
      <c r="J518" s="135"/>
      <c r="K518" s="135"/>
      <c r="L518" s="135"/>
    </row>
    <row r="519" spans="2:12" ht="12" customHeight="1" x14ac:dyDescent="0.15">
      <c r="B519" s="2"/>
      <c r="C519" s="4"/>
      <c r="D519" s="4"/>
      <c r="E519" s="4"/>
      <c r="I519" s="135"/>
      <c r="J519" s="135"/>
      <c r="K519" s="135"/>
      <c r="L519" s="135"/>
    </row>
    <row r="520" spans="2:12" ht="12" customHeight="1" x14ac:dyDescent="0.15">
      <c r="B520" s="2"/>
      <c r="C520" s="4"/>
      <c r="D520" s="4"/>
      <c r="E520" s="4"/>
      <c r="I520" s="135"/>
      <c r="J520" s="135"/>
      <c r="K520" s="135"/>
      <c r="L520" s="135"/>
    </row>
    <row r="521" spans="2:12" ht="12" customHeight="1" x14ac:dyDescent="0.15">
      <c r="B521" s="2"/>
      <c r="C521" s="4"/>
      <c r="D521" s="4"/>
      <c r="E521" s="4"/>
      <c r="I521" s="135"/>
      <c r="J521" s="135"/>
      <c r="K521" s="135"/>
      <c r="L521" s="135"/>
    </row>
    <row r="522" spans="2:12" ht="12" customHeight="1" x14ac:dyDescent="0.15">
      <c r="B522" s="2"/>
      <c r="C522" s="4"/>
      <c r="D522" s="4"/>
      <c r="E522" s="4"/>
      <c r="I522" s="135"/>
      <c r="J522" s="135"/>
      <c r="K522" s="135"/>
      <c r="L522" s="135"/>
    </row>
    <row r="523" spans="2:12" ht="12" customHeight="1" x14ac:dyDescent="0.15">
      <c r="B523" s="2"/>
      <c r="C523" s="4"/>
      <c r="D523" s="4"/>
      <c r="E523" s="4"/>
      <c r="I523" s="135"/>
      <c r="J523" s="135"/>
      <c r="K523" s="135"/>
      <c r="L523" s="135"/>
    </row>
    <row r="524" spans="2:12" ht="12" customHeight="1" x14ac:dyDescent="0.15">
      <c r="B524" s="2"/>
      <c r="C524" s="4"/>
      <c r="D524" s="4"/>
      <c r="E524" s="4"/>
      <c r="I524" s="135"/>
      <c r="J524" s="135"/>
      <c r="K524" s="135"/>
      <c r="L524" s="135"/>
    </row>
    <row r="525" spans="2:12" ht="12" customHeight="1" x14ac:dyDescent="0.15">
      <c r="B525" s="2"/>
      <c r="C525" s="4"/>
      <c r="D525" s="4"/>
      <c r="E525" s="4"/>
      <c r="I525" s="135"/>
      <c r="J525" s="135"/>
      <c r="K525" s="135"/>
      <c r="L525" s="135"/>
    </row>
    <row r="526" spans="2:12" ht="12" customHeight="1" x14ac:dyDescent="0.15">
      <c r="B526" s="2"/>
      <c r="C526" s="4"/>
      <c r="D526" s="4"/>
      <c r="E526" s="4"/>
      <c r="I526" s="135"/>
      <c r="J526" s="135"/>
      <c r="K526" s="135"/>
      <c r="L526" s="135"/>
    </row>
    <row r="527" spans="2:12" ht="12" customHeight="1" x14ac:dyDescent="0.15">
      <c r="B527" s="2"/>
      <c r="C527" s="4"/>
      <c r="D527" s="4"/>
      <c r="E527" s="4"/>
      <c r="I527" s="135"/>
      <c r="J527" s="135"/>
      <c r="K527" s="135"/>
      <c r="L527" s="135"/>
    </row>
    <row r="528" spans="2:12" ht="12" customHeight="1" x14ac:dyDescent="0.15">
      <c r="B528" s="2"/>
      <c r="C528" s="4"/>
      <c r="D528" s="4"/>
      <c r="E528" s="4"/>
      <c r="I528" s="135"/>
      <c r="J528" s="135"/>
      <c r="K528" s="135"/>
      <c r="L528" s="135"/>
    </row>
    <row r="529" spans="2:12" ht="12" customHeight="1" x14ac:dyDescent="0.15">
      <c r="B529" s="2"/>
      <c r="C529" s="4"/>
      <c r="D529" s="4"/>
      <c r="E529" s="4"/>
      <c r="I529" s="135"/>
      <c r="J529" s="135"/>
      <c r="K529" s="135"/>
      <c r="L529" s="135"/>
    </row>
    <row r="530" spans="2:12" ht="12" customHeight="1" x14ac:dyDescent="0.15">
      <c r="B530" s="2"/>
      <c r="C530" s="4"/>
      <c r="D530" s="4"/>
      <c r="E530" s="4"/>
      <c r="I530" s="135"/>
      <c r="J530" s="135"/>
      <c r="K530" s="135"/>
      <c r="L530" s="135"/>
    </row>
    <row r="531" spans="2:12" ht="12" customHeight="1" x14ac:dyDescent="0.15">
      <c r="B531" s="2"/>
      <c r="C531" s="4"/>
      <c r="D531" s="4"/>
      <c r="E531" s="4"/>
      <c r="I531" s="135"/>
      <c r="J531" s="135"/>
      <c r="K531" s="135"/>
      <c r="L531" s="135"/>
    </row>
    <row r="532" spans="2:12" ht="12" customHeight="1" x14ac:dyDescent="0.15">
      <c r="B532" s="2"/>
      <c r="C532" s="4"/>
      <c r="D532" s="4"/>
      <c r="E532" s="4"/>
      <c r="I532" s="135"/>
      <c r="J532" s="135"/>
      <c r="K532" s="135"/>
      <c r="L532" s="135"/>
    </row>
    <row r="533" spans="2:12" ht="12" customHeight="1" x14ac:dyDescent="0.15">
      <c r="B533" s="2"/>
      <c r="C533" s="4"/>
      <c r="D533" s="4"/>
      <c r="E533" s="4"/>
      <c r="I533" s="135"/>
      <c r="J533" s="135"/>
      <c r="K533" s="135"/>
      <c r="L533" s="135"/>
    </row>
    <row r="534" spans="2:12" ht="12" customHeight="1" x14ac:dyDescent="0.15">
      <c r="B534" s="2"/>
      <c r="C534" s="4"/>
      <c r="D534" s="4"/>
      <c r="E534" s="4"/>
      <c r="I534" s="135"/>
      <c r="J534" s="135"/>
      <c r="K534" s="135"/>
      <c r="L534" s="135"/>
    </row>
    <row r="535" spans="2:12" ht="12" customHeight="1" x14ac:dyDescent="0.15">
      <c r="B535" s="2"/>
      <c r="C535" s="4"/>
      <c r="D535" s="4"/>
      <c r="E535" s="4"/>
      <c r="I535" s="135"/>
      <c r="J535" s="135"/>
      <c r="K535" s="135"/>
      <c r="L535" s="135"/>
    </row>
    <row r="536" spans="2:12" ht="12" customHeight="1" x14ac:dyDescent="0.15">
      <c r="B536" s="2"/>
      <c r="C536" s="4"/>
      <c r="D536" s="4"/>
      <c r="E536" s="4"/>
      <c r="I536" s="135"/>
      <c r="J536" s="135"/>
      <c r="K536" s="135"/>
      <c r="L536" s="135"/>
    </row>
    <row r="537" spans="2:12" ht="12" customHeight="1" x14ac:dyDescent="0.15">
      <c r="B537" s="2"/>
      <c r="C537" s="4"/>
      <c r="D537" s="4"/>
      <c r="E537" s="4"/>
      <c r="I537" s="135"/>
      <c r="J537" s="135"/>
      <c r="K537" s="135"/>
      <c r="L537" s="135"/>
    </row>
    <row r="538" spans="2:12" ht="12" customHeight="1" x14ac:dyDescent="0.15">
      <c r="B538" s="2"/>
      <c r="C538" s="4"/>
      <c r="D538" s="4"/>
      <c r="E538" s="4"/>
      <c r="I538" s="135"/>
      <c r="J538" s="135"/>
      <c r="K538" s="135"/>
      <c r="L538" s="135"/>
    </row>
    <row r="539" spans="2:12" ht="12" customHeight="1" x14ac:dyDescent="0.15">
      <c r="B539" s="2"/>
      <c r="C539" s="4"/>
      <c r="D539" s="4"/>
      <c r="E539" s="4"/>
      <c r="I539" s="135"/>
      <c r="J539" s="135"/>
      <c r="K539" s="135"/>
      <c r="L539" s="135"/>
    </row>
    <row r="540" spans="2:12" ht="12" customHeight="1" x14ac:dyDescent="0.15">
      <c r="B540" s="2"/>
      <c r="C540" s="4"/>
      <c r="D540" s="4"/>
      <c r="E540" s="4"/>
      <c r="I540" s="135"/>
      <c r="J540" s="135"/>
      <c r="K540" s="135"/>
      <c r="L540" s="135"/>
    </row>
    <row r="541" spans="2:12" ht="12" customHeight="1" x14ac:dyDescent="0.15">
      <c r="B541" s="2"/>
      <c r="C541" s="4"/>
      <c r="D541" s="4"/>
      <c r="E541" s="4"/>
      <c r="I541" s="135"/>
      <c r="J541" s="135"/>
      <c r="K541" s="135"/>
      <c r="L541" s="135"/>
    </row>
    <row r="542" spans="2:12" ht="12" customHeight="1" x14ac:dyDescent="0.15">
      <c r="B542" s="2"/>
      <c r="C542" s="4"/>
      <c r="D542" s="4"/>
      <c r="E542" s="4"/>
      <c r="I542" s="135"/>
      <c r="J542" s="135"/>
      <c r="K542" s="135"/>
      <c r="L542" s="135"/>
    </row>
    <row r="543" spans="2:12" ht="12" customHeight="1" x14ac:dyDescent="0.15">
      <c r="B543" s="2"/>
      <c r="C543" s="4"/>
      <c r="D543" s="4"/>
      <c r="E543" s="4"/>
      <c r="I543" s="135"/>
      <c r="J543" s="135"/>
      <c r="K543" s="135"/>
      <c r="L543" s="135"/>
    </row>
    <row r="544" spans="2:12" ht="12" customHeight="1" x14ac:dyDescent="0.15">
      <c r="B544" s="2"/>
      <c r="C544" s="4"/>
      <c r="D544" s="4"/>
      <c r="E544" s="4"/>
      <c r="I544" s="135"/>
      <c r="J544" s="135"/>
      <c r="K544" s="135"/>
      <c r="L544" s="135"/>
    </row>
    <row r="545" spans="2:12" ht="12" customHeight="1" x14ac:dyDescent="0.15">
      <c r="B545" s="2"/>
      <c r="C545" s="4"/>
      <c r="D545" s="4"/>
      <c r="E545" s="4"/>
      <c r="I545" s="135"/>
      <c r="J545" s="135"/>
      <c r="K545" s="135"/>
      <c r="L545" s="135"/>
    </row>
    <row r="546" spans="2:12" ht="12" customHeight="1" x14ac:dyDescent="0.15">
      <c r="B546" s="2"/>
      <c r="C546" s="4"/>
      <c r="D546" s="4"/>
      <c r="E546" s="4"/>
      <c r="I546" s="135"/>
      <c r="J546" s="135"/>
      <c r="K546" s="135"/>
      <c r="L546" s="135"/>
    </row>
    <row r="547" spans="2:12" ht="12" customHeight="1" x14ac:dyDescent="0.15">
      <c r="B547" s="2"/>
      <c r="C547" s="4"/>
      <c r="D547" s="4"/>
      <c r="E547" s="4"/>
      <c r="I547" s="135"/>
      <c r="J547" s="135"/>
      <c r="K547" s="135"/>
      <c r="L547" s="135"/>
    </row>
    <row r="548" spans="2:12" ht="12" customHeight="1" x14ac:dyDescent="0.15">
      <c r="B548" s="2"/>
      <c r="C548" s="4"/>
      <c r="D548" s="4"/>
      <c r="E548" s="4"/>
      <c r="I548" s="135"/>
      <c r="J548" s="135"/>
      <c r="K548" s="135"/>
      <c r="L548" s="135"/>
    </row>
    <row r="549" spans="2:12" ht="12" customHeight="1" x14ac:dyDescent="0.15">
      <c r="B549" s="2"/>
      <c r="C549" s="4"/>
      <c r="D549" s="4"/>
      <c r="E549" s="4"/>
      <c r="I549" s="135"/>
      <c r="J549" s="135"/>
      <c r="K549" s="135"/>
      <c r="L549" s="135"/>
    </row>
    <row r="550" spans="2:12" ht="12" customHeight="1" x14ac:dyDescent="0.15">
      <c r="B550" s="2"/>
      <c r="C550" s="4"/>
      <c r="D550" s="4"/>
      <c r="E550" s="4"/>
      <c r="I550" s="135"/>
      <c r="J550" s="135"/>
      <c r="K550" s="135"/>
      <c r="L550" s="135"/>
    </row>
    <row r="551" spans="2:12" ht="12" customHeight="1" x14ac:dyDescent="0.15">
      <c r="B551" s="2"/>
      <c r="C551" s="4"/>
      <c r="D551" s="4"/>
      <c r="E551" s="4"/>
      <c r="I551" s="135"/>
      <c r="J551" s="135"/>
      <c r="K551" s="135"/>
      <c r="L551" s="135"/>
    </row>
    <row r="552" spans="2:12" ht="12" customHeight="1" x14ac:dyDescent="0.15">
      <c r="B552" s="2"/>
      <c r="C552" s="4"/>
      <c r="D552" s="4"/>
      <c r="E552" s="4"/>
      <c r="I552" s="135"/>
      <c r="J552" s="135"/>
      <c r="K552" s="135"/>
      <c r="L552" s="135"/>
    </row>
    <row r="553" spans="2:12" ht="12" customHeight="1" x14ac:dyDescent="0.15">
      <c r="B553" s="2"/>
      <c r="C553" s="4"/>
      <c r="D553" s="4"/>
      <c r="E553" s="4"/>
      <c r="I553" s="135"/>
      <c r="J553" s="135"/>
      <c r="K553" s="135"/>
      <c r="L553" s="135"/>
    </row>
    <row r="554" spans="2:12" ht="12" customHeight="1" x14ac:dyDescent="0.15">
      <c r="B554" s="2"/>
      <c r="C554" s="4"/>
      <c r="D554" s="4"/>
      <c r="E554" s="4"/>
      <c r="I554" s="135"/>
      <c r="J554" s="135"/>
      <c r="K554" s="135"/>
      <c r="L554" s="135"/>
    </row>
    <row r="555" spans="2:12" ht="12" customHeight="1" x14ac:dyDescent="0.15">
      <c r="B555" s="2"/>
      <c r="C555" s="4"/>
      <c r="D555" s="4"/>
      <c r="E555" s="4"/>
      <c r="I555" s="135"/>
      <c r="J555" s="135"/>
      <c r="K555" s="135"/>
      <c r="L555" s="135"/>
    </row>
    <row r="556" spans="2:12" ht="12" customHeight="1" x14ac:dyDescent="0.15">
      <c r="B556" s="2"/>
      <c r="C556" s="4"/>
      <c r="D556" s="4"/>
      <c r="E556" s="4"/>
      <c r="I556" s="135"/>
      <c r="J556" s="135"/>
      <c r="K556" s="135"/>
      <c r="L556" s="135"/>
    </row>
    <row r="557" spans="2:12" ht="12" customHeight="1" x14ac:dyDescent="0.15">
      <c r="B557" s="2"/>
      <c r="C557" s="4"/>
      <c r="D557" s="4"/>
      <c r="E557" s="4"/>
      <c r="I557" s="135"/>
      <c r="J557" s="135"/>
      <c r="K557" s="135"/>
      <c r="L557" s="135"/>
    </row>
    <row r="558" spans="2:12" ht="12" customHeight="1" x14ac:dyDescent="0.15">
      <c r="B558" s="2"/>
      <c r="C558" s="4"/>
      <c r="D558" s="4"/>
      <c r="E558" s="4"/>
      <c r="I558" s="135"/>
      <c r="J558" s="135"/>
      <c r="K558" s="135"/>
      <c r="L558" s="135"/>
    </row>
    <row r="559" spans="2:12" ht="12" customHeight="1" x14ac:dyDescent="0.15">
      <c r="B559" s="2"/>
      <c r="C559" s="4"/>
      <c r="D559" s="4"/>
      <c r="E559" s="4"/>
      <c r="I559" s="135"/>
      <c r="J559" s="135"/>
      <c r="K559" s="135"/>
      <c r="L559" s="135"/>
    </row>
    <row r="560" spans="2:12" ht="12" customHeight="1" x14ac:dyDescent="0.15">
      <c r="B560" s="2"/>
      <c r="C560" s="4"/>
      <c r="D560" s="4"/>
      <c r="E560" s="4"/>
      <c r="I560" s="135"/>
      <c r="J560" s="135"/>
      <c r="K560" s="135"/>
      <c r="L560" s="135"/>
    </row>
    <row r="561" spans="2:12" ht="12" customHeight="1" x14ac:dyDescent="0.15">
      <c r="B561" s="2"/>
      <c r="C561" s="4"/>
      <c r="D561" s="4"/>
      <c r="E561" s="4"/>
      <c r="I561" s="135"/>
      <c r="J561" s="135"/>
      <c r="K561" s="135"/>
      <c r="L561" s="135"/>
    </row>
    <row r="562" spans="2:12" ht="12" customHeight="1" x14ac:dyDescent="0.15">
      <c r="B562" s="2"/>
      <c r="C562" s="4"/>
      <c r="D562" s="4"/>
      <c r="E562" s="4"/>
      <c r="I562" s="135"/>
      <c r="J562" s="135"/>
      <c r="K562" s="135"/>
      <c r="L562" s="135"/>
    </row>
    <row r="563" spans="2:12" ht="12" customHeight="1" x14ac:dyDescent="0.15">
      <c r="B563" s="2"/>
      <c r="C563" s="4"/>
      <c r="D563" s="4"/>
      <c r="E563" s="4"/>
      <c r="I563" s="135"/>
      <c r="J563" s="135"/>
      <c r="K563" s="135"/>
      <c r="L563" s="135"/>
    </row>
    <row r="564" spans="2:12" ht="12" customHeight="1" x14ac:dyDescent="0.15">
      <c r="B564" s="2"/>
      <c r="C564" s="4"/>
      <c r="D564" s="4"/>
      <c r="E564" s="4"/>
      <c r="I564" s="135"/>
      <c r="J564" s="135"/>
      <c r="K564" s="135"/>
      <c r="L564" s="135"/>
    </row>
    <row r="565" spans="2:12" ht="12" customHeight="1" x14ac:dyDescent="0.15">
      <c r="B565" s="2"/>
      <c r="C565" s="4"/>
      <c r="D565" s="4"/>
      <c r="E565" s="4"/>
      <c r="I565" s="135"/>
      <c r="J565" s="135"/>
      <c r="K565" s="135"/>
      <c r="L565" s="135"/>
    </row>
    <row r="566" spans="2:12" ht="12" customHeight="1" x14ac:dyDescent="0.15">
      <c r="B566" s="2"/>
      <c r="C566" s="4"/>
      <c r="D566" s="4"/>
      <c r="E566" s="4"/>
      <c r="I566" s="135"/>
      <c r="J566" s="135"/>
      <c r="K566" s="135"/>
      <c r="L566" s="135"/>
    </row>
    <row r="567" spans="2:12" ht="12" customHeight="1" x14ac:dyDescent="0.15">
      <c r="B567" s="2"/>
      <c r="C567" s="4"/>
      <c r="D567" s="4"/>
      <c r="E567" s="4"/>
      <c r="I567" s="135"/>
      <c r="J567" s="135"/>
      <c r="K567" s="135"/>
      <c r="L567" s="135"/>
    </row>
    <row r="568" spans="2:12" ht="12" customHeight="1" x14ac:dyDescent="0.15">
      <c r="B568" s="2"/>
      <c r="C568" s="4"/>
      <c r="D568" s="4"/>
      <c r="E568" s="4"/>
      <c r="I568" s="135"/>
      <c r="J568" s="135"/>
      <c r="K568" s="135"/>
      <c r="L568" s="135"/>
    </row>
    <row r="569" spans="2:12" ht="12" customHeight="1" x14ac:dyDescent="0.15">
      <c r="B569" s="2"/>
      <c r="C569" s="4"/>
      <c r="D569" s="4"/>
      <c r="E569" s="4"/>
      <c r="I569" s="135"/>
      <c r="J569" s="135"/>
      <c r="K569" s="135"/>
      <c r="L569" s="135"/>
    </row>
    <row r="570" spans="2:12" ht="12" customHeight="1" x14ac:dyDescent="0.15">
      <c r="B570" s="2"/>
      <c r="C570" s="4"/>
      <c r="D570" s="4"/>
      <c r="E570" s="4"/>
      <c r="I570" s="135"/>
      <c r="J570" s="135"/>
      <c r="K570" s="135"/>
      <c r="L570" s="135"/>
    </row>
    <row r="571" spans="2:12" ht="12" customHeight="1" x14ac:dyDescent="0.15">
      <c r="B571" s="2"/>
      <c r="C571" s="4"/>
      <c r="D571" s="4"/>
      <c r="E571" s="4"/>
      <c r="I571" s="135"/>
      <c r="J571" s="135"/>
      <c r="K571" s="135"/>
      <c r="L571" s="135"/>
    </row>
    <row r="572" spans="2:12" ht="12" customHeight="1" x14ac:dyDescent="0.15">
      <c r="B572" s="2"/>
      <c r="C572" s="4"/>
      <c r="D572" s="4"/>
      <c r="E572" s="4"/>
      <c r="I572" s="135"/>
      <c r="J572" s="135"/>
      <c r="K572" s="135"/>
      <c r="L572" s="135"/>
    </row>
    <row r="573" spans="2:12" ht="12" customHeight="1" x14ac:dyDescent="0.15">
      <c r="B573" s="2"/>
      <c r="C573" s="4"/>
      <c r="D573" s="4"/>
      <c r="E573" s="4"/>
      <c r="I573" s="135"/>
      <c r="J573" s="135"/>
      <c r="K573" s="135"/>
      <c r="L573" s="135"/>
    </row>
    <row r="574" spans="2:12" ht="12" customHeight="1" x14ac:dyDescent="0.15">
      <c r="B574" s="2"/>
      <c r="C574" s="4"/>
      <c r="D574" s="4"/>
      <c r="E574" s="4"/>
      <c r="I574" s="135"/>
      <c r="J574" s="135"/>
      <c r="K574" s="135"/>
      <c r="L574" s="135"/>
    </row>
    <row r="575" spans="2:12" ht="12" customHeight="1" x14ac:dyDescent="0.15">
      <c r="B575" s="2"/>
      <c r="C575" s="4"/>
      <c r="D575" s="4"/>
      <c r="E575" s="4"/>
      <c r="I575" s="135"/>
      <c r="J575" s="135"/>
      <c r="K575" s="135"/>
      <c r="L575" s="135"/>
    </row>
    <row r="576" spans="2:12" ht="12" customHeight="1" x14ac:dyDescent="0.15">
      <c r="B576" s="2"/>
      <c r="C576" s="4"/>
      <c r="D576" s="4"/>
      <c r="E576" s="4"/>
      <c r="I576" s="135"/>
      <c r="J576" s="135"/>
      <c r="K576" s="135"/>
      <c r="L576" s="135"/>
    </row>
    <row r="577" spans="2:12" ht="12" customHeight="1" x14ac:dyDescent="0.15">
      <c r="B577" s="2"/>
      <c r="C577" s="4"/>
      <c r="D577" s="4"/>
      <c r="E577" s="4"/>
      <c r="I577" s="135"/>
      <c r="J577" s="135"/>
      <c r="K577" s="135"/>
      <c r="L577" s="135"/>
    </row>
    <row r="578" spans="2:12" ht="12" customHeight="1" x14ac:dyDescent="0.15">
      <c r="B578" s="2"/>
      <c r="C578" s="4"/>
      <c r="D578" s="4"/>
      <c r="E578" s="4"/>
      <c r="I578" s="135"/>
      <c r="J578" s="135"/>
      <c r="K578" s="135"/>
      <c r="L578" s="135"/>
    </row>
    <row r="579" spans="2:12" ht="12" customHeight="1" x14ac:dyDescent="0.15">
      <c r="B579" s="2"/>
      <c r="C579" s="4"/>
      <c r="D579" s="4"/>
      <c r="E579" s="4"/>
      <c r="I579" s="135"/>
      <c r="J579" s="135"/>
      <c r="K579" s="135"/>
      <c r="L579" s="135"/>
    </row>
    <row r="580" spans="2:12" ht="12" customHeight="1" x14ac:dyDescent="0.15">
      <c r="B580" s="2"/>
      <c r="C580" s="4"/>
      <c r="D580" s="4"/>
      <c r="E580" s="4"/>
      <c r="I580" s="135"/>
      <c r="J580" s="135"/>
      <c r="K580" s="135"/>
      <c r="L580" s="135"/>
    </row>
    <row r="581" spans="2:12" ht="12" customHeight="1" x14ac:dyDescent="0.15">
      <c r="B581" s="2"/>
      <c r="C581" s="4"/>
      <c r="D581" s="4"/>
      <c r="E581" s="4"/>
      <c r="I581" s="135"/>
      <c r="J581" s="135"/>
      <c r="K581" s="135"/>
      <c r="L581" s="135"/>
    </row>
    <row r="582" spans="2:12" ht="12" customHeight="1" x14ac:dyDescent="0.15">
      <c r="B582" s="2"/>
      <c r="C582" s="4"/>
      <c r="D582" s="4"/>
      <c r="E582" s="4"/>
      <c r="I582" s="135"/>
      <c r="J582" s="135"/>
      <c r="K582" s="135"/>
      <c r="L582" s="135"/>
    </row>
    <row r="583" spans="2:12" ht="12" customHeight="1" x14ac:dyDescent="0.15">
      <c r="B583" s="2"/>
      <c r="C583" s="4"/>
      <c r="D583" s="4"/>
      <c r="E583" s="4"/>
      <c r="I583" s="135"/>
      <c r="J583" s="135"/>
      <c r="K583" s="135"/>
      <c r="L583" s="135"/>
    </row>
    <row r="584" spans="2:12" ht="12" customHeight="1" x14ac:dyDescent="0.15">
      <c r="B584" s="2"/>
      <c r="C584" s="4"/>
      <c r="D584" s="4"/>
      <c r="E584" s="4"/>
      <c r="I584" s="135"/>
      <c r="J584" s="135"/>
      <c r="K584" s="135"/>
      <c r="L584" s="135"/>
    </row>
    <row r="585" spans="2:12" ht="12" customHeight="1" x14ac:dyDescent="0.15">
      <c r="B585" s="2"/>
      <c r="C585" s="4"/>
      <c r="D585" s="4"/>
      <c r="E585" s="4"/>
      <c r="I585" s="135"/>
      <c r="J585" s="135"/>
      <c r="K585" s="135"/>
      <c r="L585" s="135"/>
    </row>
    <row r="586" spans="2:12" ht="12" customHeight="1" x14ac:dyDescent="0.15">
      <c r="B586" s="2"/>
      <c r="C586" s="4"/>
      <c r="D586" s="4"/>
      <c r="E586" s="4"/>
      <c r="I586" s="135"/>
      <c r="J586" s="135"/>
      <c r="K586" s="135"/>
      <c r="L586" s="135"/>
    </row>
    <row r="587" spans="2:12" ht="12" customHeight="1" x14ac:dyDescent="0.15">
      <c r="B587" s="2"/>
      <c r="C587" s="4"/>
      <c r="D587" s="4"/>
      <c r="E587" s="4"/>
      <c r="I587" s="135"/>
      <c r="J587" s="135"/>
      <c r="K587" s="135"/>
      <c r="L587" s="135"/>
    </row>
    <row r="588" spans="2:12" ht="12" customHeight="1" x14ac:dyDescent="0.15">
      <c r="B588" s="2"/>
      <c r="C588" s="4"/>
      <c r="D588" s="4"/>
      <c r="E588" s="4"/>
      <c r="I588" s="135"/>
      <c r="J588" s="135"/>
      <c r="K588" s="135"/>
      <c r="L588" s="135"/>
    </row>
    <row r="589" spans="2:12" ht="12" customHeight="1" x14ac:dyDescent="0.15">
      <c r="B589" s="2"/>
      <c r="C589" s="4"/>
      <c r="D589" s="4"/>
      <c r="E589" s="4"/>
      <c r="I589" s="135"/>
      <c r="J589" s="135"/>
      <c r="K589" s="135"/>
      <c r="L589" s="135"/>
    </row>
    <row r="590" spans="2:12" ht="12" customHeight="1" x14ac:dyDescent="0.15">
      <c r="B590" s="2"/>
      <c r="C590" s="4"/>
      <c r="D590" s="4"/>
      <c r="E590" s="4"/>
      <c r="I590" s="135"/>
      <c r="J590" s="135"/>
      <c r="K590" s="135"/>
      <c r="L590" s="135"/>
    </row>
    <row r="591" spans="2:12" ht="12" customHeight="1" x14ac:dyDescent="0.15">
      <c r="B591" s="2"/>
      <c r="C591" s="4"/>
      <c r="D591" s="4"/>
      <c r="E591" s="4"/>
      <c r="I591" s="135"/>
      <c r="J591" s="135"/>
      <c r="K591" s="135"/>
      <c r="L591" s="135"/>
    </row>
    <row r="592" spans="2:12" ht="12" customHeight="1" x14ac:dyDescent="0.15">
      <c r="B592" s="2"/>
      <c r="C592" s="4"/>
      <c r="D592" s="4"/>
      <c r="E592" s="4"/>
      <c r="I592" s="135"/>
      <c r="J592" s="135"/>
      <c r="K592" s="135"/>
      <c r="L592" s="135"/>
    </row>
    <row r="593" spans="2:12" ht="12" customHeight="1" x14ac:dyDescent="0.15">
      <c r="B593" s="2"/>
      <c r="C593" s="4"/>
      <c r="D593" s="4"/>
      <c r="E593" s="4"/>
      <c r="I593" s="135"/>
      <c r="J593" s="135"/>
      <c r="K593" s="135"/>
      <c r="L593" s="135"/>
    </row>
    <row r="594" spans="2:12" ht="12" customHeight="1" x14ac:dyDescent="0.15">
      <c r="B594" s="2"/>
      <c r="C594" s="4"/>
      <c r="D594" s="4"/>
      <c r="E594" s="4"/>
      <c r="I594" s="135"/>
      <c r="J594" s="135"/>
      <c r="K594" s="135"/>
      <c r="L594" s="135"/>
    </row>
    <row r="595" spans="2:12" ht="12" customHeight="1" x14ac:dyDescent="0.15">
      <c r="B595" s="2"/>
      <c r="C595" s="4"/>
      <c r="D595" s="4"/>
      <c r="E595" s="4"/>
      <c r="I595" s="135"/>
      <c r="J595" s="135"/>
      <c r="K595" s="135"/>
      <c r="L595" s="135"/>
    </row>
    <row r="596" spans="2:12" ht="12" customHeight="1" x14ac:dyDescent="0.15">
      <c r="B596" s="2"/>
      <c r="C596" s="4"/>
      <c r="D596" s="4"/>
      <c r="E596" s="4"/>
      <c r="I596" s="135"/>
      <c r="J596" s="135"/>
      <c r="K596" s="135"/>
      <c r="L596" s="135"/>
    </row>
    <row r="597" spans="2:12" ht="12" customHeight="1" x14ac:dyDescent="0.15">
      <c r="B597" s="2"/>
      <c r="C597" s="4"/>
      <c r="D597" s="4"/>
      <c r="E597" s="4"/>
      <c r="I597" s="135"/>
      <c r="J597" s="135"/>
      <c r="K597" s="135"/>
      <c r="L597" s="135"/>
    </row>
    <row r="598" spans="2:12" ht="12" customHeight="1" x14ac:dyDescent="0.15">
      <c r="B598" s="2"/>
      <c r="C598" s="4"/>
      <c r="D598" s="4"/>
      <c r="E598" s="4"/>
      <c r="I598" s="135"/>
      <c r="J598" s="135"/>
      <c r="K598" s="135"/>
      <c r="L598" s="135"/>
    </row>
    <row r="599" spans="2:12" ht="12" customHeight="1" x14ac:dyDescent="0.15">
      <c r="B599" s="2"/>
      <c r="C599" s="4"/>
      <c r="D599" s="4"/>
      <c r="E599" s="4"/>
      <c r="I599" s="135"/>
      <c r="J599" s="135"/>
      <c r="K599" s="135"/>
      <c r="L599" s="135"/>
    </row>
    <row r="600" spans="2:12" ht="12" customHeight="1" x14ac:dyDescent="0.15">
      <c r="B600" s="2"/>
      <c r="C600" s="4"/>
      <c r="D600" s="4"/>
      <c r="E600" s="4"/>
      <c r="I600" s="135"/>
      <c r="J600" s="135"/>
      <c r="K600" s="135"/>
      <c r="L600" s="135"/>
    </row>
    <row r="601" spans="2:12" ht="12" customHeight="1" x14ac:dyDescent="0.15">
      <c r="B601" s="2"/>
      <c r="C601" s="4"/>
      <c r="D601" s="4"/>
      <c r="E601" s="4"/>
      <c r="I601" s="135"/>
      <c r="J601" s="135"/>
      <c r="K601" s="135"/>
      <c r="L601" s="135"/>
    </row>
    <row r="602" spans="2:12" ht="12" customHeight="1" x14ac:dyDescent="0.15">
      <c r="B602" s="2"/>
      <c r="C602" s="4"/>
      <c r="D602" s="4"/>
      <c r="E602" s="4"/>
      <c r="I602" s="135"/>
      <c r="J602" s="135"/>
      <c r="K602" s="135"/>
      <c r="L602" s="135"/>
    </row>
    <row r="603" spans="2:12" ht="12" customHeight="1" x14ac:dyDescent="0.15">
      <c r="B603" s="2"/>
      <c r="C603" s="4"/>
      <c r="D603" s="4"/>
      <c r="E603" s="4"/>
      <c r="I603" s="135"/>
      <c r="J603" s="135"/>
      <c r="K603" s="135"/>
      <c r="L603" s="135"/>
    </row>
    <row r="604" spans="2:12" ht="12" customHeight="1" x14ac:dyDescent="0.15">
      <c r="B604" s="2"/>
      <c r="C604" s="4"/>
      <c r="D604" s="4"/>
      <c r="E604" s="4"/>
      <c r="I604" s="135"/>
      <c r="J604" s="135"/>
      <c r="K604" s="135"/>
      <c r="L604" s="135"/>
    </row>
    <row r="605" spans="2:12" ht="12" customHeight="1" x14ac:dyDescent="0.15">
      <c r="B605" s="2"/>
      <c r="C605" s="4"/>
      <c r="D605" s="4"/>
      <c r="E605" s="4"/>
      <c r="I605" s="135"/>
      <c r="J605" s="135"/>
      <c r="K605" s="135"/>
      <c r="L605" s="135"/>
    </row>
    <row r="606" spans="2:12" ht="12" customHeight="1" x14ac:dyDescent="0.15">
      <c r="B606" s="2"/>
      <c r="C606" s="4"/>
      <c r="D606" s="4"/>
      <c r="E606" s="4"/>
      <c r="I606" s="135"/>
      <c r="J606" s="135"/>
      <c r="K606" s="135"/>
      <c r="L606" s="135"/>
    </row>
    <row r="607" spans="2:12" ht="12" customHeight="1" x14ac:dyDescent="0.15">
      <c r="B607" s="2"/>
      <c r="C607" s="4"/>
      <c r="D607" s="4"/>
      <c r="E607" s="4"/>
      <c r="I607" s="135"/>
      <c r="J607" s="135"/>
      <c r="K607" s="135"/>
      <c r="L607" s="135"/>
    </row>
    <row r="608" spans="2:12" ht="12" customHeight="1" x14ac:dyDescent="0.15">
      <c r="B608" s="2"/>
      <c r="C608" s="4"/>
      <c r="D608" s="4"/>
      <c r="E608" s="4"/>
      <c r="I608" s="135"/>
      <c r="J608" s="135"/>
      <c r="K608" s="135"/>
      <c r="L608" s="135"/>
    </row>
    <row r="609" spans="2:12" ht="12" customHeight="1" x14ac:dyDescent="0.15">
      <c r="B609" s="2"/>
      <c r="C609" s="4"/>
      <c r="D609" s="4"/>
      <c r="E609" s="4"/>
      <c r="I609" s="135"/>
      <c r="J609" s="135"/>
      <c r="K609" s="135"/>
      <c r="L609" s="135"/>
    </row>
    <row r="610" spans="2:12" ht="12" customHeight="1" x14ac:dyDescent="0.15">
      <c r="B610" s="2"/>
      <c r="C610" s="4"/>
      <c r="D610" s="4"/>
      <c r="E610" s="4"/>
      <c r="I610" s="135"/>
      <c r="J610" s="135"/>
      <c r="K610" s="135"/>
      <c r="L610" s="135"/>
    </row>
    <row r="611" spans="2:12" ht="12" customHeight="1" x14ac:dyDescent="0.15">
      <c r="B611" s="2"/>
      <c r="C611" s="4"/>
      <c r="D611" s="4"/>
      <c r="E611" s="4"/>
      <c r="I611" s="135"/>
      <c r="J611" s="135"/>
      <c r="K611" s="135"/>
      <c r="L611" s="135"/>
    </row>
    <row r="612" spans="2:12" ht="12" customHeight="1" x14ac:dyDescent="0.15">
      <c r="B612" s="2"/>
      <c r="C612" s="4"/>
      <c r="D612" s="4"/>
      <c r="E612" s="4"/>
      <c r="I612" s="135"/>
      <c r="J612" s="135"/>
      <c r="K612" s="135"/>
      <c r="L612" s="135"/>
    </row>
    <row r="613" spans="2:12" ht="12" customHeight="1" x14ac:dyDescent="0.15">
      <c r="B613" s="2"/>
      <c r="C613" s="4"/>
      <c r="D613" s="4"/>
      <c r="E613" s="4"/>
      <c r="I613" s="135"/>
      <c r="J613" s="135"/>
      <c r="K613" s="135"/>
      <c r="L613" s="135"/>
    </row>
    <row r="614" spans="2:12" ht="12" customHeight="1" x14ac:dyDescent="0.15">
      <c r="B614" s="2"/>
      <c r="C614" s="4"/>
      <c r="D614" s="4"/>
      <c r="E614" s="4"/>
      <c r="I614" s="135"/>
      <c r="J614" s="135"/>
      <c r="K614" s="135"/>
      <c r="L614" s="135"/>
    </row>
    <row r="615" spans="2:12" ht="12" customHeight="1" x14ac:dyDescent="0.15">
      <c r="B615" s="2"/>
      <c r="C615" s="4"/>
      <c r="D615" s="4"/>
      <c r="E615" s="4"/>
      <c r="I615" s="135"/>
      <c r="J615" s="135"/>
      <c r="K615" s="135"/>
      <c r="L615" s="135"/>
    </row>
    <row r="616" spans="2:12" ht="12" customHeight="1" x14ac:dyDescent="0.15">
      <c r="B616" s="2"/>
      <c r="C616" s="4"/>
      <c r="D616" s="4"/>
      <c r="E616" s="4"/>
      <c r="I616" s="135"/>
      <c r="J616" s="135"/>
      <c r="K616" s="135"/>
      <c r="L616" s="135"/>
    </row>
    <row r="617" spans="2:12" ht="12" customHeight="1" x14ac:dyDescent="0.15">
      <c r="B617" s="2"/>
      <c r="C617" s="4"/>
      <c r="D617" s="4"/>
      <c r="E617" s="4"/>
      <c r="I617" s="135"/>
      <c r="J617" s="135"/>
      <c r="K617" s="135"/>
      <c r="L617" s="135"/>
    </row>
    <row r="618" spans="2:12" ht="12" customHeight="1" x14ac:dyDescent="0.15">
      <c r="B618" s="2"/>
      <c r="C618" s="4"/>
      <c r="D618" s="4"/>
      <c r="E618" s="4"/>
      <c r="I618" s="135"/>
      <c r="J618" s="135"/>
      <c r="K618" s="135"/>
      <c r="L618" s="135"/>
    </row>
    <row r="619" spans="2:12" ht="12" customHeight="1" x14ac:dyDescent="0.15">
      <c r="B619" s="2"/>
      <c r="C619" s="4"/>
      <c r="D619" s="4"/>
      <c r="E619" s="4"/>
      <c r="I619" s="135"/>
      <c r="J619" s="135"/>
      <c r="K619" s="135"/>
      <c r="L619" s="135"/>
    </row>
    <row r="620" spans="2:12" ht="12" customHeight="1" x14ac:dyDescent="0.15">
      <c r="B620" s="2"/>
      <c r="C620" s="4"/>
      <c r="D620" s="4"/>
      <c r="E620" s="4"/>
      <c r="I620" s="135"/>
      <c r="J620" s="135"/>
      <c r="K620" s="135"/>
      <c r="L620" s="135"/>
    </row>
    <row r="621" spans="2:12" ht="12" customHeight="1" x14ac:dyDescent="0.15">
      <c r="B621" s="2"/>
      <c r="C621" s="4"/>
      <c r="D621" s="4"/>
      <c r="E621" s="4"/>
      <c r="I621" s="135"/>
      <c r="J621" s="135"/>
      <c r="K621" s="135"/>
      <c r="L621" s="135"/>
    </row>
    <row r="622" spans="2:12" ht="12" customHeight="1" x14ac:dyDescent="0.15">
      <c r="B622" s="2"/>
      <c r="C622" s="4"/>
      <c r="D622" s="4"/>
      <c r="E622" s="4"/>
      <c r="I622" s="135"/>
      <c r="J622" s="135"/>
      <c r="K622" s="135"/>
      <c r="L622" s="135"/>
    </row>
    <row r="623" spans="2:12" ht="12" customHeight="1" x14ac:dyDescent="0.15">
      <c r="B623" s="2"/>
      <c r="C623" s="4"/>
      <c r="D623" s="4"/>
      <c r="E623" s="4"/>
      <c r="I623" s="135"/>
      <c r="J623" s="135"/>
      <c r="K623" s="135"/>
      <c r="L623" s="135"/>
    </row>
    <row r="624" spans="2:12" ht="12" customHeight="1" x14ac:dyDescent="0.15">
      <c r="B624" s="2"/>
      <c r="C624" s="4"/>
      <c r="D624" s="4"/>
      <c r="E624" s="4"/>
      <c r="I624" s="135"/>
      <c r="J624" s="135"/>
      <c r="K624" s="135"/>
      <c r="L624" s="135"/>
    </row>
    <row r="625" spans="2:12" ht="12" customHeight="1" x14ac:dyDescent="0.15">
      <c r="B625" s="2"/>
      <c r="C625" s="4"/>
      <c r="D625" s="4"/>
      <c r="E625" s="4"/>
      <c r="I625" s="135"/>
      <c r="J625" s="135"/>
      <c r="K625" s="135"/>
      <c r="L625" s="135"/>
    </row>
    <row r="626" spans="2:12" ht="12" customHeight="1" x14ac:dyDescent="0.15">
      <c r="B626" s="2"/>
      <c r="C626" s="4"/>
      <c r="D626" s="4"/>
      <c r="E626" s="4"/>
      <c r="I626" s="135"/>
      <c r="J626" s="135"/>
      <c r="K626" s="135"/>
      <c r="L626" s="135"/>
    </row>
    <row r="627" spans="2:12" ht="12" customHeight="1" x14ac:dyDescent="0.15">
      <c r="B627" s="2"/>
      <c r="C627" s="4"/>
      <c r="D627" s="4"/>
      <c r="E627" s="4"/>
      <c r="I627" s="135"/>
      <c r="J627" s="135"/>
      <c r="K627" s="135"/>
      <c r="L627" s="135"/>
    </row>
    <row r="628" spans="2:12" ht="12" customHeight="1" x14ac:dyDescent="0.15">
      <c r="B628" s="2"/>
      <c r="C628" s="4"/>
      <c r="D628" s="4"/>
      <c r="E628" s="4"/>
      <c r="I628" s="135"/>
      <c r="J628" s="135"/>
      <c r="K628" s="135"/>
      <c r="L628" s="135"/>
    </row>
    <row r="629" spans="2:12" ht="12" customHeight="1" x14ac:dyDescent="0.15">
      <c r="B629" s="2"/>
      <c r="C629" s="4"/>
      <c r="D629" s="4"/>
      <c r="E629" s="4"/>
      <c r="I629" s="135"/>
      <c r="J629" s="135"/>
      <c r="K629" s="135"/>
      <c r="L629" s="135"/>
    </row>
    <row r="630" spans="2:12" ht="12" customHeight="1" x14ac:dyDescent="0.15">
      <c r="B630" s="2"/>
      <c r="C630" s="4"/>
      <c r="D630" s="4"/>
      <c r="E630" s="4"/>
      <c r="I630" s="135"/>
      <c r="J630" s="135"/>
      <c r="K630" s="135"/>
      <c r="L630" s="135"/>
    </row>
    <row r="631" spans="2:12" ht="12" customHeight="1" x14ac:dyDescent="0.15">
      <c r="B631" s="2"/>
      <c r="C631" s="4"/>
      <c r="D631" s="4"/>
      <c r="E631" s="4"/>
      <c r="I631" s="135"/>
      <c r="J631" s="135"/>
      <c r="K631" s="135"/>
      <c r="L631" s="135"/>
    </row>
    <row r="632" spans="2:12" ht="12" customHeight="1" x14ac:dyDescent="0.15">
      <c r="B632" s="2"/>
      <c r="C632" s="4"/>
      <c r="D632" s="4"/>
      <c r="E632" s="4"/>
      <c r="I632" s="135"/>
      <c r="J632" s="135"/>
      <c r="K632" s="135"/>
      <c r="L632" s="135"/>
    </row>
    <row r="633" spans="2:12" ht="12" customHeight="1" x14ac:dyDescent="0.15">
      <c r="B633" s="2"/>
      <c r="C633" s="4"/>
      <c r="D633" s="4"/>
      <c r="E633" s="4"/>
      <c r="I633" s="135"/>
      <c r="J633" s="135"/>
      <c r="K633" s="135"/>
      <c r="L633" s="135"/>
    </row>
    <row r="634" spans="2:12" ht="12" customHeight="1" x14ac:dyDescent="0.15">
      <c r="B634" s="2"/>
      <c r="C634" s="4"/>
      <c r="D634" s="4"/>
      <c r="E634" s="4"/>
      <c r="I634" s="135"/>
      <c r="J634" s="135"/>
      <c r="K634" s="135"/>
      <c r="L634" s="135"/>
    </row>
    <row r="635" spans="2:12" ht="12" customHeight="1" x14ac:dyDescent="0.15">
      <c r="B635" s="2"/>
      <c r="C635" s="4"/>
      <c r="D635" s="4"/>
      <c r="E635" s="4"/>
      <c r="I635" s="135"/>
      <c r="J635" s="135"/>
      <c r="K635" s="135"/>
      <c r="L635" s="135"/>
    </row>
    <row r="636" spans="2:12" ht="12" customHeight="1" x14ac:dyDescent="0.15">
      <c r="B636" s="2"/>
      <c r="C636" s="4"/>
      <c r="D636" s="4"/>
      <c r="E636" s="4"/>
      <c r="I636" s="135"/>
      <c r="J636" s="135"/>
      <c r="K636" s="135"/>
      <c r="L636" s="135"/>
    </row>
    <row r="637" spans="2:12" ht="12" customHeight="1" x14ac:dyDescent="0.15">
      <c r="B637" s="2"/>
      <c r="C637" s="4"/>
      <c r="D637" s="4"/>
      <c r="E637" s="4"/>
      <c r="I637" s="135"/>
      <c r="J637" s="135"/>
      <c r="K637" s="135"/>
      <c r="L637" s="135"/>
    </row>
    <row r="638" spans="2:12" ht="12" customHeight="1" x14ac:dyDescent="0.15">
      <c r="B638" s="2"/>
      <c r="C638" s="4"/>
      <c r="D638" s="4"/>
      <c r="E638" s="4"/>
      <c r="I638" s="135"/>
      <c r="J638" s="135"/>
      <c r="K638" s="135"/>
      <c r="L638" s="135"/>
    </row>
    <row r="639" spans="2:12" ht="12" customHeight="1" x14ac:dyDescent="0.15">
      <c r="B639" s="2"/>
      <c r="C639" s="4"/>
      <c r="D639" s="4"/>
      <c r="E639" s="4"/>
      <c r="I639" s="135"/>
      <c r="J639" s="135"/>
      <c r="K639" s="135"/>
      <c r="L639" s="135"/>
    </row>
    <row r="640" spans="2:12" ht="12" customHeight="1" x14ac:dyDescent="0.15">
      <c r="B640" s="2"/>
      <c r="C640" s="4"/>
      <c r="D640" s="4"/>
      <c r="E640" s="4"/>
      <c r="I640" s="135"/>
      <c r="J640" s="135"/>
      <c r="K640" s="135"/>
      <c r="L640" s="135"/>
    </row>
    <row r="641" spans="2:12" ht="12" customHeight="1" x14ac:dyDescent="0.15">
      <c r="B641" s="2"/>
      <c r="C641" s="4"/>
      <c r="D641" s="4"/>
      <c r="E641" s="4"/>
      <c r="I641" s="135"/>
      <c r="J641" s="135"/>
      <c r="K641" s="135"/>
      <c r="L641" s="135"/>
    </row>
    <row r="642" spans="2:12" ht="12" customHeight="1" x14ac:dyDescent="0.15">
      <c r="B642" s="2"/>
      <c r="C642" s="4"/>
      <c r="D642" s="4"/>
      <c r="E642" s="4"/>
      <c r="I642" s="135"/>
      <c r="J642" s="135"/>
      <c r="K642" s="135"/>
      <c r="L642" s="135"/>
    </row>
    <row r="643" spans="2:12" ht="12" customHeight="1" x14ac:dyDescent="0.15">
      <c r="B643" s="2"/>
      <c r="C643" s="4"/>
      <c r="D643" s="4"/>
      <c r="E643" s="4"/>
      <c r="I643" s="135"/>
      <c r="J643" s="135"/>
      <c r="K643" s="135"/>
      <c r="L643" s="135"/>
    </row>
    <row r="644" spans="2:12" ht="12" customHeight="1" x14ac:dyDescent="0.15">
      <c r="B644" s="2"/>
      <c r="C644" s="4"/>
      <c r="D644" s="4"/>
      <c r="E644" s="4"/>
      <c r="I644" s="135"/>
      <c r="J644" s="135"/>
      <c r="K644" s="135"/>
      <c r="L644" s="135"/>
    </row>
    <row r="645" spans="2:12" ht="12" customHeight="1" x14ac:dyDescent="0.15">
      <c r="B645" s="2"/>
      <c r="C645" s="4"/>
      <c r="D645" s="4"/>
      <c r="E645" s="4"/>
      <c r="I645" s="135"/>
      <c r="J645" s="135"/>
      <c r="K645" s="135"/>
      <c r="L645" s="135"/>
    </row>
    <row r="646" spans="2:12" ht="12" customHeight="1" x14ac:dyDescent="0.15">
      <c r="B646" s="2"/>
      <c r="C646" s="4"/>
      <c r="D646" s="4"/>
      <c r="E646" s="4"/>
      <c r="I646" s="135"/>
      <c r="J646" s="135"/>
      <c r="K646" s="135"/>
      <c r="L646" s="135"/>
    </row>
    <row r="647" spans="2:12" ht="12" customHeight="1" x14ac:dyDescent="0.15">
      <c r="B647" s="2"/>
      <c r="C647" s="4"/>
      <c r="D647" s="4"/>
      <c r="E647" s="4"/>
      <c r="I647" s="135"/>
      <c r="J647" s="135"/>
      <c r="K647" s="135"/>
      <c r="L647" s="135"/>
    </row>
    <row r="648" spans="2:12" ht="12" customHeight="1" x14ac:dyDescent="0.15">
      <c r="B648" s="2"/>
      <c r="C648" s="4"/>
      <c r="D648" s="4"/>
      <c r="E648" s="4"/>
      <c r="I648" s="135"/>
      <c r="J648" s="135"/>
      <c r="K648" s="135"/>
      <c r="L648" s="135"/>
    </row>
    <row r="649" spans="2:12" ht="12" customHeight="1" x14ac:dyDescent="0.15">
      <c r="B649" s="2"/>
      <c r="C649" s="4"/>
      <c r="D649" s="4"/>
      <c r="E649" s="4"/>
      <c r="I649" s="135"/>
      <c r="J649" s="135"/>
      <c r="K649" s="135"/>
      <c r="L649" s="135"/>
    </row>
    <row r="650" spans="2:12" ht="12" customHeight="1" x14ac:dyDescent="0.15">
      <c r="B650" s="2"/>
      <c r="C650" s="4"/>
      <c r="D650" s="4"/>
      <c r="E650" s="4"/>
      <c r="I650" s="135"/>
      <c r="J650" s="135"/>
      <c r="K650" s="135"/>
      <c r="L650" s="135"/>
    </row>
    <row r="651" spans="2:12" ht="12" customHeight="1" x14ac:dyDescent="0.15">
      <c r="B651" s="2"/>
      <c r="C651" s="4"/>
      <c r="D651" s="4"/>
      <c r="E651" s="4"/>
      <c r="I651" s="135"/>
      <c r="J651" s="135"/>
      <c r="K651" s="135"/>
      <c r="L651" s="135"/>
    </row>
    <row r="652" spans="2:12" ht="12" customHeight="1" x14ac:dyDescent="0.15">
      <c r="B652" s="2"/>
      <c r="C652" s="4"/>
      <c r="D652" s="4"/>
      <c r="E652" s="4"/>
      <c r="I652" s="135"/>
      <c r="J652" s="135"/>
      <c r="K652" s="135"/>
      <c r="L652" s="135"/>
    </row>
    <row r="653" spans="2:12" ht="12" customHeight="1" x14ac:dyDescent="0.15">
      <c r="B653" s="2"/>
      <c r="C653" s="4"/>
      <c r="D653" s="4"/>
      <c r="E653" s="4"/>
      <c r="I653" s="135"/>
      <c r="J653" s="135"/>
      <c r="K653" s="135"/>
      <c r="L653" s="135"/>
    </row>
    <row r="654" spans="2:12" ht="12" customHeight="1" x14ac:dyDescent="0.15">
      <c r="B654" s="2"/>
      <c r="C654" s="4"/>
      <c r="D654" s="4"/>
      <c r="E654" s="4"/>
      <c r="I654" s="135"/>
      <c r="J654" s="135"/>
      <c r="K654" s="135"/>
      <c r="L654" s="135"/>
    </row>
    <row r="655" spans="2:12" ht="12" customHeight="1" x14ac:dyDescent="0.15">
      <c r="B655" s="2"/>
      <c r="C655" s="4"/>
      <c r="D655" s="4"/>
      <c r="E655" s="4"/>
      <c r="I655" s="135"/>
      <c r="J655" s="135"/>
      <c r="K655" s="135"/>
      <c r="L655" s="135"/>
    </row>
    <row r="656" spans="2:12" ht="12" customHeight="1" x14ac:dyDescent="0.15">
      <c r="B656" s="2"/>
      <c r="C656" s="4"/>
      <c r="D656" s="4"/>
      <c r="E656" s="4"/>
      <c r="I656" s="135"/>
      <c r="J656" s="135"/>
      <c r="K656" s="135"/>
      <c r="L656" s="135"/>
    </row>
    <row r="657" spans="2:12" ht="12" customHeight="1" x14ac:dyDescent="0.15">
      <c r="B657" s="2"/>
      <c r="C657" s="4"/>
      <c r="D657" s="4"/>
      <c r="E657" s="4"/>
      <c r="I657" s="135"/>
      <c r="J657" s="135"/>
      <c r="K657" s="135"/>
      <c r="L657" s="135"/>
    </row>
    <row r="658" spans="2:12" ht="12" customHeight="1" x14ac:dyDescent="0.15">
      <c r="B658" s="2"/>
      <c r="C658" s="4"/>
      <c r="D658" s="4"/>
      <c r="E658" s="4"/>
      <c r="I658" s="135"/>
      <c r="J658" s="135"/>
      <c r="K658" s="135"/>
      <c r="L658" s="135"/>
    </row>
    <row r="659" spans="2:12" ht="12" customHeight="1" x14ac:dyDescent="0.15">
      <c r="B659" s="2"/>
      <c r="C659" s="4"/>
      <c r="D659" s="4"/>
      <c r="E659" s="4"/>
      <c r="I659" s="135"/>
      <c r="J659" s="135"/>
      <c r="K659" s="135"/>
      <c r="L659" s="135"/>
    </row>
    <row r="660" spans="2:12" ht="12" customHeight="1" x14ac:dyDescent="0.15">
      <c r="B660" s="2"/>
      <c r="C660" s="4"/>
      <c r="D660" s="4"/>
      <c r="E660" s="4"/>
      <c r="I660" s="135"/>
      <c r="J660" s="135"/>
      <c r="K660" s="135"/>
      <c r="L660" s="135"/>
    </row>
    <row r="661" spans="2:12" ht="12" customHeight="1" x14ac:dyDescent="0.15">
      <c r="B661" s="2"/>
      <c r="C661" s="4"/>
      <c r="D661" s="4"/>
      <c r="E661" s="4"/>
      <c r="I661" s="135"/>
      <c r="J661" s="135"/>
      <c r="K661" s="135"/>
      <c r="L661" s="135"/>
    </row>
    <row r="662" spans="2:12" ht="12" customHeight="1" x14ac:dyDescent="0.15">
      <c r="B662" s="2"/>
      <c r="C662" s="4"/>
      <c r="D662" s="4"/>
      <c r="E662" s="4"/>
      <c r="I662" s="135"/>
      <c r="J662" s="135"/>
      <c r="K662" s="135"/>
      <c r="L662" s="135"/>
    </row>
    <row r="663" spans="2:12" ht="12" customHeight="1" x14ac:dyDescent="0.15">
      <c r="B663" s="2"/>
      <c r="C663" s="4"/>
      <c r="D663" s="4"/>
      <c r="E663" s="4"/>
      <c r="I663" s="135"/>
      <c r="J663" s="135"/>
      <c r="K663" s="135"/>
      <c r="L663" s="135"/>
    </row>
    <row r="664" spans="2:12" ht="12" customHeight="1" x14ac:dyDescent="0.15">
      <c r="B664" s="2"/>
      <c r="C664" s="4"/>
      <c r="D664" s="4"/>
      <c r="E664" s="4"/>
      <c r="I664" s="135"/>
      <c r="J664" s="135"/>
      <c r="K664" s="135"/>
      <c r="L664" s="135"/>
    </row>
    <row r="665" spans="2:12" ht="12" customHeight="1" x14ac:dyDescent="0.15">
      <c r="B665" s="2"/>
      <c r="C665" s="4"/>
      <c r="D665" s="4"/>
      <c r="E665" s="4"/>
      <c r="I665" s="135"/>
      <c r="J665" s="135"/>
      <c r="K665" s="135"/>
      <c r="L665" s="135"/>
    </row>
    <row r="666" spans="2:12" ht="12" customHeight="1" x14ac:dyDescent="0.15">
      <c r="B666" s="2"/>
      <c r="C666" s="4"/>
      <c r="D666" s="4"/>
      <c r="E666" s="4"/>
      <c r="I666" s="135"/>
      <c r="J666" s="135"/>
      <c r="K666" s="135"/>
      <c r="L666" s="135"/>
    </row>
    <row r="667" spans="2:12" ht="12" customHeight="1" x14ac:dyDescent="0.15">
      <c r="B667" s="2"/>
      <c r="C667" s="4"/>
      <c r="D667" s="4"/>
      <c r="E667" s="4"/>
      <c r="I667" s="135"/>
      <c r="J667" s="135"/>
      <c r="K667" s="135"/>
      <c r="L667" s="135"/>
    </row>
    <row r="668" spans="2:12" ht="12" customHeight="1" x14ac:dyDescent="0.15">
      <c r="B668" s="2"/>
      <c r="C668" s="4"/>
      <c r="D668" s="4"/>
      <c r="E668" s="4"/>
      <c r="I668" s="135"/>
      <c r="J668" s="135"/>
      <c r="K668" s="135"/>
      <c r="L668" s="135"/>
    </row>
    <row r="669" spans="2:12" ht="12" customHeight="1" x14ac:dyDescent="0.15">
      <c r="B669" s="2"/>
      <c r="C669" s="4"/>
      <c r="D669" s="4"/>
      <c r="E669" s="4"/>
      <c r="I669" s="135"/>
      <c r="J669" s="135"/>
      <c r="K669" s="135"/>
      <c r="L669" s="135"/>
    </row>
    <row r="670" spans="2:12" ht="12" customHeight="1" x14ac:dyDescent="0.15">
      <c r="B670" s="2"/>
      <c r="C670" s="4"/>
      <c r="D670" s="4"/>
      <c r="E670" s="4"/>
      <c r="I670" s="135"/>
      <c r="J670" s="135"/>
      <c r="K670" s="135"/>
      <c r="L670" s="135"/>
    </row>
    <row r="671" spans="2:12" ht="12" customHeight="1" x14ac:dyDescent="0.15">
      <c r="B671" s="2"/>
      <c r="C671" s="4"/>
      <c r="D671" s="4"/>
      <c r="E671" s="4"/>
      <c r="I671" s="135"/>
      <c r="J671" s="135"/>
      <c r="K671" s="135"/>
      <c r="L671" s="135"/>
    </row>
    <row r="672" spans="2:12" ht="12" customHeight="1" x14ac:dyDescent="0.15">
      <c r="B672" s="2"/>
      <c r="C672" s="4"/>
      <c r="D672" s="4"/>
      <c r="E672" s="4"/>
      <c r="I672" s="135"/>
      <c r="J672" s="135"/>
      <c r="K672" s="135"/>
      <c r="L672" s="135"/>
    </row>
    <row r="673" spans="2:12" ht="12" customHeight="1" x14ac:dyDescent="0.15">
      <c r="B673" s="2"/>
      <c r="C673" s="4"/>
      <c r="D673" s="4"/>
      <c r="E673" s="4"/>
      <c r="I673" s="135"/>
      <c r="J673" s="135"/>
      <c r="K673" s="135"/>
      <c r="L673" s="135"/>
    </row>
    <row r="674" spans="2:12" ht="12" customHeight="1" x14ac:dyDescent="0.15">
      <c r="B674" s="2"/>
      <c r="C674" s="4"/>
      <c r="D674" s="4"/>
      <c r="E674" s="4"/>
      <c r="I674" s="135"/>
      <c r="J674" s="135"/>
      <c r="K674" s="135"/>
      <c r="L674" s="135"/>
    </row>
    <row r="675" spans="2:12" ht="12" customHeight="1" x14ac:dyDescent="0.15">
      <c r="B675" s="2"/>
      <c r="C675" s="4"/>
      <c r="D675" s="4"/>
      <c r="E675" s="4"/>
      <c r="I675" s="135"/>
      <c r="J675" s="135"/>
      <c r="K675" s="135"/>
      <c r="L675" s="135"/>
    </row>
    <row r="676" spans="2:12" ht="12" customHeight="1" x14ac:dyDescent="0.15">
      <c r="B676" s="2"/>
      <c r="C676" s="4"/>
      <c r="D676" s="4"/>
      <c r="E676" s="4"/>
      <c r="I676" s="135"/>
      <c r="J676" s="135"/>
      <c r="K676" s="135"/>
      <c r="L676" s="135"/>
    </row>
    <row r="677" spans="2:12" ht="12" customHeight="1" x14ac:dyDescent="0.15">
      <c r="B677" s="2"/>
      <c r="C677" s="4"/>
      <c r="D677" s="4"/>
      <c r="E677" s="4"/>
      <c r="I677" s="135"/>
      <c r="J677" s="135"/>
      <c r="K677" s="135"/>
      <c r="L677" s="135"/>
    </row>
    <row r="678" spans="2:12" ht="12" customHeight="1" x14ac:dyDescent="0.15">
      <c r="B678" s="2"/>
      <c r="C678" s="4"/>
      <c r="D678" s="4"/>
      <c r="E678" s="4"/>
      <c r="I678" s="135"/>
      <c r="J678" s="135"/>
      <c r="K678" s="135"/>
      <c r="L678" s="135"/>
    </row>
    <row r="679" spans="2:12" ht="12" customHeight="1" x14ac:dyDescent="0.15">
      <c r="B679" s="2"/>
      <c r="C679" s="4"/>
      <c r="D679" s="4"/>
      <c r="E679" s="4"/>
      <c r="I679" s="135"/>
      <c r="J679" s="135"/>
      <c r="K679" s="135"/>
      <c r="L679" s="135"/>
    </row>
    <row r="680" spans="2:12" ht="12" customHeight="1" x14ac:dyDescent="0.15">
      <c r="B680" s="2"/>
      <c r="C680" s="4"/>
      <c r="D680" s="4"/>
      <c r="E680" s="4"/>
      <c r="I680" s="135"/>
      <c r="J680" s="135"/>
      <c r="K680" s="135"/>
      <c r="L680" s="135"/>
    </row>
    <row r="681" spans="2:12" ht="12" customHeight="1" x14ac:dyDescent="0.15">
      <c r="B681" s="2"/>
      <c r="C681" s="4"/>
      <c r="D681" s="4"/>
      <c r="E681" s="4"/>
      <c r="I681" s="135"/>
      <c r="J681" s="135"/>
      <c r="K681" s="135"/>
      <c r="L681" s="135"/>
    </row>
    <row r="682" spans="2:12" ht="12" customHeight="1" x14ac:dyDescent="0.15">
      <c r="B682" s="2"/>
      <c r="C682" s="4"/>
      <c r="D682" s="4"/>
      <c r="E682" s="4"/>
      <c r="I682" s="135"/>
      <c r="J682" s="135"/>
      <c r="K682" s="135"/>
      <c r="L682" s="135"/>
    </row>
    <row r="683" spans="2:12" ht="12" customHeight="1" x14ac:dyDescent="0.15">
      <c r="B683" s="2"/>
      <c r="C683" s="4"/>
      <c r="D683" s="4"/>
      <c r="E683" s="4"/>
      <c r="I683" s="135"/>
      <c r="J683" s="135"/>
      <c r="K683" s="135"/>
      <c r="L683" s="135"/>
    </row>
    <row r="684" spans="2:12" ht="12" customHeight="1" x14ac:dyDescent="0.15">
      <c r="B684" s="2"/>
      <c r="C684" s="4"/>
      <c r="D684" s="4"/>
      <c r="E684" s="4"/>
      <c r="I684" s="135"/>
      <c r="J684" s="135"/>
      <c r="K684" s="135"/>
      <c r="L684" s="135"/>
    </row>
    <row r="685" spans="2:12" ht="12" customHeight="1" x14ac:dyDescent="0.15">
      <c r="B685" s="2"/>
      <c r="C685" s="4"/>
      <c r="D685" s="4"/>
      <c r="E685" s="4"/>
      <c r="I685" s="135"/>
      <c r="J685" s="135"/>
      <c r="K685" s="135"/>
      <c r="L685" s="135"/>
    </row>
    <row r="686" spans="2:12" ht="12" customHeight="1" x14ac:dyDescent="0.15">
      <c r="B686" s="2"/>
      <c r="C686" s="4"/>
      <c r="D686" s="4"/>
      <c r="E686" s="4"/>
      <c r="I686" s="135"/>
      <c r="J686" s="135"/>
      <c r="K686" s="135"/>
      <c r="L686" s="135"/>
    </row>
    <row r="687" spans="2:12" ht="12" customHeight="1" x14ac:dyDescent="0.15">
      <c r="B687" s="2"/>
      <c r="C687" s="4"/>
      <c r="D687" s="4"/>
      <c r="E687" s="4"/>
      <c r="I687" s="135"/>
      <c r="J687" s="135"/>
      <c r="K687" s="135"/>
      <c r="L687" s="135"/>
    </row>
    <row r="688" spans="2:12" ht="12" customHeight="1" x14ac:dyDescent="0.15">
      <c r="B688" s="2"/>
      <c r="C688" s="4"/>
      <c r="D688" s="4"/>
      <c r="E688" s="4"/>
      <c r="I688" s="135"/>
      <c r="J688" s="135"/>
      <c r="K688" s="135"/>
      <c r="L688" s="135"/>
    </row>
    <row r="689" spans="2:12" ht="12" customHeight="1" x14ac:dyDescent="0.15">
      <c r="B689" s="2"/>
      <c r="C689" s="4"/>
      <c r="D689" s="4"/>
      <c r="E689" s="4"/>
      <c r="I689" s="135"/>
      <c r="J689" s="135"/>
      <c r="K689" s="135"/>
      <c r="L689" s="135"/>
    </row>
    <row r="690" spans="2:12" ht="12" customHeight="1" x14ac:dyDescent="0.15">
      <c r="B690" s="2"/>
      <c r="C690" s="4"/>
      <c r="D690" s="4"/>
      <c r="E690" s="4"/>
      <c r="I690" s="135"/>
      <c r="J690" s="135"/>
      <c r="K690" s="135"/>
      <c r="L690" s="135"/>
    </row>
    <row r="691" spans="2:12" ht="12" customHeight="1" x14ac:dyDescent="0.15">
      <c r="B691" s="2"/>
      <c r="C691" s="4"/>
      <c r="D691" s="4"/>
      <c r="E691" s="4"/>
      <c r="I691" s="135"/>
      <c r="J691" s="135"/>
      <c r="K691" s="135"/>
      <c r="L691" s="135"/>
    </row>
    <row r="692" spans="2:12" ht="12" customHeight="1" x14ac:dyDescent="0.15">
      <c r="B692" s="2"/>
      <c r="C692" s="4"/>
      <c r="D692" s="4"/>
      <c r="E692" s="4"/>
      <c r="I692" s="135"/>
      <c r="J692" s="135"/>
      <c r="K692" s="135"/>
      <c r="L692" s="135"/>
    </row>
    <row r="693" spans="2:12" ht="12" customHeight="1" x14ac:dyDescent="0.15">
      <c r="B693" s="2"/>
      <c r="C693" s="4"/>
      <c r="D693" s="4"/>
      <c r="E693" s="4"/>
      <c r="I693" s="135"/>
      <c r="J693" s="135"/>
      <c r="K693" s="135"/>
      <c r="L693" s="135"/>
    </row>
    <row r="694" spans="2:12" ht="12" customHeight="1" x14ac:dyDescent="0.15">
      <c r="B694" s="2"/>
      <c r="C694" s="4"/>
      <c r="D694" s="4"/>
      <c r="E694" s="4"/>
      <c r="I694" s="135"/>
      <c r="J694" s="135"/>
      <c r="K694" s="135"/>
      <c r="L694" s="135"/>
    </row>
    <row r="695" spans="2:12" ht="12" customHeight="1" x14ac:dyDescent="0.15">
      <c r="B695" s="2"/>
      <c r="C695" s="4"/>
      <c r="D695" s="4"/>
      <c r="E695" s="4"/>
      <c r="I695" s="135"/>
      <c r="J695" s="135"/>
      <c r="K695" s="135"/>
      <c r="L695" s="135"/>
    </row>
    <row r="696" spans="2:12" ht="12" customHeight="1" x14ac:dyDescent="0.15">
      <c r="B696" s="2"/>
      <c r="C696" s="4"/>
      <c r="D696" s="4"/>
      <c r="E696" s="4"/>
      <c r="I696" s="135"/>
      <c r="J696" s="135"/>
      <c r="K696" s="135"/>
      <c r="L696" s="135"/>
    </row>
    <row r="697" spans="2:12" ht="12" customHeight="1" x14ac:dyDescent="0.15">
      <c r="B697" s="2"/>
      <c r="C697" s="4"/>
      <c r="D697" s="4"/>
      <c r="E697" s="4"/>
      <c r="I697" s="135"/>
      <c r="J697" s="135"/>
      <c r="K697" s="135"/>
      <c r="L697" s="135"/>
    </row>
    <row r="698" spans="2:12" ht="12" customHeight="1" x14ac:dyDescent="0.15">
      <c r="B698" s="2"/>
      <c r="C698" s="4"/>
      <c r="D698" s="4"/>
      <c r="E698" s="4"/>
      <c r="I698" s="135"/>
      <c r="J698" s="135"/>
      <c r="K698" s="135"/>
      <c r="L698" s="135"/>
    </row>
    <row r="699" spans="2:12" ht="12" customHeight="1" x14ac:dyDescent="0.15">
      <c r="B699" s="2"/>
      <c r="C699" s="4"/>
      <c r="D699" s="4"/>
      <c r="E699" s="4"/>
      <c r="I699" s="135"/>
      <c r="J699" s="135"/>
      <c r="K699" s="135"/>
      <c r="L699" s="135"/>
    </row>
    <row r="700" spans="2:12" ht="12" customHeight="1" x14ac:dyDescent="0.15">
      <c r="B700" s="2"/>
      <c r="C700" s="4"/>
      <c r="D700" s="4"/>
      <c r="E700" s="4"/>
      <c r="I700" s="135"/>
      <c r="J700" s="135"/>
      <c r="K700" s="135"/>
      <c r="L700" s="135"/>
    </row>
    <row r="701" spans="2:12" ht="12" customHeight="1" x14ac:dyDescent="0.15">
      <c r="B701" s="2"/>
      <c r="C701" s="4"/>
      <c r="D701" s="4"/>
      <c r="E701" s="4"/>
      <c r="I701" s="135"/>
      <c r="J701" s="135"/>
      <c r="K701" s="135"/>
      <c r="L701" s="135"/>
    </row>
    <row r="702" spans="2:12" ht="12" customHeight="1" x14ac:dyDescent="0.15">
      <c r="B702" s="2"/>
      <c r="C702" s="4"/>
      <c r="D702" s="4"/>
      <c r="E702" s="4"/>
      <c r="I702" s="135"/>
      <c r="J702" s="135"/>
      <c r="K702" s="135"/>
      <c r="L702" s="135"/>
    </row>
    <row r="703" spans="2:12" ht="12" customHeight="1" x14ac:dyDescent="0.15">
      <c r="B703" s="2"/>
      <c r="C703" s="4"/>
      <c r="D703" s="4"/>
      <c r="E703" s="4"/>
      <c r="I703" s="135"/>
      <c r="J703" s="135"/>
      <c r="K703" s="135"/>
      <c r="L703" s="135"/>
    </row>
    <row r="704" spans="2:12" ht="12" customHeight="1" x14ac:dyDescent="0.15">
      <c r="B704" s="2"/>
      <c r="C704" s="4"/>
      <c r="D704" s="4"/>
      <c r="E704" s="4"/>
      <c r="I704" s="135"/>
      <c r="J704" s="135"/>
      <c r="K704" s="135"/>
      <c r="L704" s="135"/>
    </row>
    <row r="705" spans="2:12" ht="12" customHeight="1" x14ac:dyDescent="0.15">
      <c r="B705" s="2"/>
      <c r="C705" s="4"/>
      <c r="D705" s="4"/>
      <c r="E705" s="4"/>
      <c r="I705" s="135"/>
      <c r="J705" s="135"/>
      <c r="K705" s="135"/>
      <c r="L705" s="135"/>
    </row>
    <row r="706" spans="2:12" ht="12" customHeight="1" x14ac:dyDescent="0.15">
      <c r="B706" s="2"/>
      <c r="C706" s="4"/>
      <c r="D706" s="4"/>
      <c r="E706" s="4"/>
      <c r="I706" s="135"/>
      <c r="J706" s="135"/>
      <c r="K706" s="135"/>
      <c r="L706" s="135"/>
    </row>
    <row r="707" spans="2:12" ht="12" customHeight="1" x14ac:dyDescent="0.15">
      <c r="B707" s="2"/>
      <c r="C707" s="4"/>
      <c r="D707" s="4"/>
      <c r="E707" s="4"/>
      <c r="I707" s="135"/>
      <c r="J707" s="135"/>
      <c r="K707" s="135"/>
      <c r="L707" s="135"/>
    </row>
    <row r="708" spans="2:12" ht="12" customHeight="1" x14ac:dyDescent="0.15">
      <c r="B708" s="2"/>
      <c r="C708" s="4"/>
      <c r="D708" s="4"/>
      <c r="E708" s="4"/>
      <c r="I708" s="135"/>
      <c r="J708" s="135"/>
      <c r="K708" s="135"/>
      <c r="L708" s="135"/>
    </row>
    <row r="709" spans="2:12" ht="12" customHeight="1" x14ac:dyDescent="0.15">
      <c r="B709" s="2"/>
      <c r="C709" s="4"/>
      <c r="D709" s="4"/>
      <c r="E709" s="4"/>
      <c r="I709" s="135"/>
      <c r="J709" s="135"/>
      <c r="K709" s="135"/>
      <c r="L709" s="135"/>
    </row>
    <row r="710" spans="2:12" ht="12" customHeight="1" x14ac:dyDescent="0.15">
      <c r="B710" s="2"/>
      <c r="C710" s="4"/>
      <c r="D710" s="4"/>
      <c r="E710" s="4"/>
      <c r="I710" s="135"/>
      <c r="J710" s="135"/>
      <c r="K710" s="135"/>
      <c r="L710" s="135"/>
    </row>
    <row r="711" spans="2:12" ht="12" customHeight="1" x14ac:dyDescent="0.15">
      <c r="B711" s="2"/>
      <c r="C711" s="4"/>
      <c r="D711" s="4"/>
      <c r="E711" s="4"/>
      <c r="I711" s="135"/>
      <c r="J711" s="135"/>
      <c r="K711" s="135"/>
      <c r="L711" s="135"/>
    </row>
    <row r="712" spans="2:12" ht="12" customHeight="1" x14ac:dyDescent="0.15">
      <c r="B712" s="2"/>
      <c r="C712" s="4"/>
      <c r="D712" s="4"/>
      <c r="E712" s="4"/>
      <c r="I712" s="135"/>
      <c r="J712" s="135"/>
      <c r="K712" s="135"/>
      <c r="L712" s="135"/>
    </row>
    <row r="713" spans="2:12" ht="12" customHeight="1" x14ac:dyDescent="0.15">
      <c r="B713" s="2"/>
      <c r="C713" s="4"/>
      <c r="D713" s="4"/>
      <c r="E713" s="4"/>
      <c r="I713" s="135"/>
      <c r="J713" s="135"/>
      <c r="K713" s="135"/>
      <c r="L713" s="135"/>
    </row>
    <row r="714" spans="2:12" ht="12" customHeight="1" x14ac:dyDescent="0.15">
      <c r="B714" s="2"/>
      <c r="C714" s="4"/>
      <c r="D714" s="4"/>
      <c r="E714" s="4"/>
      <c r="I714" s="135"/>
      <c r="J714" s="135"/>
      <c r="K714" s="135"/>
      <c r="L714" s="135"/>
    </row>
    <row r="715" spans="2:12" ht="12" customHeight="1" x14ac:dyDescent="0.15">
      <c r="B715" s="2"/>
      <c r="C715" s="4"/>
      <c r="D715" s="4"/>
      <c r="E715" s="4"/>
      <c r="I715" s="135"/>
      <c r="J715" s="135"/>
      <c r="K715" s="135"/>
      <c r="L715" s="135"/>
    </row>
    <row r="716" spans="2:12" ht="12" customHeight="1" x14ac:dyDescent="0.15">
      <c r="B716" s="2"/>
      <c r="C716" s="4"/>
      <c r="D716" s="4"/>
      <c r="E716" s="4"/>
      <c r="I716" s="135"/>
      <c r="J716" s="135"/>
      <c r="K716" s="135"/>
      <c r="L716" s="135"/>
    </row>
    <row r="717" spans="2:12" ht="12" customHeight="1" x14ac:dyDescent="0.15">
      <c r="B717" s="2"/>
      <c r="C717" s="4"/>
      <c r="D717" s="4"/>
      <c r="E717" s="4"/>
      <c r="I717" s="135"/>
      <c r="J717" s="135"/>
      <c r="K717" s="135"/>
      <c r="L717" s="135"/>
    </row>
    <row r="718" spans="2:12" ht="12" customHeight="1" x14ac:dyDescent="0.15">
      <c r="B718" s="2"/>
      <c r="C718" s="4"/>
      <c r="D718" s="4"/>
      <c r="E718" s="4"/>
      <c r="I718" s="135"/>
      <c r="J718" s="135"/>
      <c r="K718" s="135"/>
      <c r="L718" s="135"/>
    </row>
    <row r="719" spans="2:12" ht="12" customHeight="1" x14ac:dyDescent="0.15">
      <c r="B719" s="2"/>
      <c r="C719" s="4"/>
      <c r="D719" s="4"/>
      <c r="E719" s="4"/>
      <c r="I719" s="135"/>
      <c r="J719" s="135"/>
      <c r="K719" s="135"/>
      <c r="L719" s="135"/>
    </row>
    <row r="720" spans="2:12" ht="12" customHeight="1" x14ac:dyDescent="0.15">
      <c r="B720" s="2"/>
      <c r="C720" s="4"/>
      <c r="D720" s="4"/>
      <c r="E720" s="4"/>
      <c r="I720" s="135"/>
      <c r="J720" s="135"/>
      <c r="K720" s="135"/>
      <c r="L720" s="135"/>
    </row>
    <row r="721" spans="2:12" ht="12" customHeight="1" x14ac:dyDescent="0.15">
      <c r="B721" s="2"/>
      <c r="C721" s="4"/>
      <c r="D721" s="4"/>
      <c r="E721" s="4"/>
      <c r="I721" s="135"/>
      <c r="J721" s="135"/>
      <c r="K721" s="135"/>
      <c r="L721" s="135"/>
    </row>
    <row r="722" spans="2:12" ht="12" customHeight="1" x14ac:dyDescent="0.15">
      <c r="B722" s="2"/>
      <c r="C722" s="4"/>
      <c r="D722" s="4"/>
      <c r="E722" s="4"/>
      <c r="I722" s="135"/>
      <c r="J722" s="135"/>
      <c r="K722" s="135"/>
      <c r="L722" s="135"/>
    </row>
    <row r="723" spans="2:12" ht="12" customHeight="1" x14ac:dyDescent="0.15">
      <c r="B723" s="2"/>
      <c r="C723" s="4"/>
      <c r="D723" s="4"/>
      <c r="E723" s="4"/>
      <c r="I723" s="135"/>
      <c r="J723" s="135"/>
      <c r="K723" s="135"/>
      <c r="L723" s="135"/>
    </row>
    <row r="724" spans="2:12" ht="12" customHeight="1" x14ac:dyDescent="0.15">
      <c r="B724" s="2"/>
      <c r="C724" s="4"/>
      <c r="D724" s="4"/>
      <c r="E724" s="4"/>
      <c r="I724" s="135"/>
      <c r="J724" s="135"/>
      <c r="K724" s="135"/>
      <c r="L724" s="135"/>
    </row>
    <row r="725" spans="2:12" ht="12" customHeight="1" x14ac:dyDescent="0.15">
      <c r="B725" s="2"/>
      <c r="C725" s="4"/>
      <c r="D725" s="4"/>
      <c r="E725" s="4"/>
      <c r="I725" s="135"/>
      <c r="J725" s="135"/>
      <c r="K725" s="135"/>
      <c r="L725" s="135"/>
    </row>
    <row r="726" spans="2:12" ht="12" customHeight="1" x14ac:dyDescent="0.15">
      <c r="B726" s="2"/>
      <c r="C726" s="4"/>
      <c r="D726" s="4"/>
      <c r="E726" s="4"/>
      <c r="I726" s="135"/>
      <c r="J726" s="135"/>
      <c r="K726" s="135"/>
      <c r="L726" s="135"/>
    </row>
    <row r="727" spans="2:12" ht="12" customHeight="1" x14ac:dyDescent="0.15">
      <c r="B727" s="2"/>
      <c r="C727" s="4"/>
      <c r="D727" s="4"/>
      <c r="E727" s="4"/>
      <c r="I727" s="135"/>
      <c r="J727" s="135"/>
      <c r="K727" s="135"/>
      <c r="L727" s="135"/>
    </row>
    <row r="728" spans="2:12" ht="12" customHeight="1" x14ac:dyDescent="0.15">
      <c r="B728" s="2"/>
      <c r="C728" s="4"/>
      <c r="D728" s="4"/>
      <c r="E728" s="4"/>
      <c r="I728" s="135"/>
      <c r="J728" s="135"/>
      <c r="K728" s="135"/>
      <c r="L728" s="135"/>
    </row>
    <row r="729" spans="2:12" ht="12" customHeight="1" x14ac:dyDescent="0.15">
      <c r="B729" s="2"/>
      <c r="C729" s="4"/>
      <c r="D729" s="4"/>
      <c r="E729" s="4"/>
      <c r="I729" s="135"/>
      <c r="J729" s="135"/>
      <c r="K729" s="135"/>
      <c r="L729" s="135"/>
    </row>
    <row r="730" spans="2:12" ht="12" customHeight="1" x14ac:dyDescent="0.15">
      <c r="B730" s="2"/>
      <c r="C730" s="4"/>
      <c r="D730" s="4"/>
      <c r="E730" s="4"/>
      <c r="I730" s="135"/>
      <c r="J730" s="135"/>
      <c r="K730" s="135"/>
      <c r="L730" s="135"/>
    </row>
    <row r="731" spans="2:12" ht="12" customHeight="1" x14ac:dyDescent="0.15">
      <c r="B731" s="2"/>
      <c r="C731" s="4"/>
      <c r="D731" s="4"/>
      <c r="E731" s="4"/>
      <c r="I731" s="135"/>
      <c r="J731" s="135"/>
      <c r="K731" s="135"/>
      <c r="L731" s="135"/>
    </row>
    <row r="732" spans="2:12" ht="12" customHeight="1" x14ac:dyDescent="0.15">
      <c r="B732" s="2"/>
      <c r="C732" s="4"/>
      <c r="D732" s="4"/>
      <c r="E732" s="4"/>
      <c r="I732" s="135"/>
      <c r="J732" s="135"/>
      <c r="K732" s="135"/>
      <c r="L732" s="135"/>
    </row>
    <row r="733" spans="2:12" ht="12" customHeight="1" x14ac:dyDescent="0.15">
      <c r="B733" s="2"/>
      <c r="C733" s="4"/>
      <c r="D733" s="4"/>
      <c r="E733" s="4"/>
      <c r="I733" s="135"/>
      <c r="J733" s="135"/>
      <c r="K733" s="135"/>
      <c r="L733" s="135"/>
    </row>
    <row r="734" spans="2:12" ht="12" customHeight="1" x14ac:dyDescent="0.15">
      <c r="B734" s="2"/>
      <c r="C734" s="4"/>
      <c r="D734" s="4"/>
      <c r="E734" s="4"/>
      <c r="I734" s="135"/>
      <c r="J734" s="135"/>
      <c r="K734" s="135"/>
      <c r="L734" s="135"/>
    </row>
    <row r="735" spans="2:12" ht="12" customHeight="1" x14ac:dyDescent="0.15">
      <c r="B735" s="2"/>
      <c r="C735" s="4"/>
      <c r="D735" s="4"/>
      <c r="E735" s="4"/>
      <c r="I735" s="135"/>
      <c r="J735" s="135"/>
      <c r="K735" s="135"/>
      <c r="L735" s="135"/>
    </row>
    <row r="736" spans="2:12" ht="12" customHeight="1" x14ac:dyDescent="0.15">
      <c r="B736" s="2"/>
      <c r="C736" s="4"/>
      <c r="D736" s="4"/>
      <c r="E736" s="4"/>
      <c r="I736" s="135"/>
      <c r="J736" s="135"/>
      <c r="K736" s="135"/>
      <c r="L736" s="135"/>
    </row>
    <row r="737" spans="2:12" ht="12" customHeight="1" x14ac:dyDescent="0.15">
      <c r="B737" s="2"/>
      <c r="C737" s="4"/>
      <c r="D737" s="4"/>
      <c r="E737" s="4"/>
      <c r="I737" s="135"/>
      <c r="J737" s="135"/>
      <c r="K737" s="135"/>
      <c r="L737" s="135"/>
    </row>
    <row r="738" spans="2:12" ht="12" customHeight="1" x14ac:dyDescent="0.15">
      <c r="B738" s="2"/>
      <c r="C738" s="4"/>
      <c r="D738" s="4"/>
      <c r="E738" s="4"/>
      <c r="I738" s="135"/>
      <c r="J738" s="135"/>
      <c r="K738" s="135"/>
      <c r="L738" s="135"/>
    </row>
    <row r="739" spans="2:12" ht="12" customHeight="1" x14ac:dyDescent="0.15">
      <c r="B739" s="2"/>
      <c r="C739" s="4"/>
      <c r="D739" s="4"/>
      <c r="E739" s="4"/>
      <c r="I739" s="135"/>
      <c r="J739" s="135"/>
      <c r="K739" s="135"/>
      <c r="L739" s="135"/>
    </row>
    <row r="740" spans="2:12" ht="12" customHeight="1" x14ac:dyDescent="0.15">
      <c r="B740" s="2"/>
      <c r="C740" s="4"/>
      <c r="D740" s="4"/>
      <c r="E740" s="4"/>
      <c r="I740" s="135"/>
      <c r="J740" s="135"/>
      <c r="K740" s="135"/>
      <c r="L740" s="135"/>
    </row>
    <row r="741" spans="2:12" ht="12" customHeight="1" x14ac:dyDescent="0.15">
      <c r="B741" s="2"/>
      <c r="C741" s="4"/>
      <c r="D741" s="4"/>
      <c r="E741" s="4"/>
      <c r="I741" s="135"/>
      <c r="J741" s="135"/>
      <c r="K741" s="135"/>
      <c r="L741" s="135"/>
    </row>
    <row r="742" spans="2:12" ht="12" customHeight="1" x14ac:dyDescent="0.15">
      <c r="B742" s="2"/>
      <c r="C742" s="4"/>
      <c r="D742" s="4"/>
      <c r="E742" s="4"/>
      <c r="I742" s="135"/>
      <c r="J742" s="135"/>
      <c r="K742" s="135"/>
      <c r="L742" s="135"/>
    </row>
    <row r="743" spans="2:12" ht="12" customHeight="1" x14ac:dyDescent="0.15">
      <c r="B743" s="2"/>
      <c r="C743" s="4"/>
      <c r="D743" s="4"/>
      <c r="E743" s="4"/>
      <c r="I743" s="135"/>
      <c r="J743" s="135"/>
      <c r="K743" s="135"/>
      <c r="L743" s="135"/>
    </row>
    <row r="744" spans="2:12" ht="12" customHeight="1" x14ac:dyDescent="0.15">
      <c r="B744" s="2"/>
      <c r="C744" s="4"/>
      <c r="D744" s="4"/>
      <c r="E744" s="4"/>
      <c r="I744" s="135"/>
      <c r="J744" s="135"/>
      <c r="K744" s="135"/>
      <c r="L744" s="135"/>
    </row>
    <row r="745" spans="2:12" ht="12" customHeight="1" x14ac:dyDescent="0.15">
      <c r="B745" s="2"/>
      <c r="C745" s="4"/>
      <c r="D745" s="4"/>
      <c r="E745" s="4"/>
      <c r="I745" s="135"/>
      <c r="J745" s="135"/>
      <c r="K745" s="135"/>
      <c r="L745" s="135"/>
    </row>
    <row r="746" spans="2:12" ht="12" customHeight="1" x14ac:dyDescent="0.15">
      <c r="B746" s="2"/>
      <c r="C746" s="4"/>
      <c r="D746" s="4"/>
      <c r="E746" s="4"/>
      <c r="I746" s="135"/>
      <c r="J746" s="135"/>
      <c r="K746" s="135"/>
      <c r="L746" s="135"/>
    </row>
    <row r="747" spans="2:12" ht="12" customHeight="1" x14ac:dyDescent="0.15">
      <c r="B747" s="2"/>
      <c r="C747" s="4"/>
      <c r="D747" s="4"/>
      <c r="E747" s="4"/>
      <c r="I747" s="135"/>
      <c r="J747" s="135"/>
      <c r="K747" s="135"/>
      <c r="L747" s="135"/>
    </row>
    <row r="748" spans="2:12" ht="12" customHeight="1" x14ac:dyDescent="0.15">
      <c r="B748" s="2"/>
      <c r="C748" s="4"/>
      <c r="D748" s="4"/>
      <c r="E748" s="4"/>
      <c r="I748" s="135"/>
      <c r="J748" s="135"/>
      <c r="K748" s="135"/>
      <c r="L748" s="135"/>
    </row>
    <row r="749" spans="2:12" ht="12" customHeight="1" x14ac:dyDescent="0.15">
      <c r="B749" s="2"/>
      <c r="C749" s="4"/>
      <c r="D749" s="4"/>
      <c r="E749" s="4"/>
      <c r="I749" s="135"/>
      <c r="J749" s="135"/>
      <c r="K749" s="135"/>
      <c r="L749" s="135"/>
    </row>
    <row r="750" spans="2:12" ht="12" customHeight="1" x14ac:dyDescent="0.15">
      <c r="B750" s="2"/>
      <c r="C750" s="4"/>
      <c r="D750" s="4"/>
      <c r="E750" s="4"/>
      <c r="I750" s="135"/>
      <c r="J750" s="135"/>
      <c r="K750" s="135"/>
      <c r="L750" s="135"/>
    </row>
    <row r="751" spans="2:12" ht="12" customHeight="1" x14ac:dyDescent="0.15">
      <c r="B751" s="2"/>
      <c r="C751" s="4"/>
      <c r="D751" s="4"/>
      <c r="E751" s="4"/>
      <c r="I751" s="135"/>
      <c r="J751" s="135"/>
      <c r="K751" s="135"/>
      <c r="L751" s="135"/>
    </row>
    <row r="752" spans="2:12" ht="12" customHeight="1" x14ac:dyDescent="0.15">
      <c r="B752" s="2"/>
      <c r="C752" s="4"/>
      <c r="D752" s="4"/>
      <c r="E752" s="4"/>
      <c r="I752" s="135"/>
      <c r="J752" s="135"/>
      <c r="K752" s="135"/>
      <c r="L752" s="135"/>
    </row>
    <row r="753" spans="2:12" ht="12" customHeight="1" x14ac:dyDescent="0.15">
      <c r="B753" s="2"/>
      <c r="C753" s="4"/>
      <c r="D753" s="4"/>
      <c r="E753" s="4"/>
      <c r="I753" s="135"/>
      <c r="J753" s="135"/>
      <c r="K753" s="135"/>
      <c r="L753" s="135"/>
    </row>
    <row r="754" spans="2:12" ht="12" customHeight="1" x14ac:dyDescent="0.15">
      <c r="B754" s="2"/>
      <c r="C754" s="4"/>
      <c r="D754" s="4"/>
      <c r="E754" s="4"/>
      <c r="I754" s="135"/>
      <c r="J754" s="135"/>
      <c r="K754" s="135"/>
      <c r="L754" s="135"/>
    </row>
    <row r="755" spans="2:12" ht="12" customHeight="1" x14ac:dyDescent="0.15">
      <c r="B755" s="2"/>
      <c r="C755" s="4"/>
      <c r="D755" s="4"/>
      <c r="E755" s="4"/>
      <c r="I755" s="135"/>
      <c r="J755" s="135"/>
      <c r="K755" s="135"/>
      <c r="L755" s="135"/>
    </row>
    <row r="756" spans="2:12" ht="12" customHeight="1" x14ac:dyDescent="0.15">
      <c r="B756" s="2"/>
      <c r="C756" s="4"/>
      <c r="D756" s="4"/>
      <c r="E756" s="4"/>
      <c r="I756" s="135"/>
      <c r="J756" s="135"/>
      <c r="K756" s="135"/>
      <c r="L756" s="135"/>
    </row>
    <row r="757" spans="2:12" ht="12" customHeight="1" x14ac:dyDescent="0.15">
      <c r="B757" s="2"/>
      <c r="C757" s="4"/>
      <c r="D757" s="4"/>
      <c r="E757" s="4"/>
      <c r="I757" s="135"/>
      <c r="J757" s="135"/>
      <c r="K757" s="135"/>
      <c r="L757" s="135"/>
    </row>
    <row r="758" spans="2:12" ht="12" customHeight="1" x14ac:dyDescent="0.15">
      <c r="B758" s="2"/>
      <c r="C758" s="4"/>
      <c r="D758" s="4"/>
      <c r="E758" s="4"/>
      <c r="I758" s="135"/>
      <c r="J758" s="135"/>
      <c r="K758" s="135"/>
      <c r="L758" s="135"/>
    </row>
    <row r="759" spans="2:12" ht="12" customHeight="1" x14ac:dyDescent="0.15">
      <c r="B759" s="2"/>
      <c r="C759" s="4"/>
      <c r="D759" s="4"/>
      <c r="E759" s="4"/>
      <c r="I759" s="135"/>
      <c r="J759" s="135"/>
      <c r="K759" s="135"/>
      <c r="L759" s="135"/>
    </row>
    <row r="760" spans="2:12" ht="12" customHeight="1" x14ac:dyDescent="0.15">
      <c r="B760" s="2"/>
      <c r="C760" s="4"/>
      <c r="D760" s="4"/>
      <c r="E760" s="4"/>
      <c r="I760" s="135"/>
      <c r="J760" s="135"/>
      <c r="K760" s="135"/>
      <c r="L760" s="135"/>
    </row>
    <row r="761" spans="2:12" ht="12" customHeight="1" x14ac:dyDescent="0.15">
      <c r="B761" s="2"/>
      <c r="C761" s="4"/>
      <c r="D761" s="4"/>
      <c r="E761" s="4"/>
      <c r="I761" s="135"/>
      <c r="J761" s="135"/>
      <c r="K761" s="135"/>
      <c r="L761" s="135"/>
    </row>
    <row r="762" spans="2:12" ht="12" customHeight="1" x14ac:dyDescent="0.15">
      <c r="B762" s="2"/>
      <c r="C762" s="4"/>
      <c r="D762" s="4"/>
      <c r="E762" s="4"/>
      <c r="I762" s="135"/>
      <c r="J762" s="135"/>
      <c r="K762" s="135"/>
      <c r="L762" s="135"/>
    </row>
    <row r="763" spans="2:12" ht="12" customHeight="1" x14ac:dyDescent="0.15">
      <c r="B763" s="2"/>
      <c r="C763" s="4"/>
      <c r="D763" s="4"/>
      <c r="E763" s="4"/>
      <c r="I763" s="135"/>
      <c r="J763" s="135"/>
      <c r="K763" s="135"/>
      <c r="L763" s="135"/>
    </row>
    <row r="764" spans="2:12" ht="12" customHeight="1" x14ac:dyDescent="0.15">
      <c r="B764" s="2"/>
      <c r="C764" s="4"/>
      <c r="D764" s="4"/>
      <c r="E764" s="4"/>
      <c r="I764" s="135"/>
      <c r="J764" s="135"/>
      <c r="K764" s="135"/>
      <c r="L764" s="135"/>
    </row>
    <row r="765" spans="2:12" ht="12" customHeight="1" x14ac:dyDescent="0.15">
      <c r="B765" s="2"/>
      <c r="C765" s="4"/>
      <c r="D765" s="4"/>
      <c r="E765" s="4"/>
      <c r="I765" s="135"/>
      <c r="J765" s="135"/>
      <c r="K765" s="135"/>
      <c r="L765" s="135"/>
    </row>
    <row r="766" spans="2:12" ht="12" customHeight="1" x14ac:dyDescent="0.15">
      <c r="B766" s="2"/>
      <c r="C766" s="4"/>
      <c r="D766" s="4"/>
      <c r="E766" s="4"/>
      <c r="I766" s="135"/>
      <c r="J766" s="135"/>
      <c r="K766" s="135"/>
      <c r="L766" s="135"/>
    </row>
    <row r="767" spans="2:12" ht="12" customHeight="1" x14ac:dyDescent="0.15">
      <c r="B767" s="2"/>
      <c r="C767" s="4"/>
      <c r="D767" s="4"/>
      <c r="E767" s="4"/>
      <c r="I767" s="135"/>
      <c r="J767" s="135"/>
      <c r="K767" s="135"/>
      <c r="L767" s="135"/>
    </row>
    <row r="768" spans="2:12" ht="12" customHeight="1" x14ac:dyDescent="0.15">
      <c r="B768" s="2"/>
      <c r="C768" s="4"/>
      <c r="D768" s="4"/>
      <c r="E768" s="4"/>
      <c r="I768" s="135"/>
      <c r="J768" s="135"/>
      <c r="K768" s="135"/>
      <c r="L768" s="135"/>
    </row>
    <row r="769" spans="2:12" ht="12" customHeight="1" x14ac:dyDescent="0.15">
      <c r="B769" s="2"/>
      <c r="C769" s="4"/>
      <c r="D769" s="4"/>
      <c r="E769" s="4"/>
      <c r="I769" s="135"/>
      <c r="J769" s="135"/>
      <c r="K769" s="135"/>
      <c r="L769" s="135"/>
    </row>
    <row r="770" spans="2:12" ht="12" customHeight="1" x14ac:dyDescent="0.15">
      <c r="B770" s="2"/>
      <c r="C770" s="4"/>
      <c r="D770" s="4"/>
      <c r="E770" s="4"/>
      <c r="I770" s="135"/>
      <c r="J770" s="135"/>
      <c r="K770" s="135"/>
      <c r="L770" s="135"/>
    </row>
    <row r="771" spans="2:12" ht="12" customHeight="1" x14ac:dyDescent="0.15">
      <c r="B771" s="2"/>
      <c r="C771" s="4"/>
      <c r="D771" s="4"/>
      <c r="E771" s="4"/>
      <c r="I771" s="135"/>
      <c r="J771" s="135"/>
      <c r="K771" s="135"/>
      <c r="L771" s="135"/>
    </row>
    <row r="772" spans="2:12" ht="12" customHeight="1" x14ac:dyDescent="0.15">
      <c r="B772" s="2"/>
      <c r="C772" s="4"/>
      <c r="D772" s="4"/>
      <c r="E772" s="4"/>
      <c r="I772" s="135"/>
      <c r="J772" s="135"/>
      <c r="K772" s="135"/>
      <c r="L772" s="135"/>
    </row>
    <row r="773" spans="2:12" ht="12" customHeight="1" x14ac:dyDescent="0.15">
      <c r="B773" s="2"/>
      <c r="C773" s="4"/>
      <c r="D773" s="4"/>
      <c r="E773" s="4"/>
      <c r="I773" s="135"/>
      <c r="J773" s="135"/>
      <c r="K773" s="135"/>
      <c r="L773" s="135"/>
    </row>
    <row r="774" spans="2:12" ht="12" customHeight="1" x14ac:dyDescent="0.15">
      <c r="B774" s="2"/>
      <c r="C774" s="4"/>
      <c r="D774" s="4"/>
      <c r="E774" s="4"/>
      <c r="I774" s="135"/>
      <c r="J774" s="135"/>
      <c r="K774" s="135"/>
      <c r="L774" s="135"/>
    </row>
    <row r="775" spans="2:12" ht="12" customHeight="1" x14ac:dyDescent="0.15">
      <c r="B775" s="2"/>
      <c r="C775" s="4"/>
      <c r="D775" s="4"/>
      <c r="E775" s="4"/>
      <c r="I775" s="135"/>
      <c r="J775" s="135"/>
      <c r="K775" s="135"/>
      <c r="L775" s="135"/>
    </row>
    <row r="776" spans="2:12" ht="12" customHeight="1" x14ac:dyDescent="0.15">
      <c r="B776" s="2"/>
      <c r="C776" s="4"/>
      <c r="D776" s="4"/>
      <c r="E776" s="4"/>
      <c r="I776" s="135"/>
      <c r="J776" s="135"/>
      <c r="K776" s="135"/>
      <c r="L776" s="135"/>
    </row>
    <row r="777" spans="2:12" ht="12" customHeight="1" x14ac:dyDescent="0.15">
      <c r="B777" s="2"/>
      <c r="C777" s="4"/>
      <c r="D777" s="4"/>
      <c r="E777" s="4"/>
      <c r="I777" s="135"/>
      <c r="J777" s="135"/>
      <c r="K777" s="135"/>
      <c r="L777" s="135"/>
    </row>
    <row r="778" spans="2:12" ht="12" customHeight="1" x14ac:dyDescent="0.15">
      <c r="B778" s="2"/>
      <c r="C778" s="4"/>
      <c r="D778" s="4"/>
      <c r="E778" s="4"/>
      <c r="I778" s="135"/>
      <c r="J778" s="135"/>
      <c r="K778" s="135"/>
      <c r="L778" s="135"/>
    </row>
    <row r="779" spans="2:12" ht="12" customHeight="1" x14ac:dyDescent="0.15">
      <c r="B779" s="2"/>
      <c r="C779" s="4"/>
      <c r="D779" s="4"/>
      <c r="E779" s="4"/>
      <c r="I779" s="135"/>
      <c r="J779" s="135"/>
      <c r="K779" s="135"/>
      <c r="L779" s="135"/>
    </row>
    <row r="780" spans="2:12" ht="12" customHeight="1" x14ac:dyDescent="0.15">
      <c r="B780" s="2"/>
      <c r="C780" s="4"/>
      <c r="D780" s="4"/>
      <c r="E780" s="4"/>
      <c r="I780" s="135"/>
      <c r="J780" s="135"/>
      <c r="K780" s="135"/>
      <c r="L780" s="135"/>
    </row>
    <row r="781" spans="2:12" ht="12" customHeight="1" x14ac:dyDescent="0.15">
      <c r="B781" s="2"/>
      <c r="C781" s="4"/>
      <c r="D781" s="4"/>
      <c r="E781" s="4"/>
      <c r="I781" s="135"/>
      <c r="J781" s="135"/>
      <c r="K781" s="135"/>
      <c r="L781" s="135"/>
    </row>
    <row r="782" spans="2:12" ht="12" customHeight="1" x14ac:dyDescent="0.15">
      <c r="B782" s="2"/>
      <c r="C782" s="4"/>
      <c r="D782" s="4"/>
      <c r="E782" s="4"/>
      <c r="I782" s="135"/>
      <c r="J782" s="135"/>
      <c r="K782" s="135"/>
      <c r="L782" s="135"/>
    </row>
    <row r="783" spans="2:12" ht="12" customHeight="1" x14ac:dyDescent="0.15">
      <c r="B783" s="2"/>
      <c r="C783" s="4"/>
      <c r="D783" s="4"/>
      <c r="E783" s="4"/>
      <c r="I783" s="135"/>
      <c r="J783" s="135"/>
      <c r="K783" s="135"/>
      <c r="L783" s="135"/>
    </row>
    <row r="784" spans="2:12" ht="12" customHeight="1" x14ac:dyDescent="0.15">
      <c r="B784" s="2"/>
      <c r="C784" s="4"/>
      <c r="D784" s="4"/>
      <c r="E784" s="4"/>
      <c r="I784" s="135"/>
      <c r="J784" s="135"/>
      <c r="K784" s="135"/>
      <c r="L784" s="135"/>
    </row>
    <row r="785" spans="2:12" ht="12" customHeight="1" x14ac:dyDescent="0.15">
      <c r="B785" s="2"/>
      <c r="C785" s="4"/>
      <c r="D785" s="4"/>
      <c r="E785" s="4"/>
      <c r="I785" s="135"/>
      <c r="J785" s="135"/>
      <c r="K785" s="135"/>
      <c r="L785" s="135"/>
    </row>
    <row r="786" spans="2:12" ht="12" customHeight="1" x14ac:dyDescent="0.15">
      <c r="B786" s="2"/>
      <c r="C786" s="4"/>
      <c r="D786" s="4"/>
      <c r="E786" s="4"/>
      <c r="I786" s="135"/>
      <c r="J786" s="135"/>
      <c r="K786" s="135"/>
      <c r="L786" s="135"/>
    </row>
    <row r="787" spans="2:12" ht="12" customHeight="1" x14ac:dyDescent="0.15">
      <c r="B787" s="2"/>
      <c r="C787" s="4"/>
      <c r="D787" s="4"/>
      <c r="E787" s="4"/>
      <c r="I787" s="135"/>
      <c r="J787" s="135"/>
      <c r="K787" s="135"/>
      <c r="L787" s="135"/>
    </row>
    <row r="788" spans="2:12" ht="12" customHeight="1" x14ac:dyDescent="0.15">
      <c r="B788" s="2"/>
      <c r="C788" s="4"/>
      <c r="D788" s="4"/>
      <c r="E788" s="4"/>
      <c r="I788" s="135"/>
      <c r="J788" s="135"/>
      <c r="K788" s="135"/>
      <c r="L788" s="135"/>
    </row>
    <row r="789" spans="2:12" ht="12" customHeight="1" x14ac:dyDescent="0.15">
      <c r="B789" s="2"/>
      <c r="C789" s="4"/>
      <c r="D789" s="4"/>
      <c r="E789" s="4"/>
      <c r="I789" s="135"/>
      <c r="J789" s="135"/>
      <c r="K789" s="135"/>
      <c r="L789" s="135"/>
    </row>
    <row r="790" spans="2:12" ht="12" customHeight="1" x14ac:dyDescent="0.15">
      <c r="B790" s="2"/>
      <c r="C790" s="4"/>
      <c r="D790" s="4"/>
      <c r="E790" s="4"/>
      <c r="I790" s="135"/>
      <c r="J790" s="135"/>
      <c r="K790" s="135"/>
      <c r="L790" s="135"/>
    </row>
    <row r="791" spans="2:12" ht="12" customHeight="1" x14ac:dyDescent="0.15">
      <c r="B791" s="2"/>
      <c r="C791" s="4"/>
      <c r="D791" s="4"/>
      <c r="E791" s="4"/>
      <c r="I791" s="135"/>
      <c r="J791" s="135"/>
      <c r="K791" s="135"/>
      <c r="L791" s="135"/>
    </row>
    <row r="792" spans="2:12" ht="12" customHeight="1" x14ac:dyDescent="0.15">
      <c r="B792" s="2"/>
      <c r="C792" s="4"/>
      <c r="D792" s="4"/>
      <c r="E792" s="4"/>
      <c r="I792" s="135"/>
      <c r="J792" s="135"/>
      <c r="K792" s="135"/>
      <c r="L792" s="135"/>
    </row>
    <row r="793" spans="2:12" ht="12" customHeight="1" x14ac:dyDescent="0.15">
      <c r="B793" s="2"/>
      <c r="C793" s="4"/>
      <c r="D793" s="4"/>
      <c r="E793" s="4"/>
      <c r="I793" s="135"/>
      <c r="J793" s="135"/>
      <c r="K793" s="135"/>
      <c r="L793" s="135"/>
    </row>
    <row r="794" spans="2:12" ht="12" customHeight="1" x14ac:dyDescent="0.15">
      <c r="B794" s="2"/>
      <c r="C794" s="4"/>
      <c r="D794" s="4"/>
      <c r="E794" s="4"/>
      <c r="I794" s="135"/>
      <c r="J794" s="135"/>
      <c r="K794" s="135"/>
      <c r="L794" s="135"/>
    </row>
    <row r="795" spans="2:12" ht="12" customHeight="1" x14ac:dyDescent="0.15">
      <c r="B795" s="2"/>
      <c r="C795" s="4"/>
      <c r="D795" s="4"/>
      <c r="E795" s="4"/>
      <c r="I795" s="135"/>
      <c r="J795" s="135"/>
      <c r="K795" s="135"/>
      <c r="L795" s="135"/>
    </row>
    <row r="796" spans="2:12" ht="12" customHeight="1" x14ac:dyDescent="0.15">
      <c r="B796" s="2"/>
      <c r="C796" s="4"/>
      <c r="D796" s="4"/>
      <c r="E796" s="4"/>
      <c r="I796" s="135"/>
      <c r="J796" s="135"/>
      <c r="K796" s="135"/>
      <c r="L796" s="135"/>
    </row>
    <row r="797" spans="2:12" ht="12" customHeight="1" x14ac:dyDescent="0.15">
      <c r="B797" s="2"/>
      <c r="C797" s="4"/>
      <c r="D797" s="4"/>
      <c r="E797" s="4"/>
      <c r="I797" s="135"/>
      <c r="J797" s="135"/>
      <c r="K797" s="135"/>
      <c r="L797" s="135"/>
    </row>
    <row r="798" spans="2:12" ht="12" customHeight="1" x14ac:dyDescent="0.15">
      <c r="B798" s="2"/>
      <c r="C798" s="4"/>
      <c r="D798" s="4"/>
      <c r="E798" s="4"/>
      <c r="I798" s="135"/>
      <c r="J798" s="135"/>
      <c r="K798" s="135"/>
      <c r="L798" s="135"/>
    </row>
    <row r="799" spans="2:12" ht="12" customHeight="1" x14ac:dyDescent="0.15">
      <c r="B799" s="2"/>
      <c r="C799" s="4"/>
      <c r="D799" s="4"/>
      <c r="E799" s="4"/>
      <c r="I799" s="135"/>
      <c r="J799" s="135"/>
      <c r="K799" s="135"/>
      <c r="L799" s="135"/>
    </row>
    <row r="800" spans="2:12" ht="12" customHeight="1" x14ac:dyDescent="0.15">
      <c r="B800" s="2"/>
      <c r="C800" s="4"/>
      <c r="D800" s="4"/>
      <c r="E800" s="4"/>
      <c r="I800" s="135"/>
      <c r="J800" s="135"/>
      <c r="K800" s="135"/>
      <c r="L800" s="135"/>
    </row>
    <row r="801" spans="2:12" ht="12" customHeight="1" x14ac:dyDescent="0.15">
      <c r="B801" s="2"/>
      <c r="C801" s="4"/>
      <c r="D801" s="4"/>
      <c r="E801" s="4"/>
      <c r="I801" s="135"/>
      <c r="J801" s="135"/>
      <c r="K801" s="135"/>
      <c r="L801" s="135"/>
    </row>
    <row r="802" spans="2:12" ht="12" customHeight="1" x14ac:dyDescent="0.15">
      <c r="B802" s="2"/>
      <c r="C802" s="4"/>
      <c r="D802" s="4"/>
      <c r="E802" s="4"/>
      <c r="I802" s="135"/>
      <c r="J802" s="135"/>
      <c r="K802" s="135"/>
      <c r="L802" s="135"/>
    </row>
    <row r="803" spans="2:12" ht="12" customHeight="1" x14ac:dyDescent="0.15">
      <c r="B803" s="2"/>
      <c r="C803" s="4"/>
      <c r="D803" s="4"/>
      <c r="E803" s="4"/>
      <c r="I803" s="135"/>
      <c r="J803" s="135"/>
      <c r="K803" s="135"/>
      <c r="L803" s="135"/>
    </row>
    <row r="804" spans="2:12" ht="12" customHeight="1" x14ac:dyDescent="0.15">
      <c r="B804" s="2"/>
      <c r="C804" s="4"/>
      <c r="D804" s="4"/>
      <c r="E804" s="4"/>
      <c r="I804" s="135"/>
      <c r="J804" s="135"/>
      <c r="K804" s="135"/>
      <c r="L804" s="135"/>
    </row>
    <row r="805" spans="2:12" ht="12" customHeight="1" x14ac:dyDescent="0.15">
      <c r="B805" s="2"/>
      <c r="C805" s="4"/>
      <c r="D805" s="4"/>
      <c r="E805" s="4"/>
      <c r="I805" s="135"/>
      <c r="J805" s="135"/>
      <c r="K805" s="135"/>
      <c r="L805" s="135"/>
    </row>
    <row r="806" spans="2:12" ht="12" customHeight="1" x14ac:dyDescent="0.15">
      <c r="B806" s="2"/>
      <c r="C806" s="4"/>
      <c r="D806" s="4"/>
      <c r="E806" s="4"/>
      <c r="I806" s="135"/>
      <c r="J806" s="135"/>
      <c r="K806" s="135"/>
      <c r="L806" s="135"/>
    </row>
    <row r="807" spans="2:12" ht="12" customHeight="1" x14ac:dyDescent="0.15">
      <c r="B807" s="2"/>
      <c r="C807" s="4"/>
      <c r="D807" s="4"/>
      <c r="E807" s="4"/>
      <c r="I807" s="135"/>
      <c r="J807" s="135"/>
      <c r="K807" s="135"/>
      <c r="L807" s="135"/>
    </row>
    <row r="808" spans="2:12" ht="12" customHeight="1" x14ac:dyDescent="0.15">
      <c r="B808" s="2"/>
      <c r="C808" s="4"/>
      <c r="D808" s="4"/>
      <c r="E808" s="4"/>
      <c r="I808" s="135"/>
      <c r="J808" s="135"/>
      <c r="K808" s="135"/>
      <c r="L808" s="135"/>
    </row>
    <row r="809" spans="2:12" ht="12" customHeight="1" x14ac:dyDescent="0.15">
      <c r="B809" s="2"/>
      <c r="C809" s="4"/>
      <c r="D809" s="4"/>
      <c r="E809" s="4"/>
      <c r="I809" s="135"/>
      <c r="J809" s="135"/>
      <c r="K809" s="135"/>
      <c r="L809" s="135"/>
    </row>
    <row r="810" spans="2:12" ht="12" customHeight="1" x14ac:dyDescent="0.15">
      <c r="B810" s="2"/>
      <c r="C810" s="4"/>
      <c r="D810" s="4"/>
      <c r="E810" s="4"/>
      <c r="I810" s="135"/>
      <c r="J810" s="135"/>
      <c r="K810" s="135"/>
      <c r="L810" s="135"/>
    </row>
    <row r="811" spans="2:12" ht="12" customHeight="1" x14ac:dyDescent="0.15">
      <c r="B811" s="2"/>
      <c r="C811" s="4"/>
      <c r="D811" s="4"/>
      <c r="E811" s="4"/>
      <c r="I811" s="135"/>
      <c r="J811" s="135"/>
      <c r="K811" s="135"/>
      <c r="L811" s="135"/>
    </row>
    <row r="812" spans="2:12" ht="12" customHeight="1" x14ac:dyDescent="0.15">
      <c r="B812" s="2"/>
      <c r="C812" s="4"/>
      <c r="D812" s="4"/>
      <c r="E812" s="4"/>
      <c r="I812" s="135"/>
      <c r="J812" s="135"/>
      <c r="K812" s="135"/>
      <c r="L812" s="135"/>
    </row>
    <row r="813" spans="2:12" ht="12" customHeight="1" x14ac:dyDescent="0.15">
      <c r="B813" s="2"/>
      <c r="C813" s="4"/>
      <c r="D813" s="4"/>
      <c r="E813" s="4"/>
      <c r="I813" s="135"/>
      <c r="J813" s="135"/>
      <c r="K813" s="135"/>
      <c r="L813" s="135"/>
    </row>
    <row r="814" spans="2:12" ht="12" customHeight="1" x14ac:dyDescent="0.15">
      <c r="B814" s="2"/>
      <c r="C814" s="4"/>
      <c r="D814" s="4"/>
      <c r="E814" s="4"/>
      <c r="I814" s="135"/>
      <c r="J814" s="135"/>
      <c r="K814" s="135"/>
      <c r="L814" s="135"/>
    </row>
    <row r="815" spans="2:12" ht="12" customHeight="1" x14ac:dyDescent="0.15">
      <c r="B815" s="2"/>
      <c r="C815" s="4"/>
      <c r="D815" s="4"/>
      <c r="E815" s="4"/>
      <c r="I815" s="135"/>
      <c r="J815" s="135"/>
      <c r="K815" s="135"/>
      <c r="L815" s="135"/>
    </row>
    <row r="816" spans="2:12" ht="12" customHeight="1" x14ac:dyDescent="0.15">
      <c r="B816" s="2"/>
      <c r="C816" s="4"/>
      <c r="D816" s="4"/>
      <c r="E816" s="4"/>
      <c r="I816" s="135"/>
      <c r="J816" s="135"/>
      <c r="K816" s="135"/>
      <c r="L816" s="135"/>
    </row>
    <row r="817" spans="2:12" ht="12" customHeight="1" x14ac:dyDescent="0.15">
      <c r="B817" s="2"/>
      <c r="C817" s="4"/>
      <c r="D817" s="4"/>
      <c r="E817" s="4"/>
      <c r="I817" s="135"/>
      <c r="J817" s="135"/>
      <c r="K817" s="135"/>
      <c r="L817" s="135"/>
    </row>
    <row r="818" spans="2:12" ht="12" customHeight="1" x14ac:dyDescent="0.15">
      <c r="B818" s="2"/>
      <c r="C818" s="4"/>
      <c r="D818" s="4"/>
      <c r="E818" s="4"/>
      <c r="I818" s="135"/>
      <c r="J818" s="135"/>
      <c r="K818" s="135"/>
      <c r="L818" s="135"/>
    </row>
    <row r="819" spans="2:12" ht="12" customHeight="1" x14ac:dyDescent="0.15">
      <c r="B819" s="2"/>
      <c r="C819" s="4"/>
      <c r="D819" s="4"/>
      <c r="E819" s="4"/>
      <c r="I819" s="135"/>
      <c r="J819" s="135"/>
      <c r="K819" s="135"/>
      <c r="L819" s="135"/>
    </row>
    <row r="820" spans="2:12" ht="12" customHeight="1" x14ac:dyDescent="0.15">
      <c r="B820" s="2"/>
      <c r="C820" s="4"/>
      <c r="D820" s="4"/>
      <c r="E820" s="4"/>
      <c r="I820" s="135"/>
      <c r="J820" s="135"/>
      <c r="K820" s="135"/>
      <c r="L820" s="135"/>
    </row>
    <row r="821" spans="2:12" ht="12" customHeight="1" x14ac:dyDescent="0.15">
      <c r="B821" s="2"/>
      <c r="C821" s="4"/>
      <c r="D821" s="4"/>
      <c r="E821" s="4"/>
      <c r="I821" s="135"/>
      <c r="J821" s="135"/>
      <c r="K821" s="135"/>
      <c r="L821" s="135"/>
    </row>
    <row r="822" spans="2:12" ht="12" customHeight="1" x14ac:dyDescent="0.15">
      <c r="B822" s="2"/>
      <c r="C822" s="4"/>
      <c r="D822" s="4"/>
      <c r="E822" s="4"/>
      <c r="I822" s="135"/>
      <c r="J822" s="135"/>
      <c r="K822" s="135"/>
      <c r="L822" s="135"/>
    </row>
    <row r="823" spans="2:12" ht="12" customHeight="1" x14ac:dyDescent="0.15">
      <c r="B823" s="2"/>
      <c r="C823" s="4"/>
      <c r="D823" s="4"/>
      <c r="E823" s="4"/>
      <c r="I823" s="135"/>
      <c r="J823" s="135"/>
      <c r="K823" s="135"/>
      <c r="L823" s="135"/>
    </row>
    <row r="824" spans="2:12" ht="12" customHeight="1" x14ac:dyDescent="0.15">
      <c r="B824" s="2"/>
      <c r="C824" s="4"/>
      <c r="D824" s="4"/>
      <c r="E824" s="4"/>
      <c r="I824" s="135"/>
      <c r="J824" s="135"/>
      <c r="K824" s="135"/>
      <c r="L824" s="135"/>
    </row>
    <row r="825" spans="2:12" ht="12" customHeight="1" x14ac:dyDescent="0.15">
      <c r="B825" s="2"/>
      <c r="C825" s="4"/>
      <c r="D825" s="4"/>
      <c r="E825" s="4"/>
      <c r="I825" s="135"/>
      <c r="J825" s="135"/>
      <c r="K825" s="135"/>
      <c r="L825" s="135"/>
    </row>
    <row r="826" spans="2:12" ht="12" customHeight="1" x14ac:dyDescent="0.15">
      <c r="B826" s="2"/>
      <c r="C826" s="4"/>
      <c r="D826" s="4"/>
      <c r="E826" s="4"/>
      <c r="I826" s="135"/>
      <c r="J826" s="135"/>
      <c r="K826" s="135"/>
      <c r="L826" s="135"/>
    </row>
    <row r="827" spans="2:12" ht="12" customHeight="1" x14ac:dyDescent="0.15">
      <c r="B827" s="2"/>
      <c r="C827" s="4"/>
      <c r="D827" s="4"/>
      <c r="E827" s="4"/>
      <c r="I827" s="135"/>
      <c r="J827" s="135"/>
      <c r="K827" s="135"/>
      <c r="L827" s="135"/>
    </row>
    <row r="828" spans="2:12" ht="12" customHeight="1" x14ac:dyDescent="0.15">
      <c r="B828" s="2"/>
      <c r="C828" s="4"/>
      <c r="D828" s="4"/>
      <c r="E828" s="4"/>
      <c r="I828" s="135"/>
      <c r="J828" s="135"/>
      <c r="K828" s="135"/>
      <c r="L828" s="135"/>
    </row>
    <row r="829" spans="2:12" ht="12" customHeight="1" x14ac:dyDescent="0.15">
      <c r="B829" s="2"/>
      <c r="C829" s="4"/>
      <c r="D829" s="4"/>
      <c r="E829" s="4"/>
      <c r="I829" s="135"/>
      <c r="J829" s="135"/>
      <c r="K829" s="135"/>
      <c r="L829" s="135"/>
    </row>
    <row r="830" spans="2:12" ht="12" customHeight="1" x14ac:dyDescent="0.15">
      <c r="B830" s="2"/>
      <c r="C830" s="4"/>
      <c r="D830" s="4"/>
      <c r="E830" s="4"/>
      <c r="I830" s="135"/>
      <c r="J830" s="135"/>
      <c r="K830" s="135"/>
      <c r="L830" s="135"/>
    </row>
    <row r="831" spans="2:12" ht="12" customHeight="1" x14ac:dyDescent="0.15">
      <c r="B831" s="2"/>
      <c r="C831" s="4"/>
      <c r="D831" s="4"/>
      <c r="E831" s="4"/>
      <c r="I831" s="135"/>
      <c r="J831" s="135"/>
      <c r="K831" s="135"/>
      <c r="L831" s="135"/>
    </row>
    <row r="832" spans="2:12" ht="12" customHeight="1" x14ac:dyDescent="0.15">
      <c r="B832" s="2"/>
      <c r="C832" s="4"/>
      <c r="D832" s="4"/>
      <c r="E832" s="4"/>
      <c r="I832" s="135"/>
      <c r="J832" s="135"/>
      <c r="K832" s="135"/>
      <c r="L832" s="135"/>
    </row>
    <row r="833" spans="2:12" ht="12" customHeight="1" x14ac:dyDescent="0.15">
      <c r="B833" s="2"/>
      <c r="C833" s="4"/>
      <c r="D833" s="4"/>
      <c r="E833" s="4"/>
      <c r="I833" s="135"/>
      <c r="J833" s="135"/>
      <c r="K833" s="135"/>
      <c r="L833" s="135"/>
    </row>
    <row r="834" spans="2:12" ht="12" customHeight="1" x14ac:dyDescent="0.15">
      <c r="B834" s="2"/>
      <c r="C834" s="4"/>
      <c r="D834" s="4"/>
      <c r="E834" s="4"/>
      <c r="I834" s="135"/>
      <c r="J834" s="135"/>
      <c r="K834" s="135"/>
      <c r="L834" s="135"/>
    </row>
    <row r="835" spans="2:12" ht="12" customHeight="1" x14ac:dyDescent="0.15">
      <c r="B835" s="2"/>
      <c r="C835" s="4"/>
      <c r="D835" s="4"/>
      <c r="E835" s="4"/>
      <c r="I835" s="135"/>
      <c r="J835" s="135"/>
      <c r="K835" s="135"/>
      <c r="L835" s="135"/>
    </row>
    <row r="836" spans="2:12" ht="12" customHeight="1" x14ac:dyDescent="0.15">
      <c r="B836" s="2"/>
      <c r="C836" s="4"/>
      <c r="D836" s="4"/>
      <c r="E836" s="4"/>
      <c r="I836" s="135"/>
      <c r="J836" s="135"/>
      <c r="K836" s="135"/>
      <c r="L836" s="135"/>
    </row>
    <row r="837" spans="2:12" ht="12" customHeight="1" x14ac:dyDescent="0.15">
      <c r="B837" s="2"/>
      <c r="C837" s="4"/>
      <c r="D837" s="4"/>
      <c r="E837" s="4"/>
      <c r="I837" s="135"/>
      <c r="J837" s="135"/>
      <c r="K837" s="135"/>
      <c r="L837" s="135"/>
    </row>
    <row r="838" spans="2:12" ht="12" customHeight="1" x14ac:dyDescent="0.15">
      <c r="B838" s="2"/>
      <c r="C838" s="4"/>
      <c r="D838" s="4"/>
      <c r="E838" s="4"/>
      <c r="I838" s="135"/>
      <c r="J838" s="135"/>
      <c r="K838" s="135"/>
      <c r="L838" s="135"/>
    </row>
    <row r="839" spans="2:12" ht="12" customHeight="1" x14ac:dyDescent="0.15">
      <c r="B839" s="2"/>
      <c r="C839" s="4"/>
      <c r="D839" s="4"/>
      <c r="E839" s="4"/>
      <c r="I839" s="135"/>
      <c r="J839" s="135"/>
      <c r="K839" s="135"/>
      <c r="L839" s="135"/>
    </row>
    <row r="840" spans="2:12" ht="12" customHeight="1" x14ac:dyDescent="0.15">
      <c r="B840" s="2"/>
      <c r="C840" s="4"/>
      <c r="D840" s="4"/>
      <c r="E840" s="4"/>
      <c r="I840" s="135"/>
      <c r="J840" s="135"/>
      <c r="K840" s="135"/>
      <c r="L840" s="135"/>
    </row>
    <row r="841" spans="2:12" ht="12" customHeight="1" x14ac:dyDescent="0.15">
      <c r="B841" s="2"/>
      <c r="C841" s="4"/>
      <c r="D841" s="4"/>
      <c r="E841" s="4"/>
      <c r="I841" s="135"/>
      <c r="J841" s="135"/>
      <c r="K841" s="135"/>
      <c r="L841" s="135"/>
    </row>
    <row r="842" spans="2:12" ht="12" customHeight="1" x14ac:dyDescent="0.15">
      <c r="B842" s="2"/>
      <c r="C842" s="4"/>
      <c r="D842" s="4"/>
      <c r="E842" s="4"/>
      <c r="I842" s="135"/>
      <c r="J842" s="135"/>
      <c r="K842" s="135"/>
      <c r="L842" s="135"/>
    </row>
    <row r="843" spans="2:12" ht="12" customHeight="1" x14ac:dyDescent="0.15">
      <c r="B843" s="2"/>
      <c r="C843" s="4"/>
      <c r="D843" s="4"/>
      <c r="E843" s="4"/>
      <c r="I843" s="135"/>
      <c r="J843" s="135"/>
      <c r="K843" s="135"/>
      <c r="L843" s="135"/>
    </row>
    <row r="844" spans="2:12" ht="12" customHeight="1" x14ac:dyDescent="0.15">
      <c r="B844" s="2"/>
      <c r="C844" s="4"/>
      <c r="D844" s="4"/>
      <c r="E844" s="4"/>
      <c r="I844" s="135"/>
      <c r="J844" s="135"/>
      <c r="K844" s="135"/>
      <c r="L844" s="135"/>
    </row>
    <row r="845" spans="2:12" ht="12" customHeight="1" x14ac:dyDescent="0.15">
      <c r="B845" s="2"/>
      <c r="C845" s="4"/>
      <c r="D845" s="4"/>
      <c r="E845" s="4"/>
      <c r="I845" s="135"/>
      <c r="J845" s="135"/>
      <c r="K845" s="135"/>
      <c r="L845" s="135"/>
    </row>
    <row r="846" spans="2:12" ht="12" customHeight="1" x14ac:dyDescent="0.15">
      <c r="B846" s="2"/>
      <c r="C846" s="4"/>
      <c r="D846" s="4"/>
      <c r="E846" s="4"/>
      <c r="I846" s="135"/>
      <c r="J846" s="135"/>
      <c r="K846" s="135"/>
      <c r="L846" s="135"/>
    </row>
    <row r="847" spans="2:12" ht="12" customHeight="1" x14ac:dyDescent="0.15">
      <c r="B847" s="2"/>
      <c r="C847" s="4"/>
      <c r="D847" s="4"/>
      <c r="E847" s="4"/>
      <c r="I847" s="135"/>
      <c r="J847" s="135"/>
      <c r="K847" s="135"/>
      <c r="L847" s="135"/>
    </row>
    <row r="848" spans="2:12" ht="12" customHeight="1" x14ac:dyDescent="0.15">
      <c r="B848" s="2"/>
      <c r="C848" s="4"/>
      <c r="D848" s="4"/>
      <c r="E848" s="4"/>
      <c r="I848" s="135"/>
      <c r="J848" s="135"/>
      <c r="K848" s="135"/>
      <c r="L848" s="135"/>
    </row>
    <row r="849" spans="2:12" ht="12" customHeight="1" x14ac:dyDescent="0.15">
      <c r="B849" s="2"/>
      <c r="C849" s="4"/>
      <c r="D849" s="4"/>
      <c r="E849" s="4"/>
      <c r="I849" s="135"/>
      <c r="J849" s="135"/>
      <c r="K849" s="135"/>
      <c r="L849" s="135"/>
    </row>
    <row r="850" spans="2:12" ht="12" customHeight="1" x14ac:dyDescent="0.15">
      <c r="B850" s="2"/>
      <c r="C850" s="4"/>
      <c r="D850" s="4"/>
      <c r="E850" s="4"/>
      <c r="I850" s="135"/>
      <c r="J850" s="135"/>
      <c r="K850" s="135"/>
      <c r="L850" s="135"/>
    </row>
    <row r="851" spans="2:12" ht="12" customHeight="1" x14ac:dyDescent="0.15">
      <c r="B851" s="2"/>
      <c r="C851" s="4"/>
      <c r="D851" s="4"/>
      <c r="E851" s="4"/>
      <c r="I851" s="135"/>
      <c r="J851" s="135"/>
      <c r="K851" s="135"/>
      <c r="L851" s="135"/>
    </row>
    <row r="852" spans="2:12" ht="12" customHeight="1" x14ac:dyDescent="0.15">
      <c r="B852" s="2"/>
      <c r="C852" s="4"/>
      <c r="D852" s="4"/>
      <c r="E852" s="4"/>
      <c r="I852" s="135"/>
      <c r="J852" s="135"/>
      <c r="K852" s="135"/>
      <c r="L852" s="135"/>
    </row>
    <row r="853" spans="2:12" ht="12" customHeight="1" x14ac:dyDescent="0.15">
      <c r="B853" s="2"/>
      <c r="C853" s="4"/>
      <c r="D853" s="4"/>
      <c r="E853" s="4"/>
      <c r="I853" s="135"/>
      <c r="J853" s="135"/>
      <c r="K853" s="135"/>
      <c r="L853" s="135"/>
    </row>
    <row r="854" spans="2:12" ht="12" customHeight="1" x14ac:dyDescent="0.15">
      <c r="B854" s="2"/>
      <c r="C854" s="4"/>
      <c r="D854" s="4"/>
      <c r="E854" s="4"/>
      <c r="I854" s="135"/>
      <c r="J854" s="135"/>
      <c r="K854" s="135"/>
      <c r="L854" s="135"/>
    </row>
    <row r="855" spans="2:12" ht="12" customHeight="1" x14ac:dyDescent="0.15">
      <c r="B855" s="2"/>
      <c r="C855" s="4"/>
      <c r="D855" s="4"/>
      <c r="E855" s="4"/>
      <c r="I855" s="135"/>
      <c r="J855" s="135"/>
      <c r="K855" s="135"/>
      <c r="L855" s="135"/>
    </row>
    <row r="856" spans="2:12" ht="12" customHeight="1" x14ac:dyDescent="0.15">
      <c r="B856" s="2"/>
      <c r="C856" s="4"/>
      <c r="D856" s="4"/>
      <c r="E856" s="4"/>
      <c r="I856" s="135"/>
      <c r="J856" s="135"/>
      <c r="K856" s="135"/>
      <c r="L856" s="135"/>
    </row>
    <row r="857" spans="2:12" ht="12" customHeight="1" x14ac:dyDescent="0.15">
      <c r="B857" s="2"/>
      <c r="C857" s="4"/>
      <c r="D857" s="4"/>
      <c r="E857" s="4"/>
      <c r="I857" s="135"/>
      <c r="J857" s="135"/>
      <c r="K857" s="135"/>
      <c r="L857" s="135"/>
    </row>
    <row r="858" spans="2:12" ht="12" customHeight="1" x14ac:dyDescent="0.15">
      <c r="B858" s="2"/>
      <c r="C858" s="4"/>
      <c r="D858" s="4"/>
      <c r="E858" s="4"/>
      <c r="I858" s="135"/>
      <c r="J858" s="135"/>
      <c r="K858" s="135"/>
      <c r="L858" s="135"/>
    </row>
    <row r="859" spans="2:12" ht="12" customHeight="1" x14ac:dyDescent="0.15">
      <c r="B859" s="2"/>
      <c r="C859" s="4"/>
      <c r="D859" s="4"/>
      <c r="E859" s="4"/>
      <c r="I859" s="135"/>
      <c r="J859" s="135"/>
      <c r="K859" s="135"/>
      <c r="L859" s="135"/>
    </row>
    <row r="860" spans="2:12" ht="12" customHeight="1" x14ac:dyDescent="0.15">
      <c r="B860" s="2"/>
      <c r="C860" s="4"/>
      <c r="D860" s="4"/>
      <c r="E860" s="4"/>
      <c r="I860" s="135"/>
      <c r="J860" s="135"/>
      <c r="K860" s="135"/>
      <c r="L860" s="135"/>
    </row>
    <row r="861" spans="2:12" ht="12" customHeight="1" x14ac:dyDescent="0.15">
      <c r="B861" s="2"/>
      <c r="C861" s="4"/>
      <c r="D861" s="4"/>
      <c r="E861" s="4"/>
      <c r="I861" s="135"/>
      <c r="J861" s="135"/>
      <c r="K861" s="135"/>
      <c r="L861" s="135"/>
    </row>
    <row r="862" spans="2:12" ht="12" customHeight="1" x14ac:dyDescent="0.15">
      <c r="B862" s="2"/>
      <c r="C862" s="4"/>
      <c r="D862" s="4"/>
      <c r="E862" s="4"/>
      <c r="I862" s="135"/>
      <c r="J862" s="135"/>
      <c r="K862" s="135"/>
      <c r="L862" s="135"/>
    </row>
    <row r="863" spans="2:12" ht="12" customHeight="1" x14ac:dyDescent="0.15">
      <c r="B863" s="2"/>
      <c r="C863" s="4"/>
      <c r="D863" s="4"/>
      <c r="E863" s="4"/>
      <c r="I863" s="135"/>
      <c r="J863" s="135"/>
      <c r="K863" s="135"/>
      <c r="L863" s="135"/>
    </row>
    <row r="864" spans="2:12" ht="12" customHeight="1" x14ac:dyDescent="0.15">
      <c r="B864" s="2"/>
      <c r="C864" s="4"/>
      <c r="D864" s="4"/>
      <c r="E864" s="4"/>
      <c r="I864" s="135"/>
      <c r="J864" s="135"/>
      <c r="K864" s="135"/>
      <c r="L864" s="135"/>
    </row>
    <row r="865" spans="2:12" ht="12" customHeight="1" x14ac:dyDescent="0.15">
      <c r="B865" s="2"/>
      <c r="C865" s="4"/>
      <c r="D865" s="4"/>
      <c r="E865" s="4"/>
      <c r="I865" s="135"/>
      <c r="J865" s="135"/>
      <c r="K865" s="135"/>
      <c r="L865" s="135"/>
    </row>
    <row r="866" spans="2:12" ht="12" customHeight="1" x14ac:dyDescent="0.15">
      <c r="B866" s="2"/>
      <c r="C866" s="4"/>
      <c r="D866" s="4"/>
      <c r="E866" s="4"/>
      <c r="I866" s="135"/>
      <c r="J866" s="135"/>
      <c r="K866" s="135"/>
      <c r="L866" s="135"/>
    </row>
    <row r="867" spans="2:12" ht="12" customHeight="1" x14ac:dyDescent="0.15">
      <c r="B867" s="2"/>
      <c r="C867" s="4"/>
      <c r="D867" s="4"/>
      <c r="E867" s="4"/>
      <c r="I867" s="135"/>
      <c r="J867" s="135"/>
      <c r="K867" s="135"/>
      <c r="L867" s="135"/>
    </row>
    <row r="868" spans="2:12" ht="12" customHeight="1" x14ac:dyDescent="0.15">
      <c r="B868" s="2"/>
      <c r="C868" s="4"/>
      <c r="D868" s="4"/>
      <c r="E868" s="4"/>
      <c r="I868" s="135"/>
      <c r="J868" s="135"/>
      <c r="K868" s="135"/>
      <c r="L868" s="135"/>
    </row>
    <row r="869" spans="2:12" ht="12" customHeight="1" x14ac:dyDescent="0.15">
      <c r="B869" s="2"/>
      <c r="C869" s="4"/>
      <c r="D869" s="4"/>
      <c r="E869" s="4"/>
      <c r="I869" s="135"/>
      <c r="J869" s="135"/>
      <c r="K869" s="135"/>
      <c r="L869" s="135"/>
    </row>
    <row r="870" spans="2:12" ht="12" customHeight="1" x14ac:dyDescent="0.15">
      <c r="B870" s="2"/>
      <c r="C870" s="4"/>
      <c r="D870" s="4"/>
      <c r="E870" s="4"/>
      <c r="I870" s="135"/>
      <c r="J870" s="135"/>
      <c r="K870" s="135"/>
      <c r="L870" s="135"/>
    </row>
    <row r="871" spans="2:12" ht="12" customHeight="1" x14ac:dyDescent="0.15">
      <c r="B871" s="2"/>
      <c r="C871" s="4"/>
      <c r="D871" s="4"/>
      <c r="E871" s="4"/>
      <c r="I871" s="135"/>
      <c r="J871" s="135"/>
      <c r="K871" s="135"/>
      <c r="L871" s="135"/>
    </row>
    <row r="872" spans="2:12" ht="12" customHeight="1" x14ac:dyDescent="0.15">
      <c r="B872" s="2"/>
      <c r="C872" s="4"/>
      <c r="D872" s="4"/>
      <c r="E872" s="4"/>
      <c r="I872" s="135"/>
      <c r="J872" s="135"/>
      <c r="K872" s="135"/>
      <c r="L872" s="135"/>
    </row>
    <row r="873" spans="2:12" ht="12" customHeight="1" x14ac:dyDescent="0.15">
      <c r="B873" s="2"/>
      <c r="C873" s="4"/>
      <c r="D873" s="4"/>
      <c r="E873" s="4"/>
      <c r="I873" s="135"/>
      <c r="J873" s="135"/>
      <c r="K873" s="135"/>
      <c r="L873" s="135"/>
    </row>
    <row r="874" spans="2:12" ht="12" customHeight="1" x14ac:dyDescent="0.15">
      <c r="B874" s="2"/>
      <c r="C874" s="4"/>
      <c r="D874" s="4"/>
      <c r="E874" s="4"/>
      <c r="I874" s="135"/>
      <c r="J874" s="135"/>
      <c r="K874" s="135"/>
      <c r="L874" s="135"/>
    </row>
    <row r="875" spans="2:12" ht="12" customHeight="1" x14ac:dyDescent="0.15">
      <c r="B875" s="2"/>
      <c r="C875" s="4"/>
      <c r="D875" s="4"/>
      <c r="E875" s="4"/>
      <c r="I875" s="135"/>
      <c r="J875" s="135"/>
      <c r="K875" s="135"/>
      <c r="L875" s="135"/>
    </row>
    <row r="876" spans="2:12" ht="12" customHeight="1" x14ac:dyDescent="0.15">
      <c r="B876" s="2"/>
      <c r="C876" s="4"/>
      <c r="D876" s="4"/>
      <c r="E876" s="4"/>
      <c r="I876" s="135"/>
      <c r="J876" s="135"/>
      <c r="K876" s="135"/>
      <c r="L876" s="135"/>
    </row>
    <row r="877" spans="2:12" ht="12" customHeight="1" x14ac:dyDescent="0.15">
      <c r="B877" s="2"/>
      <c r="C877" s="4"/>
      <c r="D877" s="4"/>
      <c r="E877" s="4"/>
      <c r="I877" s="135"/>
      <c r="J877" s="135"/>
      <c r="K877" s="135"/>
      <c r="L877" s="135"/>
    </row>
    <row r="878" spans="2:12" ht="12" customHeight="1" x14ac:dyDescent="0.15">
      <c r="B878" s="2"/>
      <c r="C878" s="4"/>
      <c r="D878" s="4"/>
      <c r="E878" s="4"/>
      <c r="I878" s="135"/>
      <c r="J878" s="135"/>
      <c r="K878" s="135"/>
      <c r="L878" s="135"/>
    </row>
    <row r="879" spans="2:12" ht="12" customHeight="1" x14ac:dyDescent="0.15">
      <c r="B879" s="2"/>
      <c r="C879" s="4"/>
      <c r="D879" s="4"/>
      <c r="E879" s="4"/>
      <c r="I879" s="135"/>
      <c r="J879" s="135"/>
      <c r="K879" s="135"/>
      <c r="L879" s="135"/>
    </row>
    <row r="880" spans="2:12" ht="12" customHeight="1" x14ac:dyDescent="0.15">
      <c r="B880" s="2"/>
      <c r="C880" s="4"/>
      <c r="D880" s="4"/>
      <c r="E880" s="4"/>
      <c r="I880" s="135"/>
      <c r="J880" s="135"/>
      <c r="K880" s="135"/>
      <c r="L880" s="135"/>
    </row>
    <row r="881" spans="2:12" ht="12" customHeight="1" x14ac:dyDescent="0.15">
      <c r="B881" s="2"/>
      <c r="C881" s="4"/>
      <c r="D881" s="4"/>
      <c r="E881" s="4"/>
      <c r="I881" s="135"/>
      <c r="J881" s="135"/>
      <c r="K881" s="135"/>
      <c r="L881" s="135"/>
    </row>
    <row r="882" spans="2:12" ht="12" customHeight="1" x14ac:dyDescent="0.15">
      <c r="B882" s="2"/>
      <c r="C882" s="4"/>
      <c r="D882" s="4"/>
      <c r="E882" s="4"/>
      <c r="I882" s="135"/>
      <c r="J882" s="135"/>
      <c r="K882" s="135"/>
      <c r="L882" s="135"/>
    </row>
    <row r="883" spans="2:12" ht="12" customHeight="1" x14ac:dyDescent="0.15">
      <c r="B883" s="2"/>
      <c r="C883" s="4"/>
      <c r="D883" s="4"/>
      <c r="E883" s="4"/>
      <c r="I883" s="135"/>
      <c r="J883" s="135"/>
      <c r="K883" s="135"/>
      <c r="L883" s="135"/>
    </row>
    <row r="884" spans="2:12" ht="12" customHeight="1" x14ac:dyDescent="0.15">
      <c r="B884" s="2"/>
      <c r="C884" s="4"/>
      <c r="D884" s="4"/>
      <c r="E884" s="4"/>
      <c r="I884" s="135"/>
      <c r="J884" s="135"/>
      <c r="K884" s="135"/>
      <c r="L884" s="135"/>
    </row>
    <row r="885" spans="2:12" ht="12" customHeight="1" x14ac:dyDescent="0.15">
      <c r="B885" s="2"/>
      <c r="C885" s="4"/>
      <c r="D885" s="4"/>
      <c r="E885" s="4"/>
      <c r="I885" s="135"/>
      <c r="J885" s="135"/>
      <c r="K885" s="135"/>
      <c r="L885" s="135"/>
    </row>
    <row r="886" spans="2:12" ht="12" customHeight="1" x14ac:dyDescent="0.15">
      <c r="B886" s="2"/>
      <c r="C886" s="4"/>
      <c r="D886" s="4"/>
      <c r="E886" s="4"/>
      <c r="I886" s="135"/>
      <c r="J886" s="135"/>
      <c r="K886" s="135"/>
      <c r="L886" s="135"/>
    </row>
    <row r="887" spans="2:12" ht="12" customHeight="1" x14ac:dyDescent="0.15">
      <c r="B887" s="2"/>
      <c r="C887" s="4"/>
      <c r="D887" s="4"/>
      <c r="E887" s="4"/>
      <c r="I887" s="135"/>
      <c r="J887" s="135"/>
      <c r="K887" s="135"/>
      <c r="L887" s="135"/>
    </row>
    <row r="888" spans="2:12" ht="12" customHeight="1" x14ac:dyDescent="0.15">
      <c r="B888" s="2"/>
      <c r="C888" s="4"/>
      <c r="D888" s="4"/>
      <c r="E888" s="4"/>
      <c r="I888" s="135"/>
      <c r="J888" s="135"/>
      <c r="K888" s="135"/>
      <c r="L888" s="135"/>
    </row>
    <row r="889" spans="2:12" ht="12" customHeight="1" x14ac:dyDescent="0.15">
      <c r="B889" s="2"/>
      <c r="C889" s="4"/>
      <c r="D889" s="4"/>
      <c r="E889" s="4"/>
      <c r="I889" s="135"/>
      <c r="J889" s="135"/>
      <c r="K889" s="135"/>
      <c r="L889" s="135"/>
    </row>
    <row r="890" spans="2:12" ht="12" customHeight="1" x14ac:dyDescent="0.15">
      <c r="B890" s="2"/>
      <c r="C890" s="4"/>
      <c r="D890" s="4"/>
      <c r="E890" s="4"/>
      <c r="I890" s="135"/>
      <c r="J890" s="135"/>
      <c r="K890" s="135"/>
      <c r="L890" s="135"/>
    </row>
    <row r="891" spans="2:12" ht="12" customHeight="1" x14ac:dyDescent="0.15">
      <c r="B891" s="2"/>
      <c r="C891" s="4"/>
      <c r="D891" s="4"/>
      <c r="E891" s="4"/>
      <c r="I891" s="135"/>
      <c r="J891" s="135"/>
      <c r="K891" s="135"/>
      <c r="L891" s="135"/>
    </row>
    <row r="892" spans="2:12" ht="12" customHeight="1" x14ac:dyDescent="0.15">
      <c r="B892" s="2"/>
      <c r="C892" s="4"/>
      <c r="D892" s="4"/>
      <c r="E892" s="4"/>
      <c r="I892" s="135"/>
      <c r="J892" s="135"/>
      <c r="K892" s="135"/>
      <c r="L892" s="135"/>
    </row>
    <row r="893" spans="2:12" ht="12" customHeight="1" x14ac:dyDescent="0.15">
      <c r="B893" s="2"/>
      <c r="C893" s="4"/>
      <c r="D893" s="4"/>
      <c r="E893" s="4"/>
      <c r="I893" s="135"/>
      <c r="J893" s="135"/>
      <c r="K893" s="135"/>
      <c r="L893" s="135"/>
    </row>
    <row r="894" spans="2:12" ht="12" customHeight="1" x14ac:dyDescent="0.15">
      <c r="B894" s="2"/>
      <c r="C894" s="4"/>
      <c r="D894" s="4"/>
      <c r="E894" s="4"/>
      <c r="I894" s="135"/>
      <c r="J894" s="135"/>
      <c r="K894" s="135"/>
      <c r="L894" s="135"/>
    </row>
    <row r="895" spans="2:12" ht="12" customHeight="1" x14ac:dyDescent="0.15">
      <c r="B895" s="2"/>
      <c r="C895" s="4"/>
      <c r="D895" s="4"/>
      <c r="E895" s="4"/>
      <c r="I895" s="135"/>
      <c r="J895" s="135"/>
      <c r="K895" s="135"/>
      <c r="L895" s="135"/>
    </row>
    <row r="896" spans="2:12" ht="12" customHeight="1" x14ac:dyDescent="0.15">
      <c r="B896" s="2"/>
      <c r="C896" s="4"/>
      <c r="D896" s="4"/>
      <c r="E896" s="4"/>
      <c r="I896" s="135"/>
      <c r="J896" s="135"/>
      <c r="K896" s="135"/>
      <c r="L896" s="135"/>
    </row>
    <row r="897" spans="2:12" ht="12" customHeight="1" x14ac:dyDescent="0.15">
      <c r="B897" s="2"/>
      <c r="C897" s="4"/>
      <c r="D897" s="4"/>
      <c r="E897" s="4"/>
      <c r="I897" s="135"/>
      <c r="J897" s="135"/>
      <c r="K897" s="135"/>
      <c r="L897" s="135"/>
    </row>
    <row r="898" spans="2:12" ht="12" customHeight="1" x14ac:dyDescent="0.15">
      <c r="B898" s="2"/>
      <c r="C898" s="4"/>
      <c r="D898" s="4"/>
      <c r="E898" s="4"/>
      <c r="I898" s="135"/>
      <c r="J898" s="135"/>
      <c r="K898" s="135"/>
      <c r="L898" s="135"/>
    </row>
    <row r="899" spans="2:12" ht="12" customHeight="1" x14ac:dyDescent="0.15">
      <c r="B899" s="2"/>
      <c r="C899" s="4"/>
      <c r="D899" s="4"/>
      <c r="E899" s="4"/>
      <c r="I899" s="135"/>
      <c r="J899" s="135"/>
      <c r="K899" s="135"/>
      <c r="L899" s="135"/>
    </row>
    <row r="900" spans="2:12" ht="12" customHeight="1" x14ac:dyDescent="0.15">
      <c r="B900" s="2"/>
      <c r="C900" s="4"/>
      <c r="D900" s="4"/>
      <c r="E900" s="4"/>
      <c r="I900" s="135"/>
      <c r="J900" s="135"/>
      <c r="K900" s="135"/>
      <c r="L900" s="135"/>
    </row>
    <row r="901" spans="2:12" ht="12" customHeight="1" x14ac:dyDescent="0.15">
      <c r="B901" s="2"/>
      <c r="C901" s="4"/>
      <c r="D901" s="4"/>
      <c r="E901" s="4"/>
      <c r="I901" s="135"/>
      <c r="J901" s="135"/>
      <c r="K901" s="135"/>
      <c r="L901" s="135"/>
    </row>
    <row r="902" spans="2:12" ht="12" customHeight="1" x14ac:dyDescent="0.15">
      <c r="B902" s="2"/>
      <c r="C902" s="4"/>
      <c r="D902" s="4"/>
      <c r="E902" s="4"/>
      <c r="I902" s="135"/>
      <c r="J902" s="135"/>
      <c r="K902" s="135"/>
      <c r="L902" s="135"/>
    </row>
    <row r="903" spans="2:12" ht="12" customHeight="1" x14ac:dyDescent="0.15">
      <c r="B903" s="2"/>
      <c r="C903" s="4"/>
      <c r="D903" s="4"/>
      <c r="E903" s="4"/>
      <c r="I903" s="135"/>
      <c r="J903" s="135"/>
      <c r="K903" s="135"/>
      <c r="L903" s="135"/>
    </row>
    <row r="904" spans="2:12" ht="12" customHeight="1" x14ac:dyDescent="0.15">
      <c r="B904" s="2"/>
      <c r="C904" s="4"/>
      <c r="D904" s="4"/>
      <c r="E904" s="4"/>
      <c r="I904" s="135"/>
      <c r="J904" s="135"/>
      <c r="K904" s="135"/>
      <c r="L904" s="135"/>
    </row>
    <row r="905" spans="2:12" ht="12" customHeight="1" x14ac:dyDescent="0.15">
      <c r="B905" s="2"/>
      <c r="C905" s="4"/>
      <c r="D905" s="4"/>
      <c r="E905" s="4"/>
      <c r="I905" s="135"/>
      <c r="J905" s="135"/>
      <c r="K905" s="135"/>
      <c r="L905" s="135"/>
    </row>
    <row r="906" spans="2:12" ht="12" customHeight="1" x14ac:dyDescent="0.15">
      <c r="B906" s="2"/>
      <c r="C906" s="4"/>
      <c r="D906" s="4"/>
      <c r="E906" s="4"/>
      <c r="I906" s="135"/>
      <c r="J906" s="135"/>
      <c r="K906" s="135"/>
      <c r="L906" s="135"/>
    </row>
    <row r="907" spans="2:12" ht="12" customHeight="1" x14ac:dyDescent="0.15">
      <c r="B907" s="2"/>
      <c r="C907" s="4"/>
      <c r="D907" s="4"/>
      <c r="E907" s="4"/>
      <c r="I907" s="135"/>
      <c r="J907" s="135"/>
      <c r="K907" s="135"/>
      <c r="L907" s="135"/>
    </row>
    <row r="908" spans="2:12" ht="12" customHeight="1" x14ac:dyDescent="0.15">
      <c r="B908" s="2"/>
      <c r="C908" s="4"/>
      <c r="D908" s="4"/>
      <c r="E908" s="4"/>
      <c r="I908" s="135"/>
      <c r="J908" s="135"/>
      <c r="K908" s="135"/>
      <c r="L908" s="135"/>
    </row>
    <row r="909" spans="2:12" ht="12" customHeight="1" x14ac:dyDescent="0.15">
      <c r="B909" s="2"/>
      <c r="C909" s="4"/>
      <c r="D909" s="4"/>
      <c r="E909" s="4"/>
      <c r="I909" s="135"/>
      <c r="J909" s="135"/>
      <c r="K909" s="135"/>
      <c r="L909" s="135"/>
    </row>
    <row r="910" spans="2:12" ht="12" customHeight="1" x14ac:dyDescent="0.15">
      <c r="B910" s="2"/>
      <c r="C910" s="4"/>
      <c r="D910" s="4"/>
      <c r="E910" s="4"/>
      <c r="I910" s="135"/>
      <c r="J910" s="135"/>
      <c r="K910" s="135"/>
      <c r="L910" s="135"/>
    </row>
    <row r="911" spans="2:12" ht="12" customHeight="1" x14ac:dyDescent="0.15">
      <c r="B911" s="2"/>
      <c r="C911" s="4"/>
      <c r="D911" s="4"/>
      <c r="E911" s="4"/>
      <c r="I911" s="135"/>
      <c r="J911" s="135"/>
      <c r="K911" s="135"/>
      <c r="L911" s="135"/>
    </row>
    <row r="912" spans="2:12" ht="12" customHeight="1" x14ac:dyDescent="0.15">
      <c r="B912" s="2"/>
      <c r="C912" s="4"/>
      <c r="D912" s="4"/>
      <c r="E912" s="4"/>
      <c r="I912" s="135"/>
      <c r="J912" s="135"/>
      <c r="K912" s="135"/>
      <c r="L912" s="135"/>
    </row>
    <row r="913" spans="2:12" ht="12" customHeight="1" x14ac:dyDescent="0.15">
      <c r="B913" s="2"/>
      <c r="C913" s="4"/>
      <c r="D913" s="4"/>
      <c r="E913" s="4"/>
      <c r="I913" s="135"/>
      <c r="J913" s="135"/>
      <c r="K913" s="135"/>
      <c r="L913" s="135"/>
    </row>
    <row r="914" spans="2:12" ht="12" customHeight="1" x14ac:dyDescent="0.15">
      <c r="B914" s="2"/>
      <c r="C914" s="4"/>
      <c r="D914" s="4"/>
      <c r="E914" s="4"/>
      <c r="I914" s="135"/>
      <c r="J914" s="135"/>
      <c r="K914" s="135"/>
      <c r="L914" s="135"/>
    </row>
    <row r="915" spans="2:12" ht="12" customHeight="1" x14ac:dyDescent="0.15">
      <c r="B915" s="2"/>
      <c r="C915" s="4"/>
      <c r="D915" s="4"/>
      <c r="E915" s="4"/>
      <c r="I915" s="135"/>
      <c r="J915" s="135"/>
      <c r="K915" s="135"/>
      <c r="L915" s="135"/>
    </row>
    <row r="916" spans="2:12" ht="12" customHeight="1" x14ac:dyDescent="0.15">
      <c r="B916" s="2"/>
      <c r="C916" s="4"/>
      <c r="D916" s="4"/>
      <c r="E916" s="4"/>
      <c r="I916" s="135"/>
      <c r="J916" s="135"/>
      <c r="K916" s="135"/>
      <c r="L916" s="135"/>
    </row>
    <row r="917" spans="2:12" ht="12" customHeight="1" x14ac:dyDescent="0.15">
      <c r="B917" s="2"/>
      <c r="C917" s="4"/>
      <c r="D917" s="4"/>
      <c r="E917" s="4"/>
      <c r="I917" s="135"/>
      <c r="J917" s="135"/>
      <c r="K917" s="135"/>
      <c r="L917" s="135"/>
    </row>
    <row r="918" spans="2:12" ht="12" customHeight="1" x14ac:dyDescent="0.15">
      <c r="B918" s="2"/>
      <c r="C918" s="4"/>
      <c r="D918" s="4"/>
      <c r="E918" s="4"/>
      <c r="I918" s="135"/>
      <c r="J918" s="135"/>
      <c r="K918" s="135"/>
      <c r="L918" s="135"/>
    </row>
    <row r="919" spans="2:12" ht="12" customHeight="1" x14ac:dyDescent="0.15">
      <c r="B919" s="2"/>
      <c r="C919" s="4"/>
      <c r="D919" s="4"/>
      <c r="E919" s="4"/>
      <c r="I919" s="135"/>
      <c r="J919" s="135"/>
      <c r="K919" s="135"/>
      <c r="L919" s="135"/>
    </row>
    <row r="920" spans="2:12" ht="12" customHeight="1" x14ac:dyDescent="0.15">
      <c r="B920" s="2"/>
      <c r="C920" s="4"/>
      <c r="D920" s="4"/>
      <c r="E920" s="4"/>
      <c r="I920" s="135"/>
      <c r="J920" s="135"/>
      <c r="K920" s="135"/>
      <c r="L920" s="135"/>
    </row>
    <row r="921" spans="2:12" ht="12" customHeight="1" x14ac:dyDescent="0.15">
      <c r="B921" s="2"/>
      <c r="C921" s="4"/>
      <c r="D921" s="4"/>
      <c r="E921" s="4"/>
      <c r="I921" s="135"/>
      <c r="J921" s="135"/>
      <c r="K921" s="135"/>
      <c r="L921" s="135"/>
    </row>
    <row r="922" spans="2:12" ht="12" customHeight="1" x14ac:dyDescent="0.15">
      <c r="B922" s="2"/>
      <c r="C922" s="4"/>
      <c r="D922" s="4"/>
      <c r="E922" s="4"/>
      <c r="I922" s="135"/>
      <c r="J922" s="135"/>
      <c r="K922" s="135"/>
      <c r="L922" s="135"/>
    </row>
    <row r="923" spans="2:12" ht="12" customHeight="1" x14ac:dyDescent="0.15">
      <c r="B923" s="2"/>
      <c r="C923" s="4"/>
      <c r="D923" s="4"/>
      <c r="E923" s="4"/>
      <c r="I923" s="135"/>
      <c r="J923" s="135"/>
      <c r="K923" s="135"/>
      <c r="L923" s="135"/>
    </row>
    <row r="924" spans="2:12" ht="12" customHeight="1" x14ac:dyDescent="0.15">
      <c r="B924" s="2"/>
      <c r="C924" s="4"/>
      <c r="D924" s="4"/>
      <c r="E924" s="4"/>
      <c r="I924" s="135"/>
      <c r="J924" s="135"/>
      <c r="K924" s="135"/>
      <c r="L924" s="135"/>
    </row>
    <row r="925" spans="2:12" ht="12" customHeight="1" x14ac:dyDescent="0.15">
      <c r="B925" s="2"/>
      <c r="C925" s="4"/>
      <c r="D925" s="4"/>
      <c r="E925" s="4"/>
      <c r="I925" s="135"/>
      <c r="J925" s="135"/>
      <c r="K925" s="135"/>
      <c r="L925" s="135"/>
    </row>
    <row r="926" spans="2:12" ht="12" customHeight="1" x14ac:dyDescent="0.15">
      <c r="B926" s="2"/>
      <c r="C926" s="4"/>
      <c r="D926" s="4"/>
      <c r="E926" s="4"/>
      <c r="I926" s="135"/>
      <c r="J926" s="135"/>
      <c r="K926" s="135"/>
      <c r="L926" s="135"/>
    </row>
    <row r="927" spans="2:12" ht="12" customHeight="1" x14ac:dyDescent="0.15">
      <c r="B927" s="2"/>
      <c r="C927" s="4"/>
      <c r="D927" s="4"/>
      <c r="E927" s="4"/>
      <c r="I927" s="135"/>
      <c r="J927" s="135"/>
      <c r="K927" s="135"/>
      <c r="L927" s="135"/>
    </row>
    <row r="928" spans="2:12" ht="12" customHeight="1" x14ac:dyDescent="0.15">
      <c r="B928" s="2"/>
      <c r="C928" s="4"/>
      <c r="D928" s="4"/>
      <c r="E928" s="4"/>
      <c r="I928" s="135"/>
      <c r="J928" s="135"/>
      <c r="K928" s="135"/>
      <c r="L928" s="135"/>
    </row>
    <row r="929" spans="2:12" ht="12" customHeight="1" x14ac:dyDescent="0.15">
      <c r="B929" s="2"/>
      <c r="C929" s="4"/>
      <c r="D929" s="4"/>
      <c r="E929" s="4"/>
      <c r="I929" s="135"/>
      <c r="J929" s="135"/>
      <c r="K929" s="135"/>
      <c r="L929" s="135"/>
    </row>
    <row r="930" spans="2:12" ht="12" customHeight="1" x14ac:dyDescent="0.15">
      <c r="B930" s="2"/>
      <c r="C930" s="4"/>
      <c r="D930" s="4"/>
      <c r="E930" s="4"/>
      <c r="I930" s="135"/>
      <c r="J930" s="135"/>
      <c r="K930" s="135"/>
      <c r="L930" s="135"/>
    </row>
    <row r="931" spans="2:12" ht="12" customHeight="1" x14ac:dyDescent="0.15">
      <c r="B931" s="2"/>
      <c r="C931" s="4"/>
      <c r="D931" s="4"/>
      <c r="E931" s="4"/>
      <c r="I931" s="135"/>
      <c r="J931" s="135"/>
      <c r="K931" s="135"/>
      <c r="L931" s="135"/>
    </row>
    <row r="932" spans="2:12" ht="12" customHeight="1" x14ac:dyDescent="0.15">
      <c r="B932" s="2"/>
      <c r="C932" s="4"/>
      <c r="D932" s="4"/>
      <c r="E932" s="4"/>
      <c r="I932" s="135"/>
      <c r="J932" s="135"/>
      <c r="K932" s="135"/>
      <c r="L932" s="135"/>
    </row>
    <row r="933" spans="2:12" ht="12" customHeight="1" x14ac:dyDescent="0.15">
      <c r="B933" s="2"/>
      <c r="C933" s="4"/>
      <c r="D933" s="4"/>
      <c r="E933" s="4"/>
      <c r="I933" s="135"/>
      <c r="J933" s="135"/>
      <c r="K933" s="135"/>
      <c r="L933" s="135"/>
    </row>
    <row r="934" spans="2:12" ht="12" customHeight="1" x14ac:dyDescent="0.15">
      <c r="B934" s="2"/>
      <c r="C934" s="4"/>
      <c r="D934" s="4"/>
      <c r="E934" s="4"/>
      <c r="I934" s="135"/>
      <c r="J934" s="135"/>
      <c r="K934" s="135"/>
      <c r="L934" s="135"/>
    </row>
    <row r="935" spans="2:12" ht="12" customHeight="1" x14ac:dyDescent="0.15">
      <c r="B935" s="2"/>
      <c r="C935" s="4"/>
      <c r="D935" s="4"/>
      <c r="E935" s="4"/>
      <c r="I935" s="135"/>
      <c r="J935" s="135"/>
      <c r="K935" s="135"/>
      <c r="L935" s="135"/>
    </row>
    <row r="936" spans="2:12" ht="12" customHeight="1" x14ac:dyDescent="0.15">
      <c r="B936" s="2"/>
      <c r="C936" s="4"/>
      <c r="D936" s="4"/>
      <c r="E936" s="4"/>
      <c r="I936" s="135"/>
      <c r="J936" s="135"/>
      <c r="K936" s="135"/>
      <c r="L936" s="135"/>
    </row>
    <row r="937" spans="2:12" ht="12" customHeight="1" x14ac:dyDescent="0.15">
      <c r="B937" s="2"/>
      <c r="C937" s="4"/>
      <c r="D937" s="4"/>
      <c r="E937" s="4"/>
      <c r="I937" s="135"/>
      <c r="J937" s="135"/>
      <c r="K937" s="135"/>
      <c r="L937" s="135"/>
    </row>
    <row r="938" spans="2:12" ht="12" customHeight="1" x14ac:dyDescent="0.15">
      <c r="B938" s="2"/>
      <c r="C938" s="4"/>
      <c r="D938" s="4"/>
      <c r="E938" s="4"/>
      <c r="I938" s="135"/>
      <c r="J938" s="135"/>
      <c r="K938" s="135"/>
      <c r="L938" s="135"/>
    </row>
    <row r="939" spans="2:12" ht="12" customHeight="1" x14ac:dyDescent="0.15">
      <c r="B939" s="2"/>
      <c r="C939" s="4"/>
      <c r="D939" s="4"/>
      <c r="E939" s="4"/>
      <c r="I939" s="135"/>
      <c r="J939" s="135"/>
      <c r="K939" s="135"/>
      <c r="L939" s="135"/>
    </row>
    <row r="940" spans="2:12" ht="12" customHeight="1" x14ac:dyDescent="0.15">
      <c r="B940" s="2"/>
      <c r="C940" s="4"/>
      <c r="D940" s="4"/>
      <c r="E940" s="4"/>
      <c r="I940" s="135"/>
      <c r="J940" s="135"/>
      <c r="K940" s="135"/>
      <c r="L940" s="135"/>
    </row>
    <row r="941" spans="2:12" ht="12" customHeight="1" x14ac:dyDescent="0.15">
      <c r="B941" s="2"/>
      <c r="C941" s="4"/>
      <c r="D941" s="4"/>
      <c r="E941" s="4"/>
      <c r="I941" s="135"/>
      <c r="J941" s="135"/>
      <c r="K941" s="135"/>
      <c r="L941" s="135"/>
    </row>
    <row r="942" spans="2:12" ht="12" customHeight="1" x14ac:dyDescent="0.15">
      <c r="B942" s="2"/>
      <c r="C942" s="4"/>
      <c r="D942" s="4"/>
      <c r="E942" s="4"/>
      <c r="I942" s="135"/>
      <c r="J942" s="135"/>
      <c r="K942" s="135"/>
      <c r="L942" s="135"/>
    </row>
    <row r="943" spans="2:12" ht="12" customHeight="1" x14ac:dyDescent="0.15">
      <c r="B943" s="2"/>
      <c r="C943" s="4"/>
      <c r="D943" s="4"/>
      <c r="E943" s="4"/>
      <c r="I943" s="135"/>
      <c r="J943" s="135"/>
      <c r="K943" s="135"/>
      <c r="L943" s="135"/>
    </row>
    <row r="944" spans="2:12" ht="12" customHeight="1" x14ac:dyDescent="0.15">
      <c r="B944" s="2"/>
      <c r="C944" s="4"/>
      <c r="D944" s="4"/>
      <c r="E944" s="4"/>
      <c r="I944" s="135"/>
      <c r="J944" s="135"/>
      <c r="K944" s="135"/>
      <c r="L944" s="135"/>
    </row>
    <row r="945" spans="2:12" ht="12" customHeight="1" x14ac:dyDescent="0.15">
      <c r="B945" s="2"/>
      <c r="C945" s="4"/>
      <c r="D945" s="4"/>
      <c r="E945" s="4"/>
      <c r="I945" s="135"/>
      <c r="J945" s="135"/>
      <c r="K945" s="135"/>
      <c r="L945" s="135"/>
    </row>
    <row r="946" spans="2:12" ht="12" customHeight="1" x14ac:dyDescent="0.15">
      <c r="B946" s="2"/>
      <c r="C946" s="4"/>
      <c r="D946" s="4"/>
      <c r="E946" s="4"/>
      <c r="I946" s="135"/>
      <c r="J946" s="135"/>
      <c r="K946" s="135"/>
      <c r="L946" s="135"/>
    </row>
    <row r="947" spans="2:12" ht="12" customHeight="1" x14ac:dyDescent="0.15">
      <c r="B947" s="2"/>
      <c r="C947" s="4"/>
      <c r="D947" s="4"/>
      <c r="E947" s="4"/>
      <c r="I947" s="135"/>
      <c r="J947" s="135"/>
      <c r="K947" s="135"/>
      <c r="L947" s="135"/>
    </row>
    <row r="948" spans="2:12" ht="12" customHeight="1" x14ac:dyDescent="0.15">
      <c r="B948" s="2"/>
      <c r="C948" s="4"/>
      <c r="D948" s="4"/>
      <c r="E948" s="4"/>
      <c r="I948" s="135"/>
      <c r="J948" s="135"/>
      <c r="K948" s="135"/>
      <c r="L948" s="135"/>
    </row>
    <row r="949" spans="2:12" ht="12" customHeight="1" x14ac:dyDescent="0.15">
      <c r="B949" s="2"/>
      <c r="C949" s="4"/>
      <c r="D949" s="4"/>
      <c r="E949" s="4"/>
      <c r="I949" s="135"/>
      <c r="J949" s="135"/>
      <c r="K949" s="135"/>
      <c r="L949" s="135"/>
    </row>
    <row r="950" spans="2:12" ht="12" customHeight="1" x14ac:dyDescent="0.15">
      <c r="B950" s="2"/>
      <c r="C950" s="4"/>
      <c r="D950" s="4"/>
      <c r="E950" s="4"/>
      <c r="I950" s="135"/>
      <c r="J950" s="135"/>
      <c r="K950" s="135"/>
      <c r="L950" s="135"/>
    </row>
    <row r="951" spans="2:12" ht="12" customHeight="1" x14ac:dyDescent="0.15">
      <c r="B951" s="2"/>
      <c r="C951" s="4"/>
      <c r="D951" s="4"/>
      <c r="E951" s="4"/>
      <c r="I951" s="135"/>
      <c r="J951" s="135"/>
      <c r="K951" s="135"/>
      <c r="L951" s="135"/>
    </row>
    <row r="952" spans="2:12" ht="12" customHeight="1" x14ac:dyDescent="0.15">
      <c r="B952" s="2"/>
      <c r="C952" s="4"/>
      <c r="D952" s="4"/>
      <c r="E952" s="4"/>
      <c r="I952" s="135"/>
      <c r="J952" s="135"/>
      <c r="K952" s="135"/>
      <c r="L952" s="135"/>
    </row>
    <row r="953" spans="2:12" ht="12" customHeight="1" x14ac:dyDescent="0.15">
      <c r="B953" s="2"/>
      <c r="C953" s="4"/>
      <c r="D953" s="4"/>
      <c r="E953" s="4"/>
      <c r="I953" s="135"/>
      <c r="J953" s="135"/>
      <c r="K953" s="135"/>
      <c r="L953" s="135"/>
    </row>
    <row r="954" spans="2:12" ht="12" customHeight="1" x14ac:dyDescent="0.15">
      <c r="B954" s="2"/>
      <c r="C954" s="4"/>
      <c r="D954" s="4"/>
      <c r="E954" s="4"/>
      <c r="I954" s="135"/>
      <c r="J954" s="135"/>
      <c r="K954" s="135"/>
      <c r="L954" s="135"/>
    </row>
    <row r="955" spans="2:12" ht="12" customHeight="1" x14ac:dyDescent="0.15">
      <c r="B955" s="2"/>
      <c r="C955" s="4"/>
      <c r="D955" s="4"/>
      <c r="E955" s="4"/>
      <c r="I955" s="135"/>
      <c r="J955" s="135"/>
      <c r="K955" s="135"/>
      <c r="L955" s="135"/>
    </row>
    <row r="956" spans="2:12" ht="12" customHeight="1" x14ac:dyDescent="0.15">
      <c r="B956" s="2"/>
      <c r="C956" s="4"/>
      <c r="D956" s="4"/>
      <c r="E956" s="4"/>
      <c r="I956" s="135"/>
      <c r="J956" s="135"/>
      <c r="K956" s="135"/>
      <c r="L956" s="135"/>
    </row>
    <row r="957" spans="2:12" ht="12" customHeight="1" x14ac:dyDescent="0.15">
      <c r="B957" s="2"/>
      <c r="C957" s="4"/>
      <c r="D957" s="4"/>
      <c r="E957" s="4"/>
      <c r="I957" s="135"/>
      <c r="J957" s="135"/>
      <c r="K957" s="135"/>
      <c r="L957" s="135"/>
    </row>
    <row r="958" spans="2:12" ht="12" customHeight="1" x14ac:dyDescent="0.15">
      <c r="B958" s="2"/>
      <c r="C958" s="4"/>
      <c r="D958" s="4"/>
      <c r="E958" s="4"/>
      <c r="I958" s="135"/>
      <c r="J958" s="135"/>
      <c r="K958" s="135"/>
      <c r="L958" s="135"/>
    </row>
    <row r="959" spans="2:12" ht="12" customHeight="1" x14ac:dyDescent="0.15">
      <c r="B959" s="2"/>
      <c r="C959" s="4"/>
      <c r="D959" s="4"/>
      <c r="E959" s="4"/>
      <c r="I959" s="135"/>
      <c r="J959" s="135"/>
      <c r="K959" s="135"/>
      <c r="L959" s="135"/>
    </row>
    <row r="960" spans="2:12" ht="12" customHeight="1" x14ac:dyDescent="0.15">
      <c r="B960" s="2"/>
      <c r="C960" s="4"/>
      <c r="D960" s="4"/>
      <c r="E960" s="4"/>
      <c r="I960" s="135"/>
      <c r="J960" s="135"/>
      <c r="K960" s="135"/>
      <c r="L960" s="135"/>
    </row>
    <row r="961" spans="2:12" ht="12" customHeight="1" x14ac:dyDescent="0.15">
      <c r="B961" s="2"/>
      <c r="C961" s="4"/>
      <c r="D961" s="4"/>
      <c r="E961" s="4"/>
      <c r="I961" s="135"/>
      <c r="J961" s="135"/>
      <c r="K961" s="135"/>
      <c r="L961" s="135"/>
    </row>
    <row r="962" spans="2:12" ht="12" customHeight="1" x14ac:dyDescent="0.15">
      <c r="B962" s="2"/>
      <c r="C962" s="4"/>
      <c r="D962" s="4"/>
      <c r="E962" s="4"/>
      <c r="I962" s="135"/>
      <c r="J962" s="135"/>
      <c r="K962" s="135"/>
      <c r="L962" s="135"/>
    </row>
    <row r="963" spans="2:12" ht="12" customHeight="1" x14ac:dyDescent="0.15">
      <c r="B963" s="2"/>
      <c r="C963" s="4"/>
      <c r="D963" s="4"/>
      <c r="E963" s="4"/>
      <c r="I963" s="135"/>
      <c r="J963" s="135"/>
      <c r="K963" s="135"/>
      <c r="L963" s="135"/>
    </row>
    <row r="964" spans="2:12" ht="12" customHeight="1" x14ac:dyDescent="0.15">
      <c r="B964" s="2"/>
      <c r="C964" s="4"/>
      <c r="D964" s="4"/>
      <c r="E964" s="4"/>
      <c r="I964" s="135"/>
      <c r="J964" s="135"/>
      <c r="K964" s="135"/>
      <c r="L964" s="135"/>
    </row>
    <row r="965" spans="2:12" ht="12" customHeight="1" x14ac:dyDescent="0.15">
      <c r="B965" s="2"/>
      <c r="C965" s="4"/>
      <c r="D965" s="4"/>
      <c r="E965" s="4"/>
      <c r="I965" s="135"/>
      <c r="J965" s="135"/>
      <c r="K965" s="135"/>
      <c r="L965" s="135"/>
    </row>
    <row r="966" spans="2:12" ht="12" customHeight="1" x14ac:dyDescent="0.15">
      <c r="B966" s="2"/>
      <c r="C966" s="4"/>
      <c r="D966" s="4"/>
      <c r="E966" s="4"/>
      <c r="I966" s="135"/>
      <c r="J966" s="135"/>
      <c r="K966" s="135"/>
      <c r="L966" s="135"/>
    </row>
    <row r="967" spans="2:12" ht="12" customHeight="1" x14ac:dyDescent="0.15">
      <c r="B967" s="2"/>
      <c r="C967" s="4"/>
      <c r="D967" s="4"/>
      <c r="E967" s="4"/>
      <c r="I967" s="135"/>
      <c r="J967" s="135"/>
      <c r="K967" s="135"/>
      <c r="L967" s="135"/>
    </row>
    <row r="968" spans="2:12" ht="12" customHeight="1" x14ac:dyDescent="0.15">
      <c r="B968" s="2"/>
      <c r="C968" s="4"/>
      <c r="D968" s="4"/>
      <c r="E968" s="4"/>
      <c r="I968" s="135"/>
      <c r="J968" s="135"/>
      <c r="K968" s="135"/>
      <c r="L968" s="135"/>
    </row>
    <row r="969" spans="2:12" ht="12" customHeight="1" x14ac:dyDescent="0.15">
      <c r="B969" s="2"/>
      <c r="C969" s="4"/>
      <c r="D969" s="4"/>
      <c r="E969" s="4"/>
      <c r="I969" s="135"/>
      <c r="J969" s="135"/>
      <c r="K969" s="135"/>
      <c r="L969" s="135"/>
    </row>
    <row r="970" spans="2:12" ht="12" customHeight="1" x14ac:dyDescent="0.15">
      <c r="B970" s="2"/>
      <c r="C970" s="4"/>
      <c r="D970" s="4"/>
      <c r="E970" s="4"/>
      <c r="I970" s="135"/>
      <c r="J970" s="135"/>
      <c r="K970" s="135"/>
      <c r="L970" s="135"/>
    </row>
    <row r="971" spans="2:12" ht="12" customHeight="1" x14ac:dyDescent="0.15">
      <c r="B971" s="2"/>
      <c r="C971" s="4"/>
      <c r="D971" s="4"/>
      <c r="E971" s="4"/>
      <c r="I971" s="135"/>
      <c r="J971" s="135"/>
      <c r="K971" s="135"/>
      <c r="L971" s="135"/>
    </row>
    <row r="972" spans="2:12" ht="12" customHeight="1" x14ac:dyDescent="0.15">
      <c r="B972" s="2"/>
      <c r="C972" s="4"/>
      <c r="D972" s="4"/>
      <c r="E972" s="4"/>
      <c r="I972" s="135"/>
      <c r="J972" s="135"/>
      <c r="K972" s="135"/>
      <c r="L972" s="135"/>
    </row>
    <row r="973" spans="2:12" ht="12" customHeight="1" x14ac:dyDescent="0.15">
      <c r="B973" s="2"/>
      <c r="C973" s="4"/>
      <c r="D973" s="4"/>
      <c r="E973" s="4"/>
      <c r="I973" s="135"/>
      <c r="J973" s="135"/>
      <c r="K973" s="135"/>
      <c r="L973" s="135"/>
    </row>
    <row r="974" spans="2:12" ht="12" customHeight="1" x14ac:dyDescent="0.15">
      <c r="B974" s="2"/>
      <c r="C974" s="4"/>
      <c r="D974" s="4"/>
      <c r="E974" s="4"/>
      <c r="I974" s="135"/>
      <c r="J974" s="135"/>
      <c r="K974" s="135"/>
      <c r="L974" s="135"/>
    </row>
    <row r="975" spans="2:12" ht="12" customHeight="1" x14ac:dyDescent="0.15">
      <c r="B975" s="2"/>
      <c r="C975" s="4"/>
      <c r="D975" s="4"/>
      <c r="E975" s="4"/>
      <c r="I975" s="135"/>
      <c r="J975" s="135"/>
      <c r="K975" s="135"/>
      <c r="L975" s="135"/>
    </row>
    <row r="976" spans="2:12" ht="12" customHeight="1" x14ac:dyDescent="0.15">
      <c r="B976" s="2"/>
      <c r="C976" s="4"/>
      <c r="D976" s="4"/>
      <c r="E976" s="4"/>
      <c r="I976" s="135"/>
      <c r="J976" s="135"/>
      <c r="K976" s="135"/>
      <c r="L976" s="135"/>
    </row>
    <row r="977" spans="2:12" ht="12" customHeight="1" x14ac:dyDescent="0.15">
      <c r="B977" s="2"/>
      <c r="C977" s="4"/>
      <c r="D977" s="4"/>
      <c r="E977" s="4"/>
      <c r="I977" s="135"/>
      <c r="J977" s="135"/>
      <c r="K977" s="135"/>
      <c r="L977" s="135"/>
    </row>
    <row r="978" spans="2:12" ht="12" customHeight="1" x14ac:dyDescent="0.15">
      <c r="B978" s="2"/>
      <c r="C978" s="4"/>
      <c r="D978" s="4"/>
      <c r="E978" s="4"/>
      <c r="I978" s="135"/>
      <c r="J978" s="135"/>
      <c r="K978" s="135"/>
      <c r="L978" s="135"/>
    </row>
    <row r="979" spans="2:12" ht="12" customHeight="1" x14ac:dyDescent="0.15">
      <c r="B979" s="2"/>
      <c r="C979" s="4"/>
      <c r="D979" s="4"/>
      <c r="E979" s="4"/>
      <c r="I979" s="135"/>
      <c r="J979" s="135"/>
      <c r="K979" s="135"/>
      <c r="L979" s="135"/>
    </row>
    <row r="980" spans="2:12" ht="12" customHeight="1" x14ac:dyDescent="0.15">
      <c r="B980" s="2"/>
      <c r="C980" s="4"/>
      <c r="D980" s="4"/>
      <c r="E980" s="4"/>
      <c r="I980" s="135"/>
      <c r="J980" s="135"/>
      <c r="K980" s="135"/>
      <c r="L980" s="135"/>
    </row>
    <row r="981" spans="2:12" ht="12" customHeight="1" x14ac:dyDescent="0.15">
      <c r="B981" s="2"/>
      <c r="C981" s="4"/>
      <c r="D981" s="4"/>
      <c r="E981" s="4"/>
      <c r="I981" s="135"/>
      <c r="J981" s="135"/>
      <c r="K981" s="135"/>
      <c r="L981" s="135"/>
    </row>
    <row r="982" spans="2:12" ht="12" customHeight="1" x14ac:dyDescent="0.15">
      <c r="B982" s="2"/>
      <c r="C982" s="4"/>
      <c r="D982" s="4"/>
      <c r="E982" s="4"/>
      <c r="I982" s="135"/>
      <c r="J982" s="135"/>
      <c r="K982" s="135"/>
      <c r="L982" s="135"/>
    </row>
    <row r="983" spans="2:12" ht="12" customHeight="1" x14ac:dyDescent="0.15">
      <c r="B983" s="2"/>
      <c r="C983" s="4"/>
      <c r="D983" s="4"/>
      <c r="E983" s="4"/>
      <c r="I983" s="135"/>
      <c r="J983" s="135"/>
      <c r="K983" s="135"/>
      <c r="L983" s="135"/>
    </row>
    <row r="984" spans="2:12" ht="12" customHeight="1" x14ac:dyDescent="0.15">
      <c r="B984" s="2"/>
      <c r="C984" s="4"/>
      <c r="D984" s="4"/>
      <c r="E984" s="4"/>
      <c r="I984" s="135"/>
      <c r="J984" s="135"/>
      <c r="K984" s="135"/>
      <c r="L984" s="135"/>
    </row>
    <row r="985" spans="2:12" ht="12" customHeight="1" x14ac:dyDescent="0.15">
      <c r="B985" s="2"/>
      <c r="C985" s="4"/>
      <c r="D985" s="4"/>
      <c r="E985" s="4"/>
      <c r="I985" s="135"/>
      <c r="J985" s="135"/>
      <c r="K985" s="135"/>
      <c r="L985" s="135"/>
    </row>
    <row r="986" spans="2:12" ht="12" customHeight="1" x14ac:dyDescent="0.15">
      <c r="B986" s="2"/>
      <c r="C986" s="4"/>
      <c r="D986" s="4"/>
      <c r="E986" s="4"/>
      <c r="I986" s="135"/>
      <c r="J986" s="135"/>
      <c r="K986" s="135"/>
      <c r="L986" s="135"/>
    </row>
    <row r="987" spans="2:12" ht="12" customHeight="1" x14ac:dyDescent="0.15">
      <c r="B987" s="2"/>
      <c r="C987" s="4"/>
      <c r="D987" s="4"/>
      <c r="E987" s="4"/>
      <c r="I987" s="135"/>
      <c r="J987" s="135"/>
      <c r="K987" s="135"/>
      <c r="L987" s="135"/>
    </row>
    <row r="988" spans="2:12" ht="12" customHeight="1" x14ac:dyDescent="0.15">
      <c r="B988" s="2"/>
      <c r="C988" s="4"/>
      <c r="D988" s="4"/>
      <c r="E988" s="4"/>
      <c r="I988" s="135"/>
      <c r="J988" s="135"/>
      <c r="K988" s="135"/>
      <c r="L988" s="135"/>
    </row>
    <row r="989" spans="2:12" ht="12" customHeight="1" x14ac:dyDescent="0.15">
      <c r="B989" s="2"/>
      <c r="C989" s="4"/>
      <c r="D989" s="4"/>
      <c r="E989" s="4"/>
      <c r="I989" s="135"/>
      <c r="J989" s="135"/>
      <c r="K989" s="135"/>
      <c r="L989" s="135"/>
    </row>
    <row r="990" spans="2:12" ht="12" customHeight="1" x14ac:dyDescent="0.15">
      <c r="B990" s="2"/>
      <c r="C990" s="4"/>
      <c r="D990" s="4"/>
      <c r="E990" s="4"/>
      <c r="I990" s="135"/>
      <c r="J990" s="135"/>
      <c r="K990" s="135"/>
      <c r="L990" s="135"/>
    </row>
    <row r="991" spans="2:12" ht="12" customHeight="1" x14ac:dyDescent="0.15">
      <c r="B991" s="2"/>
      <c r="C991" s="4"/>
      <c r="D991" s="4"/>
      <c r="E991" s="4"/>
      <c r="I991" s="135"/>
      <c r="J991" s="135"/>
      <c r="K991" s="135"/>
      <c r="L991" s="135"/>
    </row>
    <row r="992" spans="2:12" ht="12" customHeight="1" x14ac:dyDescent="0.15">
      <c r="B992" s="2"/>
      <c r="C992" s="4"/>
      <c r="D992" s="4"/>
      <c r="E992" s="4"/>
      <c r="I992" s="135"/>
      <c r="J992" s="135"/>
      <c r="K992" s="135"/>
      <c r="L992" s="135"/>
    </row>
    <row r="993" spans="2:12" ht="12" customHeight="1" x14ac:dyDescent="0.15">
      <c r="B993" s="2"/>
      <c r="C993" s="4"/>
      <c r="D993" s="4"/>
      <c r="E993" s="4"/>
      <c r="I993" s="135"/>
      <c r="J993" s="135"/>
      <c r="K993" s="135"/>
      <c r="L993" s="135"/>
    </row>
    <row r="994" spans="2:12" ht="12" customHeight="1" x14ac:dyDescent="0.15">
      <c r="B994" s="2"/>
      <c r="C994" s="4"/>
      <c r="D994" s="4"/>
      <c r="E994" s="4"/>
      <c r="I994" s="135"/>
      <c r="J994" s="135"/>
      <c r="K994" s="135"/>
      <c r="L994" s="135"/>
    </row>
    <row r="995" spans="2:12" ht="12" customHeight="1" x14ac:dyDescent="0.15">
      <c r="B995" s="2"/>
      <c r="C995" s="4"/>
      <c r="D995" s="4"/>
      <c r="E995" s="4"/>
      <c r="I995" s="135"/>
      <c r="J995" s="135"/>
      <c r="K995" s="135"/>
      <c r="L995" s="135"/>
    </row>
    <row r="996" spans="2:12" ht="12" customHeight="1" x14ac:dyDescent="0.15">
      <c r="B996" s="2"/>
      <c r="C996" s="4"/>
      <c r="D996" s="4"/>
      <c r="E996" s="4"/>
      <c r="I996" s="135"/>
      <c r="J996" s="135"/>
      <c r="K996" s="135"/>
      <c r="L996" s="135"/>
    </row>
    <row r="997" spans="2:12" ht="12" customHeight="1" x14ac:dyDescent="0.15">
      <c r="B997" s="2"/>
      <c r="C997" s="4"/>
      <c r="D997" s="4"/>
      <c r="E997" s="4"/>
      <c r="I997" s="135"/>
      <c r="J997" s="135"/>
      <c r="K997" s="135"/>
      <c r="L997" s="135"/>
    </row>
    <row r="998" spans="2:12" ht="12" customHeight="1" x14ac:dyDescent="0.15">
      <c r="B998" s="2"/>
      <c r="C998" s="4"/>
      <c r="D998" s="4"/>
      <c r="E998" s="4"/>
      <c r="I998" s="135"/>
      <c r="J998" s="135"/>
      <c r="K998" s="135"/>
      <c r="L998" s="135"/>
    </row>
    <row r="999" spans="2:12" ht="12" customHeight="1" x14ac:dyDescent="0.15">
      <c r="B999" s="2"/>
      <c r="C999" s="4"/>
      <c r="D999" s="4"/>
      <c r="E999" s="4"/>
      <c r="I999" s="135"/>
      <c r="J999" s="135"/>
      <c r="K999" s="135"/>
      <c r="L999" s="135"/>
    </row>
    <row r="1000" spans="2:12" ht="12" customHeight="1" x14ac:dyDescent="0.15">
      <c r="B1000" s="2"/>
      <c r="C1000" s="4"/>
      <c r="D1000" s="4"/>
      <c r="E1000" s="4"/>
      <c r="I1000" s="135"/>
      <c r="J1000" s="135"/>
      <c r="K1000" s="135"/>
      <c r="L1000" s="135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Z999"/>
  <sheetViews>
    <sheetView workbookViewId="0">
      <selection activeCell="I16" sqref="I16"/>
    </sheetView>
  </sheetViews>
  <sheetFormatPr baseColWidth="10" defaultColWidth="12.6640625" defaultRowHeight="15" customHeight="1" x14ac:dyDescent="0.15"/>
  <cols>
    <col min="1" max="1" width="4.5" style="391" customWidth="1"/>
    <col min="2" max="2" width="38.83203125" style="391" customWidth="1"/>
    <col min="3" max="3" width="13" style="391" customWidth="1"/>
    <col min="4" max="4" width="29.83203125" style="391" customWidth="1"/>
    <col min="5" max="5" width="14.33203125" style="391" customWidth="1"/>
    <col min="6" max="6" width="4.5" style="391" customWidth="1"/>
    <col min="7" max="8" width="6.6640625" style="391" customWidth="1"/>
    <col min="9" max="9" width="11.5" style="391" customWidth="1"/>
    <col min="10" max="10" width="14.5" style="391" customWidth="1"/>
    <col min="11" max="11" width="15.1640625" style="391" customWidth="1"/>
    <col min="12" max="12" width="11.5" style="391" customWidth="1"/>
    <col min="13" max="16384" width="12.6640625" style="391"/>
  </cols>
  <sheetData>
    <row r="1" spans="1:26" ht="54" customHeight="1" x14ac:dyDescent="0.15">
      <c r="A1" s="390"/>
      <c r="B1" s="390"/>
      <c r="C1" s="390"/>
      <c r="D1" s="390"/>
      <c r="E1" s="390"/>
      <c r="F1" s="390"/>
      <c r="G1" s="390"/>
      <c r="I1" s="135"/>
      <c r="J1" s="135"/>
      <c r="K1" s="135"/>
      <c r="L1" s="135"/>
    </row>
    <row r="2" spans="1:26" ht="12" customHeight="1" x14ac:dyDescent="0.15">
      <c r="B2" s="2"/>
      <c r="C2" s="4"/>
      <c r="D2" s="4"/>
      <c r="E2" s="4"/>
      <c r="I2" s="135"/>
      <c r="J2" s="135"/>
      <c r="K2" s="135"/>
      <c r="L2" s="135"/>
    </row>
    <row r="3" spans="1:26" ht="18.75" customHeight="1" x14ac:dyDescent="0.2">
      <c r="A3" s="5" t="s">
        <v>0</v>
      </c>
      <c r="C3" s="4"/>
      <c r="D3" s="4"/>
      <c r="E3" s="4"/>
      <c r="F3" s="5"/>
      <c r="G3" s="5"/>
      <c r="I3" s="135"/>
      <c r="J3" s="135"/>
      <c r="K3" s="135"/>
      <c r="L3" s="135"/>
    </row>
    <row r="4" spans="1:26" ht="12" customHeight="1" x14ac:dyDescent="0.15">
      <c r="A4" s="2" t="s">
        <v>1</v>
      </c>
      <c r="C4" s="4"/>
      <c r="D4" s="4"/>
      <c r="E4" s="4"/>
      <c r="F4" s="2"/>
      <c r="G4" s="2"/>
      <c r="I4" s="135"/>
      <c r="J4" s="135"/>
      <c r="K4" s="135"/>
      <c r="L4" s="135"/>
    </row>
    <row r="5" spans="1:26" ht="12" customHeight="1" x14ac:dyDescent="0.15">
      <c r="B5" s="2"/>
      <c r="C5" s="4"/>
      <c r="D5" s="4"/>
      <c r="E5" s="4"/>
      <c r="I5" s="135"/>
      <c r="J5" s="135"/>
      <c r="K5" s="135"/>
      <c r="L5" s="135"/>
    </row>
    <row r="6" spans="1:26" ht="21" customHeight="1" x14ac:dyDescent="0.15">
      <c r="B6" s="6"/>
      <c r="C6" s="4"/>
      <c r="D6" s="4"/>
      <c r="E6" s="4"/>
      <c r="F6" s="159"/>
      <c r="G6" s="160"/>
      <c r="I6" s="135"/>
      <c r="J6" s="135"/>
      <c r="K6" s="135"/>
      <c r="L6" s="135"/>
    </row>
    <row r="7" spans="1:26" ht="17.25" customHeight="1" x14ac:dyDescent="0.15">
      <c r="A7" s="8"/>
      <c r="B7" s="161" t="s">
        <v>498</v>
      </c>
      <c r="C7" s="162"/>
      <c r="D7" s="162"/>
      <c r="E7" s="163"/>
      <c r="F7" s="8"/>
      <c r="G7" s="8"/>
      <c r="H7" s="8"/>
      <c r="I7" s="164"/>
      <c r="J7" s="164"/>
      <c r="K7" s="164"/>
      <c r="L7" s="16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" customHeight="1" x14ac:dyDescent="0.15">
      <c r="B8" s="2"/>
      <c r="C8" s="4"/>
      <c r="D8" s="4"/>
      <c r="E8" s="4"/>
      <c r="I8" s="135"/>
      <c r="J8" s="135"/>
      <c r="K8" s="135"/>
      <c r="L8" s="135"/>
    </row>
    <row r="9" spans="1:26" ht="16.5" customHeight="1" x14ac:dyDescent="0.15">
      <c r="B9" s="165"/>
      <c r="C9" s="166"/>
      <c r="D9" s="167"/>
      <c r="E9" s="168" t="s">
        <v>225</v>
      </c>
      <c r="I9" s="135"/>
      <c r="J9" s="135"/>
      <c r="K9" s="135"/>
      <c r="L9" s="135"/>
    </row>
    <row r="10" spans="1:26" ht="13.5" customHeight="1" x14ac:dyDescent="0.15">
      <c r="B10" s="222" t="s">
        <v>313</v>
      </c>
      <c r="C10" s="170"/>
      <c r="D10" s="141"/>
      <c r="E10" s="134"/>
      <c r="I10" s="135"/>
      <c r="J10" s="135"/>
      <c r="K10" s="135"/>
      <c r="L10" s="135"/>
    </row>
    <row r="11" spans="1:26" ht="15" customHeight="1" x14ac:dyDescent="0.15">
      <c r="A11" s="7"/>
      <c r="B11" s="171" t="s">
        <v>499</v>
      </c>
      <c r="C11" s="147"/>
      <c r="D11" s="172"/>
      <c r="E11" s="173">
        <v>30500</v>
      </c>
      <c r="I11" s="135"/>
      <c r="J11" s="135"/>
      <c r="K11" s="135"/>
      <c r="L11" s="135"/>
    </row>
    <row r="12" spans="1:26" ht="15" customHeight="1" x14ac:dyDescent="0.15">
      <c r="A12" s="7"/>
      <c r="B12" s="174"/>
      <c r="C12" s="4"/>
      <c r="D12" s="175"/>
      <c r="E12" s="134"/>
      <c r="I12" s="135"/>
      <c r="J12" s="135"/>
      <c r="K12" s="135"/>
      <c r="L12" s="135"/>
    </row>
    <row r="13" spans="1:26" ht="7.5" customHeight="1" x14ac:dyDescent="0.15">
      <c r="A13" s="7"/>
      <c r="B13" s="64"/>
      <c r="C13" s="4"/>
      <c r="D13" s="134"/>
      <c r="E13" s="134"/>
      <c r="I13" s="135"/>
      <c r="J13" s="135"/>
      <c r="K13" s="135"/>
      <c r="L13" s="135"/>
    </row>
    <row r="14" spans="1:26" ht="15" customHeight="1" x14ac:dyDescent="0.15">
      <c r="A14" s="7"/>
      <c r="B14" s="223" t="s">
        <v>315</v>
      </c>
      <c r="C14" s="147"/>
      <c r="D14" s="176"/>
      <c r="E14" s="4"/>
      <c r="I14" s="135"/>
      <c r="J14" s="135"/>
      <c r="K14" s="135"/>
      <c r="L14" s="135"/>
    </row>
    <row r="15" spans="1:26" ht="15" customHeight="1" x14ac:dyDescent="0.15">
      <c r="A15" s="7"/>
      <c r="B15" s="171" t="s">
        <v>500</v>
      </c>
      <c r="C15" s="4"/>
      <c r="D15" s="134"/>
      <c r="E15" s="173">
        <v>15059</v>
      </c>
      <c r="I15" s="135"/>
      <c r="J15" s="135"/>
      <c r="K15" s="135"/>
      <c r="L15" s="135"/>
    </row>
    <row r="16" spans="1:26" ht="15" customHeight="1" x14ac:dyDescent="0.15">
      <c r="A16" s="7"/>
      <c r="B16" s="174"/>
      <c r="C16" s="4"/>
      <c r="D16" s="134"/>
      <c r="E16" s="134"/>
      <c r="I16" s="135"/>
      <c r="J16" s="135"/>
      <c r="K16" s="135"/>
      <c r="L16" s="135"/>
    </row>
    <row r="17" spans="1:15" ht="14" customHeight="1" x14ac:dyDescent="0.15">
      <c r="A17" s="7"/>
      <c r="B17" s="174" t="s">
        <v>291</v>
      </c>
      <c r="C17" s="4"/>
      <c r="D17" s="134"/>
      <c r="E17" s="173">
        <f>E15*0.1</f>
        <v>1505.9</v>
      </c>
      <c r="I17" s="135"/>
      <c r="J17" s="135"/>
      <c r="K17" s="135"/>
      <c r="L17" s="135"/>
    </row>
    <row r="18" spans="1:15" ht="15" customHeight="1" x14ac:dyDescent="0.15">
      <c r="A18" s="7"/>
      <c r="B18" s="171"/>
      <c r="C18" s="4"/>
      <c r="D18" s="134"/>
      <c r="E18" s="173"/>
      <c r="I18" s="135"/>
      <c r="J18" s="135"/>
      <c r="K18" s="135"/>
      <c r="L18" s="135"/>
    </row>
    <row r="19" spans="1:15" ht="7.5" customHeight="1" x14ac:dyDescent="0.15">
      <c r="B19" s="177"/>
      <c r="C19" s="178"/>
      <c r="D19" s="179"/>
      <c r="E19" s="134"/>
      <c r="I19" s="135"/>
      <c r="J19" s="135"/>
      <c r="K19" s="135"/>
      <c r="L19" s="135"/>
    </row>
    <row r="20" spans="1:15" ht="15" customHeight="1" x14ac:dyDescent="0.15">
      <c r="B20" s="180"/>
      <c r="C20" s="181"/>
      <c r="D20" s="182" t="s">
        <v>292</v>
      </c>
      <c r="E20" s="183">
        <f>SUM(E10:E19)</f>
        <v>47064.9</v>
      </c>
      <c r="I20" s="135"/>
      <c r="J20" s="135"/>
      <c r="K20" s="135"/>
      <c r="L20" s="135"/>
    </row>
    <row r="21" spans="1:15" ht="15" customHeight="1" x14ac:dyDescent="0.15">
      <c r="B21" s="184" t="s">
        <v>293</v>
      </c>
      <c r="C21" s="185"/>
      <c r="D21" s="185"/>
      <c r="E21" s="185"/>
      <c r="I21" s="135"/>
      <c r="J21" s="135"/>
      <c r="K21" s="135"/>
      <c r="L21" s="135"/>
    </row>
    <row r="22" spans="1:15" ht="15" customHeight="1" x14ac:dyDescent="0.15">
      <c r="B22" s="184" t="s">
        <v>294</v>
      </c>
      <c r="C22" s="185"/>
      <c r="D22" s="185"/>
      <c r="E22" s="185"/>
      <c r="I22" s="135"/>
      <c r="J22" s="135"/>
      <c r="K22" s="135"/>
      <c r="L22" s="135"/>
    </row>
    <row r="23" spans="1:15" ht="15" customHeight="1" x14ac:dyDescent="0.15">
      <c r="B23" s="186" t="s">
        <v>295</v>
      </c>
      <c r="C23" s="4"/>
      <c r="D23" s="4"/>
      <c r="E23" s="4"/>
      <c r="I23" s="135"/>
      <c r="J23" s="135"/>
      <c r="K23" s="135"/>
      <c r="L23" s="135"/>
    </row>
    <row r="24" spans="1:15" ht="15" customHeight="1" x14ac:dyDescent="0.15">
      <c r="B24" s="186" t="s">
        <v>296</v>
      </c>
      <c r="C24" s="4"/>
      <c r="D24" s="4"/>
      <c r="E24" s="4"/>
      <c r="I24" s="135"/>
      <c r="J24" s="135"/>
      <c r="K24" s="135"/>
      <c r="L24" s="135"/>
    </row>
    <row r="25" spans="1:15" ht="15" customHeight="1" x14ac:dyDescent="0.15">
      <c r="B25" s="187"/>
      <c r="C25" s="4"/>
      <c r="D25" s="4"/>
      <c r="E25" s="4"/>
      <c r="I25" s="135"/>
      <c r="J25" s="135"/>
      <c r="K25" s="135"/>
      <c r="L25" s="135"/>
    </row>
    <row r="26" spans="1:15" ht="15" customHeight="1" x14ac:dyDescent="0.15">
      <c r="B26" s="187" t="s">
        <v>297</v>
      </c>
      <c r="C26" s="4"/>
      <c r="D26" s="4"/>
      <c r="E26" s="4"/>
      <c r="I26" s="135"/>
      <c r="J26" s="135"/>
      <c r="K26" s="135"/>
      <c r="L26" s="135"/>
    </row>
    <row r="27" spans="1:15" ht="15" customHeight="1" x14ac:dyDescent="0.15">
      <c r="B27" s="187" t="s">
        <v>298</v>
      </c>
      <c r="C27" s="4"/>
      <c r="D27" s="4"/>
      <c r="E27" s="4"/>
      <c r="I27" s="135"/>
      <c r="J27" s="135"/>
      <c r="K27" s="135"/>
      <c r="L27" s="135"/>
    </row>
    <row r="28" spans="1:15" ht="15" customHeight="1" x14ac:dyDescent="0.15">
      <c r="B28" s="187"/>
      <c r="C28" s="4"/>
      <c r="D28" s="4"/>
      <c r="E28" s="4"/>
      <c r="I28" s="135"/>
      <c r="J28" s="135"/>
      <c r="K28" s="135"/>
      <c r="L28" s="135"/>
    </row>
    <row r="29" spans="1:15" ht="15" customHeight="1" x14ac:dyDescent="0.2">
      <c r="B29" s="188" t="s">
        <v>317</v>
      </c>
      <c r="C29" s="189"/>
      <c r="D29" s="190"/>
      <c r="E29" s="191">
        <f>E20</f>
        <v>47064.9</v>
      </c>
      <c r="H29" s="192" t="s">
        <v>300</v>
      </c>
      <c r="I29" s="193" t="s">
        <v>301</v>
      </c>
      <c r="J29" s="194" t="s">
        <v>302</v>
      </c>
      <c r="K29" s="194" t="s">
        <v>303</v>
      </c>
      <c r="L29" s="195" t="s">
        <v>304</v>
      </c>
      <c r="M29" s="196" t="s">
        <v>305</v>
      </c>
      <c r="N29" s="197"/>
      <c r="O29" s="198"/>
    </row>
    <row r="30" spans="1:15" ht="15" customHeight="1" x14ac:dyDescent="0.15">
      <c r="B30" s="199" t="s">
        <v>306</v>
      </c>
      <c r="C30" s="200" t="s">
        <v>307</v>
      </c>
      <c r="D30" s="201" t="s">
        <v>308</v>
      </c>
      <c r="E30" s="200" t="s">
        <v>309</v>
      </c>
      <c r="H30" s="202">
        <v>1</v>
      </c>
      <c r="I30" s="135">
        <f>E29</f>
        <v>47064.9</v>
      </c>
      <c r="J30" s="135">
        <v>3385038.8048100215</v>
      </c>
      <c r="K30" s="135">
        <v>26236200</v>
      </c>
      <c r="L30" s="224">
        <f>J30/J37*100</f>
        <v>12.902168777528845</v>
      </c>
      <c r="M30" s="135">
        <f t="shared" ref="M30:M36" si="0">(I30*J30/K30)</f>
        <v>6072.3928329751707</v>
      </c>
      <c r="N30" s="203">
        <f t="shared" ref="N30:N36" si="1">M30</f>
        <v>6072.3928329751707</v>
      </c>
    </row>
    <row r="31" spans="1:15" ht="15" customHeight="1" x14ac:dyDescent="0.15">
      <c r="B31" s="204" t="s">
        <v>184</v>
      </c>
      <c r="C31" s="205" t="s">
        <v>185</v>
      </c>
      <c r="D31" s="206">
        <v>0.129</v>
      </c>
      <c r="E31" s="207">
        <f>M30</f>
        <v>6072.3928329751707</v>
      </c>
      <c r="H31" s="202">
        <v>2</v>
      </c>
      <c r="I31" s="135">
        <f>E29</f>
        <v>47064.9</v>
      </c>
      <c r="J31" s="135">
        <v>3452215.7605962222</v>
      </c>
      <c r="K31" s="135">
        <v>26236200</v>
      </c>
      <c r="L31" s="225">
        <f>J31/J37*100</f>
        <v>13.158215597518785</v>
      </c>
      <c r="M31" s="135">
        <f t="shared" si="0"/>
        <v>6192.9010127566162</v>
      </c>
      <c r="N31" s="203">
        <f t="shared" si="1"/>
        <v>6192.9010127566162</v>
      </c>
    </row>
    <row r="32" spans="1:15" ht="12" customHeight="1" x14ac:dyDescent="0.15">
      <c r="B32" s="208" t="s">
        <v>187</v>
      </c>
      <c r="C32" s="209" t="s">
        <v>188</v>
      </c>
      <c r="D32" s="210">
        <v>0.13159999999999999</v>
      </c>
      <c r="E32" s="211">
        <f t="shared" ref="E32:E37" si="2">M31</f>
        <v>6192.9010127566162</v>
      </c>
      <c r="H32" s="202">
        <v>3</v>
      </c>
      <c r="I32" s="135">
        <f>E29</f>
        <v>47064.9</v>
      </c>
      <c r="J32" s="135">
        <v>4062206.5109048504</v>
      </c>
      <c r="K32" s="135">
        <v>26236200</v>
      </c>
      <c r="L32" s="225">
        <f>J32/J37*100</f>
        <v>15.483212168320303</v>
      </c>
      <c r="M32" s="135">
        <f t="shared" si="0"/>
        <v>7287.158323807781</v>
      </c>
      <c r="N32" s="203">
        <f t="shared" si="1"/>
        <v>7287.158323807781</v>
      </c>
    </row>
    <row r="33" spans="2:14" ht="12" customHeight="1" x14ac:dyDescent="0.15">
      <c r="B33" s="208" t="s">
        <v>189</v>
      </c>
      <c r="C33" s="209" t="s">
        <v>190</v>
      </c>
      <c r="D33" s="210">
        <v>0.15479999999999999</v>
      </c>
      <c r="E33" s="211">
        <f t="shared" si="2"/>
        <v>7287.158323807781</v>
      </c>
      <c r="H33" s="202">
        <v>4</v>
      </c>
      <c r="I33" s="135">
        <f>E29</f>
        <v>47064.9</v>
      </c>
      <c r="J33" s="135">
        <v>2069290.155914224</v>
      </c>
      <c r="K33" s="135">
        <v>26236200</v>
      </c>
      <c r="L33" s="225">
        <f>J33/J37*100</f>
        <v>7.8871565086187196</v>
      </c>
      <c r="M33" s="135">
        <f t="shared" si="0"/>
        <v>3712.0823236248907</v>
      </c>
      <c r="N33" s="203">
        <f t="shared" si="1"/>
        <v>3712.0823236248907</v>
      </c>
    </row>
    <row r="34" spans="2:14" ht="12" customHeight="1" x14ac:dyDescent="0.15">
      <c r="B34" s="208" t="s">
        <v>191</v>
      </c>
      <c r="C34" s="209" t="s">
        <v>192</v>
      </c>
      <c r="D34" s="210">
        <v>7.8899999999999998E-2</v>
      </c>
      <c r="E34" s="211">
        <f t="shared" si="2"/>
        <v>3712.0823236248907</v>
      </c>
      <c r="H34" s="202">
        <v>5</v>
      </c>
      <c r="I34" s="135">
        <f>E29</f>
        <v>47064.9</v>
      </c>
      <c r="J34" s="135">
        <v>2539128.9835855695</v>
      </c>
      <c r="K34" s="135">
        <v>26236200</v>
      </c>
      <c r="L34" s="225">
        <f>J34/J37*100</f>
        <v>9.6779601603340808</v>
      </c>
      <c r="M34" s="135">
        <f t="shared" si="0"/>
        <v>4554.9222715010737</v>
      </c>
      <c r="N34" s="203">
        <f t="shared" si="1"/>
        <v>4554.9222715010737</v>
      </c>
    </row>
    <row r="35" spans="2:14" ht="12" customHeight="1" x14ac:dyDescent="0.15">
      <c r="B35" s="208" t="s">
        <v>310</v>
      </c>
      <c r="C35" s="209" t="s">
        <v>194</v>
      </c>
      <c r="D35" s="210">
        <v>9.6799999999999997E-2</v>
      </c>
      <c r="E35" s="211">
        <f t="shared" si="2"/>
        <v>4554.9222715010737</v>
      </c>
      <c r="H35" s="202">
        <v>6</v>
      </c>
      <c r="I35" s="135">
        <f>E29</f>
        <v>47064.9</v>
      </c>
      <c r="J35" s="135">
        <v>4172168.7897215486</v>
      </c>
      <c r="K35" s="135">
        <v>26236200</v>
      </c>
      <c r="L35" s="225">
        <f>J35/J37*100</f>
        <v>15.902336427232411</v>
      </c>
      <c r="M35" s="135">
        <f t="shared" si="0"/>
        <v>7484.4187371405051</v>
      </c>
      <c r="N35" s="203">
        <f t="shared" si="1"/>
        <v>7484.4187371405051</v>
      </c>
    </row>
    <row r="36" spans="2:14" ht="12" customHeight="1" x14ac:dyDescent="0.15">
      <c r="B36" s="208" t="s">
        <v>195</v>
      </c>
      <c r="C36" s="209" t="s">
        <v>196</v>
      </c>
      <c r="D36" s="210">
        <v>0.159</v>
      </c>
      <c r="E36" s="211">
        <f t="shared" si="2"/>
        <v>7484.4187371405051</v>
      </c>
      <c r="H36" s="202">
        <v>7</v>
      </c>
      <c r="I36" s="135">
        <f>E29</f>
        <v>47064.9</v>
      </c>
      <c r="J36" s="135">
        <v>6556150.9944675583</v>
      </c>
      <c r="K36" s="135">
        <v>26236200</v>
      </c>
      <c r="L36" s="225">
        <f>J36/J37*100</f>
        <v>24.988950360446864</v>
      </c>
      <c r="M36" s="135">
        <f t="shared" si="0"/>
        <v>11761.024498193952</v>
      </c>
      <c r="N36" s="203">
        <f t="shared" si="1"/>
        <v>11761.024498193952</v>
      </c>
    </row>
    <row r="37" spans="2:14" ht="12" customHeight="1" x14ac:dyDescent="0.15">
      <c r="B37" s="208" t="s">
        <v>197</v>
      </c>
      <c r="C37" s="209" t="s">
        <v>198</v>
      </c>
      <c r="D37" s="210">
        <v>0.24990000000000001</v>
      </c>
      <c r="E37" s="211">
        <f t="shared" si="2"/>
        <v>11761.024498193952</v>
      </c>
      <c r="H37" s="212"/>
      <c r="I37" s="213"/>
      <c r="J37" s="214">
        <f>SUM(J30:J36)</f>
        <v>26236199.999999993</v>
      </c>
      <c r="K37" s="214"/>
      <c r="L37" s="214">
        <f t="shared" ref="L37:N37" si="3">SUM(L30:L36)</f>
        <v>100.00000000000001</v>
      </c>
      <c r="M37" s="214">
        <f t="shared" si="3"/>
        <v>47064.899999999987</v>
      </c>
      <c r="N37" s="215">
        <f t="shared" si="3"/>
        <v>47064.899999999987</v>
      </c>
    </row>
    <row r="38" spans="2:14" ht="12" customHeight="1" x14ac:dyDescent="0.15">
      <c r="B38" s="216" t="s">
        <v>225</v>
      </c>
      <c r="C38" s="217"/>
      <c r="D38" s="218">
        <f t="shared" ref="D38:E38" si="4">SUM(D31:D37)</f>
        <v>1</v>
      </c>
      <c r="E38" s="219">
        <f t="shared" si="4"/>
        <v>47064.899999999987</v>
      </c>
      <c r="I38" s="135"/>
      <c r="J38" s="135"/>
      <c r="K38" s="135"/>
      <c r="L38" s="135"/>
    </row>
    <row r="39" spans="2:14" ht="12" customHeight="1" x14ac:dyDescent="0.15">
      <c r="B39" s="220"/>
      <c r="C39" s="75"/>
      <c r="D39" s="221"/>
      <c r="E39" s="185"/>
      <c r="I39" s="135"/>
      <c r="J39" s="135"/>
      <c r="K39" s="135"/>
      <c r="L39" s="135"/>
    </row>
    <row r="40" spans="2:14" ht="12" customHeight="1" x14ac:dyDescent="0.15">
      <c r="B40" s="2"/>
      <c r="C40" s="4"/>
      <c r="D40" s="4"/>
      <c r="E40" s="4"/>
      <c r="I40" s="135"/>
      <c r="J40" s="135"/>
      <c r="K40" s="135"/>
      <c r="L40" s="135"/>
    </row>
    <row r="41" spans="2:14" ht="12" customHeight="1" x14ac:dyDescent="0.15">
      <c r="B41" s="2"/>
      <c r="C41" s="4"/>
      <c r="D41" s="4"/>
      <c r="E41" s="4"/>
      <c r="I41" s="135"/>
      <c r="J41" s="135"/>
      <c r="K41" s="135"/>
      <c r="L41" s="135"/>
    </row>
    <row r="42" spans="2:14" ht="12" customHeight="1" x14ac:dyDescent="0.15">
      <c r="B42" s="226"/>
      <c r="C42" s="135"/>
      <c r="D42" s="4"/>
      <c r="E42" s="206"/>
      <c r="I42" s="135"/>
      <c r="J42" s="135"/>
      <c r="K42" s="135"/>
      <c r="L42" s="135"/>
      <c r="M42" s="135"/>
    </row>
    <row r="43" spans="2:14" ht="12" customHeight="1" x14ac:dyDescent="0.15">
      <c r="B43" s="226"/>
      <c r="C43" s="135"/>
      <c r="D43" s="4"/>
      <c r="E43" s="210"/>
      <c r="I43" s="135"/>
      <c r="J43" s="135"/>
      <c r="K43" s="135"/>
      <c r="L43" s="135"/>
    </row>
    <row r="44" spans="2:14" ht="12" customHeight="1" x14ac:dyDescent="0.15">
      <c r="B44" s="226"/>
      <c r="C44" s="135"/>
      <c r="D44" s="4"/>
      <c r="E44" s="210"/>
      <c r="I44" s="135"/>
      <c r="J44" s="135"/>
      <c r="K44" s="135"/>
      <c r="L44" s="135"/>
    </row>
    <row r="45" spans="2:14" ht="12" customHeight="1" x14ac:dyDescent="0.15">
      <c r="B45" s="226"/>
      <c r="C45" s="135"/>
      <c r="D45" s="4"/>
      <c r="E45" s="210"/>
      <c r="I45" s="135"/>
      <c r="J45" s="135"/>
      <c r="K45" s="135"/>
      <c r="L45" s="135"/>
    </row>
    <row r="46" spans="2:14" ht="12" customHeight="1" x14ac:dyDescent="0.15">
      <c r="B46" s="226"/>
      <c r="C46" s="135"/>
      <c r="D46" s="4"/>
      <c r="E46" s="210"/>
      <c r="I46" s="135"/>
      <c r="J46" s="135"/>
      <c r="K46" s="135"/>
      <c r="L46" s="135"/>
    </row>
    <row r="47" spans="2:14" ht="12" customHeight="1" x14ac:dyDescent="0.15">
      <c r="B47" s="226"/>
      <c r="C47" s="135"/>
      <c r="D47" s="4"/>
      <c r="E47" s="210"/>
      <c r="I47" s="135"/>
      <c r="J47" s="135"/>
      <c r="K47" s="135"/>
      <c r="L47" s="135"/>
    </row>
    <row r="48" spans="2:14" ht="12" customHeight="1" x14ac:dyDescent="0.15">
      <c r="B48" s="226"/>
      <c r="C48" s="135"/>
      <c r="D48" s="4"/>
      <c r="E48" s="210"/>
      <c r="I48" s="135"/>
      <c r="J48" s="135"/>
      <c r="K48" s="135"/>
      <c r="L48" s="135"/>
    </row>
    <row r="49" spans="2:12" ht="12" customHeight="1" x14ac:dyDescent="0.15">
      <c r="B49" s="2"/>
      <c r="C49" s="147"/>
      <c r="D49" s="4"/>
      <c r="E49" s="4"/>
      <c r="I49" s="135"/>
      <c r="J49" s="135"/>
      <c r="K49" s="135"/>
      <c r="L49" s="135"/>
    </row>
    <row r="50" spans="2:12" ht="12" customHeight="1" x14ac:dyDescent="0.15">
      <c r="B50" s="2"/>
      <c r="C50" s="4"/>
      <c r="D50" s="4"/>
      <c r="E50" s="4"/>
      <c r="I50" s="135"/>
      <c r="J50" s="135"/>
      <c r="K50" s="135"/>
      <c r="L50" s="135"/>
    </row>
    <row r="51" spans="2:12" ht="12" customHeight="1" x14ac:dyDescent="0.15">
      <c r="B51" s="2"/>
      <c r="C51" s="4"/>
      <c r="D51" s="4"/>
      <c r="E51" s="4"/>
      <c r="I51" s="135"/>
      <c r="J51" s="135"/>
      <c r="K51" s="135"/>
      <c r="L51" s="135"/>
    </row>
    <row r="52" spans="2:12" ht="12" customHeight="1" x14ac:dyDescent="0.15">
      <c r="B52" s="2"/>
      <c r="C52" s="4"/>
      <c r="D52" s="4"/>
      <c r="E52" s="4"/>
      <c r="I52" s="135"/>
      <c r="J52" s="135"/>
      <c r="K52" s="135"/>
      <c r="L52" s="135"/>
    </row>
    <row r="53" spans="2:12" ht="12" customHeight="1" x14ac:dyDescent="0.15">
      <c r="B53" s="2"/>
      <c r="C53" s="4"/>
      <c r="D53" s="4"/>
      <c r="E53" s="4"/>
      <c r="I53" s="135"/>
      <c r="J53" s="135"/>
      <c r="K53" s="135"/>
      <c r="L53" s="135"/>
    </row>
    <row r="54" spans="2:12" ht="12" customHeight="1" x14ac:dyDescent="0.15">
      <c r="B54" s="2"/>
      <c r="C54" s="4"/>
      <c r="D54" s="4"/>
      <c r="E54" s="4"/>
      <c r="I54" s="135"/>
      <c r="J54" s="135"/>
      <c r="K54" s="135"/>
      <c r="L54" s="135"/>
    </row>
    <row r="55" spans="2:12" ht="12" customHeight="1" x14ac:dyDescent="0.15">
      <c r="B55" s="2"/>
      <c r="C55" s="4"/>
      <c r="D55" s="4"/>
      <c r="E55" s="4"/>
      <c r="I55" s="135"/>
      <c r="J55" s="135"/>
      <c r="K55" s="135"/>
      <c r="L55" s="135"/>
    </row>
    <row r="56" spans="2:12" ht="12" customHeight="1" x14ac:dyDescent="0.15">
      <c r="B56" s="2"/>
      <c r="C56" s="4"/>
      <c r="D56" s="4"/>
      <c r="E56" s="4"/>
      <c r="I56" s="135"/>
      <c r="J56" s="135"/>
      <c r="K56" s="135"/>
      <c r="L56" s="135"/>
    </row>
    <row r="57" spans="2:12" ht="12" customHeight="1" x14ac:dyDescent="0.15">
      <c r="B57" s="2"/>
      <c r="C57" s="4"/>
      <c r="D57" s="4"/>
      <c r="E57" s="4"/>
      <c r="I57" s="135"/>
      <c r="J57" s="135"/>
      <c r="K57" s="135"/>
      <c r="L57" s="135"/>
    </row>
    <row r="58" spans="2:12" ht="12" customHeight="1" x14ac:dyDescent="0.15">
      <c r="B58" s="2"/>
      <c r="C58" s="4"/>
      <c r="D58" s="4"/>
      <c r="E58" s="4"/>
      <c r="I58" s="135"/>
      <c r="J58" s="135"/>
      <c r="K58" s="135"/>
      <c r="L58" s="135"/>
    </row>
    <row r="59" spans="2:12" ht="12" customHeight="1" x14ac:dyDescent="0.15">
      <c r="B59" s="2"/>
      <c r="C59" s="4"/>
      <c r="D59" s="4"/>
      <c r="E59" s="4"/>
      <c r="I59" s="135"/>
      <c r="J59" s="135"/>
      <c r="K59" s="135"/>
      <c r="L59" s="135"/>
    </row>
    <row r="60" spans="2:12" ht="12" customHeight="1" x14ac:dyDescent="0.15">
      <c r="B60" s="2"/>
      <c r="C60" s="4"/>
      <c r="D60" s="4"/>
      <c r="E60" s="4"/>
      <c r="I60" s="135"/>
      <c r="J60" s="135"/>
      <c r="K60" s="135"/>
      <c r="L60" s="135"/>
    </row>
    <row r="61" spans="2:12" ht="12" customHeight="1" x14ac:dyDescent="0.15">
      <c r="B61" s="2"/>
      <c r="C61" s="4"/>
      <c r="D61" s="4"/>
      <c r="E61" s="4"/>
      <c r="I61" s="135"/>
      <c r="J61" s="135"/>
      <c r="K61" s="135"/>
      <c r="L61" s="135"/>
    </row>
    <row r="62" spans="2:12" ht="12" customHeight="1" x14ac:dyDescent="0.15">
      <c r="B62" s="2"/>
      <c r="C62" s="4"/>
      <c r="D62" s="4"/>
      <c r="E62" s="4"/>
      <c r="I62" s="135"/>
      <c r="J62" s="135"/>
      <c r="K62" s="135"/>
      <c r="L62" s="135"/>
    </row>
    <row r="63" spans="2:12" ht="12" customHeight="1" x14ac:dyDescent="0.15">
      <c r="B63" s="2"/>
      <c r="C63" s="4"/>
      <c r="D63" s="4"/>
      <c r="E63" s="4"/>
      <c r="I63" s="135"/>
      <c r="J63" s="135"/>
      <c r="K63" s="135"/>
      <c r="L63" s="135"/>
    </row>
    <row r="64" spans="2:12" ht="12" customHeight="1" x14ac:dyDescent="0.15">
      <c r="B64" s="2"/>
      <c r="C64" s="4"/>
      <c r="D64" s="4"/>
      <c r="E64" s="4"/>
      <c r="I64" s="135"/>
      <c r="J64" s="135"/>
      <c r="K64" s="135"/>
      <c r="L64" s="135"/>
    </row>
    <row r="65" spans="2:12" ht="12" customHeight="1" x14ac:dyDescent="0.15">
      <c r="B65" s="2"/>
      <c r="C65" s="4"/>
      <c r="D65" s="4"/>
      <c r="E65" s="4"/>
      <c r="I65" s="135"/>
      <c r="J65" s="135"/>
      <c r="K65" s="135"/>
      <c r="L65" s="135"/>
    </row>
    <row r="66" spans="2:12" ht="12" customHeight="1" x14ac:dyDescent="0.15">
      <c r="B66" s="2"/>
      <c r="C66" s="4"/>
      <c r="D66" s="4"/>
      <c r="E66" s="4"/>
      <c r="I66" s="135"/>
      <c r="J66" s="135"/>
      <c r="K66" s="135"/>
      <c r="L66" s="135"/>
    </row>
    <row r="67" spans="2:12" ht="12" customHeight="1" x14ac:dyDescent="0.15">
      <c r="B67" s="2"/>
      <c r="C67" s="4"/>
      <c r="D67" s="4"/>
      <c r="E67" s="4"/>
      <c r="I67" s="135"/>
      <c r="J67" s="135"/>
      <c r="K67" s="135"/>
      <c r="L67" s="135"/>
    </row>
    <row r="68" spans="2:12" ht="12" customHeight="1" x14ac:dyDescent="0.15">
      <c r="B68" s="2"/>
      <c r="C68" s="4"/>
      <c r="D68" s="4"/>
      <c r="E68" s="4"/>
      <c r="I68" s="135"/>
      <c r="J68" s="135"/>
      <c r="K68" s="135"/>
      <c r="L68" s="135"/>
    </row>
    <row r="69" spans="2:12" ht="12" customHeight="1" x14ac:dyDescent="0.15">
      <c r="B69" s="2"/>
      <c r="C69" s="4"/>
      <c r="D69" s="4"/>
      <c r="E69" s="4"/>
      <c r="I69" s="135"/>
      <c r="J69" s="135"/>
      <c r="K69" s="135"/>
      <c r="L69" s="135"/>
    </row>
    <row r="70" spans="2:12" ht="12" customHeight="1" x14ac:dyDescent="0.15">
      <c r="B70" s="2"/>
      <c r="C70" s="4"/>
      <c r="D70" s="4"/>
      <c r="E70" s="4"/>
      <c r="I70" s="135"/>
      <c r="J70" s="135"/>
      <c r="K70" s="135"/>
      <c r="L70" s="135"/>
    </row>
    <row r="71" spans="2:12" ht="12" customHeight="1" x14ac:dyDescent="0.15">
      <c r="B71" s="2"/>
      <c r="C71" s="4"/>
      <c r="D71" s="4"/>
      <c r="E71" s="4"/>
      <c r="I71" s="135"/>
      <c r="J71" s="135"/>
      <c r="K71" s="135"/>
      <c r="L71" s="135"/>
    </row>
    <row r="72" spans="2:12" ht="12" customHeight="1" x14ac:dyDescent="0.15">
      <c r="B72" s="2"/>
      <c r="C72" s="4"/>
      <c r="D72" s="4"/>
      <c r="E72" s="4"/>
      <c r="I72" s="135"/>
      <c r="J72" s="135"/>
      <c r="K72" s="135"/>
      <c r="L72" s="135"/>
    </row>
    <row r="73" spans="2:12" ht="12" customHeight="1" x14ac:dyDescent="0.15">
      <c r="B73" s="2"/>
      <c r="C73" s="4"/>
      <c r="D73" s="4"/>
      <c r="E73" s="4"/>
      <c r="I73" s="135"/>
      <c r="J73" s="135"/>
      <c r="K73" s="135"/>
      <c r="L73" s="135"/>
    </row>
    <row r="74" spans="2:12" ht="12" customHeight="1" x14ac:dyDescent="0.15">
      <c r="B74" s="2"/>
      <c r="C74" s="4"/>
      <c r="D74" s="4"/>
      <c r="E74" s="4"/>
      <c r="I74" s="135"/>
      <c r="J74" s="135"/>
      <c r="K74" s="135"/>
      <c r="L74" s="135"/>
    </row>
    <row r="75" spans="2:12" ht="12" customHeight="1" x14ac:dyDescent="0.15">
      <c r="B75" s="2"/>
      <c r="C75" s="4"/>
      <c r="D75" s="4"/>
      <c r="E75" s="4"/>
      <c r="I75" s="135"/>
      <c r="J75" s="135"/>
      <c r="K75" s="135"/>
      <c r="L75" s="135"/>
    </row>
    <row r="76" spans="2:12" ht="12" customHeight="1" x14ac:dyDescent="0.15">
      <c r="B76" s="2"/>
      <c r="C76" s="4"/>
      <c r="D76" s="4"/>
      <c r="E76" s="4"/>
      <c r="I76" s="135"/>
      <c r="J76" s="135"/>
      <c r="K76" s="135"/>
      <c r="L76" s="135"/>
    </row>
    <row r="77" spans="2:12" ht="12" customHeight="1" x14ac:dyDescent="0.15">
      <c r="B77" s="2"/>
      <c r="C77" s="4"/>
      <c r="D77" s="4"/>
      <c r="E77" s="4"/>
      <c r="I77" s="135"/>
      <c r="J77" s="135"/>
      <c r="K77" s="135"/>
      <c r="L77" s="135"/>
    </row>
    <row r="78" spans="2:12" ht="12" customHeight="1" x14ac:dyDescent="0.15">
      <c r="B78" s="2"/>
      <c r="C78" s="4"/>
      <c r="D78" s="4"/>
      <c r="E78" s="4"/>
      <c r="I78" s="135"/>
      <c r="J78" s="135"/>
      <c r="K78" s="135"/>
      <c r="L78" s="135"/>
    </row>
    <row r="79" spans="2:12" ht="12" customHeight="1" x14ac:dyDescent="0.15">
      <c r="B79" s="2"/>
      <c r="C79" s="4"/>
      <c r="D79" s="4"/>
      <c r="E79" s="4"/>
      <c r="I79" s="135"/>
      <c r="J79" s="135"/>
      <c r="K79" s="135"/>
      <c r="L79" s="135"/>
    </row>
    <row r="80" spans="2:12" ht="12" customHeight="1" x14ac:dyDescent="0.15">
      <c r="B80" s="2"/>
      <c r="C80" s="4"/>
      <c r="D80" s="4"/>
      <c r="E80" s="4"/>
      <c r="I80" s="135"/>
      <c r="J80" s="135"/>
      <c r="K80" s="135"/>
      <c r="L80" s="135"/>
    </row>
    <row r="81" spans="2:12" ht="12" customHeight="1" x14ac:dyDescent="0.15">
      <c r="B81" s="2"/>
      <c r="C81" s="4"/>
      <c r="D81" s="4"/>
      <c r="E81" s="4"/>
      <c r="I81" s="135"/>
      <c r="J81" s="135"/>
      <c r="K81" s="135"/>
      <c r="L81" s="135"/>
    </row>
    <row r="82" spans="2:12" ht="12" customHeight="1" x14ac:dyDescent="0.15">
      <c r="B82" s="2"/>
      <c r="C82" s="4"/>
      <c r="D82" s="4"/>
      <c r="E82" s="4"/>
      <c r="I82" s="135"/>
      <c r="J82" s="135"/>
      <c r="K82" s="135"/>
      <c r="L82" s="135"/>
    </row>
    <row r="83" spans="2:12" ht="12" customHeight="1" x14ac:dyDescent="0.15">
      <c r="B83" s="2"/>
      <c r="C83" s="4"/>
      <c r="D83" s="4"/>
      <c r="E83" s="4"/>
      <c r="I83" s="135"/>
      <c r="J83" s="135"/>
      <c r="K83" s="135"/>
      <c r="L83" s="135"/>
    </row>
    <row r="84" spans="2:12" ht="12" customHeight="1" x14ac:dyDescent="0.15">
      <c r="B84" s="2"/>
      <c r="C84" s="4"/>
      <c r="D84" s="4"/>
      <c r="E84" s="4"/>
      <c r="I84" s="135"/>
      <c r="J84" s="135"/>
      <c r="K84" s="135"/>
      <c r="L84" s="135"/>
    </row>
    <row r="85" spans="2:12" ht="12" customHeight="1" x14ac:dyDescent="0.15">
      <c r="B85" s="2"/>
      <c r="C85" s="4"/>
      <c r="D85" s="4"/>
      <c r="E85" s="4"/>
      <c r="I85" s="135"/>
      <c r="J85" s="135"/>
      <c r="K85" s="135"/>
      <c r="L85" s="135"/>
    </row>
    <row r="86" spans="2:12" ht="12" customHeight="1" x14ac:dyDescent="0.15">
      <c r="B86" s="2"/>
      <c r="C86" s="4"/>
      <c r="D86" s="4"/>
      <c r="E86" s="4"/>
      <c r="I86" s="135"/>
      <c r="J86" s="135"/>
      <c r="K86" s="135"/>
      <c r="L86" s="135"/>
    </row>
    <row r="87" spans="2:12" ht="12" customHeight="1" x14ac:dyDescent="0.15">
      <c r="B87" s="2"/>
      <c r="C87" s="4"/>
      <c r="D87" s="4"/>
      <c r="E87" s="4"/>
      <c r="I87" s="135"/>
      <c r="J87" s="135"/>
      <c r="K87" s="135"/>
      <c r="L87" s="135"/>
    </row>
    <row r="88" spans="2:12" ht="12" customHeight="1" x14ac:dyDescent="0.15">
      <c r="B88" s="2"/>
      <c r="C88" s="4"/>
      <c r="D88" s="4"/>
      <c r="E88" s="4"/>
      <c r="I88" s="135"/>
      <c r="J88" s="135"/>
      <c r="K88" s="135"/>
      <c r="L88" s="135"/>
    </row>
    <row r="89" spans="2:12" ht="12" customHeight="1" x14ac:dyDescent="0.15">
      <c r="B89" s="2"/>
      <c r="C89" s="4"/>
      <c r="D89" s="4"/>
      <c r="E89" s="4"/>
      <c r="I89" s="135"/>
      <c r="J89" s="135"/>
      <c r="K89" s="135"/>
      <c r="L89" s="135"/>
    </row>
    <row r="90" spans="2:12" ht="12" customHeight="1" x14ac:dyDescent="0.15">
      <c r="B90" s="2"/>
      <c r="C90" s="4"/>
      <c r="D90" s="4"/>
      <c r="E90" s="4"/>
      <c r="I90" s="135"/>
      <c r="J90" s="135"/>
      <c r="K90" s="135"/>
      <c r="L90" s="135"/>
    </row>
    <row r="91" spans="2:12" ht="12" customHeight="1" x14ac:dyDescent="0.15">
      <c r="B91" s="2"/>
      <c r="C91" s="4"/>
      <c r="D91" s="4"/>
      <c r="E91" s="4"/>
      <c r="I91" s="135"/>
      <c r="J91" s="135"/>
      <c r="K91" s="135"/>
      <c r="L91" s="135"/>
    </row>
    <row r="92" spans="2:12" ht="12" customHeight="1" x14ac:dyDescent="0.15">
      <c r="B92" s="2"/>
      <c r="C92" s="4"/>
      <c r="D92" s="4"/>
      <c r="E92" s="4"/>
      <c r="I92" s="135"/>
      <c r="J92" s="135"/>
      <c r="K92" s="135"/>
      <c r="L92" s="135"/>
    </row>
    <row r="93" spans="2:12" ht="12" customHeight="1" x14ac:dyDescent="0.15">
      <c r="B93" s="2"/>
      <c r="C93" s="4"/>
      <c r="D93" s="4"/>
      <c r="E93" s="4"/>
      <c r="I93" s="135"/>
      <c r="J93" s="135"/>
      <c r="K93" s="135"/>
      <c r="L93" s="135"/>
    </row>
    <row r="94" spans="2:12" ht="12" customHeight="1" x14ac:dyDescent="0.15">
      <c r="B94" s="2"/>
      <c r="C94" s="4"/>
      <c r="D94" s="4"/>
      <c r="E94" s="4"/>
      <c r="I94" s="135"/>
      <c r="J94" s="135"/>
      <c r="K94" s="135"/>
      <c r="L94" s="135"/>
    </row>
    <row r="95" spans="2:12" ht="12" customHeight="1" x14ac:dyDescent="0.15">
      <c r="B95" s="2"/>
      <c r="C95" s="4"/>
      <c r="D95" s="4"/>
      <c r="E95" s="4"/>
      <c r="I95" s="135"/>
      <c r="J95" s="135"/>
      <c r="K95" s="135"/>
      <c r="L95" s="135"/>
    </row>
    <row r="96" spans="2:12" ht="12" customHeight="1" x14ac:dyDescent="0.15">
      <c r="B96" s="2"/>
      <c r="C96" s="4"/>
      <c r="D96" s="4"/>
      <c r="E96" s="4"/>
      <c r="I96" s="135"/>
      <c r="J96" s="135"/>
      <c r="K96" s="135"/>
      <c r="L96" s="135"/>
    </row>
    <row r="97" spans="2:12" ht="12" customHeight="1" x14ac:dyDescent="0.15">
      <c r="B97" s="2"/>
      <c r="C97" s="4"/>
      <c r="D97" s="4"/>
      <c r="E97" s="4"/>
      <c r="I97" s="135"/>
      <c r="J97" s="135"/>
      <c r="K97" s="135"/>
      <c r="L97" s="135"/>
    </row>
    <row r="98" spans="2:12" ht="12" customHeight="1" x14ac:dyDescent="0.15">
      <c r="B98" s="2"/>
      <c r="C98" s="4"/>
      <c r="D98" s="4"/>
      <c r="E98" s="4"/>
      <c r="I98" s="135"/>
      <c r="J98" s="135"/>
      <c r="K98" s="135"/>
      <c r="L98" s="135"/>
    </row>
    <row r="99" spans="2:12" ht="12" customHeight="1" x14ac:dyDescent="0.15">
      <c r="B99" s="2"/>
      <c r="C99" s="4"/>
      <c r="D99" s="4"/>
      <c r="E99" s="4"/>
      <c r="I99" s="135"/>
      <c r="J99" s="135"/>
      <c r="K99" s="135"/>
      <c r="L99" s="135"/>
    </row>
    <row r="100" spans="2:12" ht="12" customHeight="1" x14ac:dyDescent="0.15">
      <c r="B100" s="2"/>
      <c r="C100" s="4"/>
      <c r="D100" s="4"/>
      <c r="E100" s="4"/>
      <c r="I100" s="135"/>
      <c r="J100" s="135"/>
      <c r="K100" s="135"/>
      <c r="L100" s="135"/>
    </row>
    <row r="101" spans="2:12" ht="12" customHeight="1" x14ac:dyDescent="0.15">
      <c r="B101" s="2"/>
      <c r="C101" s="4"/>
      <c r="D101" s="4"/>
      <c r="E101" s="4"/>
      <c r="I101" s="135"/>
      <c r="J101" s="135"/>
      <c r="K101" s="135"/>
      <c r="L101" s="135"/>
    </row>
    <row r="102" spans="2:12" ht="12" customHeight="1" x14ac:dyDescent="0.15">
      <c r="B102" s="2"/>
      <c r="C102" s="4"/>
      <c r="D102" s="4"/>
      <c r="E102" s="4"/>
      <c r="I102" s="135"/>
      <c r="J102" s="135"/>
      <c r="K102" s="135"/>
      <c r="L102" s="135"/>
    </row>
    <row r="103" spans="2:12" ht="12" customHeight="1" x14ac:dyDescent="0.15">
      <c r="B103" s="2"/>
      <c r="C103" s="4"/>
      <c r="D103" s="4"/>
      <c r="E103" s="4"/>
      <c r="I103" s="135"/>
      <c r="J103" s="135"/>
      <c r="K103" s="135"/>
      <c r="L103" s="135"/>
    </row>
    <row r="104" spans="2:12" ht="12" customHeight="1" x14ac:dyDescent="0.15">
      <c r="B104" s="2"/>
      <c r="C104" s="4"/>
      <c r="D104" s="4"/>
      <c r="E104" s="4"/>
      <c r="I104" s="135"/>
      <c r="J104" s="135"/>
      <c r="K104" s="135"/>
      <c r="L104" s="135"/>
    </row>
    <row r="105" spans="2:12" ht="12" customHeight="1" x14ac:dyDescent="0.15">
      <c r="B105" s="2"/>
      <c r="C105" s="4"/>
      <c r="D105" s="4"/>
      <c r="E105" s="4"/>
      <c r="I105" s="135"/>
      <c r="J105" s="135"/>
      <c r="K105" s="135"/>
      <c r="L105" s="135"/>
    </row>
    <row r="106" spans="2:12" ht="12" customHeight="1" x14ac:dyDescent="0.15">
      <c r="B106" s="2"/>
      <c r="C106" s="4"/>
      <c r="D106" s="4"/>
      <c r="E106" s="4"/>
      <c r="I106" s="135"/>
      <c r="J106" s="135"/>
      <c r="K106" s="135"/>
      <c r="L106" s="135"/>
    </row>
    <row r="107" spans="2:12" ht="12" customHeight="1" x14ac:dyDescent="0.15">
      <c r="B107" s="2"/>
      <c r="C107" s="4"/>
      <c r="D107" s="4"/>
      <c r="E107" s="4"/>
      <c r="I107" s="135"/>
      <c r="J107" s="135"/>
      <c r="K107" s="135"/>
      <c r="L107" s="135"/>
    </row>
    <row r="108" spans="2:12" ht="12" customHeight="1" x14ac:dyDescent="0.15">
      <c r="B108" s="2"/>
      <c r="C108" s="4"/>
      <c r="D108" s="4"/>
      <c r="E108" s="4"/>
      <c r="I108" s="135"/>
      <c r="J108" s="135"/>
      <c r="K108" s="135"/>
      <c r="L108" s="135"/>
    </row>
    <row r="109" spans="2:12" ht="12" customHeight="1" x14ac:dyDescent="0.15">
      <c r="B109" s="2"/>
      <c r="C109" s="4"/>
      <c r="D109" s="4"/>
      <c r="E109" s="4"/>
      <c r="I109" s="135"/>
      <c r="J109" s="135"/>
      <c r="K109" s="135"/>
      <c r="L109" s="135"/>
    </row>
    <row r="110" spans="2:12" ht="12" customHeight="1" x14ac:dyDescent="0.15">
      <c r="B110" s="2"/>
      <c r="C110" s="4"/>
      <c r="D110" s="4"/>
      <c r="E110" s="4"/>
      <c r="I110" s="135"/>
      <c r="J110" s="135"/>
      <c r="K110" s="135"/>
      <c r="L110" s="135"/>
    </row>
    <row r="111" spans="2:12" ht="12" customHeight="1" x14ac:dyDescent="0.15">
      <c r="B111" s="2"/>
      <c r="C111" s="4"/>
      <c r="D111" s="4"/>
      <c r="E111" s="4"/>
      <c r="I111" s="135"/>
      <c r="J111" s="135"/>
      <c r="K111" s="135"/>
      <c r="L111" s="135"/>
    </row>
    <row r="112" spans="2:12" ht="12" customHeight="1" x14ac:dyDescent="0.15">
      <c r="B112" s="2"/>
      <c r="C112" s="4"/>
      <c r="D112" s="4"/>
      <c r="E112" s="4"/>
      <c r="I112" s="135"/>
      <c r="J112" s="135"/>
      <c r="K112" s="135"/>
      <c r="L112" s="135"/>
    </row>
    <row r="113" spans="2:12" ht="12" customHeight="1" x14ac:dyDescent="0.15">
      <c r="B113" s="2"/>
      <c r="C113" s="4"/>
      <c r="D113" s="4"/>
      <c r="E113" s="4"/>
      <c r="I113" s="135"/>
      <c r="J113" s="135"/>
      <c r="K113" s="135"/>
      <c r="L113" s="135"/>
    </row>
    <row r="114" spans="2:12" ht="12" customHeight="1" x14ac:dyDescent="0.15">
      <c r="B114" s="2"/>
      <c r="C114" s="4"/>
      <c r="D114" s="4"/>
      <c r="E114" s="4"/>
      <c r="I114" s="135"/>
      <c r="J114" s="135"/>
      <c r="K114" s="135"/>
      <c r="L114" s="135"/>
    </row>
    <row r="115" spans="2:12" ht="12" customHeight="1" x14ac:dyDescent="0.15">
      <c r="B115" s="2"/>
      <c r="C115" s="4"/>
      <c r="D115" s="4"/>
      <c r="E115" s="4"/>
      <c r="I115" s="135"/>
      <c r="J115" s="135"/>
      <c r="K115" s="135"/>
      <c r="L115" s="135"/>
    </row>
    <row r="116" spans="2:12" ht="12" customHeight="1" x14ac:dyDescent="0.15">
      <c r="B116" s="2"/>
      <c r="C116" s="4"/>
      <c r="D116" s="4"/>
      <c r="E116" s="4"/>
      <c r="I116" s="135"/>
      <c r="J116" s="135"/>
      <c r="K116" s="135"/>
      <c r="L116" s="135"/>
    </row>
    <row r="117" spans="2:12" ht="12" customHeight="1" x14ac:dyDescent="0.15">
      <c r="B117" s="2"/>
      <c r="C117" s="4"/>
      <c r="D117" s="4"/>
      <c r="E117" s="4"/>
      <c r="I117" s="135"/>
      <c r="J117" s="135"/>
      <c r="K117" s="135"/>
      <c r="L117" s="135"/>
    </row>
    <row r="118" spans="2:12" ht="12" customHeight="1" x14ac:dyDescent="0.15">
      <c r="B118" s="2"/>
      <c r="C118" s="4"/>
      <c r="D118" s="4"/>
      <c r="E118" s="4"/>
      <c r="I118" s="135"/>
      <c r="J118" s="135"/>
      <c r="K118" s="135"/>
      <c r="L118" s="135"/>
    </row>
    <row r="119" spans="2:12" ht="12" customHeight="1" x14ac:dyDescent="0.15">
      <c r="B119" s="2"/>
      <c r="C119" s="4"/>
      <c r="D119" s="4"/>
      <c r="E119" s="4"/>
      <c r="I119" s="135"/>
      <c r="J119" s="135"/>
      <c r="K119" s="135"/>
      <c r="L119" s="135"/>
    </row>
    <row r="120" spans="2:12" ht="12" customHeight="1" x14ac:dyDescent="0.15">
      <c r="B120" s="2"/>
      <c r="C120" s="4"/>
      <c r="D120" s="4"/>
      <c r="E120" s="4"/>
      <c r="I120" s="135"/>
      <c r="J120" s="135"/>
      <c r="K120" s="135"/>
      <c r="L120" s="135"/>
    </row>
    <row r="121" spans="2:12" ht="12" customHeight="1" x14ac:dyDescent="0.15">
      <c r="B121" s="2"/>
      <c r="C121" s="4"/>
      <c r="D121" s="4"/>
      <c r="E121" s="4"/>
      <c r="I121" s="135"/>
      <c r="J121" s="135"/>
      <c r="K121" s="135"/>
      <c r="L121" s="135"/>
    </row>
    <row r="122" spans="2:12" ht="12" customHeight="1" x14ac:dyDescent="0.15">
      <c r="B122" s="2"/>
      <c r="C122" s="4"/>
      <c r="D122" s="4"/>
      <c r="E122" s="4"/>
      <c r="I122" s="135"/>
      <c r="J122" s="135"/>
      <c r="K122" s="135"/>
      <c r="L122" s="135"/>
    </row>
    <row r="123" spans="2:12" ht="12" customHeight="1" x14ac:dyDescent="0.15">
      <c r="B123" s="2"/>
      <c r="C123" s="4"/>
      <c r="D123" s="4"/>
      <c r="E123" s="4"/>
      <c r="I123" s="135"/>
      <c r="J123" s="135"/>
      <c r="K123" s="135"/>
      <c r="L123" s="135"/>
    </row>
    <row r="124" spans="2:12" ht="12" customHeight="1" x14ac:dyDescent="0.15">
      <c r="B124" s="2"/>
      <c r="C124" s="4"/>
      <c r="D124" s="4"/>
      <c r="E124" s="4"/>
      <c r="I124" s="135"/>
      <c r="J124" s="135"/>
      <c r="K124" s="135"/>
      <c r="L124" s="135"/>
    </row>
    <row r="125" spans="2:12" ht="12" customHeight="1" x14ac:dyDescent="0.15">
      <c r="B125" s="2"/>
      <c r="C125" s="4"/>
      <c r="D125" s="4"/>
      <c r="E125" s="4"/>
      <c r="I125" s="135"/>
      <c r="J125" s="135"/>
      <c r="K125" s="135"/>
      <c r="L125" s="135"/>
    </row>
    <row r="126" spans="2:12" ht="12" customHeight="1" x14ac:dyDescent="0.15">
      <c r="B126" s="2"/>
      <c r="C126" s="4"/>
      <c r="D126" s="4"/>
      <c r="E126" s="4"/>
      <c r="I126" s="135"/>
      <c r="J126" s="135"/>
      <c r="K126" s="135"/>
      <c r="L126" s="135"/>
    </row>
    <row r="127" spans="2:12" ht="12" customHeight="1" x14ac:dyDescent="0.15">
      <c r="B127" s="2"/>
      <c r="C127" s="4"/>
      <c r="D127" s="4"/>
      <c r="E127" s="4"/>
      <c r="I127" s="135"/>
      <c r="J127" s="135"/>
      <c r="K127" s="135"/>
      <c r="L127" s="135"/>
    </row>
    <row r="128" spans="2:12" ht="12" customHeight="1" x14ac:dyDescent="0.15">
      <c r="B128" s="2"/>
      <c r="C128" s="4"/>
      <c r="D128" s="4"/>
      <c r="E128" s="4"/>
      <c r="I128" s="135"/>
      <c r="J128" s="135"/>
      <c r="K128" s="135"/>
      <c r="L128" s="135"/>
    </row>
    <row r="129" spans="2:12" ht="12" customHeight="1" x14ac:dyDescent="0.15">
      <c r="B129" s="2"/>
      <c r="C129" s="4"/>
      <c r="D129" s="4"/>
      <c r="E129" s="4"/>
      <c r="I129" s="135"/>
      <c r="J129" s="135"/>
      <c r="K129" s="135"/>
      <c r="L129" s="135"/>
    </row>
    <row r="130" spans="2:12" ht="12" customHeight="1" x14ac:dyDescent="0.15">
      <c r="B130" s="2"/>
      <c r="C130" s="4"/>
      <c r="D130" s="4"/>
      <c r="E130" s="4"/>
      <c r="I130" s="135"/>
      <c r="J130" s="135"/>
      <c r="K130" s="135"/>
      <c r="L130" s="135"/>
    </row>
    <row r="131" spans="2:12" ht="12" customHeight="1" x14ac:dyDescent="0.15">
      <c r="B131" s="2"/>
      <c r="C131" s="4"/>
      <c r="D131" s="4"/>
      <c r="E131" s="4"/>
      <c r="I131" s="135"/>
      <c r="J131" s="135"/>
      <c r="K131" s="135"/>
      <c r="L131" s="135"/>
    </row>
    <row r="132" spans="2:12" ht="12" customHeight="1" x14ac:dyDescent="0.15">
      <c r="B132" s="2"/>
      <c r="C132" s="4"/>
      <c r="D132" s="4"/>
      <c r="E132" s="4"/>
      <c r="I132" s="135"/>
      <c r="J132" s="135"/>
      <c r="K132" s="135"/>
      <c r="L132" s="135"/>
    </row>
    <row r="133" spans="2:12" ht="12" customHeight="1" x14ac:dyDescent="0.15">
      <c r="B133" s="2"/>
      <c r="C133" s="4"/>
      <c r="D133" s="4"/>
      <c r="E133" s="4"/>
      <c r="I133" s="135"/>
      <c r="J133" s="135"/>
      <c r="K133" s="135"/>
      <c r="L133" s="135"/>
    </row>
    <row r="134" spans="2:12" ht="12" customHeight="1" x14ac:dyDescent="0.15">
      <c r="B134" s="2"/>
      <c r="C134" s="4"/>
      <c r="D134" s="4"/>
      <c r="E134" s="4"/>
      <c r="I134" s="135"/>
      <c r="J134" s="135"/>
      <c r="K134" s="135"/>
      <c r="L134" s="135"/>
    </row>
    <row r="135" spans="2:12" ht="12" customHeight="1" x14ac:dyDescent="0.15">
      <c r="B135" s="2"/>
      <c r="C135" s="4"/>
      <c r="D135" s="4"/>
      <c r="E135" s="4"/>
      <c r="I135" s="135"/>
      <c r="J135" s="135"/>
      <c r="K135" s="135"/>
      <c r="L135" s="135"/>
    </row>
    <row r="136" spans="2:12" ht="12" customHeight="1" x14ac:dyDescent="0.15">
      <c r="B136" s="2"/>
      <c r="C136" s="4"/>
      <c r="D136" s="4"/>
      <c r="E136" s="4"/>
      <c r="I136" s="135"/>
      <c r="J136" s="135"/>
      <c r="K136" s="135"/>
      <c r="L136" s="135"/>
    </row>
    <row r="137" spans="2:12" ht="12" customHeight="1" x14ac:dyDescent="0.15">
      <c r="B137" s="2"/>
      <c r="C137" s="4"/>
      <c r="D137" s="4"/>
      <c r="E137" s="4"/>
      <c r="I137" s="135"/>
      <c r="J137" s="135"/>
      <c r="K137" s="135"/>
      <c r="L137" s="135"/>
    </row>
    <row r="138" spans="2:12" ht="12" customHeight="1" x14ac:dyDescent="0.15">
      <c r="B138" s="2"/>
      <c r="C138" s="4"/>
      <c r="D138" s="4"/>
      <c r="E138" s="4"/>
      <c r="I138" s="135"/>
      <c r="J138" s="135"/>
      <c r="K138" s="135"/>
      <c r="L138" s="135"/>
    </row>
    <row r="139" spans="2:12" ht="12" customHeight="1" x14ac:dyDescent="0.15">
      <c r="B139" s="2"/>
      <c r="C139" s="4"/>
      <c r="D139" s="4"/>
      <c r="E139" s="4"/>
      <c r="I139" s="135"/>
      <c r="J139" s="135"/>
      <c r="K139" s="135"/>
      <c r="L139" s="135"/>
    </row>
    <row r="140" spans="2:12" ht="12" customHeight="1" x14ac:dyDescent="0.15">
      <c r="B140" s="2"/>
      <c r="C140" s="4"/>
      <c r="D140" s="4"/>
      <c r="E140" s="4"/>
      <c r="I140" s="135"/>
      <c r="J140" s="135"/>
      <c r="K140" s="135"/>
      <c r="L140" s="135"/>
    </row>
    <row r="141" spans="2:12" ht="12" customHeight="1" x14ac:dyDescent="0.15">
      <c r="B141" s="2"/>
      <c r="C141" s="4"/>
      <c r="D141" s="4"/>
      <c r="E141" s="4"/>
      <c r="I141" s="135"/>
      <c r="J141" s="135"/>
      <c r="K141" s="135"/>
      <c r="L141" s="135"/>
    </row>
    <row r="142" spans="2:12" ht="12" customHeight="1" x14ac:dyDescent="0.15">
      <c r="B142" s="2"/>
      <c r="C142" s="4"/>
      <c r="D142" s="4"/>
      <c r="E142" s="4"/>
      <c r="I142" s="135"/>
      <c r="J142" s="135"/>
      <c r="K142" s="135"/>
      <c r="L142" s="135"/>
    </row>
    <row r="143" spans="2:12" ht="12" customHeight="1" x14ac:dyDescent="0.15">
      <c r="B143" s="2"/>
      <c r="C143" s="4"/>
      <c r="D143" s="4"/>
      <c r="E143" s="4"/>
      <c r="I143" s="135"/>
      <c r="J143" s="135"/>
      <c r="K143" s="135"/>
      <c r="L143" s="135"/>
    </row>
    <row r="144" spans="2:12" ht="12" customHeight="1" x14ac:dyDescent="0.15">
      <c r="B144" s="2"/>
      <c r="C144" s="4"/>
      <c r="D144" s="4"/>
      <c r="E144" s="4"/>
      <c r="I144" s="135"/>
      <c r="J144" s="135"/>
      <c r="K144" s="135"/>
      <c r="L144" s="135"/>
    </row>
    <row r="145" spans="2:12" ht="12" customHeight="1" x14ac:dyDescent="0.15">
      <c r="B145" s="2"/>
      <c r="C145" s="4"/>
      <c r="D145" s="4"/>
      <c r="E145" s="4"/>
      <c r="I145" s="135"/>
      <c r="J145" s="135"/>
      <c r="K145" s="135"/>
      <c r="L145" s="135"/>
    </row>
    <row r="146" spans="2:12" ht="12" customHeight="1" x14ac:dyDescent="0.15">
      <c r="B146" s="2"/>
      <c r="C146" s="4"/>
      <c r="D146" s="4"/>
      <c r="E146" s="4"/>
      <c r="I146" s="135"/>
      <c r="J146" s="135"/>
      <c r="K146" s="135"/>
      <c r="L146" s="135"/>
    </row>
    <row r="147" spans="2:12" ht="12" customHeight="1" x14ac:dyDescent="0.15">
      <c r="B147" s="2"/>
      <c r="C147" s="4"/>
      <c r="D147" s="4"/>
      <c r="E147" s="4"/>
      <c r="I147" s="135"/>
      <c r="J147" s="135"/>
      <c r="K147" s="135"/>
      <c r="L147" s="135"/>
    </row>
    <row r="148" spans="2:12" ht="12" customHeight="1" x14ac:dyDescent="0.15">
      <c r="B148" s="2"/>
      <c r="C148" s="4"/>
      <c r="D148" s="4"/>
      <c r="E148" s="4"/>
      <c r="I148" s="135"/>
      <c r="J148" s="135"/>
      <c r="K148" s="135"/>
      <c r="L148" s="135"/>
    </row>
    <row r="149" spans="2:12" ht="12" customHeight="1" x14ac:dyDescent="0.15">
      <c r="B149" s="2"/>
      <c r="C149" s="4"/>
      <c r="D149" s="4"/>
      <c r="E149" s="4"/>
      <c r="I149" s="135"/>
      <c r="J149" s="135"/>
      <c r="K149" s="135"/>
      <c r="L149" s="135"/>
    </row>
    <row r="150" spans="2:12" ht="12" customHeight="1" x14ac:dyDescent="0.15">
      <c r="B150" s="2"/>
      <c r="C150" s="4"/>
      <c r="D150" s="4"/>
      <c r="E150" s="4"/>
      <c r="I150" s="135"/>
      <c r="J150" s="135"/>
      <c r="K150" s="135"/>
      <c r="L150" s="135"/>
    </row>
    <row r="151" spans="2:12" ht="12" customHeight="1" x14ac:dyDescent="0.15">
      <c r="B151" s="2"/>
      <c r="C151" s="4"/>
      <c r="D151" s="4"/>
      <c r="E151" s="4"/>
      <c r="I151" s="135"/>
      <c r="J151" s="135"/>
      <c r="K151" s="135"/>
      <c r="L151" s="135"/>
    </row>
    <row r="152" spans="2:12" ht="12" customHeight="1" x14ac:dyDescent="0.15">
      <c r="B152" s="2"/>
      <c r="C152" s="4"/>
      <c r="D152" s="4"/>
      <c r="E152" s="4"/>
      <c r="I152" s="135"/>
      <c r="J152" s="135"/>
      <c r="K152" s="135"/>
      <c r="L152" s="135"/>
    </row>
    <row r="153" spans="2:12" ht="12" customHeight="1" x14ac:dyDescent="0.15">
      <c r="B153" s="2"/>
      <c r="C153" s="4"/>
      <c r="D153" s="4"/>
      <c r="E153" s="4"/>
      <c r="I153" s="135"/>
      <c r="J153" s="135"/>
      <c r="K153" s="135"/>
      <c r="L153" s="135"/>
    </row>
    <row r="154" spans="2:12" ht="12" customHeight="1" x14ac:dyDescent="0.15">
      <c r="B154" s="2"/>
      <c r="C154" s="4"/>
      <c r="D154" s="4"/>
      <c r="E154" s="4"/>
      <c r="I154" s="135"/>
      <c r="J154" s="135"/>
      <c r="K154" s="135"/>
      <c r="L154" s="135"/>
    </row>
    <row r="155" spans="2:12" ht="12" customHeight="1" x14ac:dyDescent="0.15">
      <c r="B155" s="2"/>
      <c r="C155" s="4"/>
      <c r="D155" s="4"/>
      <c r="E155" s="4"/>
      <c r="I155" s="135"/>
      <c r="J155" s="135"/>
      <c r="K155" s="135"/>
      <c r="L155" s="135"/>
    </row>
    <row r="156" spans="2:12" ht="12" customHeight="1" x14ac:dyDescent="0.15">
      <c r="B156" s="2"/>
      <c r="C156" s="4"/>
      <c r="D156" s="4"/>
      <c r="E156" s="4"/>
      <c r="I156" s="135"/>
      <c r="J156" s="135"/>
      <c r="K156" s="135"/>
      <c r="L156" s="135"/>
    </row>
    <row r="157" spans="2:12" ht="12" customHeight="1" x14ac:dyDescent="0.15">
      <c r="B157" s="2"/>
      <c r="C157" s="4"/>
      <c r="D157" s="4"/>
      <c r="E157" s="4"/>
      <c r="I157" s="135"/>
      <c r="J157" s="135"/>
      <c r="K157" s="135"/>
      <c r="L157" s="135"/>
    </row>
    <row r="158" spans="2:12" ht="12" customHeight="1" x14ac:dyDescent="0.15">
      <c r="B158" s="2"/>
      <c r="C158" s="4"/>
      <c r="D158" s="4"/>
      <c r="E158" s="4"/>
      <c r="I158" s="135"/>
      <c r="J158" s="135"/>
      <c r="K158" s="135"/>
      <c r="L158" s="135"/>
    </row>
    <row r="159" spans="2:12" ht="12" customHeight="1" x14ac:dyDescent="0.15">
      <c r="B159" s="2"/>
      <c r="C159" s="4"/>
      <c r="D159" s="4"/>
      <c r="E159" s="4"/>
      <c r="I159" s="135"/>
      <c r="J159" s="135"/>
      <c r="K159" s="135"/>
      <c r="L159" s="135"/>
    </row>
    <row r="160" spans="2:12" ht="12" customHeight="1" x14ac:dyDescent="0.15">
      <c r="B160" s="2"/>
      <c r="C160" s="4"/>
      <c r="D160" s="4"/>
      <c r="E160" s="4"/>
      <c r="I160" s="135"/>
      <c r="J160" s="135"/>
      <c r="K160" s="135"/>
      <c r="L160" s="135"/>
    </row>
    <row r="161" spans="2:12" ht="12" customHeight="1" x14ac:dyDescent="0.15">
      <c r="B161" s="2"/>
      <c r="C161" s="4"/>
      <c r="D161" s="4"/>
      <c r="E161" s="4"/>
      <c r="I161" s="135"/>
      <c r="J161" s="135"/>
      <c r="K161" s="135"/>
      <c r="L161" s="135"/>
    </row>
    <row r="162" spans="2:12" ht="12" customHeight="1" x14ac:dyDescent="0.15">
      <c r="B162" s="2"/>
      <c r="C162" s="4"/>
      <c r="D162" s="4"/>
      <c r="E162" s="4"/>
      <c r="I162" s="135"/>
      <c r="J162" s="135"/>
      <c r="K162" s="135"/>
      <c r="L162" s="135"/>
    </row>
    <row r="163" spans="2:12" ht="12" customHeight="1" x14ac:dyDescent="0.15">
      <c r="B163" s="2"/>
      <c r="C163" s="4"/>
      <c r="D163" s="4"/>
      <c r="E163" s="4"/>
      <c r="I163" s="135"/>
      <c r="J163" s="135"/>
      <c r="K163" s="135"/>
      <c r="L163" s="135"/>
    </row>
    <row r="164" spans="2:12" ht="12" customHeight="1" x14ac:dyDescent="0.15">
      <c r="B164" s="2"/>
      <c r="C164" s="4"/>
      <c r="D164" s="4"/>
      <c r="E164" s="4"/>
      <c r="I164" s="135"/>
      <c r="J164" s="135"/>
      <c r="K164" s="135"/>
      <c r="L164" s="135"/>
    </row>
    <row r="165" spans="2:12" ht="12" customHeight="1" x14ac:dyDescent="0.15">
      <c r="B165" s="2"/>
      <c r="C165" s="4"/>
      <c r="D165" s="4"/>
      <c r="E165" s="4"/>
      <c r="I165" s="135"/>
      <c r="J165" s="135"/>
      <c r="K165" s="135"/>
      <c r="L165" s="135"/>
    </row>
    <row r="166" spans="2:12" ht="12" customHeight="1" x14ac:dyDescent="0.15">
      <c r="B166" s="2"/>
      <c r="C166" s="4"/>
      <c r="D166" s="4"/>
      <c r="E166" s="4"/>
      <c r="I166" s="135"/>
      <c r="J166" s="135"/>
      <c r="K166" s="135"/>
      <c r="L166" s="135"/>
    </row>
    <row r="167" spans="2:12" ht="12" customHeight="1" x14ac:dyDescent="0.15">
      <c r="B167" s="2"/>
      <c r="C167" s="4"/>
      <c r="D167" s="4"/>
      <c r="E167" s="4"/>
      <c r="I167" s="135"/>
      <c r="J167" s="135"/>
      <c r="K167" s="135"/>
      <c r="L167" s="135"/>
    </row>
    <row r="168" spans="2:12" ht="12" customHeight="1" x14ac:dyDescent="0.15">
      <c r="B168" s="2"/>
      <c r="C168" s="4"/>
      <c r="D168" s="4"/>
      <c r="E168" s="4"/>
      <c r="I168" s="135"/>
      <c r="J168" s="135"/>
      <c r="K168" s="135"/>
      <c r="L168" s="135"/>
    </row>
    <row r="169" spans="2:12" ht="12" customHeight="1" x14ac:dyDescent="0.15">
      <c r="B169" s="2"/>
      <c r="C169" s="4"/>
      <c r="D169" s="4"/>
      <c r="E169" s="4"/>
      <c r="I169" s="135"/>
      <c r="J169" s="135"/>
      <c r="K169" s="135"/>
      <c r="L169" s="135"/>
    </row>
    <row r="170" spans="2:12" ht="12" customHeight="1" x14ac:dyDescent="0.15">
      <c r="B170" s="2"/>
      <c r="C170" s="4"/>
      <c r="D170" s="4"/>
      <c r="E170" s="4"/>
      <c r="I170" s="135"/>
      <c r="J170" s="135"/>
      <c r="K170" s="135"/>
      <c r="L170" s="135"/>
    </row>
    <row r="171" spans="2:12" ht="12" customHeight="1" x14ac:dyDescent="0.15">
      <c r="B171" s="2"/>
      <c r="C171" s="4"/>
      <c r="D171" s="4"/>
      <c r="E171" s="4"/>
      <c r="I171" s="135"/>
      <c r="J171" s="135"/>
      <c r="K171" s="135"/>
      <c r="L171" s="135"/>
    </row>
    <row r="172" spans="2:12" ht="12" customHeight="1" x14ac:dyDescent="0.15">
      <c r="B172" s="2"/>
      <c r="C172" s="4"/>
      <c r="D172" s="4"/>
      <c r="E172" s="4"/>
      <c r="I172" s="135"/>
      <c r="J172" s="135"/>
      <c r="K172" s="135"/>
      <c r="L172" s="135"/>
    </row>
    <row r="173" spans="2:12" ht="12" customHeight="1" x14ac:dyDescent="0.15">
      <c r="B173" s="2"/>
      <c r="C173" s="4"/>
      <c r="D173" s="4"/>
      <c r="E173" s="4"/>
      <c r="I173" s="135"/>
      <c r="J173" s="135"/>
      <c r="K173" s="135"/>
      <c r="L173" s="135"/>
    </row>
    <row r="174" spans="2:12" ht="12" customHeight="1" x14ac:dyDescent="0.15">
      <c r="B174" s="2"/>
      <c r="C174" s="4"/>
      <c r="D174" s="4"/>
      <c r="E174" s="4"/>
      <c r="I174" s="135"/>
      <c r="J174" s="135"/>
      <c r="K174" s="135"/>
      <c r="L174" s="135"/>
    </row>
    <row r="175" spans="2:12" ht="12" customHeight="1" x14ac:dyDescent="0.15">
      <c r="B175" s="2"/>
      <c r="C175" s="4"/>
      <c r="D175" s="4"/>
      <c r="E175" s="4"/>
      <c r="I175" s="135"/>
      <c r="J175" s="135"/>
      <c r="K175" s="135"/>
      <c r="L175" s="135"/>
    </row>
    <row r="176" spans="2:12" ht="12" customHeight="1" x14ac:dyDescent="0.15">
      <c r="B176" s="2"/>
      <c r="C176" s="4"/>
      <c r="D176" s="4"/>
      <c r="E176" s="4"/>
      <c r="I176" s="135"/>
      <c r="J176" s="135"/>
      <c r="K176" s="135"/>
      <c r="L176" s="135"/>
    </row>
    <row r="177" spans="2:12" ht="12" customHeight="1" x14ac:dyDescent="0.15">
      <c r="B177" s="2"/>
      <c r="C177" s="4"/>
      <c r="D177" s="4"/>
      <c r="E177" s="4"/>
      <c r="I177" s="135"/>
      <c r="J177" s="135"/>
      <c r="K177" s="135"/>
      <c r="L177" s="135"/>
    </row>
    <row r="178" spans="2:12" ht="12" customHeight="1" x14ac:dyDescent="0.15">
      <c r="B178" s="2"/>
      <c r="C178" s="4"/>
      <c r="D178" s="4"/>
      <c r="E178" s="4"/>
      <c r="I178" s="135"/>
      <c r="J178" s="135"/>
      <c r="K178" s="135"/>
      <c r="L178" s="135"/>
    </row>
    <row r="179" spans="2:12" ht="12" customHeight="1" x14ac:dyDescent="0.15">
      <c r="B179" s="2"/>
      <c r="C179" s="4"/>
      <c r="D179" s="4"/>
      <c r="E179" s="4"/>
      <c r="I179" s="135"/>
      <c r="J179" s="135"/>
      <c r="K179" s="135"/>
      <c r="L179" s="135"/>
    </row>
    <row r="180" spans="2:12" ht="12" customHeight="1" x14ac:dyDescent="0.15">
      <c r="B180" s="2"/>
      <c r="C180" s="4"/>
      <c r="D180" s="4"/>
      <c r="E180" s="4"/>
      <c r="I180" s="135"/>
      <c r="J180" s="135"/>
      <c r="K180" s="135"/>
      <c r="L180" s="135"/>
    </row>
    <row r="181" spans="2:12" ht="12" customHeight="1" x14ac:dyDescent="0.15">
      <c r="B181" s="2"/>
      <c r="C181" s="4"/>
      <c r="D181" s="4"/>
      <c r="E181" s="4"/>
      <c r="I181" s="135"/>
      <c r="J181" s="135"/>
      <c r="K181" s="135"/>
      <c r="L181" s="135"/>
    </row>
    <row r="182" spans="2:12" ht="12" customHeight="1" x14ac:dyDescent="0.15">
      <c r="B182" s="2"/>
      <c r="C182" s="4"/>
      <c r="D182" s="4"/>
      <c r="E182" s="4"/>
      <c r="I182" s="135"/>
      <c r="J182" s="135"/>
      <c r="K182" s="135"/>
      <c r="L182" s="135"/>
    </row>
    <row r="183" spans="2:12" ht="12" customHeight="1" x14ac:dyDescent="0.15">
      <c r="B183" s="2"/>
      <c r="C183" s="4"/>
      <c r="D183" s="4"/>
      <c r="E183" s="4"/>
      <c r="I183" s="135"/>
      <c r="J183" s="135"/>
      <c r="K183" s="135"/>
      <c r="L183" s="135"/>
    </row>
    <row r="184" spans="2:12" ht="12" customHeight="1" x14ac:dyDescent="0.15">
      <c r="B184" s="2"/>
      <c r="C184" s="4"/>
      <c r="D184" s="4"/>
      <c r="E184" s="4"/>
      <c r="I184" s="135"/>
      <c r="J184" s="135"/>
      <c r="K184" s="135"/>
      <c r="L184" s="135"/>
    </row>
    <row r="185" spans="2:12" ht="12" customHeight="1" x14ac:dyDescent="0.15">
      <c r="B185" s="2"/>
      <c r="C185" s="4"/>
      <c r="D185" s="4"/>
      <c r="E185" s="4"/>
      <c r="I185" s="135"/>
      <c r="J185" s="135"/>
      <c r="K185" s="135"/>
      <c r="L185" s="135"/>
    </row>
    <row r="186" spans="2:12" ht="12" customHeight="1" x14ac:dyDescent="0.15">
      <c r="B186" s="2"/>
      <c r="C186" s="4"/>
      <c r="D186" s="4"/>
      <c r="E186" s="4"/>
      <c r="I186" s="135"/>
      <c r="J186" s="135"/>
      <c r="K186" s="135"/>
      <c r="L186" s="135"/>
    </row>
    <row r="187" spans="2:12" ht="12" customHeight="1" x14ac:dyDescent="0.15">
      <c r="B187" s="2"/>
      <c r="C187" s="4"/>
      <c r="D187" s="4"/>
      <c r="E187" s="4"/>
      <c r="I187" s="135"/>
      <c r="J187" s="135"/>
      <c r="K187" s="135"/>
      <c r="L187" s="135"/>
    </row>
    <row r="188" spans="2:12" ht="12" customHeight="1" x14ac:dyDescent="0.15">
      <c r="B188" s="2"/>
      <c r="C188" s="4"/>
      <c r="D188" s="4"/>
      <c r="E188" s="4"/>
      <c r="I188" s="135"/>
      <c r="J188" s="135"/>
      <c r="K188" s="135"/>
      <c r="L188" s="135"/>
    </row>
    <row r="189" spans="2:12" ht="12" customHeight="1" x14ac:dyDescent="0.15">
      <c r="B189" s="2"/>
      <c r="C189" s="4"/>
      <c r="D189" s="4"/>
      <c r="E189" s="4"/>
      <c r="I189" s="135"/>
      <c r="J189" s="135"/>
      <c r="K189" s="135"/>
      <c r="L189" s="135"/>
    </row>
    <row r="190" spans="2:12" ht="12" customHeight="1" x14ac:dyDescent="0.15">
      <c r="B190" s="2"/>
      <c r="C190" s="4"/>
      <c r="D190" s="4"/>
      <c r="E190" s="4"/>
      <c r="I190" s="135"/>
      <c r="J190" s="135"/>
      <c r="K190" s="135"/>
      <c r="L190" s="135"/>
    </row>
    <row r="191" spans="2:12" ht="12" customHeight="1" x14ac:dyDescent="0.15">
      <c r="B191" s="2"/>
      <c r="C191" s="4"/>
      <c r="D191" s="4"/>
      <c r="E191" s="4"/>
      <c r="I191" s="135"/>
      <c r="J191" s="135"/>
      <c r="K191" s="135"/>
      <c r="L191" s="135"/>
    </row>
    <row r="192" spans="2:12" ht="12" customHeight="1" x14ac:dyDescent="0.15">
      <c r="B192" s="2"/>
      <c r="C192" s="4"/>
      <c r="D192" s="4"/>
      <c r="E192" s="4"/>
      <c r="I192" s="135"/>
      <c r="J192" s="135"/>
      <c r="K192" s="135"/>
      <c r="L192" s="135"/>
    </row>
    <row r="193" spans="2:12" ht="12" customHeight="1" x14ac:dyDescent="0.15">
      <c r="B193" s="2"/>
      <c r="C193" s="4"/>
      <c r="D193" s="4"/>
      <c r="E193" s="4"/>
      <c r="I193" s="135"/>
      <c r="J193" s="135"/>
      <c r="K193" s="135"/>
      <c r="L193" s="135"/>
    </row>
    <row r="194" spans="2:12" ht="12" customHeight="1" x14ac:dyDescent="0.15">
      <c r="B194" s="2"/>
      <c r="C194" s="4"/>
      <c r="D194" s="4"/>
      <c r="E194" s="4"/>
      <c r="I194" s="135"/>
      <c r="J194" s="135"/>
      <c r="K194" s="135"/>
      <c r="L194" s="135"/>
    </row>
    <row r="195" spans="2:12" ht="12" customHeight="1" x14ac:dyDescent="0.15">
      <c r="B195" s="2"/>
      <c r="C195" s="4"/>
      <c r="D195" s="4"/>
      <c r="E195" s="4"/>
      <c r="I195" s="135"/>
      <c r="J195" s="135"/>
      <c r="K195" s="135"/>
      <c r="L195" s="135"/>
    </row>
    <row r="196" spans="2:12" ht="12" customHeight="1" x14ac:dyDescent="0.15">
      <c r="B196" s="2"/>
      <c r="C196" s="4"/>
      <c r="D196" s="4"/>
      <c r="E196" s="4"/>
      <c r="I196" s="135"/>
      <c r="J196" s="135"/>
      <c r="K196" s="135"/>
      <c r="L196" s="135"/>
    </row>
    <row r="197" spans="2:12" ht="12" customHeight="1" x14ac:dyDescent="0.15">
      <c r="B197" s="2"/>
      <c r="C197" s="4"/>
      <c r="D197" s="4"/>
      <c r="E197" s="4"/>
      <c r="I197" s="135"/>
      <c r="J197" s="135"/>
      <c r="K197" s="135"/>
      <c r="L197" s="135"/>
    </row>
    <row r="198" spans="2:12" ht="12" customHeight="1" x14ac:dyDescent="0.15">
      <c r="B198" s="2"/>
      <c r="C198" s="4"/>
      <c r="D198" s="4"/>
      <c r="E198" s="4"/>
      <c r="I198" s="135"/>
      <c r="J198" s="135"/>
      <c r="K198" s="135"/>
      <c r="L198" s="135"/>
    </row>
    <row r="199" spans="2:12" ht="12" customHeight="1" x14ac:dyDescent="0.15">
      <c r="B199" s="2"/>
      <c r="C199" s="4"/>
      <c r="D199" s="4"/>
      <c r="E199" s="4"/>
      <c r="I199" s="135"/>
      <c r="J199" s="135"/>
      <c r="K199" s="135"/>
      <c r="L199" s="135"/>
    </row>
    <row r="200" spans="2:12" ht="12" customHeight="1" x14ac:dyDescent="0.15">
      <c r="B200" s="2"/>
      <c r="C200" s="4"/>
      <c r="D200" s="4"/>
      <c r="E200" s="4"/>
      <c r="I200" s="135"/>
      <c r="J200" s="135"/>
      <c r="K200" s="135"/>
      <c r="L200" s="135"/>
    </row>
    <row r="201" spans="2:12" ht="12" customHeight="1" x14ac:dyDescent="0.15">
      <c r="B201" s="2"/>
      <c r="C201" s="4"/>
      <c r="D201" s="4"/>
      <c r="E201" s="4"/>
      <c r="I201" s="135"/>
      <c r="J201" s="135"/>
      <c r="K201" s="135"/>
      <c r="L201" s="135"/>
    </row>
    <row r="202" spans="2:12" ht="12" customHeight="1" x14ac:dyDescent="0.15">
      <c r="B202" s="2"/>
      <c r="C202" s="4"/>
      <c r="D202" s="4"/>
      <c r="E202" s="4"/>
      <c r="I202" s="135"/>
      <c r="J202" s="135"/>
      <c r="K202" s="135"/>
      <c r="L202" s="135"/>
    </row>
    <row r="203" spans="2:12" ht="12" customHeight="1" x14ac:dyDescent="0.15">
      <c r="B203" s="2"/>
      <c r="C203" s="4"/>
      <c r="D203" s="4"/>
      <c r="E203" s="4"/>
      <c r="I203" s="135"/>
      <c r="J203" s="135"/>
      <c r="K203" s="135"/>
      <c r="L203" s="135"/>
    </row>
    <row r="204" spans="2:12" ht="12" customHeight="1" x14ac:dyDescent="0.15">
      <c r="B204" s="2"/>
      <c r="C204" s="4"/>
      <c r="D204" s="4"/>
      <c r="E204" s="4"/>
      <c r="I204" s="135"/>
      <c r="J204" s="135"/>
      <c r="K204" s="135"/>
      <c r="L204" s="135"/>
    </row>
    <row r="205" spans="2:12" ht="12" customHeight="1" x14ac:dyDescent="0.15">
      <c r="B205" s="2"/>
      <c r="C205" s="4"/>
      <c r="D205" s="4"/>
      <c r="E205" s="4"/>
      <c r="I205" s="135"/>
      <c r="J205" s="135"/>
      <c r="K205" s="135"/>
      <c r="L205" s="135"/>
    </row>
    <row r="206" spans="2:12" ht="12" customHeight="1" x14ac:dyDescent="0.15">
      <c r="B206" s="2"/>
      <c r="C206" s="4"/>
      <c r="D206" s="4"/>
      <c r="E206" s="4"/>
      <c r="I206" s="135"/>
      <c r="J206" s="135"/>
      <c r="K206" s="135"/>
      <c r="L206" s="135"/>
    </row>
    <row r="207" spans="2:12" ht="12" customHeight="1" x14ac:dyDescent="0.15">
      <c r="B207" s="2"/>
      <c r="C207" s="4"/>
      <c r="D207" s="4"/>
      <c r="E207" s="4"/>
      <c r="I207" s="135"/>
      <c r="J207" s="135"/>
      <c r="K207" s="135"/>
      <c r="L207" s="135"/>
    </row>
    <row r="208" spans="2:12" ht="12" customHeight="1" x14ac:dyDescent="0.15">
      <c r="B208" s="2"/>
      <c r="C208" s="4"/>
      <c r="D208" s="4"/>
      <c r="E208" s="4"/>
      <c r="I208" s="135"/>
      <c r="J208" s="135"/>
      <c r="K208" s="135"/>
      <c r="L208" s="135"/>
    </row>
    <row r="209" spans="2:12" ht="12" customHeight="1" x14ac:dyDescent="0.15">
      <c r="B209" s="2"/>
      <c r="C209" s="4"/>
      <c r="D209" s="4"/>
      <c r="E209" s="4"/>
      <c r="I209" s="135"/>
      <c r="J209" s="135"/>
      <c r="K209" s="135"/>
      <c r="L209" s="135"/>
    </row>
    <row r="210" spans="2:12" ht="12" customHeight="1" x14ac:dyDescent="0.15">
      <c r="B210" s="2"/>
      <c r="C210" s="4"/>
      <c r="D210" s="4"/>
      <c r="E210" s="4"/>
      <c r="I210" s="135"/>
      <c r="J210" s="135"/>
      <c r="K210" s="135"/>
      <c r="L210" s="135"/>
    </row>
    <row r="211" spans="2:12" ht="12" customHeight="1" x14ac:dyDescent="0.15">
      <c r="B211" s="2"/>
      <c r="C211" s="4"/>
      <c r="D211" s="4"/>
      <c r="E211" s="4"/>
      <c r="I211" s="135"/>
      <c r="J211" s="135"/>
      <c r="K211" s="135"/>
      <c r="L211" s="135"/>
    </row>
    <row r="212" spans="2:12" ht="12" customHeight="1" x14ac:dyDescent="0.15">
      <c r="B212" s="2"/>
      <c r="C212" s="4"/>
      <c r="D212" s="4"/>
      <c r="E212" s="4"/>
      <c r="I212" s="135"/>
      <c r="J212" s="135"/>
      <c r="K212" s="135"/>
      <c r="L212" s="135"/>
    </row>
    <row r="213" spans="2:12" ht="12" customHeight="1" x14ac:dyDescent="0.15">
      <c r="B213" s="2"/>
      <c r="C213" s="4"/>
      <c r="D213" s="4"/>
      <c r="E213" s="4"/>
      <c r="I213" s="135"/>
      <c r="J213" s="135"/>
      <c r="K213" s="135"/>
      <c r="L213" s="135"/>
    </row>
    <row r="214" spans="2:12" ht="12" customHeight="1" x14ac:dyDescent="0.15">
      <c r="B214" s="2"/>
      <c r="C214" s="4"/>
      <c r="D214" s="4"/>
      <c r="E214" s="4"/>
      <c r="I214" s="135"/>
      <c r="J214" s="135"/>
      <c r="K214" s="135"/>
      <c r="L214" s="135"/>
    </row>
    <row r="215" spans="2:12" ht="12" customHeight="1" x14ac:dyDescent="0.15">
      <c r="B215" s="2"/>
      <c r="C215" s="4"/>
      <c r="D215" s="4"/>
      <c r="E215" s="4"/>
      <c r="I215" s="135"/>
      <c r="J215" s="135"/>
      <c r="K215" s="135"/>
      <c r="L215" s="135"/>
    </row>
    <row r="216" spans="2:12" ht="12" customHeight="1" x14ac:dyDescent="0.15">
      <c r="B216" s="2"/>
      <c r="C216" s="4"/>
      <c r="D216" s="4"/>
      <c r="E216" s="4"/>
      <c r="I216" s="135"/>
      <c r="J216" s="135"/>
      <c r="K216" s="135"/>
      <c r="L216" s="135"/>
    </row>
    <row r="217" spans="2:12" ht="12" customHeight="1" x14ac:dyDescent="0.15">
      <c r="B217" s="2"/>
      <c r="C217" s="4"/>
      <c r="D217" s="4"/>
      <c r="E217" s="4"/>
      <c r="I217" s="135"/>
      <c r="J217" s="135"/>
      <c r="K217" s="135"/>
      <c r="L217" s="135"/>
    </row>
    <row r="218" spans="2:12" ht="12" customHeight="1" x14ac:dyDescent="0.15">
      <c r="B218" s="2"/>
      <c r="C218" s="4"/>
      <c r="D218" s="4"/>
      <c r="E218" s="4"/>
      <c r="I218" s="135"/>
      <c r="J218" s="135"/>
      <c r="K218" s="135"/>
      <c r="L218" s="135"/>
    </row>
    <row r="219" spans="2:12" ht="12" customHeight="1" x14ac:dyDescent="0.15">
      <c r="B219" s="2"/>
      <c r="C219" s="4"/>
      <c r="D219" s="4"/>
      <c r="E219" s="4"/>
      <c r="I219" s="135"/>
      <c r="J219" s="135"/>
      <c r="K219" s="135"/>
      <c r="L219" s="135"/>
    </row>
    <row r="220" spans="2:12" ht="12" customHeight="1" x14ac:dyDescent="0.15">
      <c r="B220" s="2"/>
      <c r="C220" s="4"/>
      <c r="D220" s="4"/>
      <c r="E220" s="4"/>
      <c r="I220" s="135"/>
      <c r="J220" s="135"/>
      <c r="K220" s="135"/>
      <c r="L220" s="135"/>
    </row>
    <row r="221" spans="2:12" ht="12" customHeight="1" x14ac:dyDescent="0.15">
      <c r="B221" s="2"/>
      <c r="C221" s="4"/>
      <c r="D221" s="4"/>
      <c r="E221" s="4"/>
      <c r="I221" s="135"/>
      <c r="J221" s="135"/>
      <c r="K221" s="135"/>
      <c r="L221" s="135"/>
    </row>
    <row r="222" spans="2:12" ht="12" customHeight="1" x14ac:dyDescent="0.15">
      <c r="B222" s="2"/>
      <c r="C222" s="4"/>
      <c r="D222" s="4"/>
      <c r="E222" s="4"/>
      <c r="I222" s="135"/>
      <c r="J222" s="135"/>
      <c r="K222" s="135"/>
      <c r="L222" s="135"/>
    </row>
    <row r="223" spans="2:12" ht="12" customHeight="1" x14ac:dyDescent="0.15">
      <c r="B223" s="2"/>
      <c r="C223" s="4"/>
      <c r="D223" s="4"/>
      <c r="E223" s="4"/>
      <c r="I223" s="135"/>
      <c r="J223" s="135"/>
      <c r="K223" s="135"/>
      <c r="L223" s="135"/>
    </row>
    <row r="224" spans="2:12" ht="12" customHeight="1" x14ac:dyDescent="0.15">
      <c r="B224" s="2"/>
      <c r="C224" s="4"/>
      <c r="D224" s="4"/>
      <c r="E224" s="4"/>
      <c r="I224" s="135"/>
      <c r="J224" s="135"/>
      <c r="K224" s="135"/>
      <c r="L224" s="135"/>
    </row>
    <row r="225" spans="2:12" ht="12" customHeight="1" x14ac:dyDescent="0.15">
      <c r="B225" s="2"/>
      <c r="C225" s="4"/>
      <c r="D225" s="4"/>
      <c r="E225" s="4"/>
      <c r="I225" s="135"/>
      <c r="J225" s="135"/>
      <c r="K225" s="135"/>
      <c r="L225" s="135"/>
    </row>
    <row r="226" spans="2:12" ht="12" customHeight="1" x14ac:dyDescent="0.15">
      <c r="B226" s="2"/>
      <c r="C226" s="4"/>
      <c r="D226" s="4"/>
      <c r="E226" s="4"/>
      <c r="I226" s="135"/>
      <c r="J226" s="135"/>
      <c r="K226" s="135"/>
      <c r="L226" s="135"/>
    </row>
    <row r="227" spans="2:12" ht="12" customHeight="1" x14ac:dyDescent="0.15">
      <c r="B227" s="2"/>
      <c r="C227" s="4"/>
      <c r="D227" s="4"/>
      <c r="E227" s="4"/>
      <c r="I227" s="135"/>
      <c r="J227" s="135"/>
      <c r="K227" s="135"/>
      <c r="L227" s="135"/>
    </row>
    <row r="228" spans="2:12" ht="12" customHeight="1" x14ac:dyDescent="0.15">
      <c r="B228" s="2"/>
      <c r="C228" s="4"/>
      <c r="D228" s="4"/>
      <c r="E228" s="4"/>
      <c r="I228" s="135"/>
      <c r="J228" s="135"/>
      <c r="K228" s="135"/>
      <c r="L228" s="135"/>
    </row>
    <row r="229" spans="2:12" ht="12" customHeight="1" x14ac:dyDescent="0.15">
      <c r="B229" s="2"/>
      <c r="C229" s="4"/>
      <c r="D229" s="4"/>
      <c r="E229" s="4"/>
      <c r="I229" s="135"/>
      <c r="J229" s="135"/>
      <c r="K229" s="135"/>
      <c r="L229" s="135"/>
    </row>
    <row r="230" spans="2:12" ht="12" customHeight="1" x14ac:dyDescent="0.15">
      <c r="B230" s="2"/>
      <c r="C230" s="4"/>
      <c r="D230" s="4"/>
      <c r="E230" s="4"/>
      <c r="I230" s="135"/>
      <c r="J230" s="135"/>
      <c r="K230" s="135"/>
      <c r="L230" s="135"/>
    </row>
    <row r="231" spans="2:12" ht="12" customHeight="1" x14ac:dyDescent="0.15">
      <c r="B231" s="2"/>
      <c r="C231" s="4"/>
      <c r="D231" s="4"/>
      <c r="E231" s="4"/>
      <c r="I231" s="135"/>
      <c r="J231" s="135"/>
      <c r="K231" s="135"/>
      <c r="L231" s="135"/>
    </row>
    <row r="232" spans="2:12" ht="12" customHeight="1" x14ac:dyDescent="0.15">
      <c r="B232" s="2"/>
      <c r="C232" s="4"/>
      <c r="D232" s="4"/>
      <c r="E232" s="4"/>
      <c r="I232" s="135"/>
      <c r="J232" s="135"/>
      <c r="K232" s="135"/>
      <c r="L232" s="135"/>
    </row>
    <row r="233" spans="2:12" ht="12" customHeight="1" x14ac:dyDescent="0.15">
      <c r="B233" s="2"/>
      <c r="C233" s="4"/>
      <c r="D233" s="4"/>
      <c r="E233" s="4"/>
      <c r="I233" s="135"/>
      <c r="J233" s="135"/>
      <c r="K233" s="135"/>
      <c r="L233" s="135"/>
    </row>
    <row r="234" spans="2:12" ht="12" customHeight="1" x14ac:dyDescent="0.15">
      <c r="B234" s="2"/>
      <c r="C234" s="4"/>
      <c r="D234" s="4"/>
      <c r="E234" s="4"/>
      <c r="I234" s="135"/>
      <c r="J234" s="135"/>
      <c r="K234" s="135"/>
      <c r="L234" s="135"/>
    </row>
    <row r="235" spans="2:12" ht="12" customHeight="1" x14ac:dyDescent="0.15">
      <c r="B235" s="2"/>
      <c r="C235" s="4"/>
      <c r="D235" s="4"/>
      <c r="E235" s="4"/>
      <c r="I235" s="135"/>
      <c r="J235" s="135"/>
      <c r="K235" s="135"/>
      <c r="L235" s="135"/>
    </row>
    <row r="236" spans="2:12" ht="12" customHeight="1" x14ac:dyDescent="0.15">
      <c r="B236" s="2"/>
      <c r="C236" s="4"/>
      <c r="D236" s="4"/>
      <c r="E236" s="4"/>
      <c r="I236" s="135"/>
      <c r="J236" s="135"/>
      <c r="K236" s="135"/>
      <c r="L236" s="135"/>
    </row>
    <row r="237" spans="2:12" ht="12" customHeight="1" x14ac:dyDescent="0.15">
      <c r="B237" s="2"/>
      <c r="C237" s="4"/>
      <c r="D237" s="4"/>
      <c r="E237" s="4"/>
      <c r="I237" s="135"/>
      <c r="J237" s="135"/>
      <c r="K237" s="135"/>
      <c r="L237" s="135"/>
    </row>
    <row r="238" spans="2:12" ht="12" customHeight="1" x14ac:dyDescent="0.15">
      <c r="B238" s="2"/>
      <c r="C238" s="4"/>
      <c r="D238" s="4"/>
      <c r="E238" s="4"/>
      <c r="I238" s="135"/>
      <c r="J238" s="135"/>
      <c r="K238" s="135"/>
      <c r="L238" s="135"/>
    </row>
    <row r="239" spans="2:12" ht="12" customHeight="1" x14ac:dyDescent="0.15">
      <c r="B239" s="2"/>
      <c r="C239" s="4"/>
      <c r="D239" s="4"/>
      <c r="E239" s="4"/>
      <c r="I239" s="135"/>
      <c r="J239" s="135"/>
      <c r="K239" s="135"/>
      <c r="L239" s="135"/>
    </row>
    <row r="240" spans="2:12" ht="12" customHeight="1" x14ac:dyDescent="0.15">
      <c r="B240" s="2"/>
      <c r="C240" s="4"/>
      <c r="D240" s="4"/>
      <c r="E240" s="4"/>
      <c r="I240" s="135"/>
      <c r="J240" s="135"/>
      <c r="K240" s="135"/>
      <c r="L240" s="135"/>
    </row>
    <row r="241" spans="2:12" ht="12" customHeight="1" x14ac:dyDescent="0.15">
      <c r="B241" s="2"/>
      <c r="C241" s="4"/>
      <c r="D241" s="4"/>
      <c r="E241" s="4"/>
      <c r="I241" s="135"/>
      <c r="J241" s="135"/>
      <c r="K241" s="135"/>
      <c r="L241" s="135"/>
    </row>
    <row r="242" spans="2:12" ht="12" customHeight="1" x14ac:dyDescent="0.15">
      <c r="B242" s="2"/>
      <c r="C242" s="4"/>
      <c r="D242" s="4"/>
      <c r="E242" s="4"/>
      <c r="I242" s="135"/>
      <c r="J242" s="135"/>
      <c r="K242" s="135"/>
      <c r="L242" s="135"/>
    </row>
    <row r="243" spans="2:12" ht="12" customHeight="1" x14ac:dyDescent="0.15">
      <c r="B243" s="2"/>
      <c r="C243" s="4"/>
      <c r="D243" s="4"/>
      <c r="E243" s="4"/>
      <c r="I243" s="135"/>
      <c r="J243" s="135"/>
      <c r="K243" s="135"/>
      <c r="L243" s="135"/>
    </row>
    <row r="244" spans="2:12" ht="12" customHeight="1" x14ac:dyDescent="0.15">
      <c r="B244" s="2"/>
      <c r="C244" s="4"/>
      <c r="D244" s="4"/>
      <c r="E244" s="4"/>
      <c r="I244" s="135"/>
      <c r="J244" s="135"/>
      <c r="K244" s="135"/>
      <c r="L244" s="135"/>
    </row>
    <row r="245" spans="2:12" ht="12" customHeight="1" x14ac:dyDescent="0.15">
      <c r="B245" s="2"/>
      <c r="C245" s="4"/>
      <c r="D245" s="4"/>
      <c r="E245" s="4"/>
      <c r="I245" s="135"/>
      <c r="J245" s="135"/>
      <c r="K245" s="135"/>
      <c r="L245" s="135"/>
    </row>
    <row r="246" spans="2:12" ht="12" customHeight="1" x14ac:dyDescent="0.15">
      <c r="B246" s="2"/>
      <c r="C246" s="4"/>
      <c r="D246" s="4"/>
      <c r="E246" s="4"/>
      <c r="I246" s="135"/>
      <c r="J246" s="135"/>
      <c r="K246" s="135"/>
      <c r="L246" s="135"/>
    </row>
    <row r="247" spans="2:12" ht="12" customHeight="1" x14ac:dyDescent="0.15">
      <c r="B247" s="2"/>
      <c r="C247" s="4"/>
      <c r="D247" s="4"/>
      <c r="E247" s="4"/>
      <c r="I247" s="135"/>
      <c r="J247" s="135"/>
      <c r="K247" s="135"/>
      <c r="L247" s="135"/>
    </row>
    <row r="248" spans="2:12" ht="12" customHeight="1" x14ac:dyDescent="0.15">
      <c r="B248" s="2"/>
      <c r="C248" s="4"/>
      <c r="D248" s="4"/>
      <c r="E248" s="4"/>
      <c r="I248" s="135"/>
      <c r="J248" s="135"/>
      <c r="K248" s="135"/>
      <c r="L248" s="135"/>
    </row>
    <row r="249" spans="2:12" ht="12" customHeight="1" x14ac:dyDescent="0.15">
      <c r="B249" s="2"/>
      <c r="C249" s="4"/>
      <c r="D249" s="4"/>
      <c r="E249" s="4"/>
      <c r="I249" s="135"/>
      <c r="J249" s="135"/>
      <c r="K249" s="135"/>
      <c r="L249" s="135"/>
    </row>
    <row r="250" spans="2:12" ht="12" customHeight="1" x14ac:dyDescent="0.15">
      <c r="B250" s="2"/>
      <c r="C250" s="4"/>
      <c r="D250" s="4"/>
      <c r="E250" s="4"/>
      <c r="I250" s="135"/>
      <c r="J250" s="135"/>
      <c r="K250" s="135"/>
      <c r="L250" s="135"/>
    </row>
    <row r="251" spans="2:12" ht="12" customHeight="1" x14ac:dyDescent="0.15">
      <c r="B251" s="2"/>
      <c r="C251" s="4"/>
      <c r="D251" s="4"/>
      <c r="E251" s="4"/>
      <c r="I251" s="135"/>
      <c r="J251" s="135"/>
      <c r="K251" s="135"/>
      <c r="L251" s="135"/>
    </row>
    <row r="252" spans="2:12" ht="12" customHeight="1" x14ac:dyDescent="0.15">
      <c r="B252" s="2"/>
      <c r="C252" s="4"/>
      <c r="D252" s="4"/>
      <c r="E252" s="4"/>
      <c r="I252" s="135"/>
      <c r="J252" s="135"/>
      <c r="K252" s="135"/>
      <c r="L252" s="135"/>
    </row>
    <row r="253" spans="2:12" ht="12" customHeight="1" x14ac:dyDescent="0.15">
      <c r="B253" s="2"/>
      <c r="C253" s="4"/>
      <c r="D253" s="4"/>
      <c r="E253" s="4"/>
      <c r="I253" s="135"/>
      <c r="J253" s="135"/>
      <c r="K253" s="135"/>
      <c r="L253" s="135"/>
    </row>
    <row r="254" spans="2:12" ht="12" customHeight="1" x14ac:dyDescent="0.15">
      <c r="B254" s="2"/>
      <c r="C254" s="4"/>
      <c r="D254" s="4"/>
      <c r="E254" s="4"/>
      <c r="I254" s="135"/>
      <c r="J254" s="135"/>
      <c r="K254" s="135"/>
      <c r="L254" s="135"/>
    </row>
    <row r="255" spans="2:12" ht="12" customHeight="1" x14ac:dyDescent="0.15">
      <c r="B255" s="2"/>
      <c r="C255" s="4"/>
      <c r="D255" s="4"/>
      <c r="E255" s="4"/>
      <c r="I255" s="135"/>
      <c r="J255" s="135"/>
      <c r="K255" s="135"/>
      <c r="L255" s="135"/>
    </row>
    <row r="256" spans="2:12" ht="12" customHeight="1" x14ac:dyDescent="0.15">
      <c r="B256" s="2"/>
      <c r="C256" s="4"/>
      <c r="D256" s="4"/>
      <c r="E256" s="4"/>
      <c r="I256" s="135"/>
      <c r="J256" s="135"/>
      <c r="K256" s="135"/>
      <c r="L256" s="135"/>
    </row>
    <row r="257" spans="2:12" ht="12" customHeight="1" x14ac:dyDescent="0.15">
      <c r="B257" s="2"/>
      <c r="C257" s="4"/>
      <c r="D257" s="4"/>
      <c r="E257" s="4"/>
      <c r="I257" s="135"/>
      <c r="J257" s="135"/>
      <c r="K257" s="135"/>
      <c r="L257" s="135"/>
    </row>
    <row r="258" spans="2:12" ht="12" customHeight="1" x14ac:dyDescent="0.15">
      <c r="B258" s="2"/>
      <c r="C258" s="4"/>
      <c r="D258" s="4"/>
      <c r="E258" s="4"/>
      <c r="I258" s="135"/>
      <c r="J258" s="135"/>
      <c r="K258" s="135"/>
      <c r="L258" s="135"/>
    </row>
    <row r="259" spans="2:12" ht="12" customHeight="1" x14ac:dyDescent="0.15">
      <c r="B259" s="2"/>
      <c r="C259" s="4"/>
      <c r="D259" s="4"/>
      <c r="E259" s="4"/>
      <c r="I259" s="135"/>
      <c r="J259" s="135"/>
      <c r="K259" s="135"/>
      <c r="L259" s="135"/>
    </row>
    <row r="260" spans="2:12" ht="12" customHeight="1" x14ac:dyDescent="0.15">
      <c r="B260" s="2"/>
      <c r="C260" s="4"/>
      <c r="D260" s="4"/>
      <c r="E260" s="4"/>
      <c r="I260" s="135"/>
      <c r="J260" s="135"/>
      <c r="K260" s="135"/>
      <c r="L260" s="135"/>
    </row>
    <row r="261" spans="2:12" ht="12" customHeight="1" x14ac:dyDescent="0.15">
      <c r="B261" s="2"/>
      <c r="C261" s="4"/>
      <c r="D261" s="4"/>
      <c r="E261" s="4"/>
      <c r="I261" s="135"/>
      <c r="J261" s="135"/>
      <c r="K261" s="135"/>
      <c r="L261" s="135"/>
    </row>
    <row r="262" spans="2:12" ht="12" customHeight="1" x14ac:dyDescent="0.15">
      <c r="B262" s="2"/>
      <c r="C262" s="4"/>
      <c r="D262" s="4"/>
      <c r="E262" s="4"/>
      <c r="I262" s="135"/>
      <c r="J262" s="135"/>
      <c r="K262" s="135"/>
      <c r="L262" s="135"/>
    </row>
    <row r="263" spans="2:12" ht="12" customHeight="1" x14ac:dyDescent="0.15">
      <c r="B263" s="2"/>
      <c r="C263" s="4"/>
      <c r="D263" s="4"/>
      <c r="E263" s="4"/>
      <c r="I263" s="135"/>
      <c r="J263" s="135"/>
      <c r="K263" s="135"/>
      <c r="L263" s="135"/>
    </row>
    <row r="264" spans="2:12" ht="12" customHeight="1" x14ac:dyDescent="0.15">
      <c r="B264" s="2"/>
      <c r="C264" s="4"/>
      <c r="D264" s="4"/>
      <c r="E264" s="4"/>
      <c r="I264" s="135"/>
      <c r="J264" s="135"/>
      <c r="K264" s="135"/>
      <c r="L264" s="135"/>
    </row>
    <row r="265" spans="2:12" ht="12" customHeight="1" x14ac:dyDescent="0.15">
      <c r="B265" s="2"/>
      <c r="C265" s="4"/>
      <c r="D265" s="4"/>
      <c r="E265" s="4"/>
      <c r="I265" s="135"/>
      <c r="J265" s="135"/>
      <c r="K265" s="135"/>
      <c r="L265" s="135"/>
    </row>
    <row r="266" spans="2:12" ht="12" customHeight="1" x14ac:dyDescent="0.15">
      <c r="B266" s="2"/>
      <c r="C266" s="4"/>
      <c r="D266" s="4"/>
      <c r="E266" s="4"/>
      <c r="I266" s="135"/>
      <c r="J266" s="135"/>
      <c r="K266" s="135"/>
      <c r="L266" s="135"/>
    </row>
    <row r="267" spans="2:12" ht="12" customHeight="1" x14ac:dyDescent="0.15">
      <c r="B267" s="2"/>
      <c r="C267" s="4"/>
      <c r="D267" s="4"/>
      <c r="E267" s="4"/>
      <c r="I267" s="135"/>
      <c r="J267" s="135"/>
      <c r="K267" s="135"/>
      <c r="L267" s="135"/>
    </row>
    <row r="268" spans="2:12" ht="12" customHeight="1" x14ac:dyDescent="0.15">
      <c r="B268" s="2"/>
      <c r="C268" s="4"/>
      <c r="D268" s="4"/>
      <c r="E268" s="4"/>
      <c r="I268" s="135"/>
      <c r="J268" s="135"/>
      <c r="K268" s="135"/>
      <c r="L268" s="135"/>
    </row>
    <row r="269" spans="2:12" ht="12" customHeight="1" x14ac:dyDescent="0.15">
      <c r="B269" s="2"/>
      <c r="C269" s="4"/>
      <c r="D269" s="4"/>
      <c r="E269" s="4"/>
      <c r="I269" s="135"/>
      <c r="J269" s="135"/>
      <c r="K269" s="135"/>
      <c r="L269" s="135"/>
    </row>
    <row r="270" spans="2:12" ht="12" customHeight="1" x14ac:dyDescent="0.15">
      <c r="B270" s="2"/>
      <c r="C270" s="4"/>
      <c r="D270" s="4"/>
      <c r="E270" s="4"/>
      <c r="I270" s="135"/>
      <c r="J270" s="135"/>
      <c r="K270" s="135"/>
      <c r="L270" s="135"/>
    </row>
    <row r="271" spans="2:12" ht="12" customHeight="1" x14ac:dyDescent="0.15">
      <c r="B271" s="2"/>
      <c r="C271" s="4"/>
      <c r="D271" s="4"/>
      <c r="E271" s="4"/>
      <c r="I271" s="135"/>
      <c r="J271" s="135"/>
      <c r="K271" s="135"/>
      <c r="L271" s="135"/>
    </row>
    <row r="272" spans="2:12" ht="12" customHeight="1" x14ac:dyDescent="0.15">
      <c r="B272" s="2"/>
      <c r="C272" s="4"/>
      <c r="D272" s="4"/>
      <c r="E272" s="4"/>
      <c r="I272" s="135"/>
      <c r="J272" s="135"/>
      <c r="K272" s="135"/>
      <c r="L272" s="135"/>
    </row>
    <row r="273" spans="2:12" ht="12" customHeight="1" x14ac:dyDescent="0.15">
      <c r="B273" s="2"/>
      <c r="C273" s="4"/>
      <c r="D273" s="4"/>
      <c r="E273" s="4"/>
      <c r="I273" s="135"/>
      <c r="J273" s="135"/>
      <c r="K273" s="135"/>
      <c r="L273" s="135"/>
    </row>
    <row r="274" spans="2:12" ht="12" customHeight="1" x14ac:dyDescent="0.15">
      <c r="B274" s="2"/>
      <c r="C274" s="4"/>
      <c r="D274" s="4"/>
      <c r="E274" s="4"/>
      <c r="I274" s="135"/>
      <c r="J274" s="135"/>
      <c r="K274" s="135"/>
      <c r="L274" s="135"/>
    </row>
    <row r="275" spans="2:12" ht="12" customHeight="1" x14ac:dyDescent="0.15">
      <c r="B275" s="2"/>
      <c r="C275" s="4"/>
      <c r="D275" s="4"/>
      <c r="E275" s="4"/>
      <c r="I275" s="135"/>
      <c r="J275" s="135"/>
      <c r="K275" s="135"/>
      <c r="L275" s="135"/>
    </row>
    <row r="276" spans="2:12" ht="12" customHeight="1" x14ac:dyDescent="0.15">
      <c r="B276" s="2"/>
      <c r="C276" s="4"/>
      <c r="D276" s="4"/>
      <c r="E276" s="4"/>
      <c r="I276" s="135"/>
      <c r="J276" s="135"/>
      <c r="K276" s="135"/>
      <c r="L276" s="135"/>
    </row>
    <row r="277" spans="2:12" ht="12" customHeight="1" x14ac:dyDescent="0.15">
      <c r="B277" s="2"/>
      <c r="C277" s="4"/>
      <c r="D277" s="4"/>
      <c r="E277" s="4"/>
      <c r="I277" s="135"/>
      <c r="J277" s="135"/>
      <c r="K277" s="135"/>
      <c r="L277" s="135"/>
    </row>
    <row r="278" spans="2:12" ht="12" customHeight="1" x14ac:dyDescent="0.15">
      <c r="B278" s="2"/>
      <c r="C278" s="4"/>
      <c r="D278" s="4"/>
      <c r="E278" s="4"/>
      <c r="I278" s="135"/>
      <c r="J278" s="135"/>
      <c r="K278" s="135"/>
      <c r="L278" s="135"/>
    </row>
    <row r="279" spans="2:12" ht="12" customHeight="1" x14ac:dyDescent="0.15">
      <c r="B279" s="2"/>
      <c r="C279" s="4"/>
      <c r="D279" s="4"/>
      <c r="E279" s="4"/>
      <c r="I279" s="135"/>
      <c r="J279" s="135"/>
      <c r="K279" s="135"/>
      <c r="L279" s="135"/>
    </row>
    <row r="280" spans="2:12" ht="12" customHeight="1" x14ac:dyDescent="0.15">
      <c r="B280" s="2"/>
      <c r="C280" s="4"/>
      <c r="D280" s="4"/>
      <c r="E280" s="4"/>
      <c r="I280" s="135"/>
      <c r="J280" s="135"/>
      <c r="K280" s="135"/>
      <c r="L280" s="135"/>
    </row>
    <row r="281" spans="2:12" ht="12" customHeight="1" x14ac:dyDescent="0.15">
      <c r="B281" s="2"/>
      <c r="C281" s="4"/>
      <c r="D281" s="4"/>
      <c r="E281" s="4"/>
      <c r="I281" s="135"/>
      <c r="J281" s="135"/>
      <c r="K281" s="135"/>
      <c r="L281" s="135"/>
    </row>
    <row r="282" spans="2:12" ht="12" customHeight="1" x14ac:dyDescent="0.15">
      <c r="B282" s="2"/>
      <c r="C282" s="4"/>
      <c r="D282" s="4"/>
      <c r="E282" s="4"/>
      <c r="I282" s="135"/>
      <c r="J282" s="135"/>
      <c r="K282" s="135"/>
      <c r="L282" s="135"/>
    </row>
    <row r="283" spans="2:12" ht="12" customHeight="1" x14ac:dyDescent="0.15">
      <c r="B283" s="2"/>
      <c r="C283" s="4"/>
      <c r="D283" s="4"/>
      <c r="E283" s="4"/>
      <c r="I283" s="135"/>
      <c r="J283" s="135"/>
      <c r="K283" s="135"/>
      <c r="L283" s="135"/>
    </row>
    <row r="284" spans="2:12" ht="12" customHeight="1" x14ac:dyDescent="0.15">
      <c r="B284" s="2"/>
      <c r="C284" s="4"/>
      <c r="D284" s="4"/>
      <c r="E284" s="4"/>
      <c r="I284" s="135"/>
      <c r="J284" s="135"/>
      <c r="K284" s="135"/>
      <c r="L284" s="135"/>
    </row>
    <row r="285" spans="2:12" ht="12" customHeight="1" x14ac:dyDescent="0.15">
      <c r="B285" s="2"/>
      <c r="C285" s="4"/>
      <c r="D285" s="4"/>
      <c r="E285" s="4"/>
      <c r="I285" s="135"/>
      <c r="J285" s="135"/>
      <c r="K285" s="135"/>
      <c r="L285" s="135"/>
    </row>
    <row r="286" spans="2:12" ht="12" customHeight="1" x14ac:dyDescent="0.15">
      <c r="B286" s="2"/>
      <c r="C286" s="4"/>
      <c r="D286" s="4"/>
      <c r="E286" s="4"/>
      <c r="I286" s="135"/>
      <c r="J286" s="135"/>
      <c r="K286" s="135"/>
      <c r="L286" s="135"/>
    </row>
    <row r="287" spans="2:12" ht="12" customHeight="1" x14ac:dyDescent="0.15">
      <c r="B287" s="2"/>
      <c r="C287" s="4"/>
      <c r="D287" s="4"/>
      <c r="E287" s="4"/>
      <c r="I287" s="135"/>
      <c r="J287" s="135"/>
      <c r="K287" s="135"/>
      <c r="L287" s="135"/>
    </row>
    <row r="288" spans="2:12" ht="12" customHeight="1" x14ac:dyDescent="0.15">
      <c r="B288" s="2"/>
      <c r="C288" s="4"/>
      <c r="D288" s="4"/>
      <c r="E288" s="4"/>
      <c r="I288" s="135"/>
      <c r="J288" s="135"/>
      <c r="K288" s="135"/>
      <c r="L288" s="135"/>
    </row>
    <row r="289" spans="2:12" ht="12" customHeight="1" x14ac:dyDescent="0.15">
      <c r="B289" s="2"/>
      <c r="C289" s="4"/>
      <c r="D289" s="4"/>
      <c r="E289" s="4"/>
      <c r="I289" s="135"/>
      <c r="J289" s="135"/>
      <c r="K289" s="135"/>
      <c r="L289" s="135"/>
    </row>
    <row r="290" spans="2:12" ht="12" customHeight="1" x14ac:dyDescent="0.15">
      <c r="B290" s="2"/>
      <c r="C290" s="4"/>
      <c r="D290" s="4"/>
      <c r="E290" s="4"/>
      <c r="I290" s="135"/>
      <c r="J290" s="135"/>
      <c r="K290" s="135"/>
      <c r="L290" s="135"/>
    </row>
    <row r="291" spans="2:12" ht="12" customHeight="1" x14ac:dyDescent="0.15">
      <c r="B291" s="2"/>
      <c r="C291" s="4"/>
      <c r="D291" s="4"/>
      <c r="E291" s="4"/>
      <c r="I291" s="135"/>
      <c r="J291" s="135"/>
      <c r="K291" s="135"/>
      <c r="L291" s="135"/>
    </row>
    <row r="292" spans="2:12" ht="12" customHeight="1" x14ac:dyDescent="0.15">
      <c r="B292" s="2"/>
      <c r="C292" s="4"/>
      <c r="D292" s="4"/>
      <c r="E292" s="4"/>
      <c r="I292" s="135"/>
      <c r="J292" s="135"/>
      <c r="K292" s="135"/>
      <c r="L292" s="135"/>
    </row>
    <row r="293" spans="2:12" ht="12" customHeight="1" x14ac:dyDescent="0.15">
      <c r="B293" s="2"/>
      <c r="C293" s="4"/>
      <c r="D293" s="4"/>
      <c r="E293" s="4"/>
      <c r="I293" s="135"/>
      <c r="J293" s="135"/>
      <c r="K293" s="135"/>
      <c r="L293" s="135"/>
    </row>
    <row r="294" spans="2:12" ht="12" customHeight="1" x14ac:dyDescent="0.15">
      <c r="B294" s="2"/>
      <c r="C294" s="4"/>
      <c r="D294" s="4"/>
      <c r="E294" s="4"/>
      <c r="I294" s="135"/>
      <c r="J294" s="135"/>
      <c r="K294" s="135"/>
      <c r="L294" s="135"/>
    </row>
    <row r="295" spans="2:12" ht="12" customHeight="1" x14ac:dyDescent="0.15">
      <c r="B295" s="2"/>
      <c r="C295" s="4"/>
      <c r="D295" s="4"/>
      <c r="E295" s="4"/>
      <c r="I295" s="135"/>
      <c r="J295" s="135"/>
      <c r="K295" s="135"/>
      <c r="L295" s="135"/>
    </row>
    <row r="296" spans="2:12" ht="12" customHeight="1" x14ac:dyDescent="0.15">
      <c r="B296" s="2"/>
      <c r="C296" s="4"/>
      <c r="D296" s="4"/>
      <c r="E296" s="4"/>
      <c r="I296" s="135"/>
      <c r="J296" s="135"/>
      <c r="K296" s="135"/>
      <c r="L296" s="135"/>
    </row>
    <row r="297" spans="2:12" ht="12" customHeight="1" x14ac:dyDescent="0.15">
      <c r="B297" s="2"/>
      <c r="C297" s="4"/>
      <c r="D297" s="4"/>
      <c r="E297" s="4"/>
      <c r="I297" s="135"/>
      <c r="J297" s="135"/>
      <c r="K297" s="135"/>
      <c r="L297" s="135"/>
    </row>
    <row r="298" spans="2:12" ht="12" customHeight="1" x14ac:dyDescent="0.15">
      <c r="B298" s="2"/>
      <c r="C298" s="4"/>
      <c r="D298" s="4"/>
      <c r="E298" s="4"/>
      <c r="I298" s="135"/>
      <c r="J298" s="135"/>
      <c r="K298" s="135"/>
      <c r="L298" s="135"/>
    </row>
    <row r="299" spans="2:12" ht="12" customHeight="1" x14ac:dyDescent="0.15">
      <c r="B299" s="2"/>
      <c r="C299" s="4"/>
      <c r="D299" s="4"/>
      <c r="E299" s="4"/>
      <c r="I299" s="135"/>
      <c r="J299" s="135"/>
      <c r="K299" s="135"/>
      <c r="L299" s="135"/>
    </row>
    <row r="300" spans="2:12" ht="12" customHeight="1" x14ac:dyDescent="0.15">
      <c r="B300" s="2"/>
      <c r="C300" s="4"/>
      <c r="D300" s="4"/>
      <c r="E300" s="4"/>
      <c r="I300" s="135"/>
      <c r="J300" s="135"/>
      <c r="K300" s="135"/>
      <c r="L300" s="135"/>
    </row>
    <row r="301" spans="2:12" ht="12" customHeight="1" x14ac:dyDescent="0.15">
      <c r="B301" s="2"/>
      <c r="C301" s="4"/>
      <c r="D301" s="4"/>
      <c r="E301" s="4"/>
      <c r="I301" s="135"/>
      <c r="J301" s="135"/>
      <c r="K301" s="135"/>
      <c r="L301" s="135"/>
    </row>
    <row r="302" spans="2:12" ht="12" customHeight="1" x14ac:dyDescent="0.15">
      <c r="B302" s="2"/>
      <c r="C302" s="4"/>
      <c r="D302" s="4"/>
      <c r="E302" s="4"/>
      <c r="I302" s="135"/>
      <c r="J302" s="135"/>
      <c r="K302" s="135"/>
      <c r="L302" s="135"/>
    </row>
    <row r="303" spans="2:12" ht="12" customHeight="1" x14ac:dyDescent="0.15">
      <c r="B303" s="2"/>
      <c r="C303" s="4"/>
      <c r="D303" s="4"/>
      <c r="E303" s="4"/>
      <c r="I303" s="135"/>
      <c r="J303" s="135"/>
      <c r="K303" s="135"/>
      <c r="L303" s="135"/>
    </row>
    <row r="304" spans="2:12" ht="12" customHeight="1" x14ac:dyDescent="0.15">
      <c r="B304" s="2"/>
      <c r="C304" s="4"/>
      <c r="D304" s="4"/>
      <c r="E304" s="4"/>
      <c r="I304" s="135"/>
      <c r="J304" s="135"/>
      <c r="K304" s="135"/>
      <c r="L304" s="135"/>
    </row>
    <row r="305" spans="2:12" ht="12" customHeight="1" x14ac:dyDescent="0.15">
      <c r="B305" s="2"/>
      <c r="C305" s="4"/>
      <c r="D305" s="4"/>
      <c r="E305" s="4"/>
      <c r="I305" s="135"/>
      <c r="J305" s="135"/>
      <c r="K305" s="135"/>
      <c r="L305" s="135"/>
    </row>
    <row r="306" spans="2:12" ht="12" customHeight="1" x14ac:dyDescent="0.15">
      <c r="B306" s="2"/>
      <c r="C306" s="4"/>
      <c r="D306" s="4"/>
      <c r="E306" s="4"/>
      <c r="I306" s="135"/>
      <c r="J306" s="135"/>
      <c r="K306" s="135"/>
      <c r="L306" s="135"/>
    </row>
    <row r="307" spans="2:12" ht="12" customHeight="1" x14ac:dyDescent="0.15">
      <c r="B307" s="2"/>
      <c r="C307" s="4"/>
      <c r="D307" s="4"/>
      <c r="E307" s="4"/>
      <c r="I307" s="135"/>
      <c r="J307" s="135"/>
      <c r="K307" s="135"/>
      <c r="L307" s="135"/>
    </row>
    <row r="308" spans="2:12" ht="12" customHeight="1" x14ac:dyDescent="0.15">
      <c r="B308" s="2"/>
      <c r="C308" s="4"/>
      <c r="D308" s="4"/>
      <c r="E308" s="4"/>
      <c r="I308" s="135"/>
      <c r="J308" s="135"/>
      <c r="K308" s="135"/>
      <c r="L308" s="135"/>
    </row>
    <row r="309" spans="2:12" ht="12" customHeight="1" x14ac:dyDescent="0.15">
      <c r="B309" s="2"/>
      <c r="C309" s="4"/>
      <c r="D309" s="4"/>
      <c r="E309" s="4"/>
      <c r="I309" s="135"/>
      <c r="J309" s="135"/>
      <c r="K309" s="135"/>
      <c r="L309" s="135"/>
    </row>
    <row r="310" spans="2:12" ht="12" customHeight="1" x14ac:dyDescent="0.15">
      <c r="B310" s="2"/>
      <c r="C310" s="4"/>
      <c r="D310" s="4"/>
      <c r="E310" s="4"/>
      <c r="I310" s="135"/>
      <c r="J310" s="135"/>
      <c r="K310" s="135"/>
      <c r="L310" s="135"/>
    </row>
    <row r="311" spans="2:12" ht="12" customHeight="1" x14ac:dyDescent="0.15">
      <c r="B311" s="2"/>
      <c r="C311" s="4"/>
      <c r="D311" s="4"/>
      <c r="E311" s="4"/>
      <c r="I311" s="135"/>
      <c r="J311" s="135"/>
      <c r="K311" s="135"/>
      <c r="L311" s="135"/>
    </row>
    <row r="312" spans="2:12" ht="12" customHeight="1" x14ac:dyDescent="0.15">
      <c r="B312" s="2"/>
      <c r="C312" s="4"/>
      <c r="D312" s="4"/>
      <c r="E312" s="4"/>
      <c r="I312" s="135"/>
      <c r="J312" s="135"/>
      <c r="K312" s="135"/>
      <c r="L312" s="135"/>
    </row>
    <row r="313" spans="2:12" ht="12" customHeight="1" x14ac:dyDescent="0.15">
      <c r="B313" s="2"/>
      <c r="C313" s="4"/>
      <c r="D313" s="4"/>
      <c r="E313" s="4"/>
      <c r="I313" s="135"/>
      <c r="J313" s="135"/>
      <c r="K313" s="135"/>
      <c r="L313" s="135"/>
    </row>
    <row r="314" spans="2:12" ht="12" customHeight="1" x14ac:dyDescent="0.15">
      <c r="B314" s="2"/>
      <c r="C314" s="4"/>
      <c r="D314" s="4"/>
      <c r="E314" s="4"/>
      <c r="I314" s="135"/>
      <c r="J314" s="135"/>
      <c r="K314" s="135"/>
      <c r="L314" s="135"/>
    </row>
    <row r="315" spans="2:12" ht="12" customHeight="1" x14ac:dyDescent="0.15">
      <c r="B315" s="2"/>
      <c r="C315" s="4"/>
      <c r="D315" s="4"/>
      <c r="E315" s="4"/>
      <c r="I315" s="135"/>
      <c r="J315" s="135"/>
      <c r="K315" s="135"/>
      <c r="L315" s="135"/>
    </row>
    <row r="316" spans="2:12" ht="12" customHeight="1" x14ac:dyDescent="0.15">
      <c r="B316" s="2"/>
      <c r="C316" s="4"/>
      <c r="D316" s="4"/>
      <c r="E316" s="4"/>
      <c r="I316" s="135"/>
      <c r="J316" s="135"/>
      <c r="K316" s="135"/>
      <c r="L316" s="135"/>
    </row>
    <row r="317" spans="2:12" ht="12" customHeight="1" x14ac:dyDescent="0.15">
      <c r="B317" s="2"/>
      <c r="C317" s="4"/>
      <c r="D317" s="4"/>
      <c r="E317" s="4"/>
      <c r="I317" s="135"/>
      <c r="J317" s="135"/>
      <c r="K317" s="135"/>
      <c r="L317" s="135"/>
    </row>
    <row r="318" spans="2:12" ht="12" customHeight="1" x14ac:dyDescent="0.15">
      <c r="B318" s="2"/>
      <c r="C318" s="4"/>
      <c r="D318" s="4"/>
      <c r="E318" s="4"/>
      <c r="I318" s="135"/>
      <c r="J318" s="135"/>
      <c r="K318" s="135"/>
      <c r="L318" s="135"/>
    </row>
    <row r="319" spans="2:12" ht="12" customHeight="1" x14ac:dyDescent="0.15">
      <c r="B319" s="2"/>
      <c r="C319" s="4"/>
      <c r="D319" s="4"/>
      <c r="E319" s="4"/>
      <c r="I319" s="135"/>
      <c r="J319" s="135"/>
      <c r="K319" s="135"/>
      <c r="L319" s="135"/>
    </row>
    <row r="320" spans="2:12" ht="12" customHeight="1" x14ac:dyDescent="0.15">
      <c r="B320" s="2"/>
      <c r="C320" s="4"/>
      <c r="D320" s="4"/>
      <c r="E320" s="4"/>
      <c r="I320" s="135"/>
      <c r="J320" s="135"/>
      <c r="K320" s="135"/>
      <c r="L320" s="135"/>
    </row>
    <row r="321" spans="2:12" ht="12" customHeight="1" x14ac:dyDescent="0.15">
      <c r="B321" s="2"/>
      <c r="C321" s="4"/>
      <c r="D321" s="4"/>
      <c r="E321" s="4"/>
      <c r="I321" s="135"/>
      <c r="J321" s="135"/>
      <c r="K321" s="135"/>
      <c r="L321" s="135"/>
    </row>
    <row r="322" spans="2:12" ht="12" customHeight="1" x14ac:dyDescent="0.15">
      <c r="B322" s="2"/>
      <c r="C322" s="4"/>
      <c r="D322" s="4"/>
      <c r="E322" s="4"/>
      <c r="I322" s="135"/>
      <c r="J322" s="135"/>
      <c r="K322" s="135"/>
      <c r="L322" s="135"/>
    </row>
    <row r="323" spans="2:12" ht="12" customHeight="1" x14ac:dyDescent="0.15">
      <c r="B323" s="2"/>
      <c r="C323" s="4"/>
      <c r="D323" s="4"/>
      <c r="E323" s="4"/>
      <c r="I323" s="135"/>
      <c r="J323" s="135"/>
      <c r="K323" s="135"/>
      <c r="L323" s="135"/>
    </row>
    <row r="324" spans="2:12" ht="12" customHeight="1" x14ac:dyDescent="0.15">
      <c r="B324" s="2"/>
      <c r="C324" s="4"/>
      <c r="D324" s="4"/>
      <c r="E324" s="4"/>
      <c r="I324" s="135"/>
      <c r="J324" s="135"/>
      <c r="K324" s="135"/>
      <c r="L324" s="135"/>
    </row>
    <row r="325" spans="2:12" ht="12" customHeight="1" x14ac:dyDescent="0.15">
      <c r="B325" s="2"/>
      <c r="C325" s="4"/>
      <c r="D325" s="4"/>
      <c r="E325" s="4"/>
      <c r="I325" s="135"/>
      <c r="J325" s="135"/>
      <c r="K325" s="135"/>
      <c r="L325" s="135"/>
    </row>
    <row r="326" spans="2:12" ht="12" customHeight="1" x14ac:dyDescent="0.15">
      <c r="B326" s="2"/>
      <c r="C326" s="4"/>
      <c r="D326" s="4"/>
      <c r="E326" s="4"/>
      <c r="I326" s="135"/>
      <c r="J326" s="135"/>
      <c r="K326" s="135"/>
      <c r="L326" s="135"/>
    </row>
    <row r="327" spans="2:12" ht="12" customHeight="1" x14ac:dyDescent="0.15">
      <c r="B327" s="2"/>
      <c r="C327" s="4"/>
      <c r="D327" s="4"/>
      <c r="E327" s="4"/>
      <c r="I327" s="135"/>
      <c r="J327" s="135"/>
      <c r="K327" s="135"/>
      <c r="L327" s="135"/>
    </row>
    <row r="328" spans="2:12" ht="12" customHeight="1" x14ac:dyDescent="0.15">
      <c r="B328" s="2"/>
      <c r="C328" s="4"/>
      <c r="D328" s="4"/>
      <c r="E328" s="4"/>
      <c r="I328" s="135"/>
      <c r="J328" s="135"/>
      <c r="K328" s="135"/>
      <c r="L328" s="135"/>
    </row>
    <row r="329" spans="2:12" ht="12" customHeight="1" x14ac:dyDescent="0.15">
      <c r="B329" s="2"/>
      <c r="C329" s="4"/>
      <c r="D329" s="4"/>
      <c r="E329" s="4"/>
      <c r="I329" s="135"/>
      <c r="J329" s="135"/>
      <c r="K329" s="135"/>
      <c r="L329" s="135"/>
    </row>
    <row r="330" spans="2:12" ht="12" customHeight="1" x14ac:dyDescent="0.15">
      <c r="B330" s="2"/>
      <c r="C330" s="4"/>
      <c r="D330" s="4"/>
      <c r="E330" s="4"/>
      <c r="I330" s="135"/>
      <c r="J330" s="135"/>
      <c r="K330" s="135"/>
      <c r="L330" s="135"/>
    </row>
    <row r="331" spans="2:12" ht="12" customHeight="1" x14ac:dyDescent="0.15">
      <c r="B331" s="2"/>
      <c r="C331" s="4"/>
      <c r="D331" s="4"/>
      <c r="E331" s="4"/>
      <c r="I331" s="135"/>
      <c r="J331" s="135"/>
      <c r="K331" s="135"/>
      <c r="L331" s="135"/>
    </row>
    <row r="332" spans="2:12" ht="12" customHeight="1" x14ac:dyDescent="0.15">
      <c r="B332" s="2"/>
      <c r="C332" s="4"/>
      <c r="D332" s="4"/>
      <c r="E332" s="4"/>
      <c r="I332" s="135"/>
      <c r="J332" s="135"/>
      <c r="K332" s="135"/>
      <c r="L332" s="135"/>
    </row>
    <row r="333" spans="2:12" ht="12" customHeight="1" x14ac:dyDescent="0.15">
      <c r="B333" s="2"/>
      <c r="C333" s="4"/>
      <c r="D333" s="4"/>
      <c r="E333" s="4"/>
      <c r="I333" s="135"/>
      <c r="J333" s="135"/>
      <c r="K333" s="135"/>
      <c r="L333" s="135"/>
    </row>
    <row r="334" spans="2:12" ht="12" customHeight="1" x14ac:dyDescent="0.15">
      <c r="B334" s="2"/>
      <c r="C334" s="4"/>
      <c r="D334" s="4"/>
      <c r="E334" s="4"/>
      <c r="I334" s="135"/>
      <c r="J334" s="135"/>
      <c r="K334" s="135"/>
      <c r="L334" s="135"/>
    </row>
    <row r="335" spans="2:12" ht="12" customHeight="1" x14ac:dyDescent="0.15">
      <c r="B335" s="2"/>
      <c r="C335" s="4"/>
      <c r="D335" s="4"/>
      <c r="E335" s="4"/>
      <c r="I335" s="135"/>
      <c r="J335" s="135"/>
      <c r="K335" s="135"/>
      <c r="L335" s="135"/>
    </row>
    <row r="336" spans="2:12" ht="12" customHeight="1" x14ac:dyDescent="0.15">
      <c r="B336" s="2"/>
      <c r="C336" s="4"/>
      <c r="D336" s="4"/>
      <c r="E336" s="4"/>
      <c r="I336" s="135"/>
      <c r="J336" s="135"/>
      <c r="K336" s="135"/>
      <c r="L336" s="135"/>
    </row>
    <row r="337" spans="2:12" ht="12" customHeight="1" x14ac:dyDescent="0.15">
      <c r="B337" s="2"/>
      <c r="C337" s="4"/>
      <c r="D337" s="4"/>
      <c r="E337" s="4"/>
      <c r="I337" s="135"/>
      <c r="J337" s="135"/>
      <c r="K337" s="135"/>
      <c r="L337" s="135"/>
    </row>
    <row r="338" spans="2:12" ht="12" customHeight="1" x14ac:dyDescent="0.15">
      <c r="B338" s="2"/>
      <c r="C338" s="4"/>
      <c r="D338" s="4"/>
      <c r="E338" s="4"/>
      <c r="I338" s="135"/>
      <c r="J338" s="135"/>
      <c r="K338" s="135"/>
      <c r="L338" s="135"/>
    </row>
    <row r="339" spans="2:12" ht="12" customHeight="1" x14ac:dyDescent="0.15">
      <c r="B339" s="2"/>
      <c r="C339" s="4"/>
      <c r="D339" s="4"/>
      <c r="E339" s="4"/>
      <c r="I339" s="135"/>
      <c r="J339" s="135"/>
      <c r="K339" s="135"/>
      <c r="L339" s="135"/>
    </row>
    <row r="340" spans="2:12" ht="12" customHeight="1" x14ac:dyDescent="0.15">
      <c r="B340" s="2"/>
      <c r="C340" s="4"/>
      <c r="D340" s="4"/>
      <c r="E340" s="4"/>
      <c r="I340" s="135"/>
      <c r="J340" s="135"/>
      <c r="K340" s="135"/>
      <c r="L340" s="135"/>
    </row>
    <row r="341" spans="2:12" ht="12" customHeight="1" x14ac:dyDescent="0.15">
      <c r="B341" s="2"/>
      <c r="C341" s="4"/>
      <c r="D341" s="4"/>
      <c r="E341" s="4"/>
      <c r="I341" s="135"/>
      <c r="J341" s="135"/>
      <c r="K341" s="135"/>
      <c r="L341" s="135"/>
    </row>
    <row r="342" spans="2:12" ht="12" customHeight="1" x14ac:dyDescent="0.15">
      <c r="B342" s="2"/>
      <c r="C342" s="4"/>
      <c r="D342" s="4"/>
      <c r="E342" s="4"/>
      <c r="I342" s="135"/>
      <c r="J342" s="135"/>
      <c r="K342" s="135"/>
      <c r="L342" s="135"/>
    </row>
    <row r="343" spans="2:12" ht="12" customHeight="1" x14ac:dyDescent="0.15">
      <c r="B343" s="2"/>
      <c r="C343" s="4"/>
      <c r="D343" s="4"/>
      <c r="E343" s="4"/>
      <c r="I343" s="135"/>
      <c r="J343" s="135"/>
      <c r="K343" s="135"/>
      <c r="L343" s="135"/>
    </row>
    <row r="344" spans="2:12" ht="12" customHeight="1" x14ac:dyDescent="0.15">
      <c r="B344" s="2"/>
      <c r="C344" s="4"/>
      <c r="D344" s="4"/>
      <c r="E344" s="4"/>
      <c r="I344" s="135"/>
      <c r="J344" s="135"/>
      <c r="K344" s="135"/>
      <c r="L344" s="135"/>
    </row>
    <row r="345" spans="2:12" ht="12" customHeight="1" x14ac:dyDescent="0.15">
      <c r="B345" s="2"/>
      <c r="C345" s="4"/>
      <c r="D345" s="4"/>
      <c r="E345" s="4"/>
      <c r="I345" s="135"/>
      <c r="J345" s="135"/>
      <c r="K345" s="135"/>
      <c r="L345" s="135"/>
    </row>
    <row r="346" spans="2:12" ht="12" customHeight="1" x14ac:dyDescent="0.15">
      <c r="B346" s="2"/>
      <c r="C346" s="4"/>
      <c r="D346" s="4"/>
      <c r="E346" s="4"/>
      <c r="I346" s="135"/>
      <c r="J346" s="135"/>
      <c r="K346" s="135"/>
      <c r="L346" s="135"/>
    </row>
    <row r="347" spans="2:12" ht="12" customHeight="1" x14ac:dyDescent="0.15">
      <c r="B347" s="2"/>
      <c r="C347" s="4"/>
      <c r="D347" s="4"/>
      <c r="E347" s="4"/>
      <c r="I347" s="135"/>
      <c r="J347" s="135"/>
      <c r="K347" s="135"/>
      <c r="L347" s="135"/>
    </row>
    <row r="348" spans="2:12" ht="12" customHeight="1" x14ac:dyDescent="0.15">
      <c r="B348" s="2"/>
      <c r="C348" s="4"/>
      <c r="D348" s="4"/>
      <c r="E348" s="4"/>
      <c r="I348" s="135"/>
      <c r="J348" s="135"/>
      <c r="K348" s="135"/>
      <c r="L348" s="135"/>
    </row>
    <row r="349" spans="2:12" ht="12" customHeight="1" x14ac:dyDescent="0.15">
      <c r="B349" s="2"/>
      <c r="C349" s="4"/>
      <c r="D349" s="4"/>
      <c r="E349" s="4"/>
      <c r="I349" s="135"/>
      <c r="J349" s="135"/>
      <c r="K349" s="135"/>
      <c r="L349" s="135"/>
    </row>
    <row r="350" spans="2:12" ht="12" customHeight="1" x14ac:dyDescent="0.15">
      <c r="B350" s="2"/>
      <c r="C350" s="4"/>
      <c r="D350" s="4"/>
      <c r="E350" s="4"/>
      <c r="I350" s="135"/>
      <c r="J350" s="135"/>
      <c r="K350" s="135"/>
      <c r="L350" s="135"/>
    </row>
    <row r="351" spans="2:12" ht="12" customHeight="1" x14ac:dyDescent="0.15">
      <c r="B351" s="2"/>
      <c r="C351" s="4"/>
      <c r="D351" s="4"/>
      <c r="E351" s="4"/>
      <c r="I351" s="135"/>
      <c r="J351" s="135"/>
      <c r="K351" s="135"/>
      <c r="L351" s="135"/>
    </row>
    <row r="352" spans="2:12" ht="12" customHeight="1" x14ac:dyDescent="0.15">
      <c r="B352" s="2"/>
      <c r="C352" s="4"/>
      <c r="D352" s="4"/>
      <c r="E352" s="4"/>
      <c r="I352" s="135"/>
      <c r="J352" s="135"/>
      <c r="K352" s="135"/>
      <c r="L352" s="135"/>
    </row>
    <row r="353" spans="2:12" ht="12" customHeight="1" x14ac:dyDescent="0.15">
      <c r="B353" s="2"/>
      <c r="C353" s="4"/>
      <c r="D353" s="4"/>
      <c r="E353" s="4"/>
      <c r="I353" s="135"/>
      <c r="J353" s="135"/>
      <c r="K353" s="135"/>
      <c r="L353" s="135"/>
    </row>
    <row r="354" spans="2:12" ht="12" customHeight="1" x14ac:dyDescent="0.15">
      <c r="B354" s="2"/>
      <c r="C354" s="4"/>
      <c r="D354" s="4"/>
      <c r="E354" s="4"/>
      <c r="I354" s="135"/>
      <c r="J354" s="135"/>
      <c r="K354" s="135"/>
      <c r="L354" s="135"/>
    </row>
    <row r="355" spans="2:12" ht="12" customHeight="1" x14ac:dyDescent="0.15">
      <c r="B355" s="2"/>
      <c r="C355" s="4"/>
      <c r="D355" s="4"/>
      <c r="E355" s="4"/>
      <c r="I355" s="135"/>
      <c r="J355" s="135"/>
      <c r="K355" s="135"/>
      <c r="L355" s="135"/>
    </row>
    <row r="356" spans="2:12" ht="12" customHeight="1" x14ac:dyDescent="0.15">
      <c r="B356" s="2"/>
      <c r="C356" s="4"/>
      <c r="D356" s="4"/>
      <c r="E356" s="4"/>
      <c r="I356" s="135"/>
      <c r="J356" s="135"/>
      <c r="K356" s="135"/>
      <c r="L356" s="135"/>
    </row>
    <row r="357" spans="2:12" ht="12" customHeight="1" x14ac:dyDescent="0.15">
      <c r="B357" s="2"/>
      <c r="C357" s="4"/>
      <c r="D357" s="4"/>
      <c r="E357" s="4"/>
      <c r="I357" s="135"/>
      <c r="J357" s="135"/>
      <c r="K357" s="135"/>
      <c r="L357" s="135"/>
    </row>
    <row r="358" spans="2:12" ht="12" customHeight="1" x14ac:dyDescent="0.15">
      <c r="B358" s="2"/>
      <c r="C358" s="4"/>
      <c r="D358" s="4"/>
      <c r="E358" s="4"/>
      <c r="I358" s="135"/>
      <c r="J358" s="135"/>
      <c r="K358" s="135"/>
      <c r="L358" s="135"/>
    </row>
    <row r="359" spans="2:12" ht="12" customHeight="1" x14ac:dyDescent="0.15">
      <c r="B359" s="2"/>
      <c r="C359" s="4"/>
      <c r="D359" s="4"/>
      <c r="E359" s="4"/>
      <c r="I359" s="135"/>
      <c r="J359" s="135"/>
      <c r="K359" s="135"/>
      <c r="L359" s="135"/>
    </row>
    <row r="360" spans="2:12" ht="12" customHeight="1" x14ac:dyDescent="0.15">
      <c r="B360" s="2"/>
      <c r="C360" s="4"/>
      <c r="D360" s="4"/>
      <c r="E360" s="4"/>
      <c r="I360" s="135"/>
      <c r="J360" s="135"/>
      <c r="K360" s="135"/>
      <c r="L360" s="135"/>
    </row>
    <row r="361" spans="2:12" ht="12" customHeight="1" x14ac:dyDescent="0.15">
      <c r="B361" s="2"/>
      <c r="C361" s="4"/>
      <c r="D361" s="4"/>
      <c r="E361" s="4"/>
      <c r="I361" s="135"/>
      <c r="J361" s="135"/>
      <c r="K361" s="135"/>
      <c r="L361" s="135"/>
    </row>
    <row r="362" spans="2:12" ht="12" customHeight="1" x14ac:dyDescent="0.15">
      <c r="B362" s="2"/>
      <c r="C362" s="4"/>
      <c r="D362" s="4"/>
      <c r="E362" s="4"/>
      <c r="I362" s="135"/>
      <c r="J362" s="135"/>
      <c r="K362" s="135"/>
      <c r="L362" s="135"/>
    </row>
    <row r="363" spans="2:12" ht="12" customHeight="1" x14ac:dyDescent="0.15">
      <c r="B363" s="2"/>
      <c r="C363" s="4"/>
      <c r="D363" s="4"/>
      <c r="E363" s="4"/>
      <c r="I363" s="135"/>
      <c r="J363" s="135"/>
      <c r="K363" s="135"/>
      <c r="L363" s="135"/>
    </row>
    <row r="364" spans="2:12" ht="12" customHeight="1" x14ac:dyDescent="0.15">
      <c r="B364" s="2"/>
      <c r="C364" s="4"/>
      <c r="D364" s="4"/>
      <c r="E364" s="4"/>
      <c r="I364" s="135"/>
      <c r="J364" s="135"/>
      <c r="K364" s="135"/>
      <c r="L364" s="135"/>
    </row>
    <row r="365" spans="2:12" ht="12" customHeight="1" x14ac:dyDescent="0.15">
      <c r="B365" s="2"/>
      <c r="C365" s="4"/>
      <c r="D365" s="4"/>
      <c r="E365" s="4"/>
      <c r="I365" s="135"/>
      <c r="J365" s="135"/>
      <c r="K365" s="135"/>
      <c r="L365" s="135"/>
    </row>
    <row r="366" spans="2:12" ht="12" customHeight="1" x14ac:dyDescent="0.15">
      <c r="B366" s="2"/>
      <c r="C366" s="4"/>
      <c r="D366" s="4"/>
      <c r="E366" s="4"/>
      <c r="I366" s="135"/>
      <c r="J366" s="135"/>
      <c r="K366" s="135"/>
      <c r="L366" s="135"/>
    </row>
    <row r="367" spans="2:12" ht="12" customHeight="1" x14ac:dyDescent="0.15">
      <c r="B367" s="2"/>
      <c r="C367" s="4"/>
      <c r="D367" s="4"/>
      <c r="E367" s="4"/>
      <c r="I367" s="135"/>
      <c r="J367" s="135"/>
      <c r="K367" s="135"/>
      <c r="L367" s="135"/>
    </row>
    <row r="368" spans="2:12" ht="12" customHeight="1" x14ac:dyDescent="0.15">
      <c r="B368" s="2"/>
      <c r="C368" s="4"/>
      <c r="D368" s="4"/>
      <c r="E368" s="4"/>
      <c r="I368" s="135"/>
      <c r="J368" s="135"/>
      <c r="K368" s="135"/>
      <c r="L368" s="135"/>
    </row>
    <row r="369" spans="2:12" ht="12" customHeight="1" x14ac:dyDescent="0.15">
      <c r="B369" s="2"/>
      <c r="C369" s="4"/>
      <c r="D369" s="4"/>
      <c r="E369" s="4"/>
      <c r="I369" s="135"/>
      <c r="J369" s="135"/>
      <c r="K369" s="135"/>
      <c r="L369" s="135"/>
    </row>
    <row r="370" spans="2:12" ht="12" customHeight="1" x14ac:dyDescent="0.15">
      <c r="B370" s="2"/>
      <c r="C370" s="4"/>
      <c r="D370" s="4"/>
      <c r="E370" s="4"/>
      <c r="I370" s="135"/>
      <c r="J370" s="135"/>
      <c r="K370" s="135"/>
      <c r="L370" s="135"/>
    </row>
    <row r="371" spans="2:12" ht="12" customHeight="1" x14ac:dyDescent="0.15">
      <c r="B371" s="2"/>
      <c r="C371" s="4"/>
      <c r="D371" s="4"/>
      <c r="E371" s="4"/>
      <c r="I371" s="135"/>
      <c r="J371" s="135"/>
      <c r="K371" s="135"/>
      <c r="L371" s="135"/>
    </row>
    <row r="372" spans="2:12" ht="12" customHeight="1" x14ac:dyDescent="0.15">
      <c r="B372" s="2"/>
      <c r="C372" s="4"/>
      <c r="D372" s="4"/>
      <c r="E372" s="4"/>
      <c r="I372" s="135"/>
      <c r="J372" s="135"/>
      <c r="K372" s="135"/>
      <c r="L372" s="135"/>
    </row>
    <row r="373" spans="2:12" ht="12" customHeight="1" x14ac:dyDescent="0.15">
      <c r="B373" s="2"/>
      <c r="C373" s="4"/>
      <c r="D373" s="4"/>
      <c r="E373" s="4"/>
      <c r="I373" s="135"/>
      <c r="J373" s="135"/>
      <c r="K373" s="135"/>
      <c r="L373" s="135"/>
    </row>
    <row r="374" spans="2:12" ht="12" customHeight="1" x14ac:dyDescent="0.15">
      <c r="B374" s="2"/>
      <c r="C374" s="4"/>
      <c r="D374" s="4"/>
      <c r="E374" s="4"/>
      <c r="I374" s="135"/>
      <c r="J374" s="135"/>
      <c r="K374" s="135"/>
      <c r="L374" s="135"/>
    </row>
    <row r="375" spans="2:12" ht="12" customHeight="1" x14ac:dyDescent="0.15">
      <c r="B375" s="2"/>
      <c r="C375" s="4"/>
      <c r="D375" s="4"/>
      <c r="E375" s="4"/>
      <c r="I375" s="135"/>
      <c r="J375" s="135"/>
      <c r="K375" s="135"/>
      <c r="L375" s="135"/>
    </row>
    <row r="376" spans="2:12" ht="12" customHeight="1" x14ac:dyDescent="0.15">
      <c r="B376" s="2"/>
      <c r="C376" s="4"/>
      <c r="D376" s="4"/>
      <c r="E376" s="4"/>
      <c r="I376" s="135"/>
      <c r="J376" s="135"/>
      <c r="K376" s="135"/>
      <c r="L376" s="135"/>
    </row>
    <row r="377" spans="2:12" ht="12" customHeight="1" x14ac:dyDescent="0.15">
      <c r="B377" s="2"/>
      <c r="C377" s="4"/>
      <c r="D377" s="4"/>
      <c r="E377" s="4"/>
      <c r="I377" s="135"/>
      <c r="J377" s="135"/>
      <c r="K377" s="135"/>
      <c r="L377" s="135"/>
    </row>
    <row r="378" spans="2:12" ht="12" customHeight="1" x14ac:dyDescent="0.15">
      <c r="B378" s="2"/>
      <c r="C378" s="4"/>
      <c r="D378" s="4"/>
      <c r="E378" s="4"/>
      <c r="I378" s="135"/>
      <c r="J378" s="135"/>
      <c r="K378" s="135"/>
      <c r="L378" s="135"/>
    </row>
    <row r="379" spans="2:12" ht="12" customHeight="1" x14ac:dyDescent="0.15">
      <c r="B379" s="2"/>
      <c r="C379" s="4"/>
      <c r="D379" s="4"/>
      <c r="E379" s="4"/>
      <c r="I379" s="135"/>
      <c r="J379" s="135"/>
      <c r="K379" s="135"/>
      <c r="L379" s="135"/>
    </row>
    <row r="380" spans="2:12" ht="12" customHeight="1" x14ac:dyDescent="0.15">
      <c r="B380" s="2"/>
      <c r="C380" s="4"/>
      <c r="D380" s="4"/>
      <c r="E380" s="4"/>
      <c r="I380" s="135"/>
      <c r="J380" s="135"/>
      <c r="K380" s="135"/>
      <c r="L380" s="135"/>
    </row>
    <row r="381" spans="2:12" ht="12" customHeight="1" x14ac:dyDescent="0.15">
      <c r="B381" s="2"/>
      <c r="C381" s="4"/>
      <c r="D381" s="4"/>
      <c r="E381" s="4"/>
      <c r="I381" s="135"/>
      <c r="J381" s="135"/>
      <c r="K381" s="135"/>
      <c r="L381" s="135"/>
    </row>
    <row r="382" spans="2:12" ht="12" customHeight="1" x14ac:dyDescent="0.15">
      <c r="B382" s="2"/>
      <c r="C382" s="4"/>
      <c r="D382" s="4"/>
      <c r="E382" s="4"/>
      <c r="I382" s="135"/>
      <c r="J382" s="135"/>
      <c r="K382" s="135"/>
      <c r="L382" s="135"/>
    </row>
    <row r="383" spans="2:12" ht="12" customHeight="1" x14ac:dyDescent="0.15">
      <c r="B383" s="2"/>
      <c r="C383" s="4"/>
      <c r="D383" s="4"/>
      <c r="E383" s="4"/>
      <c r="I383" s="135"/>
      <c r="J383" s="135"/>
      <c r="K383" s="135"/>
      <c r="L383" s="135"/>
    </row>
    <row r="384" spans="2:12" ht="12" customHeight="1" x14ac:dyDescent="0.15">
      <c r="B384" s="2"/>
      <c r="C384" s="4"/>
      <c r="D384" s="4"/>
      <c r="E384" s="4"/>
      <c r="I384" s="135"/>
      <c r="J384" s="135"/>
      <c r="K384" s="135"/>
      <c r="L384" s="135"/>
    </row>
    <row r="385" spans="2:12" ht="12" customHeight="1" x14ac:dyDescent="0.15">
      <c r="B385" s="2"/>
      <c r="C385" s="4"/>
      <c r="D385" s="4"/>
      <c r="E385" s="4"/>
      <c r="I385" s="135"/>
      <c r="J385" s="135"/>
      <c r="K385" s="135"/>
      <c r="L385" s="135"/>
    </row>
    <row r="386" spans="2:12" ht="12" customHeight="1" x14ac:dyDescent="0.15">
      <c r="B386" s="2"/>
      <c r="C386" s="4"/>
      <c r="D386" s="4"/>
      <c r="E386" s="4"/>
      <c r="I386" s="135"/>
      <c r="J386" s="135"/>
      <c r="K386" s="135"/>
      <c r="L386" s="135"/>
    </row>
    <row r="387" spans="2:12" ht="12" customHeight="1" x14ac:dyDescent="0.15">
      <c r="B387" s="2"/>
      <c r="C387" s="4"/>
      <c r="D387" s="4"/>
      <c r="E387" s="4"/>
      <c r="I387" s="135"/>
      <c r="J387" s="135"/>
      <c r="K387" s="135"/>
      <c r="L387" s="135"/>
    </row>
    <row r="388" spans="2:12" ht="12" customHeight="1" x14ac:dyDescent="0.15">
      <c r="B388" s="2"/>
      <c r="C388" s="4"/>
      <c r="D388" s="4"/>
      <c r="E388" s="4"/>
      <c r="I388" s="135"/>
      <c r="J388" s="135"/>
      <c r="K388" s="135"/>
      <c r="L388" s="135"/>
    </row>
    <row r="389" spans="2:12" ht="12" customHeight="1" x14ac:dyDescent="0.15">
      <c r="B389" s="2"/>
      <c r="C389" s="4"/>
      <c r="D389" s="4"/>
      <c r="E389" s="4"/>
      <c r="I389" s="135"/>
      <c r="J389" s="135"/>
      <c r="K389" s="135"/>
      <c r="L389" s="135"/>
    </row>
    <row r="390" spans="2:12" ht="12" customHeight="1" x14ac:dyDescent="0.15">
      <c r="B390" s="2"/>
      <c r="C390" s="4"/>
      <c r="D390" s="4"/>
      <c r="E390" s="4"/>
      <c r="I390" s="135"/>
      <c r="J390" s="135"/>
      <c r="K390" s="135"/>
      <c r="L390" s="135"/>
    </row>
    <row r="391" spans="2:12" ht="12" customHeight="1" x14ac:dyDescent="0.15">
      <c r="B391" s="2"/>
      <c r="C391" s="4"/>
      <c r="D391" s="4"/>
      <c r="E391" s="4"/>
      <c r="I391" s="135"/>
      <c r="J391" s="135"/>
      <c r="K391" s="135"/>
      <c r="L391" s="135"/>
    </row>
    <row r="392" spans="2:12" ht="12" customHeight="1" x14ac:dyDescent="0.15">
      <c r="B392" s="2"/>
      <c r="C392" s="4"/>
      <c r="D392" s="4"/>
      <c r="E392" s="4"/>
      <c r="I392" s="135"/>
      <c r="J392" s="135"/>
      <c r="K392" s="135"/>
      <c r="L392" s="135"/>
    </row>
    <row r="393" spans="2:12" ht="12" customHeight="1" x14ac:dyDescent="0.15">
      <c r="B393" s="2"/>
      <c r="C393" s="4"/>
      <c r="D393" s="4"/>
      <c r="E393" s="4"/>
      <c r="I393" s="135"/>
      <c r="J393" s="135"/>
      <c r="K393" s="135"/>
      <c r="L393" s="135"/>
    </row>
    <row r="394" spans="2:12" ht="12" customHeight="1" x14ac:dyDescent="0.15">
      <c r="B394" s="2"/>
      <c r="C394" s="4"/>
      <c r="D394" s="4"/>
      <c r="E394" s="4"/>
      <c r="I394" s="135"/>
      <c r="J394" s="135"/>
      <c r="K394" s="135"/>
      <c r="L394" s="135"/>
    </row>
    <row r="395" spans="2:12" ht="12" customHeight="1" x14ac:dyDescent="0.15">
      <c r="B395" s="2"/>
      <c r="C395" s="4"/>
      <c r="D395" s="4"/>
      <c r="E395" s="4"/>
      <c r="I395" s="135"/>
      <c r="J395" s="135"/>
      <c r="K395" s="135"/>
      <c r="L395" s="135"/>
    </row>
    <row r="396" spans="2:12" ht="12" customHeight="1" x14ac:dyDescent="0.15">
      <c r="B396" s="2"/>
      <c r="C396" s="4"/>
      <c r="D396" s="4"/>
      <c r="E396" s="4"/>
      <c r="I396" s="135"/>
      <c r="J396" s="135"/>
      <c r="K396" s="135"/>
      <c r="L396" s="135"/>
    </row>
    <row r="397" spans="2:12" ht="12" customHeight="1" x14ac:dyDescent="0.15">
      <c r="B397" s="2"/>
      <c r="C397" s="4"/>
      <c r="D397" s="4"/>
      <c r="E397" s="4"/>
      <c r="I397" s="135"/>
      <c r="J397" s="135"/>
      <c r="K397" s="135"/>
      <c r="L397" s="135"/>
    </row>
    <row r="398" spans="2:12" ht="12" customHeight="1" x14ac:dyDescent="0.15">
      <c r="B398" s="2"/>
      <c r="C398" s="4"/>
      <c r="D398" s="4"/>
      <c r="E398" s="4"/>
      <c r="I398" s="135"/>
      <c r="J398" s="135"/>
      <c r="K398" s="135"/>
      <c r="L398" s="135"/>
    </row>
    <row r="399" spans="2:12" ht="12" customHeight="1" x14ac:dyDescent="0.15">
      <c r="B399" s="2"/>
      <c r="C399" s="4"/>
      <c r="D399" s="4"/>
      <c r="E399" s="4"/>
      <c r="I399" s="135"/>
      <c r="J399" s="135"/>
      <c r="K399" s="135"/>
      <c r="L399" s="135"/>
    </row>
    <row r="400" spans="2:12" ht="12" customHeight="1" x14ac:dyDescent="0.15">
      <c r="B400" s="2"/>
      <c r="C400" s="4"/>
      <c r="D400" s="4"/>
      <c r="E400" s="4"/>
      <c r="I400" s="135"/>
      <c r="J400" s="135"/>
      <c r="K400" s="135"/>
      <c r="L400" s="135"/>
    </row>
    <row r="401" spans="2:12" ht="12" customHeight="1" x14ac:dyDescent="0.15">
      <c r="B401" s="2"/>
      <c r="C401" s="4"/>
      <c r="D401" s="4"/>
      <c r="E401" s="4"/>
      <c r="I401" s="135"/>
      <c r="J401" s="135"/>
      <c r="K401" s="135"/>
      <c r="L401" s="135"/>
    </row>
    <row r="402" spans="2:12" ht="12" customHeight="1" x14ac:dyDescent="0.15">
      <c r="B402" s="2"/>
      <c r="C402" s="4"/>
      <c r="D402" s="4"/>
      <c r="E402" s="4"/>
      <c r="I402" s="135"/>
      <c r="J402" s="135"/>
      <c r="K402" s="135"/>
      <c r="L402" s="135"/>
    </row>
    <row r="403" spans="2:12" ht="12" customHeight="1" x14ac:dyDescent="0.15">
      <c r="B403" s="2"/>
      <c r="C403" s="4"/>
      <c r="D403" s="4"/>
      <c r="E403" s="4"/>
      <c r="I403" s="135"/>
      <c r="J403" s="135"/>
      <c r="K403" s="135"/>
      <c r="L403" s="135"/>
    </row>
    <row r="404" spans="2:12" ht="12" customHeight="1" x14ac:dyDescent="0.15">
      <c r="B404" s="2"/>
      <c r="C404" s="4"/>
      <c r="D404" s="4"/>
      <c r="E404" s="4"/>
      <c r="I404" s="135"/>
      <c r="J404" s="135"/>
      <c r="K404" s="135"/>
      <c r="L404" s="135"/>
    </row>
    <row r="405" spans="2:12" ht="12" customHeight="1" x14ac:dyDescent="0.15">
      <c r="B405" s="2"/>
      <c r="C405" s="4"/>
      <c r="D405" s="4"/>
      <c r="E405" s="4"/>
      <c r="I405" s="135"/>
      <c r="J405" s="135"/>
      <c r="K405" s="135"/>
      <c r="L405" s="135"/>
    </row>
    <row r="406" spans="2:12" ht="12" customHeight="1" x14ac:dyDescent="0.15">
      <c r="B406" s="2"/>
      <c r="C406" s="4"/>
      <c r="D406" s="4"/>
      <c r="E406" s="4"/>
      <c r="I406" s="135"/>
      <c r="J406" s="135"/>
      <c r="K406" s="135"/>
      <c r="L406" s="135"/>
    </row>
    <row r="407" spans="2:12" ht="12" customHeight="1" x14ac:dyDescent="0.15">
      <c r="B407" s="2"/>
      <c r="C407" s="4"/>
      <c r="D407" s="4"/>
      <c r="E407" s="4"/>
      <c r="I407" s="135"/>
      <c r="J407" s="135"/>
      <c r="K407" s="135"/>
      <c r="L407" s="135"/>
    </row>
    <row r="408" spans="2:12" ht="12" customHeight="1" x14ac:dyDescent="0.15">
      <c r="B408" s="2"/>
      <c r="C408" s="4"/>
      <c r="D408" s="4"/>
      <c r="E408" s="4"/>
      <c r="I408" s="135"/>
      <c r="J408" s="135"/>
      <c r="K408" s="135"/>
      <c r="L408" s="135"/>
    </row>
    <row r="409" spans="2:12" ht="12" customHeight="1" x14ac:dyDescent="0.15">
      <c r="B409" s="2"/>
      <c r="C409" s="4"/>
      <c r="D409" s="4"/>
      <c r="E409" s="4"/>
      <c r="I409" s="135"/>
      <c r="J409" s="135"/>
      <c r="K409" s="135"/>
      <c r="L409" s="135"/>
    </row>
    <row r="410" spans="2:12" ht="12" customHeight="1" x14ac:dyDescent="0.15">
      <c r="B410" s="2"/>
      <c r="C410" s="4"/>
      <c r="D410" s="4"/>
      <c r="E410" s="4"/>
      <c r="I410" s="135"/>
      <c r="J410" s="135"/>
      <c r="K410" s="135"/>
      <c r="L410" s="135"/>
    </row>
    <row r="411" spans="2:12" ht="12" customHeight="1" x14ac:dyDescent="0.15">
      <c r="B411" s="2"/>
      <c r="C411" s="4"/>
      <c r="D411" s="4"/>
      <c r="E411" s="4"/>
      <c r="I411" s="135"/>
      <c r="J411" s="135"/>
      <c r="K411" s="135"/>
      <c r="L411" s="135"/>
    </row>
    <row r="412" spans="2:12" ht="12" customHeight="1" x14ac:dyDescent="0.15">
      <c r="B412" s="2"/>
      <c r="C412" s="4"/>
      <c r="D412" s="4"/>
      <c r="E412" s="4"/>
      <c r="I412" s="135"/>
      <c r="J412" s="135"/>
      <c r="K412" s="135"/>
      <c r="L412" s="135"/>
    </row>
    <row r="413" spans="2:12" ht="12" customHeight="1" x14ac:dyDescent="0.15">
      <c r="B413" s="2"/>
      <c r="C413" s="4"/>
      <c r="D413" s="4"/>
      <c r="E413" s="4"/>
      <c r="I413" s="135"/>
      <c r="J413" s="135"/>
      <c r="K413" s="135"/>
      <c r="L413" s="135"/>
    </row>
    <row r="414" spans="2:12" ht="12" customHeight="1" x14ac:dyDescent="0.15">
      <c r="B414" s="2"/>
      <c r="C414" s="4"/>
      <c r="D414" s="4"/>
      <c r="E414" s="4"/>
      <c r="I414" s="135"/>
      <c r="J414" s="135"/>
      <c r="K414" s="135"/>
      <c r="L414" s="135"/>
    </row>
    <row r="415" spans="2:12" ht="12" customHeight="1" x14ac:dyDescent="0.15">
      <c r="B415" s="2"/>
      <c r="C415" s="4"/>
      <c r="D415" s="4"/>
      <c r="E415" s="4"/>
      <c r="I415" s="135"/>
      <c r="J415" s="135"/>
      <c r="K415" s="135"/>
      <c r="L415" s="135"/>
    </row>
    <row r="416" spans="2:12" ht="12" customHeight="1" x14ac:dyDescent="0.15">
      <c r="B416" s="2"/>
      <c r="C416" s="4"/>
      <c r="D416" s="4"/>
      <c r="E416" s="4"/>
      <c r="I416" s="135"/>
      <c r="J416" s="135"/>
      <c r="K416" s="135"/>
      <c r="L416" s="135"/>
    </row>
    <row r="417" spans="2:12" ht="12" customHeight="1" x14ac:dyDescent="0.15">
      <c r="B417" s="2"/>
      <c r="C417" s="4"/>
      <c r="D417" s="4"/>
      <c r="E417" s="4"/>
      <c r="I417" s="135"/>
      <c r="J417" s="135"/>
      <c r="K417" s="135"/>
      <c r="L417" s="135"/>
    </row>
    <row r="418" spans="2:12" ht="12" customHeight="1" x14ac:dyDescent="0.15">
      <c r="B418" s="2"/>
      <c r="C418" s="4"/>
      <c r="D418" s="4"/>
      <c r="E418" s="4"/>
      <c r="I418" s="135"/>
      <c r="J418" s="135"/>
      <c r="K418" s="135"/>
      <c r="L418" s="135"/>
    </row>
    <row r="419" spans="2:12" ht="12" customHeight="1" x14ac:dyDescent="0.15">
      <c r="B419" s="2"/>
      <c r="C419" s="4"/>
      <c r="D419" s="4"/>
      <c r="E419" s="4"/>
      <c r="I419" s="135"/>
      <c r="J419" s="135"/>
      <c r="K419" s="135"/>
      <c r="L419" s="135"/>
    </row>
    <row r="420" spans="2:12" ht="12" customHeight="1" x14ac:dyDescent="0.15">
      <c r="B420" s="2"/>
      <c r="C420" s="4"/>
      <c r="D420" s="4"/>
      <c r="E420" s="4"/>
      <c r="I420" s="135"/>
      <c r="J420" s="135"/>
      <c r="K420" s="135"/>
      <c r="L420" s="135"/>
    </row>
    <row r="421" spans="2:12" ht="12" customHeight="1" x14ac:dyDescent="0.15">
      <c r="B421" s="2"/>
      <c r="C421" s="4"/>
      <c r="D421" s="4"/>
      <c r="E421" s="4"/>
      <c r="I421" s="135"/>
      <c r="J421" s="135"/>
      <c r="K421" s="135"/>
      <c r="L421" s="135"/>
    </row>
    <row r="422" spans="2:12" ht="12" customHeight="1" x14ac:dyDescent="0.15">
      <c r="B422" s="2"/>
      <c r="C422" s="4"/>
      <c r="D422" s="4"/>
      <c r="E422" s="4"/>
      <c r="I422" s="135"/>
      <c r="J422" s="135"/>
      <c r="K422" s="135"/>
      <c r="L422" s="135"/>
    </row>
    <row r="423" spans="2:12" ht="12" customHeight="1" x14ac:dyDescent="0.15">
      <c r="B423" s="2"/>
      <c r="C423" s="4"/>
      <c r="D423" s="4"/>
      <c r="E423" s="4"/>
      <c r="I423" s="135"/>
      <c r="J423" s="135"/>
      <c r="K423" s="135"/>
      <c r="L423" s="135"/>
    </row>
    <row r="424" spans="2:12" ht="12" customHeight="1" x14ac:dyDescent="0.15">
      <c r="B424" s="2"/>
      <c r="C424" s="4"/>
      <c r="D424" s="4"/>
      <c r="E424" s="4"/>
      <c r="I424" s="135"/>
      <c r="J424" s="135"/>
      <c r="K424" s="135"/>
      <c r="L424" s="135"/>
    </row>
    <row r="425" spans="2:12" ht="12" customHeight="1" x14ac:dyDescent="0.15">
      <c r="B425" s="2"/>
      <c r="C425" s="4"/>
      <c r="D425" s="4"/>
      <c r="E425" s="4"/>
      <c r="I425" s="135"/>
      <c r="J425" s="135"/>
      <c r="K425" s="135"/>
      <c r="L425" s="135"/>
    </row>
    <row r="426" spans="2:12" ht="12" customHeight="1" x14ac:dyDescent="0.15">
      <c r="B426" s="2"/>
      <c r="C426" s="4"/>
      <c r="D426" s="4"/>
      <c r="E426" s="4"/>
      <c r="I426" s="135"/>
      <c r="J426" s="135"/>
      <c r="K426" s="135"/>
      <c r="L426" s="135"/>
    </row>
    <row r="427" spans="2:12" ht="12" customHeight="1" x14ac:dyDescent="0.15">
      <c r="B427" s="2"/>
      <c r="C427" s="4"/>
      <c r="D427" s="4"/>
      <c r="E427" s="4"/>
      <c r="I427" s="135"/>
      <c r="J427" s="135"/>
      <c r="K427" s="135"/>
      <c r="L427" s="135"/>
    </row>
    <row r="428" spans="2:12" ht="12" customHeight="1" x14ac:dyDescent="0.15">
      <c r="B428" s="2"/>
      <c r="C428" s="4"/>
      <c r="D428" s="4"/>
      <c r="E428" s="4"/>
      <c r="I428" s="135"/>
      <c r="J428" s="135"/>
      <c r="K428" s="135"/>
      <c r="L428" s="135"/>
    </row>
    <row r="429" spans="2:12" ht="12" customHeight="1" x14ac:dyDescent="0.15">
      <c r="B429" s="2"/>
      <c r="C429" s="4"/>
      <c r="D429" s="4"/>
      <c r="E429" s="4"/>
      <c r="I429" s="135"/>
      <c r="J429" s="135"/>
      <c r="K429" s="135"/>
      <c r="L429" s="135"/>
    </row>
    <row r="430" spans="2:12" ht="12" customHeight="1" x14ac:dyDescent="0.15">
      <c r="B430" s="2"/>
      <c r="C430" s="4"/>
      <c r="D430" s="4"/>
      <c r="E430" s="4"/>
      <c r="I430" s="135"/>
      <c r="J430" s="135"/>
      <c r="K430" s="135"/>
      <c r="L430" s="135"/>
    </row>
    <row r="431" spans="2:12" ht="12" customHeight="1" x14ac:dyDescent="0.15">
      <c r="B431" s="2"/>
      <c r="C431" s="4"/>
      <c r="D431" s="4"/>
      <c r="E431" s="4"/>
      <c r="I431" s="135"/>
      <c r="J431" s="135"/>
      <c r="K431" s="135"/>
      <c r="L431" s="135"/>
    </row>
    <row r="432" spans="2:12" ht="12" customHeight="1" x14ac:dyDescent="0.15">
      <c r="B432" s="2"/>
      <c r="C432" s="4"/>
      <c r="D432" s="4"/>
      <c r="E432" s="4"/>
      <c r="I432" s="135"/>
      <c r="J432" s="135"/>
      <c r="K432" s="135"/>
      <c r="L432" s="135"/>
    </row>
    <row r="433" spans="2:12" ht="12" customHeight="1" x14ac:dyDescent="0.15">
      <c r="B433" s="2"/>
      <c r="C433" s="4"/>
      <c r="D433" s="4"/>
      <c r="E433" s="4"/>
      <c r="I433" s="135"/>
      <c r="J433" s="135"/>
      <c r="K433" s="135"/>
      <c r="L433" s="135"/>
    </row>
    <row r="434" spans="2:12" ht="12" customHeight="1" x14ac:dyDescent="0.15">
      <c r="B434" s="2"/>
      <c r="C434" s="4"/>
      <c r="D434" s="4"/>
      <c r="E434" s="4"/>
      <c r="I434" s="135"/>
      <c r="J434" s="135"/>
      <c r="K434" s="135"/>
      <c r="L434" s="135"/>
    </row>
    <row r="435" spans="2:12" ht="12" customHeight="1" x14ac:dyDescent="0.15">
      <c r="B435" s="2"/>
      <c r="C435" s="4"/>
      <c r="D435" s="4"/>
      <c r="E435" s="4"/>
      <c r="I435" s="135"/>
      <c r="J435" s="135"/>
      <c r="K435" s="135"/>
      <c r="L435" s="135"/>
    </row>
    <row r="436" spans="2:12" ht="12" customHeight="1" x14ac:dyDescent="0.15">
      <c r="B436" s="2"/>
      <c r="C436" s="4"/>
      <c r="D436" s="4"/>
      <c r="E436" s="4"/>
      <c r="I436" s="135"/>
      <c r="J436" s="135"/>
      <c r="K436" s="135"/>
      <c r="L436" s="135"/>
    </row>
    <row r="437" spans="2:12" ht="12" customHeight="1" x14ac:dyDescent="0.15">
      <c r="B437" s="2"/>
      <c r="C437" s="4"/>
      <c r="D437" s="4"/>
      <c r="E437" s="4"/>
      <c r="I437" s="135"/>
      <c r="J437" s="135"/>
      <c r="K437" s="135"/>
      <c r="L437" s="135"/>
    </row>
    <row r="438" spans="2:12" ht="12" customHeight="1" x14ac:dyDescent="0.15">
      <c r="B438" s="2"/>
      <c r="C438" s="4"/>
      <c r="D438" s="4"/>
      <c r="E438" s="4"/>
      <c r="I438" s="135"/>
      <c r="J438" s="135"/>
      <c r="K438" s="135"/>
      <c r="L438" s="135"/>
    </row>
    <row r="439" spans="2:12" ht="12" customHeight="1" x14ac:dyDescent="0.15">
      <c r="B439" s="2"/>
      <c r="C439" s="4"/>
      <c r="D439" s="4"/>
      <c r="E439" s="4"/>
      <c r="I439" s="135"/>
      <c r="J439" s="135"/>
      <c r="K439" s="135"/>
      <c r="L439" s="135"/>
    </row>
    <row r="440" spans="2:12" ht="12" customHeight="1" x14ac:dyDescent="0.15">
      <c r="B440" s="2"/>
      <c r="C440" s="4"/>
      <c r="D440" s="4"/>
      <c r="E440" s="4"/>
      <c r="I440" s="135"/>
      <c r="J440" s="135"/>
      <c r="K440" s="135"/>
      <c r="L440" s="135"/>
    </row>
    <row r="441" spans="2:12" ht="12" customHeight="1" x14ac:dyDescent="0.15">
      <c r="B441" s="2"/>
      <c r="C441" s="4"/>
      <c r="D441" s="4"/>
      <c r="E441" s="4"/>
      <c r="I441" s="135"/>
      <c r="J441" s="135"/>
      <c r="K441" s="135"/>
      <c r="L441" s="135"/>
    </row>
    <row r="442" spans="2:12" ht="12" customHeight="1" x14ac:dyDescent="0.15">
      <c r="B442" s="2"/>
      <c r="C442" s="4"/>
      <c r="D442" s="4"/>
      <c r="E442" s="4"/>
      <c r="I442" s="135"/>
      <c r="J442" s="135"/>
      <c r="K442" s="135"/>
      <c r="L442" s="135"/>
    </row>
    <row r="443" spans="2:12" ht="12" customHeight="1" x14ac:dyDescent="0.15">
      <c r="B443" s="2"/>
      <c r="C443" s="4"/>
      <c r="D443" s="4"/>
      <c r="E443" s="4"/>
      <c r="I443" s="135"/>
      <c r="J443" s="135"/>
      <c r="K443" s="135"/>
      <c r="L443" s="135"/>
    </row>
    <row r="444" spans="2:12" ht="12" customHeight="1" x14ac:dyDescent="0.15">
      <c r="B444" s="2"/>
      <c r="C444" s="4"/>
      <c r="D444" s="4"/>
      <c r="E444" s="4"/>
      <c r="I444" s="135"/>
      <c r="J444" s="135"/>
      <c r="K444" s="135"/>
      <c r="L444" s="135"/>
    </row>
    <row r="445" spans="2:12" ht="12" customHeight="1" x14ac:dyDescent="0.15">
      <c r="B445" s="2"/>
      <c r="C445" s="4"/>
      <c r="D445" s="4"/>
      <c r="E445" s="4"/>
      <c r="I445" s="135"/>
      <c r="J445" s="135"/>
      <c r="K445" s="135"/>
      <c r="L445" s="135"/>
    </row>
    <row r="446" spans="2:12" ht="12" customHeight="1" x14ac:dyDescent="0.15">
      <c r="B446" s="2"/>
      <c r="C446" s="4"/>
      <c r="D446" s="4"/>
      <c r="E446" s="4"/>
      <c r="I446" s="135"/>
      <c r="J446" s="135"/>
      <c r="K446" s="135"/>
      <c r="L446" s="135"/>
    </row>
    <row r="447" spans="2:12" ht="12" customHeight="1" x14ac:dyDescent="0.15">
      <c r="B447" s="2"/>
      <c r="C447" s="4"/>
      <c r="D447" s="4"/>
      <c r="E447" s="4"/>
      <c r="I447" s="135"/>
      <c r="J447" s="135"/>
      <c r="K447" s="135"/>
      <c r="L447" s="135"/>
    </row>
    <row r="448" spans="2:12" ht="12" customHeight="1" x14ac:dyDescent="0.15">
      <c r="B448" s="2"/>
      <c r="C448" s="4"/>
      <c r="D448" s="4"/>
      <c r="E448" s="4"/>
      <c r="I448" s="135"/>
      <c r="J448" s="135"/>
      <c r="K448" s="135"/>
      <c r="L448" s="135"/>
    </row>
    <row r="449" spans="2:12" ht="12" customHeight="1" x14ac:dyDescent="0.15">
      <c r="B449" s="2"/>
      <c r="C449" s="4"/>
      <c r="D449" s="4"/>
      <c r="E449" s="4"/>
      <c r="I449" s="135"/>
      <c r="J449" s="135"/>
      <c r="K449" s="135"/>
      <c r="L449" s="135"/>
    </row>
    <row r="450" spans="2:12" ht="12" customHeight="1" x14ac:dyDescent="0.15">
      <c r="B450" s="2"/>
      <c r="C450" s="4"/>
      <c r="D450" s="4"/>
      <c r="E450" s="4"/>
      <c r="I450" s="135"/>
      <c r="J450" s="135"/>
      <c r="K450" s="135"/>
      <c r="L450" s="135"/>
    </row>
    <row r="451" spans="2:12" ht="12" customHeight="1" x14ac:dyDescent="0.15">
      <c r="B451" s="2"/>
      <c r="C451" s="4"/>
      <c r="D451" s="4"/>
      <c r="E451" s="4"/>
      <c r="I451" s="135"/>
      <c r="J451" s="135"/>
      <c r="K451" s="135"/>
      <c r="L451" s="135"/>
    </row>
    <row r="452" spans="2:12" ht="12" customHeight="1" x14ac:dyDescent="0.15">
      <c r="B452" s="2"/>
      <c r="C452" s="4"/>
      <c r="D452" s="4"/>
      <c r="E452" s="4"/>
      <c r="I452" s="135"/>
      <c r="J452" s="135"/>
      <c r="K452" s="135"/>
      <c r="L452" s="135"/>
    </row>
    <row r="453" spans="2:12" ht="12" customHeight="1" x14ac:dyDescent="0.15">
      <c r="B453" s="2"/>
      <c r="C453" s="4"/>
      <c r="D453" s="4"/>
      <c r="E453" s="4"/>
      <c r="I453" s="135"/>
      <c r="J453" s="135"/>
      <c r="K453" s="135"/>
      <c r="L453" s="135"/>
    </row>
    <row r="454" spans="2:12" ht="12" customHeight="1" x14ac:dyDescent="0.15">
      <c r="B454" s="2"/>
      <c r="C454" s="4"/>
      <c r="D454" s="4"/>
      <c r="E454" s="4"/>
      <c r="I454" s="135"/>
      <c r="J454" s="135"/>
      <c r="K454" s="135"/>
      <c r="L454" s="135"/>
    </row>
    <row r="455" spans="2:12" ht="12" customHeight="1" x14ac:dyDescent="0.15">
      <c r="B455" s="2"/>
      <c r="C455" s="4"/>
      <c r="D455" s="4"/>
      <c r="E455" s="4"/>
      <c r="I455" s="135"/>
      <c r="J455" s="135"/>
      <c r="K455" s="135"/>
      <c r="L455" s="135"/>
    </row>
    <row r="456" spans="2:12" ht="12" customHeight="1" x14ac:dyDescent="0.15">
      <c r="B456" s="2"/>
      <c r="C456" s="4"/>
      <c r="D456" s="4"/>
      <c r="E456" s="4"/>
      <c r="I456" s="135"/>
      <c r="J456" s="135"/>
      <c r="K456" s="135"/>
      <c r="L456" s="135"/>
    </row>
    <row r="457" spans="2:12" ht="12" customHeight="1" x14ac:dyDescent="0.15">
      <c r="B457" s="2"/>
      <c r="C457" s="4"/>
      <c r="D457" s="4"/>
      <c r="E457" s="4"/>
      <c r="I457" s="135"/>
      <c r="J457" s="135"/>
      <c r="K457" s="135"/>
      <c r="L457" s="135"/>
    </row>
    <row r="458" spans="2:12" ht="12" customHeight="1" x14ac:dyDescent="0.15">
      <c r="B458" s="2"/>
      <c r="C458" s="4"/>
      <c r="D458" s="4"/>
      <c r="E458" s="4"/>
      <c r="I458" s="135"/>
      <c r="J458" s="135"/>
      <c r="K458" s="135"/>
      <c r="L458" s="135"/>
    </row>
    <row r="459" spans="2:12" ht="12" customHeight="1" x14ac:dyDescent="0.15">
      <c r="B459" s="2"/>
      <c r="C459" s="4"/>
      <c r="D459" s="4"/>
      <c r="E459" s="4"/>
      <c r="I459" s="135"/>
      <c r="J459" s="135"/>
      <c r="K459" s="135"/>
      <c r="L459" s="135"/>
    </row>
    <row r="460" spans="2:12" ht="12" customHeight="1" x14ac:dyDescent="0.15">
      <c r="B460" s="2"/>
      <c r="C460" s="4"/>
      <c r="D460" s="4"/>
      <c r="E460" s="4"/>
      <c r="I460" s="135"/>
      <c r="J460" s="135"/>
      <c r="K460" s="135"/>
      <c r="L460" s="135"/>
    </row>
    <row r="461" spans="2:12" ht="12" customHeight="1" x14ac:dyDescent="0.15">
      <c r="B461" s="2"/>
      <c r="C461" s="4"/>
      <c r="D461" s="4"/>
      <c r="E461" s="4"/>
      <c r="I461" s="135"/>
      <c r="J461" s="135"/>
      <c r="K461" s="135"/>
      <c r="L461" s="135"/>
    </row>
    <row r="462" spans="2:12" ht="12" customHeight="1" x14ac:dyDescent="0.15">
      <c r="B462" s="2"/>
      <c r="C462" s="4"/>
      <c r="D462" s="4"/>
      <c r="E462" s="4"/>
      <c r="I462" s="135"/>
      <c r="J462" s="135"/>
      <c r="K462" s="135"/>
      <c r="L462" s="135"/>
    </row>
    <row r="463" spans="2:12" ht="12" customHeight="1" x14ac:dyDescent="0.15">
      <c r="B463" s="2"/>
      <c r="C463" s="4"/>
      <c r="D463" s="4"/>
      <c r="E463" s="4"/>
      <c r="I463" s="135"/>
      <c r="J463" s="135"/>
      <c r="K463" s="135"/>
      <c r="L463" s="135"/>
    </row>
    <row r="464" spans="2:12" ht="12" customHeight="1" x14ac:dyDescent="0.15">
      <c r="B464" s="2"/>
      <c r="C464" s="4"/>
      <c r="D464" s="4"/>
      <c r="E464" s="4"/>
      <c r="I464" s="135"/>
      <c r="J464" s="135"/>
      <c r="K464" s="135"/>
      <c r="L464" s="135"/>
    </row>
    <row r="465" spans="2:12" ht="12" customHeight="1" x14ac:dyDescent="0.15">
      <c r="B465" s="2"/>
      <c r="C465" s="4"/>
      <c r="D465" s="4"/>
      <c r="E465" s="4"/>
      <c r="I465" s="135"/>
      <c r="J465" s="135"/>
      <c r="K465" s="135"/>
      <c r="L465" s="135"/>
    </row>
    <row r="466" spans="2:12" ht="12" customHeight="1" x14ac:dyDescent="0.15">
      <c r="B466" s="2"/>
      <c r="C466" s="4"/>
      <c r="D466" s="4"/>
      <c r="E466" s="4"/>
      <c r="I466" s="135"/>
      <c r="J466" s="135"/>
      <c r="K466" s="135"/>
      <c r="L466" s="135"/>
    </row>
    <row r="467" spans="2:12" ht="12" customHeight="1" x14ac:dyDescent="0.15">
      <c r="B467" s="2"/>
      <c r="C467" s="4"/>
      <c r="D467" s="4"/>
      <c r="E467" s="4"/>
      <c r="I467" s="135"/>
      <c r="J467" s="135"/>
      <c r="K467" s="135"/>
      <c r="L467" s="135"/>
    </row>
    <row r="468" spans="2:12" ht="12" customHeight="1" x14ac:dyDescent="0.15">
      <c r="B468" s="2"/>
      <c r="C468" s="4"/>
      <c r="D468" s="4"/>
      <c r="E468" s="4"/>
      <c r="I468" s="135"/>
      <c r="J468" s="135"/>
      <c r="K468" s="135"/>
      <c r="L468" s="135"/>
    </row>
    <row r="469" spans="2:12" ht="12" customHeight="1" x14ac:dyDescent="0.15">
      <c r="B469" s="2"/>
      <c r="C469" s="4"/>
      <c r="D469" s="4"/>
      <c r="E469" s="4"/>
      <c r="I469" s="135"/>
      <c r="J469" s="135"/>
      <c r="K469" s="135"/>
      <c r="L469" s="135"/>
    </row>
    <row r="470" spans="2:12" ht="12" customHeight="1" x14ac:dyDescent="0.15">
      <c r="B470" s="2"/>
      <c r="C470" s="4"/>
      <c r="D470" s="4"/>
      <c r="E470" s="4"/>
      <c r="I470" s="135"/>
      <c r="J470" s="135"/>
      <c r="K470" s="135"/>
      <c r="L470" s="135"/>
    </row>
    <row r="471" spans="2:12" ht="12" customHeight="1" x14ac:dyDescent="0.15">
      <c r="B471" s="2"/>
      <c r="C471" s="4"/>
      <c r="D471" s="4"/>
      <c r="E471" s="4"/>
      <c r="I471" s="135"/>
      <c r="J471" s="135"/>
      <c r="K471" s="135"/>
      <c r="L471" s="135"/>
    </row>
    <row r="472" spans="2:12" ht="12" customHeight="1" x14ac:dyDescent="0.15">
      <c r="B472" s="2"/>
      <c r="C472" s="4"/>
      <c r="D472" s="4"/>
      <c r="E472" s="4"/>
      <c r="I472" s="135"/>
      <c r="J472" s="135"/>
      <c r="K472" s="135"/>
      <c r="L472" s="135"/>
    </row>
    <row r="473" spans="2:12" ht="12" customHeight="1" x14ac:dyDescent="0.15">
      <c r="B473" s="2"/>
      <c r="C473" s="4"/>
      <c r="D473" s="4"/>
      <c r="E473" s="4"/>
      <c r="I473" s="135"/>
      <c r="J473" s="135"/>
      <c r="K473" s="135"/>
      <c r="L473" s="135"/>
    </row>
    <row r="474" spans="2:12" ht="12" customHeight="1" x14ac:dyDescent="0.15">
      <c r="B474" s="2"/>
      <c r="C474" s="4"/>
      <c r="D474" s="4"/>
      <c r="E474" s="4"/>
      <c r="I474" s="135"/>
      <c r="J474" s="135"/>
      <c r="K474" s="135"/>
      <c r="L474" s="135"/>
    </row>
    <row r="475" spans="2:12" ht="12" customHeight="1" x14ac:dyDescent="0.15">
      <c r="B475" s="2"/>
      <c r="C475" s="4"/>
      <c r="D475" s="4"/>
      <c r="E475" s="4"/>
      <c r="I475" s="135"/>
      <c r="J475" s="135"/>
      <c r="K475" s="135"/>
      <c r="L475" s="135"/>
    </row>
    <row r="476" spans="2:12" ht="12" customHeight="1" x14ac:dyDescent="0.15">
      <c r="B476" s="2"/>
      <c r="C476" s="4"/>
      <c r="D476" s="4"/>
      <c r="E476" s="4"/>
      <c r="I476" s="135"/>
      <c r="J476" s="135"/>
      <c r="K476" s="135"/>
      <c r="L476" s="135"/>
    </row>
    <row r="477" spans="2:12" ht="12" customHeight="1" x14ac:dyDescent="0.15">
      <c r="B477" s="2"/>
      <c r="C477" s="4"/>
      <c r="D477" s="4"/>
      <c r="E477" s="4"/>
      <c r="I477" s="135"/>
      <c r="J477" s="135"/>
      <c r="K477" s="135"/>
      <c r="L477" s="135"/>
    </row>
    <row r="478" spans="2:12" ht="12" customHeight="1" x14ac:dyDescent="0.15">
      <c r="B478" s="2"/>
      <c r="C478" s="4"/>
      <c r="D478" s="4"/>
      <c r="E478" s="4"/>
      <c r="I478" s="135"/>
      <c r="J478" s="135"/>
      <c r="K478" s="135"/>
      <c r="L478" s="135"/>
    </row>
    <row r="479" spans="2:12" ht="12" customHeight="1" x14ac:dyDescent="0.15">
      <c r="B479" s="2"/>
      <c r="C479" s="4"/>
      <c r="D479" s="4"/>
      <c r="E479" s="4"/>
      <c r="I479" s="135"/>
      <c r="J479" s="135"/>
      <c r="K479" s="135"/>
      <c r="L479" s="135"/>
    </row>
    <row r="480" spans="2:12" ht="12" customHeight="1" x14ac:dyDescent="0.15">
      <c r="B480" s="2"/>
      <c r="C480" s="4"/>
      <c r="D480" s="4"/>
      <c r="E480" s="4"/>
      <c r="I480" s="135"/>
      <c r="J480" s="135"/>
      <c r="K480" s="135"/>
      <c r="L480" s="135"/>
    </row>
    <row r="481" spans="2:12" ht="12" customHeight="1" x14ac:dyDescent="0.15">
      <c r="B481" s="2"/>
      <c r="C481" s="4"/>
      <c r="D481" s="4"/>
      <c r="E481" s="4"/>
      <c r="I481" s="135"/>
      <c r="J481" s="135"/>
      <c r="K481" s="135"/>
      <c r="L481" s="135"/>
    </row>
    <row r="482" spans="2:12" ht="12" customHeight="1" x14ac:dyDescent="0.15">
      <c r="B482" s="2"/>
      <c r="C482" s="4"/>
      <c r="D482" s="4"/>
      <c r="E482" s="4"/>
      <c r="I482" s="135"/>
      <c r="J482" s="135"/>
      <c r="K482" s="135"/>
      <c r="L482" s="135"/>
    </row>
    <row r="483" spans="2:12" ht="12" customHeight="1" x14ac:dyDescent="0.15">
      <c r="B483" s="2"/>
      <c r="C483" s="4"/>
      <c r="D483" s="4"/>
      <c r="E483" s="4"/>
      <c r="I483" s="135"/>
      <c r="J483" s="135"/>
      <c r="K483" s="135"/>
      <c r="L483" s="135"/>
    </row>
    <row r="484" spans="2:12" ht="12" customHeight="1" x14ac:dyDescent="0.15">
      <c r="B484" s="2"/>
      <c r="C484" s="4"/>
      <c r="D484" s="4"/>
      <c r="E484" s="4"/>
      <c r="I484" s="135"/>
      <c r="J484" s="135"/>
      <c r="K484" s="135"/>
      <c r="L484" s="135"/>
    </row>
    <row r="485" spans="2:12" ht="12" customHeight="1" x14ac:dyDescent="0.15">
      <c r="B485" s="2"/>
      <c r="C485" s="4"/>
      <c r="D485" s="4"/>
      <c r="E485" s="4"/>
      <c r="I485" s="135"/>
      <c r="J485" s="135"/>
      <c r="K485" s="135"/>
      <c r="L485" s="135"/>
    </row>
    <row r="486" spans="2:12" ht="12" customHeight="1" x14ac:dyDescent="0.15">
      <c r="B486" s="2"/>
      <c r="C486" s="4"/>
      <c r="D486" s="4"/>
      <c r="E486" s="4"/>
      <c r="I486" s="135"/>
      <c r="J486" s="135"/>
      <c r="K486" s="135"/>
      <c r="L486" s="135"/>
    </row>
    <row r="487" spans="2:12" ht="12" customHeight="1" x14ac:dyDescent="0.15">
      <c r="B487" s="2"/>
      <c r="C487" s="4"/>
      <c r="D487" s="4"/>
      <c r="E487" s="4"/>
      <c r="I487" s="135"/>
      <c r="J487" s="135"/>
      <c r="K487" s="135"/>
      <c r="L487" s="135"/>
    </row>
    <row r="488" spans="2:12" ht="12" customHeight="1" x14ac:dyDescent="0.15">
      <c r="B488" s="2"/>
      <c r="C488" s="4"/>
      <c r="D488" s="4"/>
      <c r="E488" s="4"/>
      <c r="I488" s="135"/>
      <c r="J488" s="135"/>
      <c r="K488" s="135"/>
      <c r="L488" s="135"/>
    </row>
    <row r="489" spans="2:12" ht="12" customHeight="1" x14ac:dyDescent="0.15">
      <c r="B489" s="2"/>
      <c r="C489" s="4"/>
      <c r="D489" s="4"/>
      <c r="E489" s="4"/>
      <c r="I489" s="135"/>
      <c r="J489" s="135"/>
      <c r="K489" s="135"/>
      <c r="L489" s="135"/>
    </row>
    <row r="490" spans="2:12" ht="12" customHeight="1" x14ac:dyDescent="0.15">
      <c r="B490" s="2"/>
      <c r="C490" s="4"/>
      <c r="D490" s="4"/>
      <c r="E490" s="4"/>
      <c r="I490" s="135"/>
      <c r="J490" s="135"/>
      <c r="K490" s="135"/>
      <c r="L490" s="135"/>
    </row>
    <row r="491" spans="2:12" ht="12" customHeight="1" x14ac:dyDescent="0.15">
      <c r="B491" s="2"/>
      <c r="C491" s="4"/>
      <c r="D491" s="4"/>
      <c r="E491" s="4"/>
      <c r="I491" s="135"/>
      <c r="J491" s="135"/>
      <c r="K491" s="135"/>
      <c r="L491" s="135"/>
    </row>
    <row r="492" spans="2:12" ht="12" customHeight="1" x14ac:dyDescent="0.15">
      <c r="B492" s="2"/>
      <c r="C492" s="4"/>
      <c r="D492" s="4"/>
      <c r="E492" s="4"/>
      <c r="I492" s="135"/>
      <c r="J492" s="135"/>
      <c r="K492" s="135"/>
      <c r="L492" s="135"/>
    </row>
    <row r="493" spans="2:12" ht="12" customHeight="1" x14ac:dyDescent="0.15">
      <c r="B493" s="2"/>
      <c r="C493" s="4"/>
      <c r="D493" s="4"/>
      <c r="E493" s="4"/>
      <c r="I493" s="135"/>
      <c r="J493" s="135"/>
      <c r="K493" s="135"/>
      <c r="L493" s="135"/>
    </row>
    <row r="494" spans="2:12" ht="12" customHeight="1" x14ac:dyDescent="0.15">
      <c r="B494" s="2"/>
      <c r="C494" s="4"/>
      <c r="D494" s="4"/>
      <c r="E494" s="4"/>
      <c r="I494" s="135"/>
      <c r="J494" s="135"/>
      <c r="K494" s="135"/>
      <c r="L494" s="135"/>
    </row>
    <row r="495" spans="2:12" ht="12" customHeight="1" x14ac:dyDescent="0.15">
      <c r="B495" s="2"/>
      <c r="C495" s="4"/>
      <c r="D495" s="4"/>
      <c r="E495" s="4"/>
      <c r="I495" s="135"/>
      <c r="J495" s="135"/>
      <c r="K495" s="135"/>
      <c r="L495" s="135"/>
    </row>
    <row r="496" spans="2:12" ht="12" customHeight="1" x14ac:dyDescent="0.15">
      <c r="B496" s="2"/>
      <c r="C496" s="4"/>
      <c r="D496" s="4"/>
      <c r="E496" s="4"/>
      <c r="I496" s="135"/>
      <c r="J496" s="135"/>
      <c r="K496" s="135"/>
      <c r="L496" s="135"/>
    </row>
    <row r="497" spans="2:12" ht="12" customHeight="1" x14ac:dyDescent="0.15">
      <c r="B497" s="2"/>
      <c r="C497" s="4"/>
      <c r="D497" s="4"/>
      <c r="E497" s="4"/>
      <c r="I497" s="135"/>
      <c r="J497" s="135"/>
      <c r="K497" s="135"/>
      <c r="L497" s="135"/>
    </row>
    <row r="498" spans="2:12" ht="12" customHeight="1" x14ac:dyDescent="0.15">
      <c r="B498" s="2"/>
      <c r="C498" s="4"/>
      <c r="D498" s="4"/>
      <c r="E498" s="4"/>
      <c r="I498" s="135"/>
      <c r="J498" s="135"/>
      <c r="K498" s="135"/>
      <c r="L498" s="135"/>
    </row>
    <row r="499" spans="2:12" ht="12" customHeight="1" x14ac:dyDescent="0.15">
      <c r="B499" s="2"/>
      <c r="C499" s="4"/>
      <c r="D499" s="4"/>
      <c r="E499" s="4"/>
      <c r="I499" s="135"/>
      <c r="J499" s="135"/>
      <c r="K499" s="135"/>
      <c r="L499" s="135"/>
    </row>
    <row r="500" spans="2:12" ht="12" customHeight="1" x14ac:dyDescent="0.15">
      <c r="B500" s="2"/>
      <c r="C500" s="4"/>
      <c r="D500" s="4"/>
      <c r="E500" s="4"/>
      <c r="I500" s="135"/>
      <c r="J500" s="135"/>
      <c r="K500" s="135"/>
      <c r="L500" s="135"/>
    </row>
    <row r="501" spans="2:12" ht="12" customHeight="1" x14ac:dyDescent="0.15">
      <c r="B501" s="2"/>
      <c r="C501" s="4"/>
      <c r="D501" s="4"/>
      <c r="E501" s="4"/>
      <c r="I501" s="135"/>
      <c r="J501" s="135"/>
      <c r="K501" s="135"/>
      <c r="L501" s="135"/>
    </row>
    <row r="502" spans="2:12" ht="12" customHeight="1" x14ac:dyDescent="0.15">
      <c r="B502" s="2"/>
      <c r="C502" s="4"/>
      <c r="D502" s="4"/>
      <c r="E502" s="4"/>
      <c r="I502" s="135"/>
      <c r="J502" s="135"/>
      <c r="K502" s="135"/>
      <c r="L502" s="135"/>
    </row>
    <row r="503" spans="2:12" ht="12" customHeight="1" x14ac:dyDescent="0.15">
      <c r="B503" s="2"/>
      <c r="C503" s="4"/>
      <c r="D503" s="4"/>
      <c r="E503" s="4"/>
      <c r="I503" s="135"/>
      <c r="J503" s="135"/>
      <c r="K503" s="135"/>
      <c r="L503" s="135"/>
    </row>
    <row r="504" spans="2:12" ht="12" customHeight="1" x14ac:dyDescent="0.15">
      <c r="B504" s="2"/>
      <c r="C504" s="4"/>
      <c r="D504" s="4"/>
      <c r="E504" s="4"/>
      <c r="I504" s="135"/>
      <c r="J504" s="135"/>
      <c r="K504" s="135"/>
      <c r="L504" s="135"/>
    </row>
    <row r="505" spans="2:12" ht="12" customHeight="1" x14ac:dyDescent="0.15">
      <c r="B505" s="2"/>
      <c r="C505" s="4"/>
      <c r="D505" s="4"/>
      <c r="E505" s="4"/>
      <c r="I505" s="135"/>
      <c r="J505" s="135"/>
      <c r="K505" s="135"/>
      <c r="L505" s="135"/>
    </row>
    <row r="506" spans="2:12" ht="12" customHeight="1" x14ac:dyDescent="0.15">
      <c r="B506" s="2"/>
      <c r="C506" s="4"/>
      <c r="D506" s="4"/>
      <c r="E506" s="4"/>
      <c r="I506" s="135"/>
      <c r="J506" s="135"/>
      <c r="K506" s="135"/>
      <c r="L506" s="135"/>
    </row>
    <row r="507" spans="2:12" ht="12" customHeight="1" x14ac:dyDescent="0.15">
      <c r="B507" s="2"/>
      <c r="C507" s="4"/>
      <c r="D507" s="4"/>
      <c r="E507" s="4"/>
      <c r="I507" s="135"/>
      <c r="J507" s="135"/>
      <c r="K507" s="135"/>
      <c r="L507" s="135"/>
    </row>
    <row r="508" spans="2:12" ht="12" customHeight="1" x14ac:dyDescent="0.15">
      <c r="B508" s="2"/>
      <c r="C508" s="4"/>
      <c r="D508" s="4"/>
      <c r="E508" s="4"/>
      <c r="I508" s="135"/>
      <c r="J508" s="135"/>
      <c r="K508" s="135"/>
      <c r="L508" s="135"/>
    </row>
    <row r="509" spans="2:12" ht="12" customHeight="1" x14ac:dyDescent="0.15">
      <c r="B509" s="2"/>
      <c r="C509" s="4"/>
      <c r="D509" s="4"/>
      <c r="E509" s="4"/>
      <c r="I509" s="135"/>
      <c r="J509" s="135"/>
      <c r="K509" s="135"/>
      <c r="L509" s="135"/>
    </row>
    <row r="510" spans="2:12" ht="12" customHeight="1" x14ac:dyDescent="0.15">
      <c r="B510" s="2"/>
      <c r="C510" s="4"/>
      <c r="D510" s="4"/>
      <c r="E510" s="4"/>
      <c r="I510" s="135"/>
      <c r="J510" s="135"/>
      <c r="K510" s="135"/>
      <c r="L510" s="135"/>
    </row>
    <row r="511" spans="2:12" ht="12" customHeight="1" x14ac:dyDescent="0.15">
      <c r="B511" s="2"/>
      <c r="C511" s="4"/>
      <c r="D511" s="4"/>
      <c r="E511" s="4"/>
      <c r="I511" s="135"/>
      <c r="J511" s="135"/>
      <c r="K511" s="135"/>
      <c r="L511" s="135"/>
    </row>
    <row r="512" spans="2:12" ht="12" customHeight="1" x14ac:dyDescent="0.15">
      <c r="B512" s="2"/>
      <c r="C512" s="4"/>
      <c r="D512" s="4"/>
      <c r="E512" s="4"/>
      <c r="I512" s="135"/>
      <c r="J512" s="135"/>
      <c r="K512" s="135"/>
      <c r="L512" s="135"/>
    </row>
    <row r="513" spans="2:12" ht="12" customHeight="1" x14ac:dyDescent="0.15">
      <c r="B513" s="2"/>
      <c r="C513" s="4"/>
      <c r="D513" s="4"/>
      <c r="E513" s="4"/>
      <c r="I513" s="135"/>
      <c r="J513" s="135"/>
      <c r="K513" s="135"/>
      <c r="L513" s="135"/>
    </row>
    <row r="514" spans="2:12" ht="12" customHeight="1" x14ac:dyDescent="0.15">
      <c r="B514" s="2"/>
      <c r="C514" s="4"/>
      <c r="D514" s="4"/>
      <c r="E514" s="4"/>
      <c r="I514" s="135"/>
      <c r="J514" s="135"/>
      <c r="K514" s="135"/>
      <c r="L514" s="135"/>
    </row>
    <row r="515" spans="2:12" ht="12" customHeight="1" x14ac:dyDescent="0.15">
      <c r="B515" s="2"/>
      <c r="C515" s="4"/>
      <c r="D515" s="4"/>
      <c r="E515" s="4"/>
      <c r="I515" s="135"/>
      <c r="J515" s="135"/>
      <c r="K515" s="135"/>
      <c r="L515" s="135"/>
    </row>
    <row r="516" spans="2:12" ht="12" customHeight="1" x14ac:dyDescent="0.15">
      <c r="B516" s="2"/>
      <c r="C516" s="4"/>
      <c r="D516" s="4"/>
      <c r="E516" s="4"/>
      <c r="I516" s="135"/>
      <c r="J516" s="135"/>
      <c r="K516" s="135"/>
      <c r="L516" s="135"/>
    </row>
    <row r="517" spans="2:12" ht="12" customHeight="1" x14ac:dyDescent="0.15">
      <c r="B517" s="2"/>
      <c r="C517" s="4"/>
      <c r="D517" s="4"/>
      <c r="E517" s="4"/>
      <c r="I517" s="135"/>
      <c r="J517" s="135"/>
      <c r="K517" s="135"/>
      <c r="L517" s="135"/>
    </row>
    <row r="518" spans="2:12" ht="12" customHeight="1" x14ac:dyDescent="0.15">
      <c r="B518" s="2"/>
      <c r="C518" s="4"/>
      <c r="D518" s="4"/>
      <c r="E518" s="4"/>
      <c r="I518" s="135"/>
      <c r="J518" s="135"/>
      <c r="K518" s="135"/>
      <c r="L518" s="135"/>
    </row>
    <row r="519" spans="2:12" ht="12" customHeight="1" x14ac:dyDescent="0.15">
      <c r="B519" s="2"/>
      <c r="C519" s="4"/>
      <c r="D519" s="4"/>
      <c r="E519" s="4"/>
      <c r="I519" s="135"/>
      <c r="J519" s="135"/>
      <c r="K519" s="135"/>
      <c r="L519" s="135"/>
    </row>
    <row r="520" spans="2:12" ht="12" customHeight="1" x14ac:dyDescent="0.15">
      <c r="B520" s="2"/>
      <c r="C520" s="4"/>
      <c r="D520" s="4"/>
      <c r="E520" s="4"/>
      <c r="I520" s="135"/>
      <c r="J520" s="135"/>
      <c r="K520" s="135"/>
      <c r="L520" s="135"/>
    </row>
    <row r="521" spans="2:12" ht="12" customHeight="1" x14ac:dyDescent="0.15">
      <c r="B521" s="2"/>
      <c r="C521" s="4"/>
      <c r="D521" s="4"/>
      <c r="E521" s="4"/>
      <c r="I521" s="135"/>
      <c r="J521" s="135"/>
      <c r="K521" s="135"/>
      <c r="L521" s="135"/>
    </row>
    <row r="522" spans="2:12" ht="12" customHeight="1" x14ac:dyDescent="0.15">
      <c r="B522" s="2"/>
      <c r="C522" s="4"/>
      <c r="D522" s="4"/>
      <c r="E522" s="4"/>
      <c r="I522" s="135"/>
      <c r="J522" s="135"/>
      <c r="K522" s="135"/>
      <c r="L522" s="135"/>
    </row>
    <row r="523" spans="2:12" ht="12" customHeight="1" x14ac:dyDescent="0.15">
      <c r="B523" s="2"/>
      <c r="C523" s="4"/>
      <c r="D523" s="4"/>
      <c r="E523" s="4"/>
      <c r="I523" s="135"/>
      <c r="J523" s="135"/>
      <c r="K523" s="135"/>
      <c r="L523" s="135"/>
    </row>
    <row r="524" spans="2:12" ht="12" customHeight="1" x14ac:dyDescent="0.15">
      <c r="B524" s="2"/>
      <c r="C524" s="4"/>
      <c r="D524" s="4"/>
      <c r="E524" s="4"/>
      <c r="I524" s="135"/>
      <c r="J524" s="135"/>
      <c r="K524" s="135"/>
      <c r="L524" s="135"/>
    </row>
    <row r="525" spans="2:12" ht="12" customHeight="1" x14ac:dyDescent="0.15">
      <c r="B525" s="2"/>
      <c r="C525" s="4"/>
      <c r="D525" s="4"/>
      <c r="E525" s="4"/>
      <c r="I525" s="135"/>
      <c r="J525" s="135"/>
      <c r="K525" s="135"/>
      <c r="L525" s="135"/>
    </row>
    <row r="526" spans="2:12" ht="12" customHeight="1" x14ac:dyDescent="0.15">
      <c r="B526" s="2"/>
      <c r="C526" s="4"/>
      <c r="D526" s="4"/>
      <c r="E526" s="4"/>
      <c r="I526" s="135"/>
      <c r="J526" s="135"/>
      <c r="K526" s="135"/>
      <c r="L526" s="135"/>
    </row>
    <row r="527" spans="2:12" ht="12" customHeight="1" x14ac:dyDescent="0.15">
      <c r="B527" s="2"/>
      <c r="C527" s="4"/>
      <c r="D527" s="4"/>
      <c r="E527" s="4"/>
      <c r="I527" s="135"/>
      <c r="J527" s="135"/>
      <c r="K527" s="135"/>
      <c r="L527" s="135"/>
    </row>
    <row r="528" spans="2:12" ht="12" customHeight="1" x14ac:dyDescent="0.15">
      <c r="B528" s="2"/>
      <c r="C528" s="4"/>
      <c r="D528" s="4"/>
      <c r="E528" s="4"/>
      <c r="I528" s="135"/>
      <c r="J528" s="135"/>
      <c r="K528" s="135"/>
      <c r="L528" s="135"/>
    </row>
    <row r="529" spans="2:12" ht="12" customHeight="1" x14ac:dyDescent="0.15">
      <c r="B529" s="2"/>
      <c r="C529" s="4"/>
      <c r="D529" s="4"/>
      <c r="E529" s="4"/>
      <c r="I529" s="135"/>
      <c r="J529" s="135"/>
      <c r="K529" s="135"/>
      <c r="L529" s="135"/>
    </row>
    <row r="530" spans="2:12" ht="12" customHeight="1" x14ac:dyDescent="0.15">
      <c r="B530" s="2"/>
      <c r="C530" s="4"/>
      <c r="D530" s="4"/>
      <c r="E530" s="4"/>
      <c r="I530" s="135"/>
      <c r="J530" s="135"/>
      <c r="K530" s="135"/>
      <c r="L530" s="135"/>
    </row>
    <row r="531" spans="2:12" ht="12" customHeight="1" x14ac:dyDescent="0.15">
      <c r="B531" s="2"/>
      <c r="C531" s="4"/>
      <c r="D531" s="4"/>
      <c r="E531" s="4"/>
      <c r="I531" s="135"/>
      <c r="J531" s="135"/>
      <c r="K531" s="135"/>
      <c r="L531" s="135"/>
    </row>
    <row r="532" spans="2:12" ht="12" customHeight="1" x14ac:dyDescent="0.15">
      <c r="B532" s="2"/>
      <c r="C532" s="4"/>
      <c r="D532" s="4"/>
      <c r="E532" s="4"/>
      <c r="I532" s="135"/>
      <c r="J532" s="135"/>
      <c r="K532" s="135"/>
      <c r="L532" s="135"/>
    </row>
    <row r="533" spans="2:12" ht="12" customHeight="1" x14ac:dyDescent="0.15">
      <c r="B533" s="2"/>
      <c r="C533" s="4"/>
      <c r="D533" s="4"/>
      <c r="E533" s="4"/>
      <c r="I533" s="135"/>
      <c r="J533" s="135"/>
      <c r="K533" s="135"/>
      <c r="L533" s="135"/>
    </row>
    <row r="534" spans="2:12" ht="12" customHeight="1" x14ac:dyDescent="0.15">
      <c r="B534" s="2"/>
      <c r="C534" s="4"/>
      <c r="D534" s="4"/>
      <c r="E534" s="4"/>
      <c r="I534" s="135"/>
      <c r="J534" s="135"/>
      <c r="K534" s="135"/>
      <c r="L534" s="135"/>
    </row>
    <row r="535" spans="2:12" ht="12" customHeight="1" x14ac:dyDescent="0.15">
      <c r="B535" s="2"/>
      <c r="C535" s="4"/>
      <c r="D535" s="4"/>
      <c r="E535" s="4"/>
      <c r="I535" s="135"/>
      <c r="J535" s="135"/>
      <c r="K535" s="135"/>
      <c r="L535" s="135"/>
    </row>
    <row r="536" spans="2:12" ht="12" customHeight="1" x14ac:dyDescent="0.15">
      <c r="B536" s="2"/>
      <c r="C536" s="4"/>
      <c r="D536" s="4"/>
      <c r="E536" s="4"/>
      <c r="I536" s="135"/>
      <c r="J536" s="135"/>
      <c r="K536" s="135"/>
      <c r="L536" s="135"/>
    </row>
    <row r="537" spans="2:12" ht="12" customHeight="1" x14ac:dyDescent="0.15">
      <c r="B537" s="2"/>
      <c r="C537" s="4"/>
      <c r="D537" s="4"/>
      <c r="E537" s="4"/>
      <c r="I537" s="135"/>
      <c r="J537" s="135"/>
      <c r="K537" s="135"/>
      <c r="L537" s="135"/>
    </row>
    <row r="538" spans="2:12" ht="12" customHeight="1" x14ac:dyDescent="0.15">
      <c r="B538" s="2"/>
      <c r="C538" s="4"/>
      <c r="D538" s="4"/>
      <c r="E538" s="4"/>
      <c r="I538" s="135"/>
      <c r="J538" s="135"/>
      <c r="K538" s="135"/>
      <c r="L538" s="135"/>
    </row>
    <row r="539" spans="2:12" ht="12" customHeight="1" x14ac:dyDescent="0.15">
      <c r="B539" s="2"/>
      <c r="C539" s="4"/>
      <c r="D539" s="4"/>
      <c r="E539" s="4"/>
      <c r="I539" s="135"/>
      <c r="J539" s="135"/>
      <c r="K539" s="135"/>
      <c r="L539" s="135"/>
    </row>
    <row r="540" spans="2:12" ht="12" customHeight="1" x14ac:dyDescent="0.15">
      <c r="B540" s="2"/>
      <c r="C540" s="4"/>
      <c r="D540" s="4"/>
      <c r="E540" s="4"/>
      <c r="I540" s="135"/>
      <c r="J540" s="135"/>
      <c r="K540" s="135"/>
      <c r="L540" s="135"/>
    </row>
    <row r="541" spans="2:12" ht="12" customHeight="1" x14ac:dyDescent="0.15">
      <c r="B541" s="2"/>
      <c r="C541" s="4"/>
      <c r="D541" s="4"/>
      <c r="E541" s="4"/>
      <c r="I541" s="135"/>
      <c r="J541" s="135"/>
      <c r="K541" s="135"/>
      <c r="L541" s="135"/>
    </row>
    <row r="542" spans="2:12" ht="12" customHeight="1" x14ac:dyDescent="0.15">
      <c r="B542" s="2"/>
      <c r="C542" s="4"/>
      <c r="D542" s="4"/>
      <c r="E542" s="4"/>
      <c r="I542" s="135"/>
      <c r="J542" s="135"/>
      <c r="K542" s="135"/>
      <c r="L542" s="135"/>
    </row>
    <row r="543" spans="2:12" ht="12" customHeight="1" x14ac:dyDescent="0.15">
      <c r="B543" s="2"/>
      <c r="C543" s="4"/>
      <c r="D543" s="4"/>
      <c r="E543" s="4"/>
      <c r="I543" s="135"/>
      <c r="J543" s="135"/>
      <c r="K543" s="135"/>
      <c r="L543" s="135"/>
    </row>
    <row r="544" spans="2:12" ht="12" customHeight="1" x14ac:dyDescent="0.15">
      <c r="B544" s="2"/>
      <c r="C544" s="4"/>
      <c r="D544" s="4"/>
      <c r="E544" s="4"/>
      <c r="I544" s="135"/>
      <c r="J544" s="135"/>
      <c r="K544" s="135"/>
      <c r="L544" s="135"/>
    </row>
    <row r="545" spans="2:12" ht="12" customHeight="1" x14ac:dyDescent="0.15">
      <c r="B545" s="2"/>
      <c r="C545" s="4"/>
      <c r="D545" s="4"/>
      <c r="E545" s="4"/>
      <c r="I545" s="135"/>
      <c r="J545" s="135"/>
      <c r="K545" s="135"/>
      <c r="L545" s="135"/>
    </row>
    <row r="546" spans="2:12" ht="12" customHeight="1" x14ac:dyDescent="0.15">
      <c r="B546" s="2"/>
      <c r="C546" s="4"/>
      <c r="D546" s="4"/>
      <c r="E546" s="4"/>
      <c r="I546" s="135"/>
      <c r="J546" s="135"/>
      <c r="K546" s="135"/>
      <c r="L546" s="135"/>
    </row>
    <row r="547" spans="2:12" ht="12" customHeight="1" x14ac:dyDescent="0.15">
      <c r="B547" s="2"/>
      <c r="C547" s="4"/>
      <c r="D547" s="4"/>
      <c r="E547" s="4"/>
      <c r="I547" s="135"/>
      <c r="J547" s="135"/>
      <c r="K547" s="135"/>
      <c r="L547" s="135"/>
    </row>
    <row r="548" spans="2:12" ht="12" customHeight="1" x14ac:dyDescent="0.15">
      <c r="B548" s="2"/>
      <c r="C548" s="4"/>
      <c r="D548" s="4"/>
      <c r="E548" s="4"/>
      <c r="I548" s="135"/>
      <c r="J548" s="135"/>
      <c r="K548" s="135"/>
      <c r="L548" s="135"/>
    </row>
    <row r="549" spans="2:12" ht="12" customHeight="1" x14ac:dyDescent="0.15">
      <c r="B549" s="2"/>
      <c r="C549" s="4"/>
      <c r="D549" s="4"/>
      <c r="E549" s="4"/>
      <c r="I549" s="135"/>
      <c r="J549" s="135"/>
      <c r="K549" s="135"/>
      <c r="L549" s="135"/>
    </row>
    <row r="550" spans="2:12" ht="12" customHeight="1" x14ac:dyDescent="0.15">
      <c r="B550" s="2"/>
      <c r="C550" s="4"/>
      <c r="D550" s="4"/>
      <c r="E550" s="4"/>
      <c r="I550" s="135"/>
      <c r="J550" s="135"/>
      <c r="K550" s="135"/>
      <c r="L550" s="135"/>
    </row>
    <row r="551" spans="2:12" ht="12" customHeight="1" x14ac:dyDescent="0.15">
      <c r="B551" s="2"/>
      <c r="C551" s="4"/>
      <c r="D551" s="4"/>
      <c r="E551" s="4"/>
      <c r="I551" s="135"/>
      <c r="J551" s="135"/>
      <c r="K551" s="135"/>
      <c r="L551" s="135"/>
    </row>
    <row r="552" spans="2:12" ht="12" customHeight="1" x14ac:dyDescent="0.15">
      <c r="B552" s="2"/>
      <c r="C552" s="4"/>
      <c r="D552" s="4"/>
      <c r="E552" s="4"/>
      <c r="I552" s="135"/>
      <c r="J552" s="135"/>
      <c r="K552" s="135"/>
      <c r="L552" s="135"/>
    </row>
    <row r="553" spans="2:12" ht="12" customHeight="1" x14ac:dyDescent="0.15">
      <c r="B553" s="2"/>
      <c r="C553" s="4"/>
      <c r="D553" s="4"/>
      <c r="E553" s="4"/>
      <c r="I553" s="135"/>
      <c r="J553" s="135"/>
      <c r="K553" s="135"/>
      <c r="L553" s="135"/>
    </row>
    <row r="554" spans="2:12" ht="12" customHeight="1" x14ac:dyDescent="0.15">
      <c r="B554" s="2"/>
      <c r="C554" s="4"/>
      <c r="D554" s="4"/>
      <c r="E554" s="4"/>
      <c r="I554" s="135"/>
      <c r="J554" s="135"/>
      <c r="K554" s="135"/>
      <c r="L554" s="135"/>
    </row>
    <row r="555" spans="2:12" ht="12" customHeight="1" x14ac:dyDescent="0.15">
      <c r="B555" s="2"/>
      <c r="C555" s="4"/>
      <c r="D555" s="4"/>
      <c r="E555" s="4"/>
      <c r="I555" s="135"/>
      <c r="J555" s="135"/>
      <c r="K555" s="135"/>
      <c r="L555" s="135"/>
    </row>
    <row r="556" spans="2:12" ht="12" customHeight="1" x14ac:dyDescent="0.15">
      <c r="B556" s="2"/>
      <c r="C556" s="4"/>
      <c r="D556" s="4"/>
      <c r="E556" s="4"/>
      <c r="I556" s="135"/>
      <c r="J556" s="135"/>
      <c r="K556" s="135"/>
      <c r="L556" s="135"/>
    </row>
    <row r="557" spans="2:12" ht="12" customHeight="1" x14ac:dyDescent="0.15">
      <c r="B557" s="2"/>
      <c r="C557" s="4"/>
      <c r="D557" s="4"/>
      <c r="E557" s="4"/>
      <c r="I557" s="135"/>
      <c r="J557" s="135"/>
      <c r="K557" s="135"/>
      <c r="L557" s="135"/>
    </row>
    <row r="558" spans="2:12" ht="12" customHeight="1" x14ac:dyDescent="0.15">
      <c r="B558" s="2"/>
      <c r="C558" s="4"/>
      <c r="D558" s="4"/>
      <c r="E558" s="4"/>
      <c r="I558" s="135"/>
      <c r="J558" s="135"/>
      <c r="K558" s="135"/>
      <c r="L558" s="135"/>
    </row>
    <row r="559" spans="2:12" ht="12" customHeight="1" x14ac:dyDescent="0.15">
      <c r="B559" s="2"/>
      <c r="C559" s="4"/>
      <c r="D559" s="4"/>
      <c r="E559" s="4"/>
      <c r="I559" s="135"/>
      <c r="J559" s="135"/>
      <c r="K559" s="135"/>
      <c r="L559" s="135"/>
    </row>
    <row r="560" spans="2:12" ht="12" customHeight="1" x14ac:dyDescent="0.15">
      <c r="B560" s="2"/>
      <c r="C560" s="4"/>
      <c r="D560" s="4"/>
      <c r="E560" s="4"/>
      <c r="I560" s="135"/>
      <c r="J560" s="135"/>
      <c r="K560" s="135"/>
      <c r="L560" s="135"/>
    </row>
    <row r="561" spans="2:12" ht="12" customHeight="1" x14ac:dyDescent="0.15">
      <c r="B561" s="2"/>
      <c r="C561" s="4"/>
      <c r="D561" s="4"/>
      <c r="E561" s="4"/>
      <c r="I561" s="135"/>
      <c r="J561" s="135"/>
      <c r="K561" s="135"/>
      <c r="L561" s="135"/>
    </row>
    <row r="562" spans="2:12" ht="12" customHeight="1" x14ac:dyDescent="0.15">
      <c r="B562" s="2"/>
      <c r="C562" s="4"/>
      <c r="D562" s="4"/>
      <c r="E562" s="4"/>
      <c r="I562" s="135"/>
      <c r="J562" s="135"/>
      <c r="K562" s="135"/>
      <c r="L562" s="135"/>
    </row>
    <row r="563" spans="2:12" ht="12" customHeight="1" x14ac:dyDescent="0.15">
      <c r="B563" s="2"/>
      <c r="C563" s="4"/>
      <c r="D563" s="4"/>
      <c r="E563" s="4"/>
      <c r="I563" s="135"/>
      <c r="J563" s="135"/>
      <c r="K563" s="135"/>
      <c r="L563" s="135"/>
    </row>
    <row r="564" spans="2:12" ht="12" customHeight="1" x14ac:dyDescent="0.15">
      <c r="B564" s="2"/>
      <c r="C564" s="4"/>
      <c r="D564" s="4"/>
      <c r="E564" s="4"/>
      <c r="I564" s="135"/>
      <c r="J564" s="135"/>
      <c r="K564" s="135"/>
      <c r="L564" s="135"/>
    </row>
    <row r="565" spans="2:12" ht="12" customHeight="1" x14ac:dyDescent="0.15">
      <c r="B565" s="2"/>
      <c r="C565" s="4"/>
      <c r="D565" s="4"/>
      <c r="E565" s="4"/>
      <c r="I565" s="135"/>
      <c r="J565" s="135"/>
      <c r="K565" s="135"/>
      <c r="L565" s="135"/>
    </row>
    <row r="566" spans="2:12" ht="12" customHeight="1" x14ac:dyDescent="0.15">
      <c r="B566" s="2"/>
      <c r="C566" s="4"/>
      <c r="D566" s="4"/>
      <c r="E566" s="4"/>
      <c r="I566" s="135"/>
      <c r="J566" s="135"/>
      <c r="K566" s="135"/>
      <c r="L566" s="135"/>
    </row>
    <row r="567" spans="2:12" ht="12" customHeight="1" x14ac:dyDescent="0.15">
      <c r="B567" s="2"/>
      <c r="C567" s="4"/>
      <c r="D567" s="4"/>
      <c r="E567" s="4"/>
      <c r="I567" s="135"/>
      <c r="J567" s="135"/>
      <c r="K567" s="135"/>
      <c r="L567" s="135"/>
    </row>
    <row r="568" spans="2:12" ht="12" customHeight="1" x14ac:dyDescent="0.15">
      <c r="B568" s="2"/>
      <c r="C568" s="4"/>
      <c r="D568" s="4"/>
      <c r="E568" s="4"/>
      <c r="I568" s="135"/>
      <c r="J568" s="135"/>
      <c r="K568" s="135"/>
      <c r="L568" s="135"/>
    </row>
    <row r="569" spans="2:12" ht="12" customHeight="1" x14ac:dyDescent="0.15">
      <c r="B569" s="2"/>
      <c r="C569" s="4"/>
      <c r="D569" s="4"/>
      <c r="E569" s="4"/>
      <c r="I569" s="135"/>
      <c r="J569" s="135"/>
      <c r="K569" s="135"/>
      <c r="L569" s="135"/>
    </row>
    <row r="570" spans="2:12" ht="12" customHeight="1" x14ac:dyDescent="0.15">
      <c r="B570" s="2"/>
      <c r="C570" s="4"/>
      <c r="D570" s="4"/>
      <c r="E570" s="4"/>
      <c r="I570" s="135"/>
      <c r="J570" s="135"/>
      <c r="K570" s="135"/>
      <c r="L570" s="135"/>
    </row>
    <row r="571" spans="2:12" ht="12" customHeight="1" x14ac:dyDescent="0.15">
      <c r="B571" s="2"/>
      <c r="C571" s="4"/>
      <c r="D571" s="4"/>
      <c r="E571" s="4"/>
      <c r="I571" s="135"/>
      <c r="J571" s="135"/>
      <c r="K571" s="135"/>
      <c r="L571" s="135"/>
    </row>
    <row r="572" spans="2:12" ht="12" customHeight="1" x14ac:dyDescent="0.15">
      <c r="B572" s="2"/>
      <c r="C572" s="4"/>
      <c r="D572" s="4"/>
      <c r="E572" s="4"/>
      <c r="I572" s="135"/>
      <c r="J572" s="135"/>
      <c r="K572" s="135"/>
      <c r="L572" s="135"/>
    </row>
    <row r="573" spans="2:12" ht="12" customHeight="1" x14ac:dyDescent="0.15">
      <c r="B573" s="2"/>
      <c r="C573" s="4"/>
      <c r="D573" s="4"/>
      <c r="E573" s="4"/>
      <c r="I573" s="135"/>
      <c r="J573" s="135"/>
      <c r="K573" s="135"/>
      <c r="L573" s="135"/>
    </row>
    <row r="574" spans="2:12" ht="12" customHeight="1" x14ac:dyDescent="0.15">
      <c r="B574" s="2"/>
      <c r="C574" s="4"/>
      <c r="D574" s="4"/>
      <c r="E574" s="4"/>
      <c r="I574" s="135"/>
      <c r="J574" s="135"/>
      <c r="K574" s="135"/>
      <c r="L574" s="135"/>
    </row>
    <row r="575" spans="2:12" ht="12" customHeight="1" x14ac:dyDescent="0.15">
      <c r="B575" s="2"/>
      <c r="C575" s="4"/>
      <c r="D575" s="4"/>
      <c r="E575" s="4"/>
      <c r="I575" s="135"/>
      <c r="J575" s="135"/>
      <c r="K575" s="135"/>
      <c r="L575" s="135"/>
    </row>
    <row r="576" spans="2:12" ht="12" customHeight="1" x14ac:dyDescent="0.15">
      <c r="B576" s="2"/>
      <c r="C576" s="4"/>
      <c r="D576" s="4"/>
      <c r="E576" s="4"/>
      <c r="I576" s="135"/>
      <c r="J576" s="135"/>
      <c r="K576" s="135"/>
      <c r="L576" s="135"/>
    </row>
    <row r="577" spans="2:12" ht="12" customHeight="1" x14ac:dyDescent="0.15">
      <c r="B577" s="2"/>
      <c r="C577" s="4"/>
      <c r="D577" s="4"/>
      <c r="E577" s="4"/>
      <c r="I577" s="135"/>
      <c r="J577" s="135"/>
      <c r="K577" s="135"/>
      <c r="L577" s="135"/>
    </row>
    <row r="578" spans="2:12" ht="12" customHeight="1" x14ac:dyDescent="0.15">
      <c r="B578" s="2"/>
      <c r="C578" s="4"/>
      <c r="D578" s="4"/>
      <c r="E578" s="4"/>
      <c r="I578" s="135"/>
      <c r="J578" s="135"/>
      <c r="K578" s="135"/>
      <c r="L578" s="135"/>
    </row>
    <row r="579" spans="2:12" ht="12" customHeight="1" x14ac:dyDescent="0.15">
      <c r="B579" s="2"/>
      <c r="C579" s="4"/>
      <c r="D579" s="4"/>
      <c r="E579" s="4"/>
      <c r="I579" s="135"/>
      <c r="J579" s="135"/>
      <c r="K579" s="135"/>
      <c r="L579" s="135"/>
    </row>
    <row r="580" spans="2:12" ht="12" customHeight="1" x14ac:dyDescent="0.15">
      <c r="B580" s="2"/>
      <c r="C580" s="4"/>
      <c r="D580" s="4"/>
      <c r="E580" s="4"/>
      <c r="I580" s="135"/>
      <c r="J580" s="135"/>
      <c r="K580" s="135"/>
      <c r="L580" s="135"/>
    </row>
    <row r="581" spans="2:12" ht="12" customHeight="1" x14ac:dyDescent="0.15">
      <c r="B581" s="2"/>
      <c r="C581" s="4"/>
      <c r="D581" s="4"/>
      <c r="E581" s="4"/>
      <c r="I581" s="135"/>
      <c r="J581" s="135"/>
      <c r="K581" s="135"/>
      <c r="L581" s="135"/>
    </row>
    <row r="582" spans="2:12" ht="12" customHeight="1" x14ac:dyDescent="0.15">
      <c r="B582" s="2"/>
      <c r="C582" s="4"/>
      <c r="D582" s="4"/>
      <c r="E582" s="4"/>
      <c r="I582" s="135"/>
      <c r="J582" s="135"/>
      <c r="K582" s="135"/>
      <c r="L582" s="135"/>
    </row>
    <row r="583" spans="2:12" ht="12" customHeight="1" x14ac:dyDescent="0.15">
      <c r="B583" s="2"/>
      <c r="C583" s="4"/>
      <c r="D583" s="4"/>
      <c r="E583" s="4"/>
      <c r="I583" s="135"/>
      <c r="J583" s="135"/>
      <c r="K583" s="135"/>
      <c r="L583" s="135"/>
    </row>
    <row r="584" spans="2:12" ht="12" customHeight="1" x14ac:dyDescent="0.15">
      <c r="B584" s="2"/>
      <c r="C584" s="4"/>
      <c r="D584" s="4"/>
      <c r="E584" s="4"/>
      <c r="I584" s="135"/>
      <c r="J584" s="135"/>
      <c r="K584" s="135"/>
      <c r="L584" s="135"/>
    </row>
    <row r="585" spans="2:12" ht="12" customHeight="1" x14ac:dyDescent="0.15">
      <c r="B585" s="2"/>
      <c r="C585" s="4"/>
      <c r="D585" s="4"/>
      <c r="E585" s="4"/>
      <c r="I585" s="135"/>
      <c r="J585" s="135"/>
      <c r="K585" s="135"/>
      <c r="L585" s="135"/>
    </row>
    <row r="586" spans="2:12" ht="12" customHeight="1" x14ac:dyDescent="0.15">
      <c r="B586" s="2"/>
      <c r="C586" s="4"/>
      <c r="D586" s="4"/>
      <c r="E586" s="4"/>
      <c r="I586" s="135"/>
      <c r="J586" s="135"/>
      <c r="K586" s="135"/>
      <c r="L586" s="135"/>
    </row>
    <row r="587" spans="2:12" ht="12" customHeight="1" x14ac:dyDescent="0.15">
      <c r="B587" s="2"/>
      <c r="C587" s="4"/>
      <c r="D587" s="4"/>
      <c r="E587" s="4"/>
      <c r="I587" s="135"/>
      <c r="J587" s="135"/>
      <c r="K587" s="135"/>
      <c r="L587" s="135"/>
    </row>
    <row r="588" spans="2:12" ht="12" customHeight="1" x14ac:dyDescent="0.15">
      <c r="B588" s="2"/>
      <c r="C588" s="4"/>
      <c r="D588" s="4"/>
      <c r="E588" s="4"/>
      <c r="I588" s="135"/>
      <c r="J588" s="135"/>
      <c r="K588" s="135"/>
      <c r="L588" s="135"/>
    </row>
    <row r="589" spans="2:12" ht="12" customHeight="1" x14ac:dyDescent="0.15">
      <c r="B589" s="2"/>
      <c r="C589" s="4"/>
      <c r="D589" s="4"/>
      <c r="E589" s="4"/>
      <c r="I589" s="135"/>
      <c r="J589" s="135"/>
      <c r="K589" s="135"/>
      <c r="L589" s="135"/>
    </row>
    <row r="590" spans="2:12" ht="12" customHeight="1" x14ac:dyDescent="0.15">
      <c r="B590" s="2"/>
      <c r="C590" s="4"/>
      <c r="D590" s="4"/>
      <c r="E590" s="4"/>
      <c r="I590" s="135"/>
      <c r="J590" s="135"/>
      <c r="K590" s="135"/>
      <c r="L590" s="135"/>
    </row>
    <row r="591" spans="2:12" ht="12" customHeight="1" x14ac:dyDescent="0.15">
      <c r="B591" s="2"/>
      <c r="C591" s="4"/>
      <c r="D591" s="4"/>
      <c r="E591" s="4"/>
      <c r="I591" s="135"/>
      <c r="J591" s="135"/>
      <c r="K591" s="135"/>
      <c r="L591" s="135"/>
    </row>
    <row r="592" spans="2:12" ht="12" customHeight="1" x14ac:dyDescent="0.15">
      <c r="B592" s="2"/>
      <c r="C592" s="4"/>
      <c r="D592" s="4"/>
      <c r="E592" s="4"/>
      <c r="I592" s="135"/>
      <c r="J592" s="135"/>
      <c r="K592" s="135"/>
      <c r="L592" s="135"/>
    </row>
    <row r="593" spans="2:12" ht="12" customHeight="1" x14ac:dyDescent="0.15">
      <c r="B593" s="2"/>
      <c r="C593" s="4"/>
      <c r="D593" s="4"/>
      <c r="E593" s="4"/>
      <c r="I593" s="135"/>
      <c r="J593" s="135"/>
      <c r="K593" s="135"/>
      <c r="L593" s="135"/>
    </row>
    <row r="594" spans="2:12" ht="12" customHeight="1" x14ac:dyDescent="0.15">
      <c r="B594" s="2"/>
      <c r="C594" s="4"/>
      <c r="D594" s="4"/>
      <c r="E594" s="4"/>
      <c r="I594" s="135"/>
      <c r="J594" s="135"/>
      <c r="K594" s="135"/>
      <c r="L594" s="135"/>
    </row>
    <row r="595" spans="2:12" ht="12" customHeight="1" x14ac:dyDescent="0.15">
      <c r="B595" s="2"/>
      <c r="C595" s="4"/>
      <c r="D595" s="4"/>
      <c r="E595" s="4"/>
      <c r="I595" s="135"/>
      <c r="J595" s="135"/>
      <c r="K595" s="135"/>
      <c r="L595" s="135"/>
    </row>
    <row r="596" spans="2:12" ht="12" customHeight="1" x14ac:dyDescent="0.15">
      <c r="B596" s="2"/>
      <c r="C596" s="4"/>
      <c r="D596" s="4"/>
      <c r="E596" s="4"/>
      <c r="I596" s="135"/>
      <c r="J596" s="135"/>
      <c r="K596" s="135"/>
      <c r="L596" s="135"/>
    </row>
    <row r="597" spans="2:12" ht="12" customHeight="1" x14ac:dyDescent="0.15">
      <c r="B597" s="2"/>
      <c r="C597" s="4"/>
      <c r="D597" s="4"/>
      <c r="E597" s="4"/>
      <c r="I597" s="135"/>
      <c r="J597" s="135"/>
      <c r="K597" s="135"/>
      <c r="L597" s="135"/>
    </row>
    <row r="598" spans="2:12" ht="12" customHeight="1" x14ac:dyDescent="0.15">
      <c r="B598" s="2"/>
      <c r="C598" s="4"/>
      <c r="D598" s="4"/>
      <c r="E598" s="4"/>
      <c r="I598" s="135"/>
      <c r="J598" s="135"/>
      <c r="K598" s="135"/>
      <c r="L598" s="135"/>
    </row>
    <row r="599" spans="2:12" ht="12" customHeight="1" x14ac:dyDescent="0.15">
      <c r="B599" s="2"/>
      <c r="C599" s="4"/>
      <c r="D599" s="4"/>
      <c r="E599" s="4"/>
      <c r="I599" s="135"/>
      <c r="J599" s="135"/>
      <c r="K599" s="135"/>
      <c r="L599" s="135"/>
    </row>
    <row r="600" spans="2:12" ht="12" customHeight="1" x14ac:dyDescent="0.15">
      <c r="B600" s="2"/>
      <c r="C600" s="4"/>
      <c r="D600" s="4"/>
      <c r="E600" s="4"/>
      <c r="I600" s="135"/>
      <c r="J600" s="135"/>
      <c r="K600" s="135"/>
      <c r="L600" s="135"/>
    </row>
    <row r="601" spans="2:12" ht="12" customHeight="1" x14ac:dyDescent="0.15">
      <c r="B601" s="2"/>
      <c r="C601" s="4"/>
      <c r="D601" s="4"/>
      <c r="E601" s="4"/>
      <c r="I601" s="135"/>
      <c r="J601" s="135"/>
      <c r="K601" s="135"/>
      <c r="L601" s="135"/>
    </row>
    <row r="602" spans="2:12" ht="12" customHeight="1" x14ac:dyDescent="0.15">
      <c r="B602" s="2"/>
      <c r="C602" s="4"/>
      <c r="D602" s="4"/>
      <c r="E602" s="4"/>
      <c r="I602" s="135"/>
      <c r="J602" s="135"/>
      <c r="K602" s="135"/>
      <c r="L602" s="135"/>
    </row>
    <row r="603" spans="2:12" ht="12" customHeight="1" x14ac:dyDescent="0.15">
      <c r="B603" s="2"/>
      <c r="C603" s="4"/>
      <c r="D603" s="4"/>
      <c r="E603" s="4"/>
      <c r="I603" s="135"/>
      <c r="J603" s="135"/>
      <c r="K603" s="135"/>
      <c r="L603" s="135"/>
    </row>
    <row r="604" spans="2:12" ht="12" customHeight="1" x14ac:dyDescent="0.15">
      <c r="B604" s="2"/>
      <c r="C604" s="4"/>
      <c r="D604" s="4"/>
      <c r="E604" s="4"/>
      <c r="I604" s="135"/>
      <c r="J604" s="135"/>
      <c r="K604" s="135"/>
      <c r="L604" s="135"/>
    </row>
    <row r="605" spans="2:12" ht="12" customHeight="1" x14ac:dyDescent="0.15">
      <c r="B605" s="2"/>
      <c r="C605" s="4"/>
      <c r="D605" s="4"/>
      <c r="E605" s="4"/>
      <c r="I605" s="135"/>
      <c r="J605" s="135"/>
      <c r="K605" s="135"/>
      <c r="L605" s="135"/>
    </row>
    <row r="606" spans="2:12" ht="12" customHeight="1" x14ac:dyDescent="0.15">
      <c r="B606" s="2"/>
      <c r="C606" s="4"/>
      <c r="D606" s="4"/>
      <c r="E606" s="4"/>
      <c r="I606" s="135"/>
      <c r="J606" s="135"/>
      <c r="K606" s="135"/>
      <c r="L606" s="135"/>
    </row>
    <row r="607" spans="2:12" ht="12" customHeight="1" x14ac:dyDescent="0.15">
      <c r="B607" s="2"/>
      <c r="C607" s="4"/>
      <c r="D607" s="4"/>
      <c r="E607" s="4"/>
      <c r="I607" s="135"/>
      <c r="J607" s="135"/>
      <c r="K607" s="135"/>
      <c r="L607" s="135"/>
    </row>
    <row r="608" spans="2:12" ht="12" customHeight="1" x14ac:dyDescent="0.15">
      <c r="B608" s="2"/>
      <c r="C608" s="4"/>
      <c r="D608" s="4"/>
      <c r="E608" s="4"/>
      <c r="I608" s="135"/>
      <c r="J608" s="135"/>
      <c r="K608" s="135"/>
      <c r="L608" s="135"/>
    </row>
    <row r="609" spans="2:12" ht="12" customHeight="1" x14ac:dyDescent="0.15">
      <c r="B609" s="2"/>
      <c r="C609" s="4"/>
      <c r="D609" s="4"/>
      <c r="E609" s="4"/>
      <c r="I609" s="135"/>
      <c r="J609" s="135"/>
      <c r="K609" s="135"/>
      <c r="L609" s="135"/>
    </row>
    <row r="610" spans="2:12" ht="12" customHeight="1" x14ac:dyDescent="0.15">
      <c r="B610" s="2"/>
      <c r="C610" s="4"/>
      <c r="D610" s="4"/>
      <c r="E610" s="4"/>
      <c r="I610" s="135"/>
      <c r="J610" s="135"/>
      <c r="K610" s="135"/>
      <c r="L610" s="135"/>
    </row>
    <row r="611" spans="2:12" ht="12" customHeight="1" x14ac:dyDescent="0.15">
      <c r="B611" s="2"/>
      <c r="C611" s="4"/>
      <c r="D611" s="4"/>
      <c r="E611" s="4"/>
      <c r="I611" s="135"/>
      <c r="J611" s="135"/>
      <c r="K611" s="135"/>
      <c r="L611" s="135"/>
    </row>
    <row r="612" spans="2:12" ht="12" customHeight="1" x14ac:dyDescent="0.15">
      <c r="B612" s="2"/>
      <c r="C612" s="4"/>
      <c r="D612" s="4"/>
      <c r="E612" s="4"/>
      <c r="I612" s="135"/>
      <c r="J612" s="135"/>
      <c r="K612" s="135"/>
      <c r="L612" s="135"/>
    </row>
    <row r="613" spans="2:12" ht="12" customHeight="1" x14ac:dyDescent="0.15">
      <c r="B613" s="2"/>
      <c r="C613" s="4"/>
      <c r="D613" s="4"/>
      <c r="E613" s="4"/>
      <c r="I613" s="135"/>
      <c r="J613" s="135"/>
      <c r="K613" s="135"/>
      <c r="L613" s="135"/>
    </row>
    <row r="614" spans="2:12" ht="12" customHeight="1" x14ac:dyDescent="0.15">
      <c r="B614" s="2"/>
      <c r="C614" s="4"/>
      <c r="D614" s="4"/>
      <c r="E614" s="4"/>
      <c r="I614" s="135"/>
      <c r="J614" s="135"/>
      <c r="K614" s="135"/>
      <c r="L614" s="135"/>
    </row>
    <row r="615" spans="2:12" ht="12" customHeight="1" x14ac:dyDescent="0.15">
      <c r="B615" s="2"/>
      <c r="C615" s="4"/>
      <c r="D615" s="4"/>
      <c r="E615" s="4"/>
      <c r="I615" s="135"/>
      <c r="J615" s="135"/>
      <c r="K615" s="135"/>
      <c r="L615" s="135"/>
    </row>
    <row r="616" spans="2:12" ht="12" customHeight="1" x14ac:dyDescent="0.15">
      <c r="B616" s="2"/>
      <c r="C616" s="4"/>
      <c r="D616" s="4"/>
      <c r="E616" s="4"/>
      <c r="I616" s="135"/>
      <c r="J616" s="135"/>
      <c r="K616" s="135"/>
      <c r="L616" s="135"/>
    </row>
    <row r="617" spans="2:12" ht="12" customHeight="1" x14ac:dyDescent="0.15">
      <c r="B617" s="2"/>
      <c r="C617" s="4"/>
      <c r="D617" s="4"/>
      <c r="E617" s="4"/>
      <c r="I617" s="135"/>
      <c r="J617" s="135"/>
      <c r="K617" s="135"/>
      <c r="L617" s="135"/>
    </row>
    <row r="618" spans="2:12" ht="12" customHeight="1" x14ac:dyDescent="0.15">
      <c r="B618" s="2"/>
      <c r="C618" s="4"/>
      <c r="D618" s="4"/>
      <c r="E618" s="4"/>
      <c r="I618" s="135"/>
      <c r="J618" s="135"/>
      <c r="K618" s="135"/>
      <c r="L618" s="135"/>
    </row>
    <row r="619" spans="2:12" ht="12" customHeight="1" x14ac:dyDescent="0.15">
      <c r="B619" s="2"/>
      <c r="C619" s="4"/>
      <c r="D619" s="4"/>
      <c r="E619" s="4"/>
      <c r="I619" s="135"/>
      <c r="J619" s="135"/>
      <c r="K619" s="135"/>
      <c r="L619" s="135"/>
    </row>
    <row r="620" spans="2:12" ht="12" customHeight="1" x14ac:dyDescent="0.15">
      <c r="B620" s="2"/>
      <c r="C620" s="4"/>
      <c r="D620" s="4"/>
      <c r="E620" s="4"/>
      <c r="I620" s="135"/>
      <c r="J620" s="135"/>
      <c r="K620" s="135"/>
      <c r="L620" s="135"/>
    </row>
    <row r="621" spans="2:12" ht="12" customHeight="1" x14ac:dyDescent="0.15">
      <c r="B621" s="2"/>
      <c r="C621" s="4"/>
      <c r="D621" s="4"/>
      <c r="E621" s="4"/>
      <c r="I621" s="135"/>
      <c r="J621" s="135"/>
      <c r="K621" s="135"/>
      <c r="L621" s="135"/>
    </row>
    <row r="622" spans="2:12" ht="12" customHeight="1" x14ac:dyDescent="0.15">
      <c r="B622" s="2"/>
      <c r="C622" s="4"/>
      <c r="D622" s="4"/>
      <c r="E622" s="4"/>
      <c r="I622" s="135"/>
      <c r="J622" s="135"/>
      <c r="K622" s="135"/>
      <c r="L622" s="135"/>
    </row>
    <row r="623" spans="2:12" ht="12" customHeight="1" x14ac:dyDescent="0.15">
      <c r="B623" s="2"/>
      <c r="C623" s="4"/>
      <c r="D623" s="4"/>
      <c r="E623" s="4"/>
      <c r="I623" s="135"/>
      <c r="J623" s="135"/>
      <c r="K623" s="135"/>
      <c r="L623" s="135"/>
    </row>
    <row r="624" spans="2:12" ht="12" customHeight="1" x14ac:dyDescent="0.15">
      <c r="B624" s="2"/>
      <c r="C624" s="4"/>
      <c r="D624" s="4"/>
      <c r="E624" s="4"/>
      <c r="I624" s="135"/>
      <c r="J624" s="135"/>
      <c r="K624" s="135"/>
      <c r="L624" s="135"/>
    </row>
    <row r="625" spans="2:12" ht="12" customHeight="1" x14ac:dyDescent="0.15">
      <c r="B625" s="2"/>
      <c r="C625" s="4"/>
      <c r="D625" s="4"/>
      <c r="E625" s="4"/>
      <c r="I625" s="135"/>
      <c r="J625" s="135"/>
      <c r="K625" s="135"/>
      <c r="L625" s="135"/>
    </row>
    <row r="626" spans="2:12" ht="12" customHeight="1" x14ac:dyDescent="0.15">
      <c r="B626" s="2"/>
      <c r="C626" s="4"/>
      <c r="D626" s="4"/>
      <c r="E626" s="4"/>
      <c r="I626" s="135"/>
      <c r="J626" s="135"/>
      <c r="K626" s="135"/>
      <c r="L626" s="135"/>
    </row>
    <row r="627" spans="2:12" ht="12" customHeight="1" x14ac:dyDescent="0.15">
      <c r="B627" s="2"/>
      <c r="C627" s="4"/>
      <c r="D627" s="4"/>
      <c r="E627" s="4"/>
      <c r="I627" s="135"/>
      <c r="J627" s="135"/>
      <c r="K627" s="135"/>
      <c r="L627" s="135"/>
    </row>
    <row r="628" spans="2:12" ht="12" customHeight="1" x14ac:dyDescent="0.15">
      <c r="B628" s="2"/>
      <c r="C628" s="4"/>
      <c r="D628" s="4"/>
      <c r="E628" s="4"/>
      <c r="I628" s="135"/>
      <c r="J628" s="135"/>
      <c r="K628" s="135"/>
      <c r="L628" s="135"/>
    </row>
    <row r="629" spans="2:12" ht="12" customHeight="1" x14ac:dyDescent="0.15">
      <c r="B629" s="2"/>
      <c r="C629" s="4"/>
      <c r="D629" s="4"/>
      <c r="E629" s="4"/>
      <c r="I629" s="135"/>
      <c r="J629" s="135"/>
      <c r="K629" s="135"/>
      <c r="L629" s="135"/>
    </row>
    <row r="630" spans="2:12" ht="12" customHeight="1" x14ac:dyDescent="0.15">
      <c r="B630" s="2"/>
      <c r="C630" s="4"/>
      <c r="D630" s="4"/>
      <c r="E630" s="4"/>
      <c r="I630" s="135"/>
      <c r="J630" s="135"/>
      <c r="K630" s="135"/>
      <c r="L630" s="135"/>
    </row>
    <row r="631" spans="2:12" ht="12" customHeight="1" x14ac:dyDescent="0.15">
      <c r="B631" s="2"/>
      <c r="C631" s="4"/>
      <c r="D631" s="4"/>
      <c r="E631" s="4"/>
      <c r="I631" s="135"/>
      <c r="J631" s="135"/>
      <c r="K631" s="135"/>
      <c r="L631" s="135"/>
    </row>
    <row r="632" spans="2:12" ht="12" customHeight="1" x14ac:dyDescent="0.15">
      <c r="B632" s="2"/>
      <c r="C632" s="4"/>
      <c r="D632" s="4"/>
      <c r="E632" s="4"/>
      <c r="I632" s="135"/>
      <c r="J632" s="135"/>
      <c r="K632" s="135"/>
      <c r="L632" s="135"/>
    </row>
    <row r="633" spans="2:12" ht="12" customHeight="1" x14ac:dyDescent="0.15">
      <c r="B633" s="2"/>
      <c r="C633" s="4"/>
      <c r="D633" s="4"/>
      <c r="E633" s="4"/>
      <c r="I633" s="135"/>
      <c r="J633" s="135"/>
      <c r="K633" s="135"/>
      <c r="L633" s="135"/>
    </row>
    <row r="634" spans="2:12" ht="12" customHeight="1" x14ac:dyDescent="0.15">
      <c r="B634" s="2"/>
      <c r="C634" s="4"/>
      <c r="D634" s="4"/>
      <c r="E634" s="4"/>
      <c r="I634" s="135"/>
      <c r="J634" s="135"/>
      <c r="K634" s="135"/>
      <c r="L634" s="135"/>
    </row>
    <row r="635" spans="2:12" ht="12" customHeight="1" x14ac:dyDescent="0.15">
      <c r="B635" s="2"/>
      <c r="C635" s="4"/>
      <c r="D635" s="4"/>
      <c r="E635" s="4"/>
      <c r="I635" s="135"/>
      <c r="J635" s="135"/>
      <c r="K635" s="135"/>
      <c r="L635" s="135"/>
    </row>
    <row r="636" spans="2:12" ht="12" customHeight="1" x14ac:dyDescent="0.15">
      <c r="B636" s="2"/>
      <c r="C636" s="4"/>
      <c r="D636" s="4"/>
      <c r="E636" s="4"/>
      <c r="I636" s="135"/>
      <c r="J636" s="135"/>
      <c r="K636" s="135"/>
      <c r="L636" s="135"/>
    </row>
    <row r="637" spans="2:12" ht="12" customHeight="1" x14ac:dyDescent="0.15">
      <c r="B637" s="2"/>
      <c r="C637" s="4"/>
      <c r="D637" s="4"/>
      <c r="E637" s="4"/>
      <c r="I637" s="135"/>
      <c r="J637" s="135"/>
      <c r="K637" s="135"/>
      <c r="L637" s="135"/>
    </row>
    <row r="638" spans="2:12" ht="12" customHeight="1" x14ac:dyDescent="0.15">
      <c r="B638" s="2"/>
      <c r="C638" s="4"/>
      <c r="D638" s="4"/>
      <c r="E638" s="4"/>
      <c r="I638" s="135"/>
      <c r="J638" s="135"/>
      <c r="K638" s="135"/>
      <c r="L638" s="135"/>
    </row>
    <row r="639" spans="2:12" ht="12" customHeight="1" x14ac:dyDescent="0.15">
      <c r="B639" s="2"/>
      <c r="C639" s="4"/>
      <c r="D639" s="4"/>
      <c r="E639" s="4"/>
      <c r="I639" s="135"/>
      <c r="J639" s="135"/>
      <c r="K639" s="135"/>
      <c r="L639" s="135"/>
    </row>
    <row r="640" spans="2:12" ht="12" customHeight="1" x14ac:dyDescent="0.15">
      <c r="B640" s="2"/>
      <c r="C640" s="4"/>
      <c r="D640" s="4"/>
      <c r="E640" s="4"/>
      <c r="I640" s="135"/>
      <c r="J640" s="135"/>
      <c r="K640" s="135"/>
      <c r="L640" s="135"/>
    </row>
    <row r="641" spans="2:12" ht="12" customHeight="1" x14ac:dyDescent="0.15">
      <c r="B641" s="2"/>
      <c r="C641" s="4"/>
      <c r="D641" s="4"/>
      <c r="E641" s="4"/>
      <c r="I641" s="135"/>
      <c r="J641" s="135"/>
      <c r="K641" s="135"/>
      <c r="L641" s="135"/>
    </row>
    <row r="642" spans="2:12" ht="12" customHeight="1" x14ac:dyDescent="0.15">
      <c r="B642" s="2"/>
      <c r="C642" s="4"/>
      <c r="D642" s="4"/>
      <c r="E642" s="4"/>
      <c r="I642" s="135"/>
      <c r="J642" s="135"/>
      <c r="K642" s="135"/>
      <c r="L642" s="135"/>
    </row>
    <row r="643" spans="2:12" ht="12" customHeight="1" x14ac:dyDescent="0.15">
      <c r="B643" s="2"/>
      <c r="C643" s="4"/>
      <c r="D643" s="4"/>
      <c r="E643" s="4"/>
      <c r="I643" s="135"/>
      <c r="J643" s="135"/>
      <c r="K643" s="135"/>
      <c r="L643" s="135"/>
    </row>
    <row r="644" spans="2:12" ht="12" customHeight="1" x14ac:dyDescent="0.15">
      <c r="B644" s="2"/>
      <c r="C644" s="4"/>
      <c r="D644" s="4"/>
      <c r="E644" s="4"/>
      <c r="I644" s="135"/>
      <c r="J644" s="135"/>
      <c r="K644" s="135"/>
      <c r="L644" s="135"/>
    </row>
    <row r="645" spans="2:12" ht="12" customHeight="1" x14ac:dyDescent="0.15">
      <c r="B645" s="2"/>
      <c r="C645" s="4"/>
      <c r="D645" s="4"/>
      <c r="E645" s="4"/>
      <c r="I645" s="135"/>
      <c r="J645" s="135"/>
      <c r="K645" s="135"/>
      <c r="L645" s="135"/>
    </row>
    <row r="646" spans="2:12" ht="12" customHeight="1" x14ac:dyDescent="0.15">
      <c r="B646" s="2"/>
      <c r="C646" s="4"/>
      <c r="D646" s="4"/>
      <c r="E646" s="4"/>
      <c r="I646" s="135"/>
      <c r="J646" s="135"/>
      <c r="K646" s="135"/>
      <c r="L646" s="135"/>
    </row>
    <row r="647" spans="2:12" ht="12" customHeight="1" x14ac:dyDescent="0.15">
      <c r="B647" s="2"/>
      <c r="C647" s="4"/>
      <c r="D647" s="4"/>
      <c r="E647" s="4"/>
      <c r="I647" s="135"/>
      <c r="J647" s="135"/>
      <c r="K647" s="135"/>
      <c r="L647" s="135"/>
    </row>
    <row r="648" spans="2:12" ht="12" customHeight="1" x14ac:dyDescent="0.15">
      <c r="B648" s="2"/>
      <c r="C648" s="4"/>
      <c r="D648" s="4"/>
      <c r="E648" s="4"/>
      <c r="I648" s="135"/>
      <c r="J648" s="135"/>
      <c r="K648" s="135"/>
      <c r="L648" s="135"/>
    </row>
    <row r="649" spans="2:12" ht="12" customHeight="1" x14ac:dyDescent="0.15">
      <c r="B649" s="2"/>
      <c r="C649" s="4"/>
      <c r="D649" s="4"/>
      <c r="E649" s="4"/>
      <c r="I649" s="135"/>
      <c r="J649" s="135"/>
      <c r="K649" s="135"/>
      <c r="L649" s="135"/>
    </row>
    <row r="650" spans="2:12" ht="12" customHeight="1" x14ac:dyDescent="0.15">
      <c r="B650" s="2"/>
      <c r="C650" s="4"/>
      <c r="D650" s="4"/>
      <c r="E650" s="4"/>
      <c r="I650" s="135"/>
      <c r="J650" s="135"/>
      <c r="K650" s="135"/>
      <c r="L650" s="135"/>
    </row>
    <row r="651" spans="2:12" ht="12" customHeight="1" x14ac:dyDescent="0.15">
      <c r="B651" s="2"/>
      <c r="C651" s="4"/>
      <c r="D651" s="4"/>
      <c r="E651" s="4"/>
      <c r="I651" s="135"/>
      <c r="J651" s="135"/>
      <c r="K651" s="135"/>
      <c r="L651" s="135"/>
    </row>
    <row r="652" spans="2:12" ht="12" customHeight="1" x14ac:dyDescent="0.15">
      <c r="B652" s="2"/>
      <c r="C652" s="4"/>
      <c r="D652" s="4"/>
      <c r="E652" s="4"/>
      <c r="I652" s="135"/>
      <c r="J652" s="135"/>
      <c r="K652" s="135"/>
      <c r="L652" s="135"/>
    </row>
    <row r="653" spans="2:12" ht="12" customHeight="1" x14ac:dyDescent="0.15">
      <c r="B653" s="2"/>
      <c r="C653" s="4"/>
      <c r="D653" s="4"/>
      <c r="E653" s="4"/>
      <c r="I653" s="135"/>
      <c r="J653" s="135"/>
      <c r="K653" s="135"/>
      <c r="L653" s="135"/>
    </row>
    <row r="654" spans="2:12" ht="12" customHeight="1" x14ac:dyDescent="0.15">
      <c r="B654" s="2"/>
      <c r="C654" s="4"/>
      <c r="D654" s="4"/>
      <c r="E654" s="4"/>
      <c r="I654" s="135"/>
      <c r="J654" s="135"/>
      <c r="K654" s="135"/>
      <c r="L654" s="135"/>
    </row>
    <row r="655" spans="2:12" ht="12" customHeight="1" x14ac:dyDescent="0.15">
      <c r="B655" s="2"/>
      <c r="C655" s="4"/>
      <c r="D655" s="4"/>
      <c r="E655" s="4"/>
      <c r="I655" s="135"/>
      <c r="J655" s="135"/>
      <c r="K655" s="135"/>
      <c r="L655" s="135"/>
    </row>
    <row r="656" spans="2:12" ht="12" customHeight="1" x14ac:dyDescent="0.15">
      <c r="B656" s="2"/>
      <c r="C656" s="4"/>
      <c r="D656" s="4"/>
      <c r="E656" s="4"/>
      <c r="I656" s="135"/>
      <c r="J656" s="135"/>
      <c r="K656" s="135"/>
      <c r="L656" s="135"/>
    </row>
    <row r="657" spans="2:12" ht="12" customHeight="1" x14ac:dyDescent="0.15">
      <c r="B657" s="2"/>
      <c r="C657" s="4"/>
      <c r="D657" s="4"/>
      <c r="E657" s="4"/>
      <c r="I657" s="135"/>
      <c r="J657" s="135"/>
      <c r="K657" s="135"/>
      <c r="L657" s="135"/>
    </row>
    <row r="658" spans="2:12" ht="12" customHeight="1" x14ac:dyDescent="0.15">
      <c r="B658" s="2"/>
      <c r="C658" s="4"/>
      <c r="D658" s="4"/>
      <c r="E658" s="4"/>
      <c r="I658" s="135"/>
      <c r="J658" s="135"/>
      <c r="K658" s="135"/>
      <c r="L658" s="135"/>
    </row>
    <row r="659" spans="2:12" ht="12" customHeight="1" x14ac:dyDescent="0.15">
      <c r="B659" s="2"/>
      <c r="C659" s="4"/>
      <c r="D659" s="4"/>
      <c r="E659" s="4"/>
      <c r="I659" s="135"/>
      <c r="J659" s="135"/>
      <c r="K659" s="135"/>
      <c r="L659" s="135"/>
    </row>
    <row r="660" spans="2:12" ht="12" customHeight="1" x14ac:dyDescent="0.15">
      <c r="B660" s="2"/>
      <c r="C660" s="4"/>
      <c r="D660" s="4"/>
      <c r="E660" s="4"/>
      <c r="I660" s="135"/>
      <c r="J660" s="135"/>
      <c r="K660" s="135"/>
      <c r="L660" s="135"/>
    </row>
    <row r="661" spans="2:12" ht="12" customHeight="1" x14ac:dyDescent="0.15">
      <c r="B661" s="2"/>
      <c r="C661" s="4"/>
      <c r="D661" s="4"/>
      <c r="E661" s="4"/>
      <c r="I661" s="135"/>
      <c r="J661" s="135"/>
      <c r="K661" s="135"/>
      <c r="L661" s="135"/>
    </row>
    <row r="662" spans="2:12" ht="12" customHeight="1" x14ac:dyDescent="0.15">
      <c r="B662" s="2"/>
      <c r="C662" s="4"/>
      <c r="D662" s="4"/>
      <c r="E662" s="4"/>
      <c r="I662" s="135"/>
      <c r="J662" s="135"/>
      <c r="K662" s="135"/>
      <c r="L662" s="135"/>
    </row>
    <row r="663" spans="2:12" ht="12" customHeight="1" x14ac:dyDescent="0.15">
      <c r="B663" s="2"/>
      <c r="C663" s="4"/>
      <c r="D663" s="4"/>
      <c r="E663" s="4"/>
      <c r="I663" s="135"/>
      <c r="J663" s="135"/>
      <c r="K663" s="135"/>
      <c r="L663" s="135"/>
    </row>
    <row r="664" spans="2:12" ht="12" customHeight="1" x14ac:dyDescent="0.15">
      <c r="B664" s="2"/>
      <c r="C664" s="4"/>
      <c r="D664" s="4"/>
      <c r="E664" s="4"/>
      <c r="I664" s="135"/>
      <c r="J664" s="135"/>
      <c r="K664" s="135"/>
      <c r="L664" s="135"/>
    </row>
    <row r="665" spans="2:12" ht="12" customHeight="1" x14ac:dyDescent="0.15">
      <c r="B665" s="2"/>
      <c r="C665" s="4"/>
      <c r="D665" s="4"/>
      <c r="E665" s="4"/>
      <c r="I665" s="135"/>
      <c r="J665" s="135"/>
      <c r="K665" s="135"/>
      <c r="L665" s="135"/>
    </row>
    <row r="666" spans="2:12" ht="12" customHeight="1" x14ac:dyDescent="0.15">
      <c r="B666" s="2"/>
      <c r="C666" s="4"/>
      <c r="D666" s="4"/>
      <c r="E666" s="4"/>
      <c r="I666" s="135"/>
      <c r="J666" s="135"/>
      <c r="K666" s="135"/>
      <c r="L666" s="135"/>
    </row>
    <row r="667" spans="2:12" ht="12" customHeight="1" x14ac:dyDescent="0.15">
      <c r="B667" s="2"/>
      <c r="C667" s="4"/>
      <c r="D667" s="4"/>
      <c r="E667" s="4"/>
      <c r="I667" s="135"/>
      <c r="J667" s="135"/>
      <c r="K667" s="135"/>
      <c r="L667" s="135"/>
    </row>
    <row r="668" spans="2:12" ht="12" customHeight="1" x14ac:dyDescent="0.15">
      <c r="B668" s="2"/>
      <c r="C668" s="4"/>
      <c r="D668" s="4"/>
      <c r="E668" s="4"/>
      <c r="I668" s="135"/>
      <c r="J668" s="135"/>
      <c r="K668" s="135"/>
      <c r="L668" s="135"/>
    </row>
    <row r="669" spans="2:12" ht="12" customHeight="1" x14ac:dyDescent="0.15">
      <c r="B669" s="2"/>
      <c r="C669" s="4"/>
      <c r="D669" s="4"/>
      <c r="E669" s="4"/>
      <c r="I669" s="135"/>
      <c r="J669" s="135"/>
      <c r="K669" s="135"/>
      <c r="L669" s="135"/>
    </row>
    <row r="670" spans="2:12" ht="12" customHeight="1" x14ac:dyDescent="0.15">
      <c r="B670" s="2"/>
      <c r="C670" s="4"/>
      <c r="D670" s="4"/>
      <c r="E670" s="4"/>
      <c r="I670" s="135"/>
      <c r="J670" s="135"/>
      <c r="K670" s="135"/>
      <c r="L670" s="135"/>
    </row>
    <row r="671" spans="2:12" ht="12" customHeight="1" x14ac:dyDescent="0.15">
      <c r="B671" s="2"/>
      <c r="C671" s="4"/>
      <c r="D671" s="4"/>
      <c r="E671" s="4"/>
      <c r="I671" s="135"/>
      <c r="J671" s="135"/>
      <c r="K671" s="135"/>
      <c r="L671" s="135"/>
    </row>
    <row r="672" spans="2:12" ht="12" customHeight="1" x14ac:dyDescent="0.15">
      <c r="B672" s="2"/>
      <c r="C672" s="4"/>
      <c r="D672" s="4"/>
      <c r="E672" s="4"/>
      <c r="I672" s="135"/>
      <c r="J672" s="135"/>
      <c r="K672" s="135"/>
      <c r="L672" s="135"/>
    </row>
    <row r="673" spans="2:12" ht="12" customHeight="1" x14ac:dyDescent="0.15">
      <c r="B673" s="2"/>
      <c r="C673" s="4"/>
      <c r="D673" s="4"/>
      <c r="E673" s="4"/>
      <c r="I673" s="135"/>
      <c r="J673" s="135"/>
      <c r="K673" s="135"/>
      <c r="L673" s="135"/>
    </row>
    <row r="674" spans="2:12" ht="12" customHeight="1" x14ac:dyDescent="0.15">
      <c r="B674" s="2"/>
      <c r="C674" s="4"/>
      <c r="D674" s="4"/>
      <c r="E674" s="4"/>
      <c r="I674" s="135"/>
      <c r="J674" s="135"/>
      <c r="K674" s="135"/>
      <c r="L674" s="135"/>
    </row>
    <row r="675" spans="2:12" ht="12" customHeight="1" x14ac:dyDescent="0.15">
      <c r="B675" s="2"/>
      <c r="C675" s="4"/>
      <c r="D675" s="4"/>
      <c r="E675" s="4"/>
      <c r="I675" s="135"/>
      <c r="J675" s="135"/>
      <c r="K675" s="135"/>
      <c r="L675" s="135"/>
    </row>
    <row r="676" spans="2:12" ht="12" customHeight="1" x14ac:dyDescent="0.15">
      <c r="B676" s="2"/>
      <c r="C676" s="4"/>
      <c r="D676" s="4"/>
      <c r="E676" s="4"/>
      <c r="I676" s="135"/>
      <c r="J676" s="135"/>
      <c r="K676" s="135"/>
      <c r="L676" s="135"/>
    </row>
    <row r="677" spans="2:12" ht="12" customHeight="1" x14ac:dyDescent="0.15">
      <c r="B677" s="2"/>
      <c r="C677" s="4"/>
      <c r="D677" s="4"/>
      <c r="E677" s="4"/>
      <c r="I677" s="135"/>
      <c r="J677" s="135"/>
      <c r="K677" s="135"/>
      <c r="L677" s="135"/>
    </row>
    <row r="678" spans="2:12" ht="12" customHeight="1" x14ac:dyDescent="0.15">
      <c r="B678" s="2"/>
      <c r="C678" s="4"/>
      <c r="D678" s="4"/>
      <c r="E678" s="4"/>
      <c r="I678" s="135"/>
      <c r="J678" s="135"/>
      <c r="K678" s="135"/>
      <c r="L678" s="135"/>
    </row>
    <row r="679" spans="2:12" ht="12" customHeight="1" x14ac:dyDescent="0.15">
      <c r="B679" s="2"/>
      <c r="C679" s="4"/>
      <c r="D679" s="4"/>
      <c r="E679" s="4"/>
      <c r="I679" s="135"/>
      <c r="J679" s="135"/>
      <c r="K679" s="135"/>
      <c r="L679" s="135"/>
    </row>
    <row r="680" spans="2:12" ht="12" customHeight="1" x14ac:dyDescent="0.15">
      <c r="B680" s="2"/>
      <c r="C680" s="4"/>
      <c r="D680" s="4"/>
      <c r="E680" s="4"/>
      <c r="I680" s="135"/>
      <c r="J680" s="135"/>
      <c r="K680" s="135"/>
      <c r="L680" s="135"/>
    </row>
    <row r="681" spans="2:12" ht="12" customHeight="1" x14ac:dyDescent="0.15">
      <c r="B681" s="2"/>
      <c r="C681" s="4"/>
      <c r="D681" s="4"/>
      <c r="E681" s="4"/>
      <c r="I681" s="135"/>
      <c r="J681" s="135"/>
      <c r="K681" s="135"/>
      <c r="L681" s="135"/>
    </row>
    <row r="682" spans="2:12" ht="12" customHeight="1" x14ac:dyDescent="0.15">
      <c r="B682" s="2"/>
      <c r="C682" s="4"/>
      <c r="D682" s="4"/>
      <c r="E682" s="4"/>
      <c r="I682" s="135"/>
      <c r="J682" s="135"/>
      <c r="K682" s="135"/>
      <c r="L682" s="135"/>
    </row>
    <row r="683" spans="2:12" ht="12" customHeight="1" x14ac:dyDescent="0.15">
      <c r="B683" s="2"/>
      <c r="C683" s="4"/>
      <c r="D683" s="4"/>
      <c r="E683" s="4"/>
      <c r="I683" s="135"/>
      <c r="J683" s="135"/>
      <c r="K683" s="135"/>
      <c r="L683" s="135"/>
    </row>
    <row r="684" spans="2:12" ht="12" customHeight="1" x14ac:dyDescent="0.15">
      <c r="B684" s="2"/>
      <c r="C684" s="4"/>
      <c r="D684" s="4"/>
      <c r="E684" s="4"/>
      <c r="I684" s="135"/>
      <c r="J684" s="135"/>
      <c r="K684" s="135"/>
      <c r="L684" s="135"/>
    </row>
    <row r="685" spans="2:12" ht="12" customHeight="1" x14ac:dyDescent="0.15">
      <c r="B685" s="2"/>
      <c r="C685" s="4"/>
      <c r="D685" s="4"/>
      <c r="E685" s="4"/>
      <c r="I685" s="135"/>
      <c r="J685" s="135"/>
      <c r="K685" s="135"/>
      <c r="L685" s="135"/>
    </row>
    <row r="686" spans="2:12" ht="12" customHeight="1" x14ac:dyDescent="0.15">
      <c r="B686" s="2"/>
      <c r="C686" s="4"/>
      <c r="D686" s="4"/>
      <c r="E686" s="4"/>
      <c r="I686" s="135"/>
      <c r="J686" s="135"/>
      <c r="K686" s="135"/>
      <c r="L686" s="135"/>
    </row>
    <row r="687" spans="2:12" ht="12" customHeight="1" x14ac:dyDescent="0.15">
      <c r="B687" s="2"/>
      <c r="C687" s="4"/>
      <c r="D687" s="4"/>
      <c r="E687" s="4"/>
      <c r="I687" s="135"/>
      <c r="J687" s="135"/>
      <c r="K687" s="135"/>
      <c r="L687" s="135"/>
    </row>
    <row r="688" spans="2:12" ht="12" customHeight="1" x14ac:dyDescent="0.15">
      <c r="B688" s="2"/>
      <c r="C688" s="4"/>
      <c r="D688" s="4"/>
      <c r="E688" s="4"/>
      <c r="I688" s="135"/>
      <c r="J688" s="135"/>
      <c r="K688" s="135"/>
      <c r="L688" s="135"/>
    </row>
    <row r="689" spans="2:12" ht="12" customHeight="1" x14ac:dyDescent="0.15">
      <c r="B689" s="2"/>
      <c r="C689" s="4"/>
      <c r="D689" s="4"/>
      <c r="E689" s="4"/>
      <c r="I689" s="135"/>
      <c r="J689" s="135"/>
      <c r="K689" s="135"/>
      <c r="L689" s="135"/>
    </row>
    <row r="690" spans="2:12" ht="12" customHeight="1" x14ac:dyDescent="0.15">
      <c r="B690" s="2"/>
      <c r="C690" s="4"/>
      <c r="D690" s="4"/>
      <c r="E690" s="4"/>
      <c r="I690" s="135"/>
      <c r="J690" s="135"/>
      <c r="K690" s="135"/>
      <c r="L690" s="135"/>
    </row>
    <row r="691" spans="2:12" ht="12" customHeight="1" x14ac:dyDescent="0.15">
      <c r="B691" s="2"/>
      <c r="C691" s="4"/>
      <c r="D691" s="4"/>
      <c r="E691" s="4"/>
      <c r="I691" s="135"/>
      <c r="J691" s="135"/>
      <c r="K691" s="135"/>
      <c r="L691" s="135"/>
    </row>
    <row r="692" spans="2:12" ht="12" customHeight="1" x14ac:dyDescent="0.15">
      <c r="B692" s="2"/>
      <c r="C692" s="4"/>
      <c r="D692" s="4"/>
      <c r="E692" s="4"/>
      <c r="I692" s="135"/>
      <c r="J692" s="135"/>
      <c r="K692" s="135"/>
      <c r="L692" s="135"/>
    </row>
    <row r="693" spans="2:12" ht="12" customHeight="1" x14ac:dyDescent="0.15">
      <c r="B693" s="2"/>
      <c r="C693" s="4"/>
      <c r="D693" s="4"/>
      <c r="E693" s="4"/>
      <c r="I693" s="135"/>
      <c r="J693" s="135"/>
      <c r="K693" s="135"/>
      <c r="L693" s="135"/>
    </row>
    <row r="694" spans="2:12" ht="12" customHeight="1" x14ac:dyDescent="0.15">
      <c r="B694" s="2"/>
      <c r="C694" s="4"/>
      <c r="D694" s="4"/>
      <c r="E694" s="4"/>
      <c r="I694" s="135"/>
      <c r="J694" s="135"/>
      <c r="K694" s="135"/>
      <c r="L694" s="135"/>
    </row>
    <row r="695" spans="2:12" ht="12" customHeight="1" x14ac:dyDescent="0.15">
      <c r="B695" s="2"/>
      <c r="C695" s="4"/>
      <c r="D695" s="4"/>
      <c r="E695" s="4"/>
      <c r="I695" s="135"/>
      <c r="J695" s="135"/>
      <c r="K695" s="135"/>
      <c r="L695" s="135"/>
    </row>
    <row r="696" spans="2:12" ht="12" customHeight="1" x14ac:dyDescent="0.15">
      <c r="B696" s="2"/>
      <c r="C696" s="4"/>
      <c r="D696" s="4"/>
      <c r="E696" s="4"/>
      <c r="I696" s="135"/>
      <c r="J696" s="135"/>
      <c r="K696" s="135"/>
      <c r="L696" s="135"/>
    </row>
    <row r="697" spans="2:12" ht="12" customHeight="1" x14ac:dyDescent="0.15">
      <c r="B697" s="2"/>
      <c r="C697" s="4"/>
      <c r="D697" s="4"/>
      <c r="E697" s="4"/>
      <c r="I697" s="135"/>
      <c r="J697" s="135"/>
      <c r="K697" s="135"/>
      <c r="L697" s="135"/>
    </row>
    <row r="698" spans="2:12" ht="12" customHeight="1" x14ac:dyDescent="0.15">
      <c r="B698" s="2"/>
      <c r="C698" s="4"/>
      <c r="D698" s="4"/>
      <c r="E698" s="4"/>
      <c r="I698" s="135"/>
      <c r="J698" s="135"/>
      <c r="K698" s="135"/>
      <c r="L698" s="135"/>
    </row>
    <row r="699" spans="2:12" ht="12" customHeight="1" x14ac:dyDescent="0.15">
      <c r="B699" s="2"/>
      <c r="C699" s="4"/>
      <c r="D699" s="4"/>
      <c r="E699" s="4"/>
      <c r="I699" s="135"/>
      <c r="J699" s="135"/>
      <c r="K699" s="135"/>
      <c r="L699" s="135"/>
    </row>
    <row r="700" spans="2:12" ht="12" customHeight="1" x14ac:dyDescent="0.15">
      <c r="B700" s="2"/>
      <c r="C700" s="4"/>
      <c r="D700" s="4"/>
      <c r="E700" s="4"/>
      <c r="I700" s="135"/>
      <c r="J700" s="135"/>
      <c r="K700" s="135"/>
      <c r="L700" s="135"/>
    </row>
    <row r="701" spans="2:12" ht="12" customHeight="1" x14ac:dyDescent="0.15">
      <c r="B701" s="2"/>
      <c r="C701" s="4"/>
      <c r="D701" s="4"/>
      <c r="E701" s="4"/>
      <c r="I701" s="135"/>
      <c r="J701" s="135"/>
      <c r="K701" s="135"/>
      <c r="L701" s="135"/>
    </row>
    <row r="702" spans="2:12" ht="12" customHeight="1" x14ac:dyDescent="0.15">
      <c r="B702" s="2"/>
      <c r="C702" s="4"/>
      <c r="D702" s="4"/>
      <c r="E702" s="4"/>
      <c r="I702" s="135"/>
      <c r="J702" s="135"/>
      <c r="K702" s="135"/>
      <c r="L702" s="135"/>
    </row>
    <row r="703" spans="2:12" ht="12" customHeight="1" x14ac:dyDescent="0.15">
      <c r="B703" s="2"/>
      <c r="C703" s="4"/>
      <c r="D703" s="4"/>
      <c r="E703" s="4"/>
      <c r="I703" s="135"/>
      <c r="J703" s="135"/>
      <c r="K703" s="135"/>
      <c r="L703" s="135"/>
    </row>
    <row r="704" spans="2:12" ht="12" customHeight="1" x14ac:dyDescent="0.15">
      <c r="B704" s="2"/>
      <c r="C704" s="4"/>
      <c r="D704" s="4"/>
      <c r="E704" s="4"/>
      <c r="I704" s="135"/>
      <c r="J704" s="135"/>
      <c r="K704" s="135"/>
      <c r="L704" s="135"/>
    </row>
    <row r="705" spans="2:12" ht="12" customHeight="1" x14ac:dyDescent="0.15">
      <c r="B705" s="2"/>
      <c r="C705" s="4"/>
      <c r="D705" s="4"/>
      <c r="E705" s="4"/>
      <c r="I705" s="135"/>
      <c r="J705" s="135"/>
      <c r="K705" s="135"/>
      <c r="L705" s="135"/>
    </row>
    <row r="706" spans="2:12" ht="12" customHeight="1" x14ac:dyDescent="0.15">
      <c r="B706" s="2"/>
      <c r="C706" s="4"/>
      <c r="D706" s="4"/>
      <c r="E706" s="4"/>
      <c r="I706" s="135"/>
      <c r="J706" s="135"/>
      <c r="K706" s="135"/>
      <c r="L706" s="135"/>
    </row>
    <row r="707" spans="2:12" ht="12" customHeight="1" x14ac:dyDescent="0.15">
      <c r="B707" s="2"/>
      <c r="C707" s="4"/>
      <c r="D707" s="4"/>
      <c r="E707" s="4"/>
      <c r="I707" s="135"/>
      <c r="J707" s="135"/>
      <c r="K707" s="135"/>
      <c r="L707" s="135"/>
    </row>
    <row r="708" spans="2:12" ht="12" customHeight="1" x14ac:dyDescent="0.15">
      <c r="B708" s="2"/>
      <c r="C708" s="4"/>
      <c r="D708" s="4"/>
      <c r="E708" s="4"/>
      <c r="I708" s="135"/>
      <c r="J708" s="135"/>
      <c r="K708" s="135"/>
      <c r="L708" s="135"/>
    </row>
    <row r="709" spans="2:12" ht="12" customHeight="1" x14ac:dyDescent="0.15">
      <c r="B709" s="2"/>
      <c r="C709" s="4"/>
      <c r="D709" s="4"/>
      <c r="E709" s="4"/>
      <c r="I709" s="135"/>
      <c r="J709" s="135"/>
      <c r="K709" s="135"/>
      <c r="L709" s="135"/>
    </row>
    <row r="710" spans="2:12" ht="12" customHeight="1" x14ac:dyDescent="0.15">
      <c r="B710" s="2"/>
      <c r="C710" s="4"/>
      <c r="D710" s="4"/>
      <c r="E710" s="4"/>
      <c r="I710" s="135"/>
      <c r="J710" s="135"/>
      <c r="K710" s="135"/>
      <c r="L710" s="135"/>
    </row>
    <row r="711" spans="2:12" ht="12" customHeight="1" x14ac:dyDescent="0.15">
      <c r="B711" s="2"/>
      <c r="C711" s="4"/>
      <c r="D711" s="4"/>
      <c r="E711" s="4"/>
      <c r="I711" s="135"/>
      <c r="J711" s="135"/>
      <c r="K711" s="135"/>
      <c r="L711" s="135"/>
    </row>
    <row r="712" spans="2:12" ht="12" customHeight="1" x14ac:dyDescent="0.15">
      <c r="B712" s="2"/>
      <c r="C712" s="4"/>
      <c r="D712" s="4"/>
      <c r="E712" s="4"/>
      <c r="I712" s="135"/>
      <c r="J712" s="135"/>
      <c r="K712" s="135"/>
      <c r="L712" s="135"/>
    </row>
    <row r="713" spans="2:12" ht="12" customHeight="1" x14ac:dyDescent="0.15">
      <c r="B713" s="2"/>
      <c r="C713" s="4"/>
      <c r="D713" s="4"/>
      <c r="E713" s="4"/>
      <c r="I713" s="135"/>
      <c r="J713" s="135"/>
      <c r="K713" s="135"/>
      <c r="L713" s="135"/>
    </row>
    <row r="714" spans="2:12" ht="12" customHeight="1" x14ac:dyDescent="0.15">
      <c r="B714" s="2"/>
      <c r="C714" s="4"/>
      <c r="D714" s="4"/>
      <c r="E714" s="4"/>
      <c r="I714" s="135"/>
      <c r="J714" s="135"/>
      <c r="K714" s="135"/>
      <c r="L714" s="135"/>
    </row>
    <row r="715" spans="2:12" ht="12" customHeight="1" x14ac:dyDescent="0.15">
      <c r="B715" s="2"/>
      <c r="C715" s="4"/>
      <c r="D715" s="4"/>
      <c r="E715" s="4"/>
      <c r="I715" s="135"/>
      <c r="J715" s="135"/>
      <c r="K715" s="135"/>
      <c r="L715" s="135"/>
    </row>
    <row r="716" spans="2:12" ht="12" customHeight="1" x14ac:dyDescent="0.15">
      <c r="B716" s="2"/>
      <c r="C716" s="4"/>
      <c r="D716" s="4"/>
      <c r="E716" s="4"/>
      <c r="I716" s="135"/>
      <c r="J716" s="135"/>
      <c r="K716" s="135"/>
      <c r="L716" s="135"/>
    </row>
    <row r="717" spans="2:12" ht="12" customHeight="1" x14ac:dyDescent="0.15">
      <c r="B717" s="2"/>
      <c r="C717" s="4"/>
      <c r="D717" s="4"/>
      <c r="E717" s="4"/>
      <c r="I717" s="135"/>
      <c r="J717" s="135"/>
      <c r="K717" s="135"/>
      <c r="L717" s="135"/>
    </row>
    <row r="718" spans="2:12" ht="12" customHeight="1" x14ac:dyDescent="0.15">
      <c r="B718" s="2"/>
      <c r="C718" s="4"/>
      <c r="D718" s="4"/>
      <c r="E718" s="4"/>
      <c r="I718" s="135"/>
      <c r="J718" s="135"/>
      <c r="K718" s="135"/>
      <c r="L718" s="135"/>
    </row>
    <row r="719" spans="2:12" ht="12" customHeight="1" x14ac:dyDescent="0.15">
      <c r="B719" s="2"/>
      <c r="C719" s="4"/>
      <c r="D719" s="4"/>
      <c r="E719" s="4"/>
      <c r="I719" s="135"/>
      <c r="J719" s="135"/>
      <c r="K719" s="135"/>
      <c r="L719" s="135"/>
    </row>
    <row r="720" spans="2:12" ht="12" customHeight="1" x14ac:dyDescent="0.15">
      <c r="B720" s="2"/>
      <c r="C720" s="4"/>
      <c r="D720" s="4"/>
      <c r="E720" s="4"/>
      <c r="I720" s="135"/>
      <c r="J720" s="135"/>
      <c r="K720" s="135"/>
      <c r="L720" s="135"/>
    </row>
    <row r="721" spans="2:12" ht="12" customHeight="1" x14ac:dyDescent="0.15">
      <c r="B721" s="2"/>
      <c r="C721" s="4"/>
      <c r="D721" s="4"/>
      <c r="E721" s="4"/>
      <c r="I721" s="135"/>
      <c r="J721" s="135"/>
      <c r="K721" s="135"/>
      <c r="L721" s="135"/>
    </row>
    <row r="722" spans="2:12" ht="12" customHeight="1" x14ac:dyDescent="0.15">
      <c r="B722" s="2"/>
      <c r="C722" s="4"/>
      <c r="D722" s="4"/>
      <c r="E722" s="4"/>
      <c r="I722" s="135"/>
      <c r="J722" s="135"/>
      <c r="K722" s="135"/>
      <c r="L722" s="135"/>
    </row>
    <row r="723" spans="2:12" ht="12" customHeight="1" x14ac:dyDescent="0.15">
      <c r="B723" s="2"/>
      <c r="C723" s="4"/>
      <c r="D723" s="4"/>
      <c r="E723" s="4"/>
      <c r="I723" s="135"/>
      <c r="J723" s="135"/>
      <c r="K723" s="135"/>
      <c r="L723" s="135"/>
    </row>
    <row r="724" spans="2:12" ht="12" customHeight="1" x14ac:dyDescent="0.15">
      <c r="B724" s="2"/>
      <c r="C724" s="4"/>
      <c r="D724" s="4"/>
      <c r="E724" s="4"/>
      <c r="I724" s="135"/>
      <c r="J724" s="135"/>
      <c r="K724" s="135"/>
      <c r="L724" s="135"/>
    </row>
    <row r="725" spans="2:12" ht="12" customHeight="1" x14ac:dyDescent="0.15">
      <c r="B725" s="2"/>
      <c r="C725" s="4"/>
      <c r="D725" s="4"/>
      <c r="E725" s="4"/>
      <c r="I725" s="135"/>
      <c r="J725" s="135"/>
      <c r="K725" s="135"/>
      <c r="L725" s="135"/>
    </row>
    <row r="726" spans="2:12" ht="12" customHeight="1" x14ac:dyDescent="0.15">
      <c r="B726" s="2"/>
      <c r="C726" s="4"/>
      <c r="D726" s="4"/>
      <c r="E726" s="4"/>
      <c r="I726" s="135"/>
      <c r="J726" s="135"/>
      <c r="K726" s="135"/>
      <c r="L726" s="135"/>
    </row>
    <row r="727" spans="2:12" ht="12" customHeight="1" x14ac:dyDescent="0.15">
      <c r="B727" s="2"/>
      <c r="C727" s="4"/>
      <c r="D727" s="4"/>
      <c r="E727" s="4"/>
      <c r="I727" s="135"/>
      <c r="J727" s="135"/>
      <c r="K727" s="135"/>
      <c r="L727" s="135"/>
    </row>
    <row r="728" spans="2:12" ht="12" customHeight="1" x14ac:dyDescent="0.15">
      <c r="B728" s="2"/>
      <c r="C728" s="4"/>
      <c r="D728" s="4"/>
      <c r="E728" s="4"/>
      <c r="I728" s="135"/>
      <c r="J728" s="135"/>
      <c r="K728" s="135"/>
      <c r="L728" s="135"/>
    </row>
    <row r="729" spans="2:12" ht="12" customHeight="1" x14ac:dyDescent="0.15">
      <c r="B729" s="2"/>
      <c r="C729" s="4"/>
      <c r="D729" s="4"/>
      <c r="E729" s="4"/>
      <c r="I729" s="135"/>
      <c r="J729" s="135"/>
      <c r="K729" s="135"/>
      <c r="L729" s="135"/>
    </row>
    <row r="730" spans="2:12" ht="12" customHeight="1" x14ac:dyDescent="0.15">
      <c r="B730" s="2"/>
      <c r="C730" s="4"/>
      <c r="D730" s="4"/>
      <c r="E730" s="4"/>
      <c r="I730" s="135"/>
      <c r="J730" s="135"/>
      <c r="K730" s="135"/>
      <c r="L730" s="135"/>
    </row>
    <row r="731" spans="2:12" ht="12" customHeight="1" x14ac:dyDescent="0.15">
      <c r="B731" s="2"/>
      <c r="C731" s="4"/>
      <c r="D731" s="4"/>
      <c r="E731" s="4"/>
      <c r="I731" s="135"/>
      <c r="J731" s="135"/>
      <c r="K731" s="135"/>
      <c r="L731" s="135"/>
    </row>
    <row r="732" spans="2:12" ht="12" customHeight="1" x14ac:dyDescent="0.15">
      <c r="B732" s="2"/>
      <c r="C732" s="4"/>
      <c r="D732" s="4"/>
      <c r="E732" s="4"/>
      <c r="I732" s="135"/>
      <c r="J732" s="135"/>
      <c r="K732" s="135"/>
      <c r="L732" s="135"/>
    </row>
    <row r="733" spans="2:12" ht="12" customHeight="1" x14ac:dyDescent="0.15">
      <c r="B733" s="2"/>
      <c r="C733" s="4"/>
      <c r="D733" s="4"/>
      <c r="E733" s="4"/>
      <c r="I733" s="135"/>
      <c r="J733" s="135"/>
      <c r="K733" s="135"/>
      <c r="L733" s="135"/>
    </row>
    <row r="734" spans="2:12" ht="12" customHeight="1" x14ac:dyDescent="0.15">
      <c r="B734" s="2"/>
      <c r="C734" s="4"/>
      <c r="D734" s="4"/>
      <c r="E734" s="4"/>
      <c r="I734" s="135"/>
      <c r="J734" s="135"/>
      <c r="K734" s="135"/>
      <c r="L734" s="135"/>
    </row>
    <row r="735" spans="2:12" ht="12" customHeight="1" x14ac:dyDescent="0.15">
      <c r="B735" s="2"/>
      <c r="C735" s="4"/>
      <c r="D735" s="4"/>
      <c r="E735" s="4"/>
      <c r="I735" s="135"/>
      <c r="J735" s="135"/>
      <c r="K735" s="135"/>
      <c r="L735" s="135"/>
    </row>
    <row r="736" spans="2:12" ht="12" customHeight="1" x14ac:dyDescent="0.15">
      <c r="B736" s="2"/>
      <c r="C736" s="4"/>
      <c r="D736" s="4"/>
      <c r="E736" s="4"/>
      <c r="I736" s="135"/>
      <c r="J736" s="135"/>
      <c r="K736" s="135"/>
      <c r="L736" s="135"/>
    </row>
    <row r="737" spans="2:12" ht="12" customHeight="1" x14ac:dyDescent="0.15">
      <c r="B737" s="2"/>
      <c r="C737" s="4"/>
      <c r="D737" s="4"/>
      <c r="E737" s="4"/>
      <c r="I737" s="135"/>
      <c r="J737" s="135"/>
      <c r="K737" s="135"/>
      <c r="L737" s="135"/>
    </row>
    <row r="738" spans="2:12" ht="12" customHeight="1" x14ac:dyDescent="0.15">
      <c r="B738" s="2"/>
      <c r="C738" s="4"/>
      <c r="D738" s="4"/>
      <c r="E738" s="4"/>
      <c r="I738" s="135"/>
      <c r="J738" s="135"/>
      <c r="K738" s="135"/>
      <c r="L738" s="135"/>
    </row>
    <row r="739" spans="2:12" ht="12" customHeight="1" x14ac:dyDescent="0.15">
      <c r="B739" s="2"/>
      <c r="C739" s="4"/>
      <c r="D739" s="4"/>
      <c r="E739" s="4"/>
      <c r="I739" s="135"/>
      <c r="J739" s="135"/>
      <c r="K739" s="135"/>
      <c r="L739" s="135"/>
    </row>
    <row r="740" spans="2:12" ht="12" customHeight="1" x14ac:dyDescent="0.15">
      <c r="B740" s="2"/>
      <c r="C740" s="4"/>
      <c r="D740" s="4"/>
      <c r="E740" s="4"/>
      <c r="I740" s="135"/>
      <c r="J740" s="135"/>
      <c r="K740" s="135"/>
      <c r="L740" s="135"/>
    </row>
    <row r="741" spans="2:12" ht="12" customHeight="1" x14ac:dyDescent="0.15">
      <c r="B741" s="2"/>
      <c r="C741" s="4"/>
      <c r="D741" s="4"/>
      <c r="E741" s="4"/>
      <c r="I741" s="135"/>
      <c r="J741" s="135"/>
      <c r="K741" s="135"/>
      <c r="L741" s="135"/>
    </row>
    <row r="742" spans="2:12" ht="12" customHeight="1" x14ac:dyDescent="0.15">
      <c r="B742" s="2"/>
      <c r="C742" s="4"/>
      <c r="D742" s="4"/>
      <c r="E742" s="4"/>
      <c r="I742" s="135"/>
      <c r="J742" s="135"/>
      <c r="K742" s="135"/>
      <c r="L742" s="135"/>
    </row>
    <row r="743" spans="2:12" ht="12" customHeight="1" x14ac:dyDescent="0.15">
      <c r="B743" s="2"/>
      <c r="C743" s="4"/>
      <c r="D743" s="4"/>
      <c r="E743" s="4"/>
      <c r="I743" s="135"/>
      <c r="J743" s="135"/>
      <c r="K743" s="135"/>
      <c r="L743" s="135"/>
    </row>
    <row r="744" spans="2:12" ht="12" customHeight="1" x14ac:dyDescent="0.15">
      <c r="B744" s="2"/>
      <c r="C744" s="4"/>
      <c r="D744" s="4"/>
      <c r="E744" s="4"/>
      <c r="I744" s="135"/>
      <c r="J744" s="135"/>
      <c r="K744" s="135"/>
      <c r="L744" s="135"/>
    </row>
    <row r="745" spans="2:12" ht="12" customHeight="1" x14ac:dyDescent="0.15">
      <c r="B745" s="2"/>
      <c r="C745" s="4"/>
      <c r="D745" s="4"/>
      <c r="E745" s="4"/>
      <c r="I745" s="135"/>
      <c r="J745" s="135"/>
      <c r="K745" s="135"/>
      <c r="L745" s="135"/>
    </row>
    <row r="746" spans="2:12" ht="12" customHeight="1" x14ac:dyDescent="0.15">
      <c r="B746" s="2"/>
      <c r="C746" s="4"/>
      <c r="D746" s="4"/>
      <c r="E746" s="4"/>
      <c r="I746" s="135"/>
      <c r="J746" s="135"/>
      <c r="K746" s="135"/>
      <c r="L746" s="135"/>
    </row>
    <row r="747" spans="2:12" ht="12" customHeight="1" x14ac:dyDescent="0.15">
      <c r="B747" s="2"/>
      <c r="C747" s="4"/>
      <c r="D747" s="4"/>
      <c r="E747" s="4"/>
      <c r="I747" s="135"/>
      <c r="J747" s="135"/>
      <c r="K747" s="135"/>
      <c r="L747" s="135"/>
    </row>
    <row r="748" spans="2:12" ht="12" customHeight="1" x14ac:dyDescent="0.15">
      <c r="B748" s="2"/>
      <c r="C748" s="4"/>
      <c r="D748" s="4"/>
      <c r="E748" s="4"/>
      <c r="I748" s="135"/>
      <c r="J748" s="135"/>
      <c r="K748" s="135"/>
      <c r="L748" s="135"/>
    </row>
    <row r="749" spans="2:12" ht="12" customHeight="1" x14ac:dyDescent="0.15">
      <c r="B749" s="2"/>
      <c r="C749" s="4"/>
      <c r="D749" s="4"/>
      <c r="E749" s="4"/>
      <c r="I749" s="135"/>
      <c r="J749" s="135"/>
      <c r="K749" s="135"/>
      <c r="L749" s="135"/>
    </row>
    <row r="750" spans="2:12" ht="12" customHeight="1" x14ac:dyDescent="0.15">
      <c r="B750" s="2"/>
      <c r="C750" s="4"/>
      <c r="D750" s="4"/>
      <c r="E750" s="4"/>
      <c r="I750" s="135"/>
      <c r="J750" s="135"/>
      <c r="K750" s="135"/>
      <c r="L750" s="135"/>
    </row>
    <row r="751" spans="2:12" ht="12" customHeight="1" x14ac:dyDescent="0.15">
      <c r="B751" s="2"/>
      <c r="C751" s="4"/>
      <c r="D751" s="4"/>
      <c r="E751" s="4"/>
      <c r="I751" s="135"/>
      <c r="J751" s="135"/>
      <c r="K751" s="135"/>
      <c r="L751" s="135"/>
    </row>
    <row r="752" spans="2:12" ht="12" customHeight="1" x14ac:dyDescent="0.15">
      <c r="B752" s="2"/>
      <c r="C752" s="4"/>
      <c r="D752" s="4"/>
      <c r="E752" s="4"/>
      <c r="I752" s="135"/>
      <c r="J752" s="135"/>
      <c r="K752" s="135"/>
      <c r="L752" s="135"/>
    </row>
    <row r="753" spans="2:12" ht="12" customHeight="1" x14ac:dyDescent="0.15">
      <c r="B753" s="2"/>
      <c r="C753" s="4"/>
      <c r="D753" s="4"/>
      <c r="E753" s="4"/>
      <c r="I753" s="135"/>
      <c r="J753" s="135"/>
      <c r="K753" s="135"/>
      <c r="L753" s="135"/>
    </row>
    <row r="754" spans="2:12" ht="12" customHeight="1" x14ac:dyDescent="0.15">
      <c r="B754" s="2"/>
      <c r="C754" s="4"/>
      <c r="D754" s="4"/>
      <c r="E754" s="4"/>
      <c r="I754" s="135"/>
      <c r="J754" s="135"/>
      <c r="K754" s="135"/>
      <c r="L754" s="135"/>
    </row>
    <row r="755" spans="2:12" ht="12" customHeight="1" x14ac:dyDescent="0.15">
      <c r="B755" s="2"/>
      <c r="C755" s="4"/>
      <c r="D755" s="4"/>
      <c r="E755" s="4"/>
      <c r="I755" s="135"/>
      <c r="J755" s="135"/>
      <c r="K755" s="135"/>
      <c r="L755" s="135"/>
    </row>
    <row r="756" spans="2:12" ht="12" customHeight="1" x14ac:dyDescent="0.15">
      <c r="B756" s="2"/>
      <c r="C756" s="4"/>
      <c r="D756" s="4"/>
      <c r="E756" s="4"/>
      <c r="I756" s="135"/>
      <c r="J756" s="135"/>
      <c r="K756" s="135"/>
      <c r="L756" s="135"/>
    </row>
    <row r="757" spans="2:12" ht="12" customHeight="1" x14ac:dyDescent="0.15">
      <c r="B757" s="2"/>
      <c r="C757" s="4"/>
      <c r="D757" s="4"/>
      <c r="E757" s="4"/>
      <c r="I757" s="135"/>
      <c r="J757" s="135"/>
      <c r="K757" s="135"/>
      <c r="L757" s="135"/>
    </row>
    <row r="758" spans="2:12" ht="12" customHeight="1" x14ac:dyDescent="0.15">
      <c r="B758" s="2"/>
      <c r="C758" s="4"/>
      <c r="D758" s="4"/>
      <c r="E758" s="4"/>
      <c r="I758" s="135"/>
      <c r="J758" s="135"/>
      <c r="K758" s="135"/>
      <c r="L758" s="135"/>
    </row>
    <row r="759" spans="2:12" ht="12" customHeight="1" x14ac:dyDescent="0.15">
      <c r="B759" s="2"/>
      <c r="C759" s="4"/>
      <c r="D759" s="4"/>
      <c r="E759" s="4"/>
      <c r="I759" s="135"/>
      <c r="J759" s="135"/>
      <c r="K759" s="135"/>
      <c r="L759" s="135"/>
    </row>
    <row r="760" spans="2:12" ht="12" customHeight="1" x14ac:dyDescent="0.15">
      <c r="B760" s="2"/>
      <c r="C760" s="4"/>
      <c r="D760" s="4"/>
      <c r="E760" s="4"/>
      <c r="I760" s="135"/>
      <c r="J760" s="135"/>
      <c r="K760" s="135"/>
      <c r="L760" s="135"/>
    </row>
    <row r="761" spans="2:12" ht="12" customHeight="1" x14ac:dyDescent="0.15">
      <c r="B761" s="2"/>
      <c r="C761" s="4"/>
      <c r="D761" s="4"/>
      <c r="E761" s="4"/>
      <c r="I761" s="135"/>
      <c r="J761" s="135"/>
      <c r="K761" s="135"/>
      <c r="L761" s="135"/>
    </row>
    <row r="762" spans="2:12" ht="12" customHeight="1" x14ac:dyDescent="0.15">
      <c r="B762" s="2"/>
      <c r="C762" s="4"/>
      <c r="D762" s="4"/>
      <c r="E762" s="4"/>
      <c r="I762" s="135"/>
      <c r="J762" s="135"/>
      <c r="K762" s="135"/>
      <c r="L762" s="135"/>
    </row>
    <row r="763" spans="2:12" ht="12" customHeight="1" x14ac:dyDescent="0.15">
      <c r="B763" s="2"/>
      <c r="C763" s="4"/>
      <c r="D763" s="4"/>
      <c r="E763" s="4"/>
      <c r="I763" s="135"/>
      <c r="J763" s="135"/>
      <c r="K763" s="135"/>
      <c r="L763" s="135"/>
    </row>
    <row r="764" spans="2:12" ht="12" customHeight="1" x14ac:dyDescent="0.15">
      <c r="B764" s="2"/>
      <c r="C764" s="4"/>
      <c r="D764" s="4"/>
      <c r="E764" s="4"/>
      <c r="I764" s="135"/>
      <c r="J764" s="135"/>
      <c r="K764" s="135"/>
      <c r="L764" s="135"/>
    </row>
    <row r="765" spans="2:12" ht="12" customHeight="1" x14ac:dyDescent="0.15">
      <c r="B765" s="2"/>
      <c r="C765" s="4"/>
      <c r="D765" s="4"/>
      <c r="E765" s="4"/>
      <c r="I765" s="135"/>
      <c r="J765" s="135"/>
      <c r="K765" s="135"/>
      <c r="L765" s="135"/>
    </row>
    <row r="766" spans="2:12" ht="12" customHeight="1" x14ac:dyDescent="0.15">
      <c r="B766" s="2"/>
      <c r="C766" s="4"/>
      <c r="D766" s="4"/>
      <c r="E766" s="4"/>
      <c r="I766" s="135"/>
      <c r="J766" s="135"/>
      <c r="K766" s="135"/>
      <c r="L766" s="135"/>
    </row>
    <row r="767" spans="2:12" ht="12" customHeight="1" x14ac:dyDescent="0.15">
      <c r="B767" s="2"/>
      <c r="C767" s="4"/>
      <c r="D767" s="4"/>
      <c r="E767" s="4"/>
      <c r="I767" s="135"/>
      <c r="J767" s="135"/>
      <c r="K767" s="135"/>
      <c r="L767" s="135"/>
    </row>
    <row r="768" spans="2:12" ht="12" customHeight="1" x14ac:dyDescent="0.15">
      <c r="B768" s="2"/>
      <c r="C768" s="4"/>
      <c r="D768" s="4"/>
      <c r="E768" s="4"/>
      <c r="I768" s="135"/>
      <c r="J768" s="135"/>
      <c r="K768" s="135"/>
      <c r="L768" s="135"/>
    </row>
    <row r="769" spans="2:12" ht="12" customHeight="1" x14ac:dyDescent="0.15">
      <c r="B769" s="2"/>
      <c r="C769" s="4"/>
      <c r="D769" s="4"/>
      <c r="E769" s="4"/>
      <c r="I769" s="135"/>
      <c r="J769" s="135"/>
      <c r="K769" s="135"/>
      <c r="L769" s="135"/>
    </row>
    <row r="770" spans="2:12" ht="12" customHeight="1" x14ac:dyDescent="0.15">
      <c r="B770" s="2"/>
      <c r="C770" s="4"/>
      <c r="D770" s="4"/>
      <c r="E770" s="4"/>
      <c r="I770" s="135"/>
      <c r="J770" s="135"/>
      <c r="K770" s="135"/>
      <c r="L770" s="135"/>
    </row>
    <row r="771" spans="2:12" ht="12" customHeight="1" x14ac:dyDescent="0.15">
      <c r="B771" s="2"/>
      <c r="C771" s="4"/>
      <c r="D771" s="4"/>
      <c r="E771" s="4"/>
      <c r="I771" s="135"/>
      <c r="J771" s="135"/>
      <c r="K771" s="135"/>
      <c r="L771" s="135"/>
    </row>
    <row r="772" spans="2:12" ht="12" customHeight="1" x14ac:dyDescent="0.15">
      <c r="B772" s="2"/>
      <c r="C772" s="4"/>
      <c r="D772" s="4"/>
      <c r="E772" s="4"/>
      <c r="I772" s="135"/>
      <c r="J772" s="135"/>
      <c r="K772" s="135"/>
      <c r="L772" s="135"/>
    </row>
    <row r="773" spans="2:12" ht="12" customHeight="1" x14ac:dyDescent="0.15">
      <c r="B773" s="2"/>
      <c r="C773" s="4"/>
      <c r="D773" s="4"/>
      <c r="E773" s="4"/>
      <c r="I773" s="135"/>
      <c r="J773" s="135"/>
      <c r="K773" s="135"/>
      <c r="L773" s="135"/>
    </row>
    <row r="774" spans="2:12" ht="12" customHeight="1" x14ac:dyDescent="0.15">
      <c r="B774" s="2"/>
      <c r="C774" s="4"/>
      <c r="D774" s="4"/>
      <c r="E774" s="4"/>
      <c r="I774" s="135"/>
      <c r="J774" s="135"/>
      <c r="K774" s="135"/>
      <c r="L774" s="135"/>
    </row>
    <row r="775" spans="2:12" ht="12" customHeight="1" x14ac:dyDescent="0.15">
      <c r="B775" s="2"/>
      <c r="C775" s="4"/>
      <c r="D775" s="4"/>
      <c r="E775" s="4"/>
      <c r="I775" s="135"/>
      <c r="J775" s="135"/>
      <c r="K775" s="135"/>
      <c r="L775" s="135"/>
    </row>
    <row r="776" spans="2:12" ht="12" customHeight="1" x14ac:dyDescent="0.15">
      <c r="B776" s="2"/>
      <c r="C776" s="4"/>
      <c r="D776" s="4"/>
      <c r="E776" s="4"/>
      <c r="I776" s="135"/>
      <c r="J776" s="135"/>
      <c r="K776" s="135"/>
      <c r="L776" s="135"/>
    </row>
    <row r="777" spans="2:12" ht="12" customHeight="1" x14ac:dyDescent="0.15">
      <c r="B777" s="2"/>
      <c r="C777" s="4"/>
      <c r="D777" s="4"/>
      <c r="E777" s="4"/>
      <c r="I777" s="135"/>
      <c r="J777" s="135"/>
      <c r="K777" s="135"/>
      <c r="L777" s="135"/>
    </row>
    <row r="778" spans="2:12" ht="12" customHeight="1" x14ac:dyDescent="0.15">
      <c r="B778" s="2"/>
      <c r="C778" s="4"/>
      <c r="D778" s="4"/>
      <c r="E778" s="4"/>
      <c r="I778" s="135"/>
      <c r="J778" s="135"/>
      <c r="K778" s="135"/>
      <c r="L778" s="135"/>
    </row>
    <row r="779" spans="2:12" ht="12" customHeight="1" x14ac:dyDescent="0.15">
      <c r="B779" s="2"/>
      <c r="C779" s="4"/>
      <c r="D779" s="4"/>
      <c r="E779" s="4"/>
      <c r="I779" s="135"/>
      <c r="J779" s="135"/>
      <c r="K779" s="135"/>
      <c r="L779" s="135"/>
    </row>
    <row r="780" spans="2:12" ht="12" customHeight="1" x14ac:dyDescent="0.15">
      <c r="B780" s="2"/>
      <c r="C780" s="4"/>
      <c r="D780" s="4"/>
      <c r="E780" s="4"/>
      <c r="I780" s="135"/>
      <c r="J780" s="135"/>
      <c r="K780" s="135"/>
      <c r="L780" s="135"/>
    </row>
    <row r="781" spans="2:12" ht="12" customHeight="1" x14ac:dyDescent="0.15">
      <c r="B781" s="2"/>
      <c r="C781" s="4"/>
      <c r="D781" s="4"/>
      <c r="E781" s="4"/>
      <c r="I781" s="135"/>
      <c r="J781" s="135"/>
      <c r="K781" s="135"/>
      <c r="L781" s="135"/>
    </row>
    <row r="782" spans="2:12" ht="12" customHeight="1" x14ac:dyDescent="0.15">
      <c r="B782" s="2"/>
      <c r="C782" s="4"/>
      <c r="D782" s="4"/>
      <c r="E782" s="4"/>
      <c r="I782" s="135"/>
      <c r="J782" s="135"/>
      <c r="K782" s="135"/>
      <c r="L782" s="135"/>
    </row>
    <row r="783" spans="2:12" ht="12" customHeight="1" x14ac:dyDescent="0.15">
      <c r="B783" s="2"/>
      <c r="C783" s="4"/>
      <c r="D783" s="4"/>
      <c r="E783" s="4"/>
      <c r="I783" s="135"/>
      <c r="J783" s="135"/>
      <c r="K783" s="135"/>
      <c r="L783" s="135"/>
    </row>
    <row r="784" spans="2:12" ht="12" customHeight="1" x14ac:dyDescent="0.15">
      <c r="B784" s="2"/>
      <c r="C784" s="4"/>
      <c r="D784" s="4"/>
      <c r="E784" s="4"/>
      <c r="I784" s="135"/>
      <c r="J784" s="135"/>
      <c r="K784" s="135"/>
      <c r="L784" s="135"/>
    </row>
    <row r="785" spans="2:12" ht="12" customHeight="1" x14ac:dyDescent="0.15">
      <c r="B785" s="2"/>
      <c r="C785" s="4"/>
      <c r="D785" s="4"/>
      <c r="E785" s="4"/>
      <c r="I785" s="135"/>
      <c r="J785" s="135"/>
      <c r="K785" s="135"/>
      <c r="L785" s="135"/>
    </row>
    <row r="786" spans="2:12" ht="12" customHeight="1" x14ac:dyDescent="0.15">
      <c r="B786" s="2"/>
      <c r="C786" s="4"/>
      <c r="D786" s="4"/>
      <c r="E786" s="4"/>
      <c r="I786" s="135"/>
      <c r="J786" s="135"/>
      <c r="K786" s="135"/>
      <c r="L786" s="135"/>
    </row>
    <row r="787" spans="2:12" ht="12" customHeight="1" x14ac:dyDescent="0.15">
      <c r="B787" s="2"/>
      <c r="C787" s="4"/>
      <c r="D787" s="4"/>
      <c r="E787" s="4"/>
      <c r="I787" s="135"/>
      <c r="J787" s="135"/>
      <c r="K787" s="135"/>
      <c r="L787" s="135"/>
    </row>
    <row r="788" spans="2:12" ht="12" customHeight="1" x14ac:dyDescent="0.15">
      <c r="B788" s="2"/>
      <c r="C788" s="4"/>
      <c r="D788" s="4"/>
      <c r="E788" s="4"/>
      <c r="I788" s="135"/>
      <c r="J788" s="135"/>
      <c r="K788" s="135"/>
      <c r="L788" s="135"/>
    </row>
    <row r="789" spans="2:12" ht="12" customHeight="1" x14ac:dyDescent="0.15">
      <c r="B789" s="2"/>
      <c r="C789" s="4"/>
      <c r="D789" s="4"/>
      <c r="E789" s="4"/>
      <c r="I789" s="135"/>
      <c r="J789" s="135"/>
      <c r="K789" s="135"/>
      <c r="L789" s="135"/>
    </row>
    <row r="790" spans="2:12" ht="12" customHeight="1" x14ac:dyDescent="0.15">
      <c r="B790" s="2"/>
      <c r="C790" s="4"/>
      <c r="D790" s="4"/>
      <c r="E790" s="4"/>
      <c r="I790" s="135"/>
      <c r="J790" s="135"/>
      <c r="K790" s="135"/>
      <c r="L790" s="135"/>
    </row>
    <row r="791" spans="2:12" ht="12" customHeight="1" x14ac:dyDescent="0.15">
      <c r="B791" s="2"/>
      <c r="C791" s="4"/>
      <c r="D791" s="4"/>
      <c r="E791" s="4"/>
      <c r="I791" s="135"/>
      <c r="J791" s="135"/>
      <c r="K791" s="135"/>
      <c r="L791" s="135"/>
    </row>
    <row r="792" spans="2:12" ht="12" customHeight="1" x14ac:dyDescent="0.15">
      <c r="B792" s="2"/>
      <c r="C792" s="4"/>
      <c r="D792" s="4"/>
      <c r="E792" s="4"/>
      <c r="I792" s="135"/>
      <c r="J792" s="135"/>
      <c r="K792" s="135"/>
      <c r="L792" s="135"/>
    </row>
    <row r="793" spans="2:12" ht="12" customHeight="1" x14ac:dyDescent="0.15">
      <c r="B793" s="2"/>
      <c r="C793" s="4"/>
      <c r="D793" s="4"/>
      <c r="E793" s="4"/>
      <c r="I793" s="135"/>
      <c r="J793" s="135"/>
      <c r="K793" s="135"/>
      <c r="L793" s="135"/>
    </row>
    <row r="794" spans="2:12" ht="12" customHeight="1" x14ac:dyDescent="0.15">
      <c r="B794" s="2"/>
      <c r="C794" s="4"/>
      <c r="D794" s="4"/>
      <c r="E794" s="4"/>
      <c r="I794" s="135"/>
      <c r="J794" s="135"/>
      <c r="K794" s="135"/>
      <c r="L794" s="135"/>
    </row>
    <row r="795" spans="2:12" ht="12" customHeight="1" x14ac:dyDescent="0.15">
      <c r="B795" s="2"/>
      <c r="C795" s="4"/>
      <c r="D795" s="4"/>
      <c r="E795" s="4"/>
      <c r="I795" s="135"/>
      <c r="J795" s="135"/>
      <c r="K795" s="135"/>
      <c r="L795" s="135"/>
    </row>
    <row r="796" spans="2:12" ht="12" customHeight="1" x14ac:dyDescent="0.15">
      <c r="B796" s="2"/>
      <c r="C796" s="4"/>
      <c r="D796" s="4"/>
      <c r="E796" s="4"/>
      <c r="I796" s="135"/>
      <c r="J796" s="135"/>
      <c r="K796" s="135"/>
      <c r="L796" s="135"/>
    </row>
    <row r="797" spans="2:12" ht="12" customHeight="1" x14ac:dyDescent="0.15">
      <c r="B797" s="2"/>
      <c r="C797" s="4"/>
      <c r="D797" s="4"/>
      <c r="E797" s="4"/>
      <c r="I797" s="135"/>
      <c r="J797" s="135"/>
      <c r="K797" s="135"/>
      <c r="L797" s="135"/>
    </row>
    <row r="798" spans="2:12" ht="12" customHeight="1" x14ac:dyDescent="0.15">
      <c r="B798" s="2"/>
      <c r="C798" s="4"/>
      <c r="D798" s="4"/>
      <c r="E798" s="4"/>
      <c r="I798" s="135"/>
      <c r="J798" s="135"/>
      <c r="K798" s="135"/>
      <c r="L798" s="135"/>
    </row>
    <row r="799" spans="2:12" ht="12" customHeight="1" x14ac:dyDescent="0.15">
      <c r="B799" s="2"/>
      <c r="C799" s="4"/>
      <c r="D799" s="4"/>
      <c r="E799" s="4"/>
      <c r="I799" s="135"/>
      <c r="J799" s="135"/>
      <c r="K799" s="135"/>
      <c r="L799" s="135"/>
    </row>
    <row r="800" spans="2:12" ht="12" customHeight="1" x14ac:dyDescent="0.15">
      <c r="B800" s="2"/>
      <c r="C800" s="4"/>
      <c r="D800" s="4"/>
      <c r="E800" s="4"/>
      <c r="I800" s="135"/>
      <c r="J800" s="135"/>
      <c r="K800" s="135"/>
      <c r="L800" s="135"/>
    </row>
    <row r="801" spans="2:12" ht="12" customHeight="1" x14ac:dyDescent="0.15">
      <c r="B801" s="2"/>
      <c r="C801" s="4"/>
      <c r="D801" s="4"/>
      <c r="E801" s="4"/>
      <c r="I801" s="135"/>
      <c r="J801" s="135"/>
      <c r="K801" s="135"/>
      <c r="L801" s="135"/>
    </row>
    <row r="802" spans="2:12" ht="12" customHeight="1" x14ac:dyDescent="0.15">
      <c r="B802" s="2"/>
      <c r="C802" s="4"/>
      <c r="D802" s="4"/>
      <c r="E802" s="4"/>
      <c r="I802" s="135"/>
      <c r="J802" s="135"/>
      <c r="K802" s="135"/>
      <c r="L802" s="135"/>
    </row>
    <row r="803" spans="2:12" ht="12" customHeight="1" x14ac:dyDescent="0.15">
      <c r="B803" s="2"/>
      <c r="C803" s="4"/>
      <c r="D803" s="4"/>
      <c r="E803" s="4"/>
      <c r="I803" s="135"/>
      <c r="J803" s="135"/>
      <c r="K803" s="135"/>
      <c r="L803" s="135"/>
    </row>
    <row r="804" spans="2:12" ht="12" customHeight="1" x14ac:dyDescent="0.15">
      <c r="B804" s="2"/>
      <c r="C804" s="4"/>
      <c r="D804" s="4"/>
      <c r="E804" s="4"/>
      <c r="I804" s="135"/>
      <c r="J804" s="135"/>
      <c r="K804" s="135"/>
      <c r="L804" s="135"/>
    </row>
    <row r="805" spans="2:12" ht="12" customHeight="1" x14ac:dyDescent="0.15">
      <c r="B805" s="2"/>
      <c r="C805" s="4"/>
      <c r="D805" s="4"/>
      <c r="E805" s="4"/>
      <c r="I805" s="135"/>
      <c r="J805" s="135"/>
      <c r="K805" s="135"/>
      <c r="L805" s="135"/>
    </row>
    <row r="806" spans="2:12" ht="12" customHeight="1" x14ac:dyDescent="0.15">
      <c r="B806" s="2"/>
      <c r="C806" s="4"/>
      <c r="D806" s="4"/>
      <c r="E806" s="4"/>
      <c r="I806" s="135"/>
      <c r="J806" s="135"/>
      <c r="K806" s="135"/>
      <c r="L806" s="135"/>
    </row>
    <row r="807" spans="2:12" ht="12" customHeight="1" x14ac:dyDescent="0.15">
      <c r="B807" s="2"/>
      <c r="C807" s="4"/>
      <c r="D807" s="4"/>
      <c r="E807" s="4"/>
      <c r="I807" s="135"/>
      <c r="J807" s="135"/>
      <c r="K807" s="135"/>
      <c r="L807" s="135"/>
    </row>
    <row r="808" spans="2:12" ht="12" customHeight="1" x14ac:dyDescent="0.15">
      <c r="B808" s="2"/>
      <c r="C808" s="4"/>
      <c r="D808" s="4"/>
      <c r="E808" s="4"/>
      <c r="I808" s="135"/>
      <c r="J808" s="135"/>
      <c r="K808" s="135"/>
      <c r="L808" s="135"/>
    </row>
    <row r="809" spans="2:12" ht="12" customHeight="1" x14ac:dyDescent="0.15">
      <c r="B809" s="2"/>
      <c r="C809" s="4"/>
      <c r="D809" s="4"/>
      <c r="E809" s="4"/>
      <c r="I809" s="135"/>
      <c r="J809" s="135"/>
      <c r="K809" s="135"/>
      <c r="L809" s="135"/>
    </row>
    <row r="810" spans="2:12" ht="12" customHeight="1" x14ac:dyDescent="0.15">
      <c r="B810" s="2"/>
      <c r="C810" s="4"/>
      <c r="D810" s="4"/>
      <c r="E810" s="4"/>
      <c r="I810" s="135"/>
      <c r="J810" s="135"/>
      <c r="K810" s="135"/>
      <c r="L810" s="135"/>
    </row>
    <row r="811" spans="2:12" ht="12" customHeight="1" x14ac:dyDescent="0.15">
      <c r="B811" s="2"/>
      <c r="C811" s="4"/>
      <c r="D811" s="4"/>
      <c r="E811" s="4"/>
      <c r="I811" s="135"/>
      <c r="J811" s="135"/>
      <c r="K811" s="135"/>
      <c r="L811" s="135"/>
    </row>
    <row r="812" spans="2:12" ht="12" customHeight="1" x14ac:dyDescent="0.15">
      <c r="B812" s="2"/>
      <c r="C812" s="4"/>
      <c r="D812" s="4"/>
      <c r="E812" s="4"/>
      <c r="I812" s="135"/>
      <c r="J812" s="135"/>
      <c r="K812" s="135"/>
      <c r="L812" s="135"/>
    </row>
    <row r="813" spans="2:12" ht="12" customHeight="1" x14ac:dyDescent="0.15">
      <c r="B813" s="2"/>
      <c r="C813" s="4"/>
      <c r="D813" s="4"/>
      <c r="E813" s="4"/>
      <c r="I813" s="135"/>
      <c r="J813" s="135"/>
      <c r="K813" s="135"/>
      <c r="L813" s="135"/>
    </row>
    <row r="814" spans="2:12" ht="12" customHeight="1" x14ac:dyDescent="0.15">
      <c r="B814" s="2"/>
      <c r="C814" s="4"/>
      <c r="D814" s="4"/>
      <c r="E814" s="4"/>
      <c r="I814" s="135"/>
      <c r="J814" s="135"/>
      <c r="K814" s="135"/>
      <c r="L814" s="135"/>
    </row>
    <row r="815" spans="2:12" ht="12" customHeight="1" x14ac:dyDescent="0.15">
      <c r="B815" s="2"/>
      <c r="C815" s="4"/>
      <c r="D815" s="4"/>
      <c r="E815" s="4"/>
      <c r="I815" s="135"/>
      <c r="J815" s="135"/>
      <c r="K815" s="135"/>
      <c r="L815" s="135"/>
    </row>
    <row r="816" spans="2:12" ht="12" customHeight="1" x14ac:dyDescent="0.15">
      <c r="B816" s="2"/>
      <c r="C816" s="4"/>
      <c r="D816" s="4"/>
      <c r="E816" s="4"/>
      <c r="I816" s="135"/>
      <c r="J816" s="135"/>
      <c r="K816" s="135"/>
      <c r="L816" s="135"/>
    </row>
    <row r="817" spans="2:12" ht="12" customHeight="1" x14ac:dyDescent="0.15">
      <c r="B817" s="2"/>
      <c r="C817" s="4"/>
      <c r="D817" s="4"/>
      <c r="E817" s="4"/>
      <c r="I817" s="135"/>
      <c r="J817" s="135"/>
      <c r="K817" s="135"/>
      <c r="L817" s="135"/>
    </row>
    <row r="818" spans="2:12" ht="12" customHeight="1" x14ac:dyDescent="0.15">
      <c r="B818" s="2"/>
      <c r="C818" s="4"/>
      <c r="D818" s="4"/>
      <c r="E818" s="4"/>
      <c r="I818" s="135"/>
      <c r="J818" s="135"/>
      <c r="K818" s="135"/>
      <c r="L818" s="135"/>
    </row>
    <row r="819" spans="2:12" ht="12" customHeight="1" x14ac:dyDescent="0.15">
      <c r="B819" s="2"/>
      <c r="C819" s="4"/>
      <c r="D819" s="4"/>
      <c r="E819" s="4"/>
      <c r="I819" s="135"/>
      <c r="J819" s="135"/>
      <c r="K819" s="135"/>
      <c r="L819" s="135"/>
    </row>
    <row r="820" spans="2:12" ht="12" customHeight="1" x14ac:dyDescent="0.15">
      <c r="B820" s="2"/>
      <c r="C820" s="4"/>
      <c r="D820" s="4"/>
      <c r="E820" s="4"/>
      <c r="I820" s="135"/>
      <c r="J820" s="135"/>
      <c r="K820" s="135"/>
      <c r="L820" s="135"/>
    </row>
    <row r="821" spans="2:12" ht="12" customHeight="1" x14ac:dyDescent="0.15">
      <c r="B821" s="2"/>
      <c r="C821" s="4"/>
      <c r="D821" s="4"/>
      <c r="E821" s="4"/>
      <c r="I821" s="135"/>
      <c r="J821" s="135"/>
      <c r="K821" s="135"/>
      <c r="L821" s="135"/>
    </row>
    <row r="822" spans="2:12" ht="12" customHeight="1" x14ac:dyDescent="0.15">
      <c r="B822" s="2"/>
      <c r="C822" s="4"/>
      <c r="D822" s="4"/>
      <c r="E822" s="4"/>
      <c r="I822" s="135"/>
      <c r="J822" s="135"/>
      <c r="K822" s="135"/>
      <c r="L822" s="135"/>
    </row>
    <row r="823" spans="2:12" ht="12" customHeight="1" x14ac:dyDescent="0.15">
      <c r="B823" s="2"/>
      <c r="C823" s="4"/>
      <c r="D823" s="4"/>
      <c r="E823" s="4"/>
      <c r="I823" s="135"/>
      <c r="J823" s="135"/>
      <c r="K823" s="135"/>
      <c r="L823" s="135"/>
    </row>
    <row r="824" spans="2:12" ht="12" customHeight="1" x14ac:dyDescent="0.15">
      <c r="B824" s="2"/>
      <c r="C824" s="4"/>
      <c r="D824" s="4"/>
      <c r="E824" s="4"/>
      <c r="I824" s="135"/>
      <c r="J824" s="135"/>
      <c r="K824" s="135"/>
      <c r="L824" s="135"/>
    </row>
    <row r="825" spans="2:12" ht="12" customHeight="1" x14ac:dyDescent="0.15">
      <c r="B825" s="2"/>
      <c r="C825" s="4"/>
      <c r="D825" s="4"/>
      <c r="E825" s="4"/>
      <c r="I825" s="135"/>
      <c r="J825" s="135"/>
      <c r="K825" s="135"/>
      <c r="L825" s="135"/>
    </row>
    <row r="826" spans="2:12" ht="12" customHeight="1" x14ac:dyDescent="0.15">
      <c r="B826" s="2"/>
      <c r="C826" s="4"/>
      <c r="D826" s="4"/>
      <c r="E826" s="4"/>
      <c r="I826" s="135"/>
      <c r="J826" s="135"/>
      <c r="K826" s="135"/>
      <c r="L826" s="135"/>
    </row>
    <row r="827" spans="2:12" ht="12" customHeight="1" x14ac:dyDescent="0.15">
      <c r="B827" s="2"/>
      <c r="C827" s="4"/>
      <c r="D827" s="4"/>
      <c r="E827" s="4"/>
      <c r="I827" s="135"/>
      <c r="J827" s="135"/>
      <c r="K827" s="135"/>
      <c r="L827" s="135"/>
    </row>
    <row r="828" spans="2:12" ht="12" customHeight="1" x14ac:dyDescent="0.15">
      <c r="B828" s="2"/>
      <c r="C828" s="4"/>
      <c r="D828" s="4"/>
      <c r="E828" s="4"/>
      <c r="I828" s="135"/>
      <c r="J828" s="135"/>
      <c r="K828" s="135"/>
      <c r="L828" s="135"/>
    </row>
    <row r="829" spans="2:12" ht="12" customHeight="1" x14ac:dyDescent="0.15">
      <c r="B829" s="2"/>
      <c r="C829" s="4"/>
      <c r="D829" s="4"/>
      <c r="E829" s="4"/>
      <c r="I829" s="135"/>
      <c r="J829" s="135"/>
      <c r="K829" s="135"/>
      <c r="L829" s="135"/>
    </row>
    <row r="830" spans="2:12" ht="12" customHeight="1" x14ac:dyDescent="0.15">
      <c r="B830" s="2"/>
      <c r="C830" s="4"/>
      <c r="D830" s="4"/>
      <c r="E830" s="4"/>
      <c r="I830" s="135"/>
      <c r="J830" s="135"/>
      <c r="K830" s="135"/>
      <c r="L830" s="135"/>
    </row>
    <row r="831" spans="2:12" ht="12" customHeight="1" x14ac:dyDescent="0.15">
      <c r="B831" s="2"/>
      <c r="C831" s="4"/>
      <c r="D831" s="4"/>
      <c r="E831" s="4"/>
      <c r="I831" s="135"/>
      <c r="J831" s="135"/>
      <c r="K831" s="135"/>
      <c r="L831" s="135"/>
    </row>
    <row r="832" spans="2:12" ht="12" customHeight="1" x14ac:dyDescent="0.15">
      <c r="B832" s="2"/>
      <c r="C832" s="4"/>
      <c r="D832" s="4"/>
      <c r="E832" s="4"/>
      <c r="I832" s="135"/>
      <c r="J832" s="135"/>
      <c r="K832" s="135"/>
      <c r="L832" s="135"/>
    </row>
    <row r="833" spans="2:12" ht="12" customHeight="1" x14ac:dyDescent="0.15">
      <c r="B833" s="2"/>
      <c r="C833" s="4"/>
      <c r="D833" s="4"/>
      <c r="E833" s="4"/>
      <c r="I833" s="135"/>
      <c r="J833" s="135"/>
      <c r="K833" s="135"/>
      <c r="L833" s="135"/>
    </row>
    <row r="834" spans="2:12" ht="12" customHeight="1" x14ac:dyDescent="0.15">
      <c r="B834" s="2"/>
      <c r="C834" s="4"/>
      <c r="D834" s="4"/>
      <c r="E834" s="4"/>
      <c r="I834" s="135"/>
      <c r="J834" s="135"/>
      <c r="K834" s="135"/>
      <c r="L834" s="135"/>
    </row>
    <row r="835" spans="2:12" ht="12" customHeight="1" x14ac:dyDescent="0.15">
      <c r="B835" s="2"/>
      <c r="C835" s="4"/>
      <c r="D835" s="4"/>
      <c r="E835" s="4"/>
      <c r="I835" s="135"/>
      <c r="J835" s="135"/>
      <c r="K835" s="135"/>
      <c r="L835" s="135"/>
    </row>
    <row r="836" spans="2:12" ht="12" customHeight="1" x14ac:dyDescent="0.15">
      <c r="B836" s="2"/>
      <c r="C836" s="4"/>
      <c r="D836" s="4"/>
      <c r="E836" s="4"/>
      <c r="I836" s="135"/>
      <c r="J836" s="135"/>
      <c r="K836" s="135"/>
      <c r="L836" s="135"/>
    </row>
    <row r="837" spans="2:12" ht="12" customHeight="1" x14ac:dyDescent="0.15">
      <c r="B837" s="2"/>
      <c r="C837" s="4"/>
      <c r="D837" s="4"/>
      <c r="E837" s="4"/>
      <c r="I837" s="135"/>
      <c r="J837" s="135"/>
      <c r="K837" s="135"/>
      <c r="L837" s="135"/>
    </row>
    <row r="838" spans="2:12" ht="12" customHeight="1" x14ac:dyDescent="0.15">
      <c r="B838" s="2"/>
      <c r="C838" s="4"/>
      <c r="D838" s="4"/>
      <c r="E838" s="4"/>
      <c r="I838" s="135"/>
      <c r="J838" s="135"/>
      <c r="K838" s="135"/>
      <c r="L838" s="135"/>
    </row>
    <row r="839" spans="2:12" ht="12" customHeight="1" x14ac:dyDescent="0.15">
      <c r="B839" s="2"/>
      <c r="C839" s="4"/>
      <c r="D839" s="4"/>
      <c r="E839" s="4"/>
      <c r="I839" s="135"/>
      <c r="J839" s="135"/>
      <c r="K839" s="135"/>
      <c r="L839" s="135"/>
    </row>
    <row r="840" spans="2:12" ht="12" customHeight="1" x14ac:dyDescent="0.15">
      <c r="B840" s="2"/>
      <c r="C840" s="4"/>
      <c r="D840" s="4"/>
      <c r="E840" s="4"/>
      <c r="I840" s="135"/>
      <c r="J840" s="135"/>
      <c r="K840" s="135"/>
      <c r="L840" s="135"/>
    </row>
    <row r="841" spans="2:12" ht="12" customHeight="1" x14ac:dyDescent="0.15">
      <c r="B841" s="2"/>
      <c r="C841" s="4"/>
      <c r="D841" s="4"/>
      <c r="E841" s="4"/>
      <c r="I841" s="135"/>
      <c r="J841" s="135"/>
      <c r="K841" s="135"/>
      <c r="L841" s="135"/>
    </row>
    <row r="842" spans="2:12" ht="12" customHeight="1" x14ac:dyDescent="0.15">
      <c r="B842" s="2"/>
      <c r="C842" s="4"/>
      <c r="D842" s="4"/>
      <c r="E842" s="4"/>
      <c r="I842" s="135"/>
      <c r="J842" s="135"/>
      <c r="K842" s="135"/>
      <c r="L842" s="135"/>
    </row>
    <row r="843" spans="2:12" ht="12" customHeight="1" x14ac:dyDescent="0.15">
      <c r="B843" s="2"/>
      <c r="C843" s="4"/>
      <c r="D843" s="4"/>
      <c r="E843" s="4"/>
      <c r="I843" s="135"/>
      <c r="J843" s="135"/>
      <c r="K843" s="135"/>
      <c r="L843" s="135"/>
    </row>
    <row r="844" spans="2:12" ht="12" customHeight="1" x14ac:dyDescent="0.15">
      <c r="B844" s="2"/>
      <c r="C844" s="4"/>
      <c r="D844" s="4"/>
      <c r="E844" s="4"/>
      <c r="I844" s="135"/>
      <c r="J844" s="135"/>
      <c r="K844" s="135"/>
      <c r="L844" s="135"/>
    </row>
    <row r="845" spans="2:12" ht="12" customHeight="1" x14ac:dyDescent="0.15">
      <c r="B845" s="2"/>
      <c r="C845" s="4"/>
      <c r="D845" s="4"/>
      <c r="E845" s="4"/>
      <c r="I845" s="135"/>
      <c r="J845" s="135"/>
      <c r="K845" s="135"/>
      <c r="L845" s="135"/>
    </row>
    <row r="846" spans="2:12" ht="12" customHeight="1" x14ac:dyDescent="0.15">
      <c r="B846" s="2"/>
      <c r="C846" s="4"/>
      <c r="D846" s="4"/>
      <c r="E846" s="4"/>
      <c r="I846" s="135"/>
      <c r="J846" s="135"/>
      <c r="K846" s="135"/>
      <c r="L846" s="135"/>
    </row>
    <row r="847" spans="2:12" ht="12" customHeight="1" x14ac:dyDescent="0.15">
      <c r="B847" s="2"/>
      <c r="C847" s="4"/>
      <c r="D847" s="4"/>
      <c r="E847" s="4"/>
      <c r="I847" s="135"/>
      <c r="J847" s="135"/>
      <c r="K847" s="135"/>
      <c r="L847" s="135"/>
    </row>
    <row r="848" spans="2:12" ht="12" customHeight="1" x14ac:dyDescent="0.15">
      <c r="B848" s="2"/>
      <c r="C848" s="4"/>
      <c r="D848" s="4"/>
      <c r="E848" s="4"/>
      <c r="I848" s="135"/>
      <c r="J848" s="135"/>
      <c r="K848" s="135"/>
      <c r="L848" s="135"/>
    </row>
    <row r="849" spans="2:12" ht="12" customHeight="1" x14ac:dyDescent="0.15">
      <c r="B849" s="2"/>
      <c r="C849" s="4"/>
      <c r="D849" s="4"/>
      <c r="E849" s="4"/>
      <c r="I849" s="135"/>
      <c r="J849" s="135"/>
      <c r="K849" s="135"/>
      <c r="L849" s="135"/>
    </row>
    <row r="850" spans="2:12" ht="12" customHeight="1" x14ac:dyDescent="0.15">
      <c r="B850" s="2"/>
      <c r="C850" s="4"/>
      <c r="D850" s="4"/>
      <c r="E850" s="4"/>
      <c r="I850" s="135"/>
      <c r="J850" s="135"/>
      <c r="K850" s="135"/>
      <c r="L850" s="135"/>
    </row>
    <row r="851" spans="2:12" ht="12" customHeight="1" x14ac:dyDescent="0.15">
      <c r="B851" s="2"/>
      <c r="C851" s="4"/>
      <c r="D851" s="4"/>
      <c r="E851" s="4"/>
      <c r="I851" s="135"/>
      <c r="J851" s="135"/>
      <c r="K851" s="135"/>
      <c r="L851" s="135"/>
    </row>
    <row r="852" spans="2:12" ht="12" customHeight="1" x14ac:dyDescent="0.15">
      <c r="B852" s="2"/>
      <c r="C852" s="4"/>
      <c r="D852" s="4"/>
      <c r="E852" s="4"/>
      <c r="I852" s="135"/>
      <c r="J852" s="135"/>
      <c r="K852" s="135"/>
      <c r="L852" s="135"/>
    </row>
    <row r="853" spans="2:12" ht="12" customHeight="1" x14ac:dyDescent="0.15">
      <c r="B853" s="2"/>
      <c r="C853" s="4"/>
      <c r="D853" s="4"/>
      <c r="E853" s="4"/>
      <c r="I853" s="135"/>
      <c r="J853" s="135"/>
      <c r="K853" s="135"/>
      <c r="L853" s="135"/>
    </row>
    <row r="854" spans="2:12" ht="12" customHeight="1" x14ac:dyDescent="0.15">
      <c r="B854" s="2"/>
      <c r="C854" s="4"/>
      <c r="D854" s="4"/>
      <c r="E854" s="4"/>
      <c r="I854" s="135"/>
      <c r="J854" s="135"/>
      <c r="K854" s="135"/>
      <c r="L854" s="135"/>
    </row>
    <row r="855" spans="2:12" ht="12" customHeight="1" x14ac:dyDescent="0.15">
      <c r="B855" s="2"/>
      <c r="C855" s="4"/>
      <c r="D855" s="4"/>
      <c r="E855" s="4"/>
      <c r="I855" s="135"/>
      <c r="J855" s="135"/>
      <c r="K855" s="135"/>
      <c r="L855" s="135"/>
    </row>
    <row r="856" spans="2:12" ht="12" customHeight="1" x14ac:dyDescent="0.15">
      <c r="B856" s="2"/>
      <c r="C856" s="4"/>
      <c r="D856" s="4"/>
      <c r="E856" s="4"/>
      <c r="I856" s="135"/>
      <c r="J856" s="135"/>
      <c r="K856" s="135"/>
      <c r="L856" s="135"/>
    </row>
    <row r="857" spans="2:12" ht="12" customHeight="1" x14ac:dyDescent="0.15">
      <c r="B857" s="2"/>
      <c r="C857" s="4"/>
      <c r="D857" s="4"/>
      <c r="E857" s="4"/>
      <c r="I857" s="135"/>
      <c r="J857" s="135"/>
      <c r="K857" s="135"/>
      <c r="L857" s="135"/>
    </row>
    <row r="858" spans="2:12" ht="12" customHeight="1" x14ac:dyDescent="0.15">
      <c r="B858" s="2"/>
      <c r="C858" s="4"/>
      <c r="D858" s="4"/>
      <c r="E858" s="4"/>
      <c r="I858" s="135"/>
      <c r="J858" s="135"/>
      <c r="K858" s="135"/>
      <c r="L858" s="135"/>
    </row>
    <row r="859" spans="2:12" ht="12" customHeight="1" x14ac:dyDescent="0.15">
      <c r="B859" s="2"/>
      <c r="C859" s="4"/>
      <c r="D859" s="4"/>
      <c r="E859" s="4"/>
      <c r="I859" s="135"/>
      <c r="J859" s="135"/>
      <c r="K859" s="135"/>
      <c r="L859" s="135"/>
    </row>
    <row r="860" spans="2:12" ht="12" customHeight="1" x14ac:dyDescent="0.15">
      <c r="B860" s="2"/>
      <c r="C860" s="4"/>
      <c r="D860" s="4"/>
      <c r="E860" s="4"/>
      <c r="I860" s="135"/>
      <c r="J860" s="135"/>
      <c r="K860" s="135"/>
      <c r="L860" s="135"/>
    </row>
    <row r="861" spans="2:12" ht="12" customHeight="1" x14ac:dyDescent="0.15">
      <c r="B861" s="2"/>
      <c r="C861" s="4"/>
      <c r="D861" s="4"/>
      <c r="E861" s="4"/>
      <c r="I861" s="135"/>
      <c r="J861" s="135"/>
      <c r="K861" s="135"/>
      <c r="L861" s="135"/>
    </row>
    <row r="862" spans="2:12" ht="12" customHeight="1" x14ac:dyDescent="0.15">
      <c r="B862" s="2"/>
      <c r="C862" s="4"/>
      <c r="D862" s="4"/>
      <c r="E862" s="4"/>
      <c r="I862" s="135"/>
      <c r="J862" s="135"/>
      <c r="K862" s="135"/>
      <c r="L862" s="135"/>
    </row>
    <row r="863" spans="2:12" ht="12" customHeight="1" x14ac:dyDescent="0.15">
      <c r="B863" s="2"/>
      <c r="C863" s="4"/>
      <c r="D863" s="4"/>
      <c r="E863" s="4"/>
      <c r="I863" s="135"/>
      <c r="J863" s="135"/>
      <c r="K863" s="135"/>
      <c r="L863" s="135"/>
    </row>
    <row r="864" spans="2:12" ht="12" customHeight="1" x14ac:dyDescent="0.15">
      <c r="B864" s="2"/>
      <c r="C864" s="4"/>
      <c r="D864" s="4"/>
      <c r="E864" s="4"/>
      <c r="I864" s="135"/>
      <c r="J864" s="135"/>
      <c r="K864" s="135"/>
      <c r="L864" s="135"/>
    </row>
    <row r="865" spans="2:12" ht="12" customHeight="1" x14ac:dyDescent="0.15">
      <c r="B865" s="2"/>
      <c r="C865" s="4"/>
      <c r="D865" s="4"/>
      <c r="E865" s="4"/>
      <c r="I865" s="135"/>
      <c r="J865" s="135"/>
      <c r="K865" s="135"/>
      <c r="L865" s="135"/>
    </row>
    <row r="866" spans="2:12" ht="12" customHeight="1" x14ac:dyDescent="0.15">
      <c r="B866" s="2"/>
      <c r="C866" s="4"/>
      <c r="D866" s="4"/>
      <c r="E866" s="4"/>
      <c r="I866" s="135"/>
      <c r="J866" s="135"/>
      <c r="K866" s="135"/>
      <c r="L866" s="135"/>
    </row>
    <row r="867" spans="2:12" ht="12" customHeight="1" x14ac:dyDescent="0.15">
      <c r="B867" s="2"/>
      <c r="C867" s="4"/>
      <c r="D867" s="4"/>
      <c r="E867" s="4"/>
      <c r="I867" s="135"/>
      <c r="J867" s="135"/>
      <c r="K867" s="135"/>
      <c r="L867" s="135"/>
    </row>
    <row r="868" spans="2:12" ht="12" customHeight="1" x14ac:dyDescent="0.15">
      <c r="B868" s="2"/>
      <c r="C868" s="4"/>
      <c r="D868" s="4"/>
      <c r="E868" s="4"/>
      <c r="I868" s="135"/>
      <c r="J868" s="135"/>
      <c r="K868" s="135"/>
      <c r="L868" s="135"/>
    </row>
    <row r="869" spans="2:12" ht="12" customHeight="1" x14ac:dyDescent="0.15">
      <c r="B869" s="2"/>
      <c r="C869" s="4"/>
      <c r="D869" s="4"/>
      <c r="E869" s="4"/>
      <c r="I869" s="135"/>
      <c r="J869" s="135"/>
      <c r="K869" s="135"/>
      <c r="L869" s="135"/>
    </row>
    <row r="870" spans="2:12" ht="12" customHeight="1" x14ac:dyDescent="0.15">
      <c r="B870" s="2"/>
      <c r="C870" s="4"/>
      <c r="D870" s="4"/>
      <c r="E870" s="4"/>
      <c r="I870" s="135"/>
      <c r="J870" s="135"/>
      <c r="K870" s="135"/>
      <c r="L870" s="135"/>
    </row>
    <row r="871" spans="2:12" ht="12" customHeight="1" x14ac:dyDescent="0.15">
      <c r="B871" s="2"/>
      <c r="C871" s="4"/>
      <c r="D871" s="4"/>
      <c r="E871" s="4"/>
      <c r="I871" s="135"/>
      <c r="J871" s="135"/>
      <c r="K871" s="135"/>
      <c r="L871" s="135"/>
    </row>
    <row r="872" spans="2:12" ht="12" customHeight="1" x14ac:dyDescent="0.15">
      <c r="B872" s="2"/>
      <c r="C872" s="4"/>
      <c r="D872" s="4"/>
      <c r="E872" s="4"/>
      <c r="I872" s="135"/>
      <c r="J872" s="135"/>
      <c r="K872" s="135"/>
      <c r="L872" s="135"/>
    </row>
    <row r="873" spans="2:12" ht="12" customHeight="1" x14ac:dyDescent="0.15">
      <c r="B873" s="2"/>
      <c r="C873" s="4"/>
      <c r="D873" s="4"/>
      <c r="E873" s="4"/>
      <c r="I873" s="135"/>
      <c r="J873" s="135"/>
      <c r="K873" s="135"/>
      <c r="L873" s="135"/>
    </row>
    <row r="874" spans="2:12" ht="12" customHeight="1" x14ac:dyDescent="0.15">
      <c r="B874" s="2"/>
      <c r="C874" s="4"/>
      <c r="D874" s="4"/>
      <c r="E874" s="4"/>
      <c r="I874" s="135"/>
      <c r="J874" s="135"/>
      <c r="K874" s="135"/>
      <c r="L874" s="135"/>
    </row>
    <row r="875" spans="2:12" ht="12" customHeight="1" x14ac:dyDescent="0.15">
      <c r="B875" s="2"/>
      <c r="C875" s="4"/>
      <c r="D875" s="4"/>
      <c r="E875" s="4"/>
      <c r="I875" s="135"/>
      <c r="J875" s="135"/>
      <c r="K875" s="135"/>
      <c r="L875" s="135"/>
    </row>
    <row r="876" spans="2:12" ht="12" customHeight="1" x14ac:dyDescent="0.15">
      <c r="B876" s="2"/>
      <c r="C876" s="4"/>
      <c r="D876" s="4"/>
      <c r="E876" s="4"/>
      <c r="I876" s="135"/>
      <c r="J876" s="135"/>
      <c r="K876" s="135"/>
      <c r="L876" s="135"/>
    </row>
    <row r="877" spans="2:12" ht="12" customHeight="1" x14ac:dyDescent="0.15">
      <c r="B877" s="2"/>
      <c r="C877" s="4"/>
      <c r="D877" s="4"/>
      <c r="E877" s="4"/>
      <c r="I877" s="135"/>
      <c r="J877" s="135"/>
      <c r="K877" s="135"/>
      <c r="L877" s="135"/>
    </row>
    <row r="878" spans="2:12" ht="12" customHeight="1" x14ac:dyDescent="0.15">
      <c r="B878" s="2"/>
      <c r="C878" s="4"/>
      <c r="D878" s="4"/>
      <c r="E878" s="4"/>
      <c r="I878" s="135"/>
      <c r="J878" s="135"/>
      <c r="K878" s="135"/>
      <c r="L878" s="135"/>
    </row>
    <row r="879" spans="2:12" ht="12" customHeight="1" x14ac:dyDescent="0.15">
      <c r="B879" s="2"/>
      <c r="C879" s="4"/>
      <c r="D879" s="4"/>
      <c r="E879" s="4"/>
      <c r="I879" s="135"/>
      <c r="J879" s="135"/>
      <c r="K879" s="135"/>
      <c r="L879" s="135"/>
    </row>
    <row r="880" spans="2:12" ht="12" customHeight="1" x14ac:dyDescent="0.15">
      <c r="B880" s="2"/>
      <c r="C880" s="4"/>
      <c r="D880" s="4"/>
      <c r="E880" s="4"/>
      <c r="I880" s="135"/>
      <c r="J880" s="135"/>
      <c r="K880" s="135"/>
      <c r="L880" s="135"/>
    </row>
    <row r="881" spans="2:12" ht="12" customHeight="1" x14ac:dyDescent="0.15">
      <c r="B881" s="2"/>
      <c r="C881" s="4"/>
      <c r="D881" s="4"/>
      <c r="E881" s="4"/>
      <c r="I881" s="135"/>
      <c r="J881" s="135"/>
      <c r="K881" s="135"/>
      <c r="L881" s="135"/>
    </row>
    <row r="882" spans="2:12" ht="12" customHeight="1" x14ac:dyDescent="0.15">
      <c r="B882" s="2"/>
      <c r="C882" s="4"/>
      <c r="D882" s="4"/>
      <c r="E882" s="4"/>
      <c r="I882" s="135"/>
      <c r="J882" s="135"/>
      <c r="K882" s="135"/>
      <c r="L882" s="135"/>
    </row>
    <row r="883" spans="2:12" ht="12" customHeight="1" x14ac:dyDescent="0.15">
      <c r="B883" s="2"/>
      <c r="C883" s="4"/>
      <c r="D883" s="4"/>
      <c r="E883" s="4"/>
      <c r="I883" s="135"/>
      <c r="J883" s="135"/>
      <c r="K883" s="135"/>
      <c r="L883" s="135"/>
    </row>
    <row r="884" spans="2:12" ht="12" customHeight="1" x14ac:dyDescent="0.15">
      <c r="B884" s="2"/>
      <c r="C884" s="4"/>
      <c r="D884" s="4"/>
      <c r="E884" s="4"/>
      <c r="I884" s="135"/>
      <c r="J884" s="135"/>
      <c r="K884" s="135"/>
      <c r="L884" s="135"/>
    </row>
    <row r="885" spans="2:12" ht="12" customHeight="1" x14ac:dyDescent="0.15">
      <c r="B885" s="2"/>
      <c r="C885" s="4"/>
      <c r="D885" s="4"/>
      <c r="E885" s="4"/>
      <c r="I885" s="135"/>
      <c r="J885" s="135"/>
      <c r="K885" s="135"/>
      <c r="L885" s="135"/>
    </row>
    <row r="886" spans="2:12" ht="12" customHeight="1" x14ac:dyDescent="0.15">
      <c r="B886" s="2"/>
      <c r="C886" s="4"/>
      <c r="D886" s="4"/>
      <c r="E886" s="4"/>
      <c r="I886" s="135"/>
      <c r="J886" s="135"/>
      <c r="K886" s="135"/>
      <c r="L886" s="135"/>
    </row>
    <row r="887" spans="2:12" ht="12" customHeight="1" x14ac:dyDescent="0.15">
      <c r="B887" s="2"/>
      <c r="C887" s="4"/>
      <c r="D887" s="4"/>
      <c r="E887" s="4"/>
      <c r="I887" s="135"/>
      <c r="J887" s="135"/>
      <c r="K887" s="135"/>
      <c r="L887" s="135"/>
    </row>
    <row r="888" spans="2:12" ht="12" customHeight="1" x14ac:dyDescent="0.15">
      <c r="B888" s="2"/>
      <c r="C888" s="4"/>
      <c r="D888" s="4"/>
      <c r="E888" s="4"/>
      <c r="I888" s="135"/>
      <c r="J888" s="135"/>
      <c r="K888" s="135"/>
      <c r="L888" s="135"/>
    </row>
    <row r="889" spans="2:12" ht="12" customHeight="1" x14ac:dyDescent="0.15">
      <c r="B889" s="2"/>
      <c r="C889" s="4"/>
      <c r="D889" s="4"/>
      <c r="E889" s="4"/>
      <c r="I889" s="135"/>
      <c r="J889" s="135"/>
      <c r="K889" s="135"/>
      <c r="L889" s="135"/>
    </row>
    <row r="890" spans="2:12" ht="12" customHeight="1" x14ac:dyDescent="0.15">
      <c r="B890" s="2"/>
      <c r="C890" s="4"/>
      <c r="D890" s="4"/>
      <c r="E890" s="4"/>
      <c r="I890" s="135"/>
      <c r="J890" s="135"/>
      <c r="K890" s="135"/>
      <c r="L890" s="135"/>
    </row>
    <row r="891" spans="2:12" ht="12" customHeight="1" x14ac:dyDescent="0.15">
      <c r="B891" s="2"/>
      <c r="C891" s="4"/>
      <c r="D891" s="4"/>
      <c r="E891" s="4"/>
      <c r="I891" s="135"/>
      <c r="J891" s="135"/>
      <c r="K891" s="135"/>
      <c r="L891" s="135"/>
    </row>
    <row r="892" spans="2:12" ht="12" customHeight="1" x14ac:dyDescent="0.15">
      <c r="B892" s="2"/>
      <c r="C892" s="4"/>
      <c r="D892" s="4"/>
      <c r="E892" s="4"/>
      <c r="I892" s="135"/>
      <c r="J892" s="135"/>
      <c r="K892" s="135"/>
      <c r="L892" s="135"/>
    </row>
    <row r="893" spans="2:12" ht="12" customHeight="1" x14ac:dyDescent="0.15">
      <c r="B893" s="2"/>
      <c r="C893" s="4"/>
      <c r="D893" s="4"/>
      <c r="E893" s="4"/>
      <c r="I893" s="135"/>
      <c r="J893" s="135"/>
      <c r="K893" s="135"/>
      <c r="L893" s="135"/>
    </row>
    <row r="894" spans="2:12" ht="12" customHeight="1" x14ac:dyDescent="0.15">
      <c r="B894" s="2"/>
      <c r="C894" s="4"/>
      <c r="D894" s="4"/>
      <c r="E894" s="4"/>
      <c r="I894" s="135"/>
      <c r="J894" s="135"/>
      <c r="K894" s="135"/>
      <c r="L894" s="135"/>
    </row>
    <row r="895" spans="2:12" ht="12" customHeight="1" x14ac:dyDescent="0.15">
      <c r="B895" s="2"/>
      <c r="C895" s="4"/>
      <c r="D895" s="4"/>
      <c r="E895" s="4"/>
      <c r="I895" s="135"/>
      <c r="J895" s="135"/>
      <c r="K895" s="135"/>
      <c r="L895" s="135"/>
    </row>
    <row r="896" spans="2:12" ht="12" customHeight="1" x14ac:dyDescent="0.15">
      <c r="B896" s="2"/>
      <c r="C896" s="4"/>
      <c r="D896" s="4"/>
      <c r="E896" s="4"/>
      <c r="I896" s="135"/>
      <c r="J896" s="135"/>
      <c r="K896" s="135"/>
      <c r="L896" s="135"/>
    </row>
    <row r="897" spans="2:12" ht="12" customHeight="1" x14ac:dyDescent="0.15">
      <c r="B897" s="2"/>
      <c r="C897" s="4"/>
      <c r="D897" s="4"/>
      <c r="E897" s="4"/>
      <c r="I897" s="135"/>
      <c r="J897" s="135"/>
      <c r="K897" s="135"/>
      <c r="L897" s="135"/>
    </row>
    <row r="898" spans="2:12" ht="12" customHeight="1" x14ac:dyDescent="0.15">
      <c r="B898" s="2"/>
      <c r="C898" s="4"/>
      <c r="D898" s="4"/>
      <c r="E898" s="4"/>
      <c r="I898" s="135"/>
      <c r="J898" s="135"/>
      <c r="K898" s="135"/>
      <c r="L898" s="135"/>
    </row>
    <row r="899" spans="2:12" ht="12" customHeight="1" x14ac:dyDescent="0.15">
      <c r="B899" s="2"/>
      <c r="C899" s="4"/>
      <c r="D899" s="4"/>
      <c r="E899" s="4"/>
      <c r="I899" s="135"/>
      <c r="J899" s="135"/>
      <c r="K899" s="135"/>
      <c r="L899" s="135"/>
    </row>
    <row r="900" spans="2:12" ht="12" customHeight="1" x14ac:dyDescent="0.15">
      <c r="B900" s="2"/>
      <c r="C900" s="4"/>
      <c r="D900" s="4"/>
      <c r="E900" s="4"/>
      <c r="I900" s="135"/>
      <c r="J900" s="135"/>
      <c r="K900" s="135"/>
      <c r="L900" s="135"/>
    </row>
    <row r="901" spans="2:12" ht="12" customHeight="1" x14ac:dyDescent="0.15">
      <c r="B901" s="2"/>
      <c r="C901" s="4"/>
      <c r="D901" s="4"/>
      <c r="E901" s="4"/>
      <c r="I901" s="135"/>
      <c r="J901" s="135"/>
      <c r="K901" s="135"/>
      <c r="L901" s="135"/>
    </row>
    <row r="902" spans="2:12" ht="12" customHeight="1" x14ac:dyDescent="0.15">
      <c r="B902" s="2"/>
      <c r="C902" s="4"/>
      <c r="D902" s="4"/>
      <c r="E902" s="4"/>
      <c r="I902" s="135"/>
      <c r="J902" s="135"/>
      <c r="K902" s="135"/>
      <c r="L902" s="135"/>
    </row>
    <row r="903" spans="2:12" ht="12" customHeight="1" x14ac:dyDescent="0.15">
      <c r="B903" s="2"/>
      <c r="C903" s="4"/>
      <c r="D903" s="4"/>
      <c r="E903" s="4"/>
      <c r="I903" s="135"/>
      <c r="J903" s="135"/>
      <c r="K903" s="135"/>
      <c r="L903" s="135"/>
    </row>
    <row r="904" spans="2:12" ht="12" customHeight="1" x14ac:dyDescent="0.15">
      <c r="B904" s="2"/>
      <c r="C904" s="4"/>
      <c r="D904" s="4"/>
      <c r="E904" s="4"/>
      <c r="I904" s="135"/>
      <c r="J904" s="135"/>
      <c r="K904" s="135"/>
      <c r="L904" s="135"/>
    </row>
    <row r="905" spans="2:12" ht="12" customHeight="1" x14ac:dyDescent="0.15">
      <c r="B905" s="2"/>
      <c r="C905" s="4"/>
      <c r="D905" s="4"/>
      <c r="E905" s="4"/>
      <c r="I905" s="135"/>
      <c r="J905" s="135"/>
      <c r="K905" s="135"/>
      <c r="L905" s="135"/>
    </row>
    <row r="906" spans="2:12" ht="12" customHeight="1" x14ac:dyDescent="0.15">
      <c r="B906" s="2"/>
      <c r="C906" s="4"/>
      <c r="D906" s="4"/>
      <c r="E906" s="4"/>
      <c r="I906" s="135"/>
      <c r="J906" s="135"/>
      <c r="K906" s="135"/>
      <c r="L906" s="135"/>
    </row>
    <row r="907" spans="2:12" ht="12" customHeight="1" x14ac:dyDescent="0.15">
      <c r="B907" s="2"/>
      <c r="C907" s="4"/>
      <c r="D907" s="4"/>
      <c r="E907" s="4"/>
      <c r="I907" s="135"/>
      <c r="J907" s="135"/>
      <c r="K907" s="135"/>
      <c r="L907" s="135"/>
    </row>
    <row r="908" spans="2:12" ht="12" customHeight="1" x14ac:dyDescent="0.15">
      <c r="B908" s="2"/>
      <c r="C908" s="4"/>
      <c r="D908" s="4"/>
      <c r="E908" s="4"/>
      <c r="I908" s="135"/>
      <c r="J908" s="135"/>
      <c r="K908" s="135"/>
      <c r="L908" s="135"/>
    </row>
    <row r="909" spans="2:12" ht="12" customHeight="1" x14ac:dyDescent="0.15">
      <c r="B909" s="2"/>
      <c r="C909" s="4"/>
      <c r="D909" s="4"/>
      <c r="E909" s="4"/>
      <c r="I909" s="135"/>
      <c r="J909" s="135"/>
      <c r="K909" s="135"/>
      <c r="L909" s="135"/>
    </row>
    <row r="910" spans="2:12" ht="12" customHeight="1" x14ac:dyDescent="0.15">
      <c r="B910" s="2"/>
      <c r="C910" s="4"/>
      <c r="D910" s="4"/>
      <c r="E910" s="4"/>
      <c r="I910" s="135"/>
      <c r="J910" s="135"/>
      <c r="K910" s="135"/>
      <c r="L910" s="135"/>
    </row>
    <row r="911" spans="2:12" ht="12" customHeight="1" x14ac:dyDescent="0.15">
      <c r="B911" s="2"/>
      <c r="C911" s="4"/>
      <c r="D911" s="4"/>
      <c r="E911" s="4"/>
      <c r="I911" s="135"/>
      <c r="J911" s="135"/>
      <c r="K911" s="135"/>
      <c r="L911" s="135"/>
    </row>
    <row r="912" spans="2:12" ht="12" customHeight="1" x14ac:dyDescent="0.15">
      <c r="B912" s="2"/>
      <c r="C912" s="4"/>
      <c r="D912" s="4"/>
      <c r="E912" s="4"/>
      <c r="I912" s="135"/>
      <c r="J912" s="135"/>
      <c r="K912" s="135"/>
      <c r="L912" s="135"/>
    </row>
    <row r="913" spans="2:12" ht="12" customHeight="1" x14ac:dyDescent="0.15">
      <c r="B913" s="2"/>
      <c r="C913" s="4"/>
      <c r="D913" s="4"/>
      <c r="E913" s="4"/>
      <c r="I913" s="135"/>
      <c r="J913" s="135"/>
      <c r="K913" s="135"/>
      <c r="L913" s="135"/>
    </row>
    <row r="914" spans="2:12" ht="12" customHeight="1" x14ac:dyDescent="0.15">
      <c r="B914" s="2"/>
      <c r="C914" s="4"/>
      <c r="D914" s="4"/>
      <c r="E914" s="4"/>
      <c r="I914" s="135"/>
      <c r="J914" s="135"/>
      <c r="K914" s="135"/>
      <c r="L914" s="135"/>
    </row>
    <row r="915" spans="2:12" ht="12" customHeight="1" x14ac:dyDescent="0.15">
      <c r="B915" s="2"/>
      <c r="C915" s="4"/>
      <c r="D915" s="4"/>
      <c r="E915" s="4"/>
      <c r="I915" s="135"/>
      <c r="J915" s="135"/>
      <c r="K915" s="135"/>
      <c r="L915" s="135"/>
    </row>
    <row r="916" spans="2:12" ht="12" customHeight="1" x14ac:dyDescent="0.15">
      <c r="B916" s="2"/>
      <c r="C916" s="4"/>
      <c r="D916" s="4"/>
      <c r="E916" s="4"/>
      <c r="I916" s="135"/>
      <c r="J916" s="135"/>
      <c r="K916" s="135"/>
      <c r="L916" s="135"/>
    </row>
    <row r="917" spans="2:12" ht="12" customHeight="1" x14ac:dyDescent="0.15">
      <c r="B917" s="2"/>
      <c r="C917" s="4"/>
      <c r="D917" s="4"/>
      <c r="E917" s="4"/>
      <c r="I917" s="135"/>
      <c r="J917" s="135"/>
      <c r="K917" s="135"/>
      <c r="L917" s="135"/>
    </row>
    <row r="918" spans="2:12" ht="12" customHeight="1" x14ac:dyDescent="0.15">
      <c r="B918" s="2"/>
      <c r="C918" s="4"/>
      <c r="D918" s="4"/>
      <c r="E918" s="4"/>
      <c r="I918" s="135"/>
      <c r="J918" s="135"/>
      <c r="K918" s="135"/>
      <c r="L918" s="135"/>
    </row>
    <row r="919" spans="2:12" ht="12" customHeight="1" x14ac:dyDescent="0.15">
      <c r="B919" s="2"/>
      <c r="C919" s="4"/>
      <c r="D919" s="4"/>
      <c r="E919" s="4"/>
      <c r="I919" s="135"/>
      <c r="J919" s="135"/>
      <c r="K919" s="135"/>
      <c r="L919" s="135"/>
    </row>
    <row r="920" spans="2:12" ht="12" customHeight="1" x14ac:dyDescent="0.15">
      <c r="B920" s="2"/>
      <c r="C920" s="4"/>
      <c r="D920" s="4"/>
      <c r="E920" s="4"/>
      <c r="I920" s="135"/>
      <c r="J920" s="135"/>
      <c r="K920" s="135"/>
      <c r="L920" s="135"/>
    </row>
    <row r="921" spans="2:12" ht="12" customHeight="1" x14ac:dyDescent="0.15">
      <c r="B921" s="2"/>
      <c r="C921" s="4"/>
      <c r="D921" s="4"/>
      <c r="E921" s="4"/>
      <c r="I921" s="135"/>
      <c r="J921" s="135"/>
      <c r="K921" s="135"/>
      <c r="L921" s="135"/>
    </row>
    <row r="922" spans="2:12" ht="12" customHeight="1" x14ac:dyDescent="0.15">
      <c r="B922" s="2"/>
      <c r="C922" s="4"/>
      <c r="D922" s="4"/>
      <c r="E922" s="4"/>
      <c r="I922" s="135"/>
      <c r="J922" s="135"/>
      <c r="K922" s="135"/>
      <c r="L922" s="135"/>
    </row>
    <row r="923" spans="2:12" ht="12" customHeight="1" x14ac:dyDescent="0.15">
      <c r="B923" s="2"/>
      <c r="C923" s="4"/>
      <c r="D923" s="4"/>
      <c r="E923" s="4"/>
      <c r="I923" s="135"/>
      <c r="J923" s="135"/>
      <c r="K923" s="135"/>
      <c r="L923" s="135"/>
    </row>
    <row r="924" spans="2:12" ht="12" customHeight="1" x14ac:dyDescent="0.15">
      <c r="B924" s="2"/>
      <c r="C924" s="4"/>
      <c r="D924" s="4"/>
      <c r="E924" s="4"/>
      <c r="I924" s="135"/>
      <c r="J924" s="135"/>
      <c r="K924" s="135"/>
      <c r="L924" s="135"/>
    </row>
    <row r="925" spans="2:12" ht="12" customHeight="1" x14ac:dyDescent="0.15">
      <c r="B925" s="2"/>
      <c r="C925" s="4"/>
      <c r="D925" s="4"/>
      <c r="E925" s="4"/>
      <c r="I925" s="135"/>
      <c r="J925" s="135"/>
      <c r="K925" s="135"/>
      <c r="L925" s="135"/>
    </row>
    <row r="926" spans="2:12" ht="12" customHeight="1" x14ac:dyDescent="0.15">
      <c r="B926" s="2"/>
      <c r="C926" s="4"/>
      <c r="D926" s="4"/>
      <c r="E926" s="4"/>
      <c r="I926" s="135"/>
      <c r="J926" s="135"/>
      <c r="K926" s="135"/>
      <c r="L926" s="135"/>
    </row>
    <row r="927" spans="2:12" ht="12" customHeight="1" x14ac:dyDescent="0.15">
      <c r="B927" s="2"/>
      <c r="C927" s="4"/>
      <c r="D927" s="4"/>
      <c r="E927" s="4"/>
      <c r="I927" s="135"/>
      <c r="J927" s="135"/>
      <c r="K927" s="135"/>
      <c r="L927" s="135"/>
    </row>
    <row r="928" spans="2:12" ht="12" customHeight="1" x14ac:dyDescent="0.15">
      <c r="B928" s="2"/>
      <c r="C928" s="4"/>
      <c r="D928" s="4"/>
      <c r="E928" s="4"/>
      <c r="I928" s="135"/>
      <c r="J928" s="135"/>
      <c r="K928" s="135"/>
      <c r="L928" s="135"/>
    </row>
    <row r="929" spans="2:12" ht="12" customHeight="1" x14ac:dyDescent="0.15">
      <c r="B929" s="2"/>
      <c r="C929" s="4"/>
      <c r="D929" s="4"/>
      <c r="E929" s="4"/>
      <c r="I929" s="135"/>
      <c r="J929" s="135"/>
      <c r="K929" s="135"/>
      <c r="L929" s="135"/>
    </row>
    <row r="930" spans="2:12" ht="12" customHeight="1" x14ac:dyDescent="0.15">
      <c r="B930" s="2"/>
      <c r="C930" s="4"/>
      <c r="D930" s="4"/>
      <c r="E930" s="4"/>
      <c r="I930" s="135"/>
      <c r="J930" s="135"/>
      <c r="K930" s="135"/>
      <c r="L930" s="135"/>
    </row>
    <row r="931" spans="2:12" ht="12" customHeight="1" x14ac:dyDescent="0.15">
      <c r="B931" s="2"/>
      <c r="C931" s="4"/>
      <c r="D931" s="4"/>
      <c r="E931" s="4"/>
      <c r="I931" s="135"/>
      <c r="J931" s="135"/>
      <c r="K931" s="135"/>
      <c r="L931" s="135"/>
    </row>
    <row r="932" spans="2:12" ht="12" customHeight="1" x14ac:dyDescent="0.15">
      <c r="B932" s="2"/>
      <c r="C932" s="4"/>
      <c r="D932" s="4"/>
      <c r="E932" s="4"/>
      <c r="I932" s="135"/>
      <c r="J932" s="135"/>
      <c r="K932" s="135"/>
      <c r="L932" s="135"/>
    </row>
    <row r="933" spans="2:12" ht="12" customHeight="1" x14ac:dyDescent="0.15">
      <c r="B933" s="2"/>
      <c r="C933" s="4"/>
      <c r="D933" s="4"/>
      <c r="E933" s="4"/>
      <c r="I933" s="135"/>
      <c r="J933" s="135"/>
      <c r="K933" s="135"/>
      <c r="L933" s="135"/>
    </row>
    <row r="934" spans="2:12" ht="12" customHeight="1" x14ac:dyDescent="0.15">
      <c r="B934" s="2"/>
      <c r="C934" s="4"/>
      <c r="D934" s="4"/>
      <c r="E934" s="4"/>
      <c r="I934" s="135"/>
      <c r="J934" s="135"/>
      <c r="K934" s="135"/>
      <c r="L934" s="135"/>
    </row>
    <row r="935" spans="2:12" ht="12" customHeight="1" x14ac:dyDescent="0.15">
      <c r="B935" s="2"/>
      <c r="C935" s="4"/>
      <c r="D935" s="4"/>
      <c r="E935" s="4"/>
      <c r="I935" s="135"/>
      <c r="J935" s="135"/>
      <c r="K935" s="135"/>
      <c r="L935" s="135"/>
    </row>
    <row r="936" spans="2:12" ht="12" customHeight="1" x14ac:dyDescent="0.15">
      <c r="B936" s="2"/>
      <c r="C936" s="4"/>
      <c r="D936" s="4"/>
      <c r="E936" s="4"/>
      <c r="I936" s="135"/>
      <c r="J936" s="135"/>
      <c r="K936" s="135"/>
      <c r="L936" s="135"/>
    </row>
    <row r="937" spans="2:12" ht="12" customHeight="1" x14ac:dyDescent="0.15">
      <c r="B937" s="2"/>
      <c r="C937" s="4"/>
      <c r="D937" s="4"/>
      <c r="E937" s="4"/>
      <c r="I937" s="135"/>
      <c r="J937" s="135"/>
      <c r="K937" s="135"/>
      <c r="L937" s="135"/>
    </row>
    <row r="938" spans="2:12" ht="12" customHeight="1" x14ac:dyDescent="0.15">
      <c r="B938" s="2"/>
      <c r="C938" s="4"/>
      <c r="D938" s="4"/>
      <c r="E938" s="4"/>
      <c r="I938" s="135"/>
      <c r="J938" s="135"/>
      <c r="K938" s="135"/>
      <c r="L938" s="135"/>
    </row>
    <row r="939" spans="2:12" ht="12" customHeight="1" x14ac:dyDescent="0.15">
      <c r="B939" s="2"/>
      <c r="C939" s="4"/>
      <c r="D939" s="4"/>
      <c r="E939" s="4"/>
      <c r="I939" s="135"/>
      <c r="J939" s="135"/>
      <c r="K939" s="135"/>
      <c r="L939" s="135"/>
    </row>
    <row r="940" spans="2:12" ht="12" customHeight="1" x14ac:dyDescent="0.15">
      <c r="B940" s="2"/>
      <c r="C940" s="4"/>
      <c r="D940" s="4"/>
      <c r="E940" s="4"/>
      <c r="I940" s="135"/>
      <c r="J940" s="135"/>
      <c r="K940" s="135"/>
      <c r="L940" s="135"/>
    </row>
    <row r="941" spans="2:12" ht="12" customHeight="1" x14ac:dyDescent="0.15">
      <c r="B941" s="2"/>
      <c r="C941" s="4"/>
      <c r="D941" s="4"/>
      <c r="E941" s="4"/>
      <c r="I941" s="135"/>
      <c r="J941" s="135"/>
      <c r="K941" s="135"/>
      <c r="L941" s="135"/>
    </row>
    <row r="942" spans="2:12" ht="12" customHeight="1" x14ac:dyDescent="0.15">
      <c r="B942" s="2"/>
      <c r="C942" s="4"/>
      <c r="D942" s="4"/>
      <c r="E942" s="4"/>
      <c r="I942" s="135"/>
      <c r="J942" s="135"/>
      <c r="K942" s="135"/>
      <c r="L942" s="135"/>
    </row>
    <row r="943" spans="2:12" ht="12" customHeight="1" x14ac:dyDescent="0.15">
      <c r="B943" s="2"/>
      <c r="C943" s="4"/>
      <c r="D943" s="4"/>
      <c r="E943" s="4"/>
      <c r="I943" s="135"/>
      <c r="J943" s="135"/>
      <c r="K943" s="135"/>
      <c r="L943" s="135"/>
    </row>
    <row r="944" spans="2:12" ht="12" customHeight="1" x14ac:dyDescent="0.15">
      <c r="B944" s="2"/>
      <c r="C944" s="4"/>
      <c r="D944" s="4"/>
      <c r="E944" s="4"/>
      <c r="I944" s="135"/>
      <c r="J944" s="135"/>
      <c r="K944" s="135"/>
      <c r="L944" s="135"/>
    </row>
    <row r="945" spans="2:12" ht="12" customHeight="1" x14ac:dyDescent="0.15">
      <c r="B945" s="2"/>
      <c r="C945" s="4"/>
      <c r="D945" s="4"/>
      <c r="E945" s="4"/>
      <c r="I945" s="135"/>
      <c r="J945" s="135"/>
      <c r="K945" s="135"/>
      <c r="L945" s="135"/>
    </row>
    <row r="946" spans="2:12" ht="12" customHeight="1" x14ac:dyDescent="0.15">
      <c r="B946" s="2"/>
      <c r="C946" s="4"/>
      <c r="D946" s="4"/>
      <c r="E946" s="4"/>
      <c r="I946" s="135"/>
      <c r="J946" s="135"/>
      <c r="K946" s="135"/>
      <c r="L946" s="135"/>
    </row>
    <row r="947" spans="2:12" ht="12" customHeight="1" x14ac:dyDescent="0.15">
      <c r="B947" s="2"/>
      <c r="C947" s="4"/>
      <c r="D947" s="4"/>
      <c r="E947" s="4"/>
      <c r="I947" s="135"/>
      <c r="J947" s="135"/>
      <c r="K947" s="135"/>
      <c r="L947" s="135"/>
    </row>
    <row r="948" spans="2:12" ht="12" customHeight="1" x14ac:dyDescent="0.15">
      <c r="B948" s="2"/>
      <c r="C948" s="4"/>
      <c r="D948" s="4"/>
      <c r="E948" s="4"/>
      <c r="I948" s="135"/>
      <c r="J948" s="135"/>
      <c r="K948" s="135"/>
      <c r="L948" s="135"/>
    </row>
    <row r="949" spans="2:12" ht="12" customHeight="1" x14ac:dyDescent="0.15">
      <c r="B949" s="2"/>
      <c r="C949" s="4"/>
      <c r="D949" s="4"/>
      <c r="E949" s="4"/>
      <c r="I949" s="135"/>
      <c r="J949" s="135"/>
      <c r="K949" s="135"/>
      <c r="L949" s="135"/>
    </row>
    <row r="950" spans="2:12" ht="12" customHeight="1" x14ac:dyDescent="0.15">
      <c r="B950" s="2"/>
      <c r="C950" s="4"/>
      <c r="D950" s="4"/>
      <c r="E950" s="4"/>
      <c r="I950" s="135"/>
      <c r="J950" s="135"/>
      <c r="K950" s="135"/>
      <c r="L950" s="135"/>
    </row>
    <row r="951" spans="2:12" ht="12" customHeight="1" x14ac:dyDescent="0.15">
      <c r="B951" s="2"/>
      <c r="C951" s="4"/>
      <c r="D951" s="4"/>
      <c r="E951" s="4"/>
      <c r="I951" s="135"/>
      <c r="J951" s="135"/>
      <c r="K951" s="135"/>
      <c r="L951" s="135"/>
    </row>
    <row r="952" spans="2:12" ht="12" customHeight="1" x14ac:dyDescent="0.15">
      <c r="B952" s="2"/>
      <c r="C952" s="4"/>
      <c r="D952" s="4"/>
      <c r="E952" s="4"/>
      <c r="I952" s="135"/>
      <c r="J952" s="135"/>
      <c r="K952" s="135"/>
      <c r="L952" s="135"/>
    </row>
    <row r="953" spans="2:12" ht="12" customHeight="1" x14ac:dyDescent="0.15">
      <c r="B953" s="2"/>
      <c r="C953" s="4"/>
      <c r="D953" s="4"/>
      <c r="E953" s="4"/>
      <c r="I953" s="135"/>
      <c r="J953" s="135"/>
      <c r="K953" s="135"/>
      <c r="L953" s="135"/>
    </row>
    <row r="954" spans="2:12" ht="12" customHeight="1" x14ac:dyDescent="0.15">
      <c r="B954" s="2"/>
      <c r="C954" s="4"/>
      <c r="D954" s="4"/>
      <c r="E954" s="4"/>
      <c r="I954" s="135"/>
      <c r="J954" s="135"/>
      <c r="K954" s="135"/>
      <c r="L954" s="135"/>
    </row>
    <row r="955" spans="2:12" ht="12" customHeight="1" x14ac:dyDescent="0.15">
      <c r="B955" s="2"/>
      <c r="C955" s="4"/>
      <c r="D955" s="4"/>
      <c r="E955" s="4"/>
      <c r="I955" s="135"/>
      <c r="J955" s="135"/>
      <c r="K955" s="135"/>
      <c r="L955" s="135"/>
    </row>
    <row r="956" spans="2:12" ht="12" customHeight="1" x14ac:dyDescent="0.15">
      <c r="B956" s="2"/>
      <c r="C956" s="4"/>
      <c r="D956" s="4"/>
      <c r="E956" s="4"/>
      <c r="I956" s="135"/>
      <c r="J956" s="135"/>
      <c r="K956" s="135"/>
      <c r="L956" s="135"/>
    </row>
    <row r="957" spans="2:12" ht="12" customHeight="1" x14ac:dyDescent="0.15">
      <c r="B957" s="2"/>
      <c r="C957" s="4"/>
      <c r="D957" s="4"/>
      <c r="E957" s="4"/>
      <c r="I957" s="135"/>
      <c r="J957" s="135"/>
      <c r="K957" s="135"/>
      <c r="L957" s="135"/>
    </row>
    <row r="958" spans="2:12" ht="12" customHeight="1" x14ac:dyDescent="0.15">
      <c r="B958" s="2"/>
      <c r="C958" s="4"/>
      <c r="D958" s="4"/>
      <c r="E958" s="4"/>
      <c r="I958" s="135"/>
      <c r="J958" s="135"/>
      <c r="K958" s="135"/>
      <c r="L958" s="135"/>
    </row>
    <row r="959" spans="2:12" ht="12" customHeight="1" x14ac:dyDescent="0.15">
      <c r="B959" s="2"/>
      <c r="C959" s="4"/>
      <c r="D959" s="4"/>
      <c r="E959" s="4"/>
      <c r="I959" s="135"/>
      <c r="J959" s="135"/>
      <c r="K959" s="135"/>
      <c r="L959" s="135"/>
    </row>
    <row r="960" spans="2:12" ht="12" customHeight="1" x14ac:dyDescent="0.15">
      <c r="B960" s="2"/>
      <c r="C960" s="4"/>
      <c r="D960" s="4"/>
      <c r="E960" s="4"/>
      <c r="I960" s="135"/>
      <c r="J960" s="135"/>
      <c r="K960" s="135"/>
      <c r="L960" s="135"/>
    </row>
    <row r="961" spans="2:12" ht="12" customHeight="1" x14ac:dyDescent="0.15">
      <c r="B961" s="2"/>
      <c r="C961" s="4"/>
      <c r="D961" s="4"/>
      <c r="E961" s="4"/>
      <c r="I961" s="135"/>
      <c r="J961" s="135"/>
      <c r="K961" s="135"/>
      <c r="L961" s="135"/>
    </row>
    <row r="962" spans="2:12" ht="12" customHeight="1" x14ac:dyDescent="0.15">
      <c r="B962" s="2"/>
      <c r="C962" s="4"/>
      <c r="D962" s="4"/>
      <c r="E962" s="4"/>
      <c r="I962" s="135"/>
      <c r="J962" s="135"/>
      <c r="K962" s="135"/>
      <c r="L962" s="135"/>
    </row>
    <row r="963" spans="2:12" ht="12" customHeight="1" x14ac:dyDescent="0.15">
      <c r="B963" s="2"/>
      <c r="C963" s="4"/>
      <c r="D963" s="4"/>
      <c r="E963" s="4"/>
      <c r="I963" s="135"/>
      <c r="J963" s="135"/>
      <c r="K963" s="135"/>
      <c r="L963" s="135"/>
    </row>
    <row r="964" spans="2:12" ht="12" customHeight="1" x14ac:dyDescent="0.15">
      <c r="B964" s="2"/>
      <c r="C964" s="4"/>
      <c r="D964" s="4"/>
      <c r="E964" s="4"/>
      <c r="I964" s="135"/>
      <c r="J964" s="135"/>
      <c r="K964" s="135"/>
      <c r="L964" s="135"/>
    </row>
    <row r="965" spans="2:12" ht="12" customHeight="1" x14ac:dyDescent="0.15">
      <c r="B965" s="2"/>
      <c r="C965" s="4"/>
      <c r="D965" s="4"/>
      <c r="E965" s="4"/>
      <c r="I965" s="135"/>
      <c r="J965" s="135"/>
      <c r="K965" s="135"/>
      <c r="L965" s="135"/>
    </row>
    <row r="966" spans="2:12" ht="12" customHeight="1" x14ac:dyDescent="0.15">
      <c r="B966" s="2"/>
      <c r="C966" s="4"/>
      <c r="D966" s="4"/>
      <c r="E966" s="4"/>
      <c r="I966" s="135"/>
      <c r="J966" s="135"/>
      <c r="K966" s="135"/>
      <c r="L966" s="135"/>
    </row>
    <row r="967" spans="2:12" ht="12" customHeight="1" x14ac:dyDescent="0.15">
      <c r="B967" s="2"/>
      <c r="C967" s="4"/>
      <c r="D967" s="4"/>
      <c r="E967" s="4"/>
      <c r="I967" s="135"/>
      <c r="J967" s="135"/>
      <c r="K967" s="135"/>
      <c r="L967" s="135"/>
    </row>
    <row r="968" spans="2:12" ht="12" customHeight="1" x14ac:dyDescent="0.15">
      <c r="B968" s="2"/>
      <c r="C968" s="4"/>
      <c r="D968" s="4"/>
      <c r="E968" s="4"/>
      <c r="I968" s="135"/>
      <c r="J968" s="135"/>
      <c r="K968" s="135"/>
      <c r="L968" s="135"/>
    </row>
    <row r="969" spans="2:12" ht="12" customHeight="1" x14ac:dyDescent="0.15">
      <c r="B969" s="2"/>
      <c r="C969" s="4"/>
      <c r="D969" s="4"/>
      <c r="E969" s="4"/>
      <c r="I969" s="135"/>
      <c r="J969" s="135"/>
      <c r="K969" s="135"/>
      <c r="L969" s="135"/>
    </row>
    <row r="970" spans="2:12" ht="12" customHeight="1" x14ac:dyDescent="0.15">
      <c r="B970" s="2"/>
      <c r="C970" s="4"/>
      <c r="D970" s="4"/>
      <c r="E970" s="4"/>
      <c r="I970" s="135"/>
      <c r="J970" s="135"/>
      <c r="K970" s="135"/>
      <c r="L970" s="135"/>
    </row>
    <row r="971" spans="2:12" ht="12" customHeight="1" x14ac:dyDescent="0.15">
      <c r="B971" s="2"/>
      <c r="C971" s="4"/>
      <c r="D971" s="4"/>
      <c r="E971" s="4"/>
      <c r="I971" s="135"/>
      <c r="J971" s="135"/>
      <c r="K971" s="135"/>
      <c r="L971" s="135"/>
    </row>
    <row r="972" spans="2:12" ht="12" customHeight="1" x14ac:dyDescent="0.15">
      <c r="B972" s="2"/>
      <c r="C972" s="4"/>
      <c r="D972" s="4"/>
      <c r="E972" s="4"/>
      <c r="I972" s="135"/>
      <c r="J972" s="135"/>
      <c r="K972" s="135"/>
      <c r="L972" s="135"/>
    </row>
    <row r="973" spans="2:12" ht="12" customHeight="1" x14ac:dyDescent="0.15">
      <c r="B973" s="2"/>
      <c r="C973" s="4"/>
      <c r="D973" s="4"/>
      <c r="E973" s="4"/>
      <c r="I973" s="135"/>
      <c r="J973" s="135"/>
      <c r="K973" s="135"/>
      <c r="L973" s="135"/>
    </row>
    <row r="974" spans="2:12" ht="12" customHeight="1" x14ac:dyDescent="0.15">
      <c r="B974" s="2"/>
      <c r="C974" s="4"/>
      <c r="D974" s="4"/>
      <c r="E974" s="4"/>
      <c r="I974" s="135"/>
      <c r="J974" s="135"/>
      <c r="K974" s="135"/>
      <c r="L974" s="135"/>
    </row>
    <row r="975" spans="2:12" ht="12" customHeight="1" x14ac:dyDescent="0.15">
      <c r="B975" s="2"/>
      <c r="C975" s="4"/>
      <c r="D975" s="4"/>
      <c r="E975" s="4"/>
      <c r="I975" s="135"/>
      <c r="J975" s="135"/>
      <c r="K975" s="135"/>
      <c r="L975" s="135"/>
    </row>
    <row r="976" spans="2:12" ht="12" customHeight="1" x14ac:dyDescent="0.15">
      <c r="B976" s="2"/>
      <c r="C976" s="4"/>
      <c r="D976" s="4"/>
      <c r="E976" s="4"/>
      <c r="I976" s="135"/>
      <c r="J976" s="135"/>
      <c r="K976" s="135"/>
      <c r="L976" s="135"/>
    </row>
    <row r="977" spans="2:12" ht="12" customHeight="1" x14ac:dyDescent="0.15">
      <c r="B977" s="2"/>
      <c r="C977" s="4"/>
      <c r="D977" s="4"/>
      <c r="E977" s="4"/>
      <c r="I977" s="135"/>
      <c r="J977" s="135"/>
      <c r="K977" s="135"/>
      <c r="L977" s="135"/>
    </row>
    <row r="978" spans="2:12" ht="12" customHeight="1" x14ac:dyDescent="0.15">
      <c r="B978" s="2"/>
      <c r="C978" s="4"/>
      <c r="D978" s="4"/>
      <c r="E978" s="4"/>
      <c r="I978" s="135"/>
      <c r="J978" s="135"/>
      <c r="K978" s="135"/>
      <c r="L978" s="135"/>
    </row>
    <row r="979" spans="2:12" ht="12" customHeight="1" x14ac:dyDescent="0.15">
      <c r="B979" s="2"/>
      <c r="C979" s="4"/>
      <c r="D979" s="4"/>
      <c r="E979" s="4"/>
      <c r="I979" s="135"/>
      <c r="J979" s="135"/>
      <c r="K979" s="135"/>
      <c r="L979" s="135"/>
    </row>
    <row r="980" spans="2:12" ht="12" customHeight="1" x14ac:dyDescent="0.15">
      <c r="B980" s="2"/>
      <c r="C980" s="4"/>
      <c r="D980" s="4"/>
      <c r="E980" s="4"/>
      <c r="I980" s="135"/>
      <c r="J980" s="135"/>
      <c r="K980" s="135"/>
      <c r="L980" s="135"/>
    </row>
    <row r="981" spans="2:12" ht="12" customHeight="1" x14ac:dyDescent="0.15">
      <c r="B981" s="2"/>
      <c r="C981" s="4"/>
      <c r="D981" s="4"/>
      <c r="E981" s="4"/>
      <c r="I981" s="135"/>
      <c r="J981" s="135"/>
      <c r="K981" s="135"/>
      <c r="L981" s="135"/>
    </row>
    <row r="982" spans="2:12" ht="12" customHeight="1" x14ac:dyDescent="0.15">
      <c r="B982" s="2"/>
      <c r="C982" s="4"/>
      <c r="D982" s="4"/>
      <c r="E982" s="4"/>
      <c r="I982" s="135"/>
      <c r="J982" s="135"/>
      <c r="K982" s="135"/>
      <c r="L982" s="135"/>
    </row>
    <row r="983" spans="2:12" ht="12" customHeight="1" x14ac:dyDescent="0.15">
      <c r="B983" s="2"/>
      <c r="C983" s="4"/>
      <c r="D983" s="4"/>
      <c r="E983" s="4"/>
      <c r="I983" s="135"/>
      <c r="J983" s="135"/>
      <c r="K983" s="135"/>
      <c r="L983" s="135"/>
    </row>
    <row r="984" spans="2:12" ht="12" customHeight="1" x14ac:dyDescent="0.15">
      <c r="B984" s="2"/>
      <c r="C984" s="4"/>
      <c r="D984" s="4"/>
      <c r="E984" s="4"/>
      <c r="I984" s="135"/>
      <c r="J984" s="135"/>
      <c r="K984" s="135"/>
      <c r="L984" s="135"/>
    </row>
    <row r="985" spans="2:12" ht="12" customHeight="1" x14ac:dyDescent="0.15">
      <c r="B985" s="2"/>
      <c r="C985" s="4"/>
      <c r="D985" s="4"/>
      <c r="E985" s="4"/>
      <c r="I985" s="135"/>
      <c r="J985" s="135"/>
      <c r="K985" s="135"/>
      <c r="L985" s="135"/>
    </row>
    <row r="986" spans="2:12" ht="12" customHeight="1" x14ac:dyDescent="0.15">
      <c r="B986" s="2"/>
      <c r="C986" s="4"/>
      <c r="D986" s="4"/>
      <c r="E986" s="4"/>
      <c r="I986" s="135"/>
      <c r="J986" s="135"/>
      <c r="K986" s="135"/>
      <c r="L986" s="135"/>
    </row>
    <row r="987" spans="2:12" ht="12" customHeight="1" x14ac:dyDescent="0.15">
      <c r="B987" s="2"/>
      <c r="C987" s="4"/>
      <c r="D987" s="4"/>
      <c r="E987" s="4"/>
      <c r="I987" s="135"/>
      <c r="J987" s="135"/>
      <c r="K987" s="135"/>
      <c r="L987" s="135"/>
    </row>
    <row r="988" spans="2:12" ht="12" customHeight="1" x14ac:dyDescent="0.15">
      <c r="B988" s="2"/>
      <c r="C988" s="4"/>
      <c r="D988" s="4"/>
      <c r="E988" s="4"/>
      <c r="I988" s="135"/>
      <c r="J988" s="135"/>
      <c r="K988" s="135"/>
      <c r="L988" s="135"/>
    </row>
    <row r="989" spans="2:12" ht="12" customHeight="1" x14ac:dyDescent="0.15">
      <c r="B989" s="2"/>
      <c r="C989" s="4"/>
      <c r="D989" s="4"/>
      <c r="E989" s="4"/>
      <c r="I989" s="135"/>
      <c r="J989" s="135"/>
      <c r="K989" s="135"/>
      <c r="L989" s="135"/>
    </row>
    <row r="990" spans="2:12" ht="12" customHeight="1" x14ac:dyDescent="0.15">
      <c r="B990" s="2"/>
      <c r="C990" s="4"/>
      <c r="D990" s="4"/>
      <c r="E990" s="4"/>
      <c r="I990" s="135"/>
      <c r="J990" s="135"/>
      <c r="K990" s="135"/>
      <c r="L990" s="135"/>
    </row>
    <row r="991" spans="2:12" ht="12" customHeight="1" x14ac:dyDescent="0.15">
      <c r="B991" s="2"/>
      <c r="C991" s="4"/>
      <c r="D991" s="4"/>
      <c r="E991" s="4"/>
      <c r="I991" s="135"/>
      <c r="J991" s="135"/>
      <c r="K991" s="135"/>
      <c r="L991" s="135"/>
    </row>
    <row r="992" spans="2:12" ht="12" customHeight="1" x14ac:dyDescent="0.15">
      <c r="B992" s="2"/>
      <c r="C992" s="4"/>
      <c r="D992" s="4"/>
      <c r="E992" s="4"/>
      <c r="I992" s="135"/>
      <c r="J992" s="135"/>
      <c r="K992" s="135"/>
      <c r="L992" s="135"/>
    </row>
    <row r="993" spans="2:12" ht="12" customHeight="1" x14ac:dyDescent="0.15">
      <c r="B993" s="2"/>
      <c r="C993" s="4"/>
      <c r="D993" s="4"/>
      <c r="E993" s="4"/>
      <c r="I993" s="135"/>
      <c r="J993" s="135"/>
      <c r="K993" s="135"/>
      <c r="L993" s="135"/>
    </row>
    <row r="994" spans="2:12" ht="12" customHeight="1" x14ac:dyDescent="0.15">
      <c r="B994" s="2"/>
      <c r="C994" s="4"/>
      <c r="D994" s="4"/>
      <c r="E994" s="4"/>
      <c r="I994" s="135"/>
      <c r="J994" s="135"/>
      <c r="K994" s="135"/>
      <c r="L994" s="135"/>
    </row>
    <row r="995" spans="2:12" ht="12" customHeight="1" x14ac:dyDescent="0.15">
      <c r="B995" s="2"/>
      <c r="C995" s="4"/>
      <c r="D995" s="4"/>
      <c r="E995" s="4"/>
      <c r="I995" s="135"/>
      <c r="J995" s="135"/>
      <c r="K995" s="135"/>
      <c r="L995" s="135"/>
    </row>
    <row r="996" spans="2:12" ht="12" customHeight="1" x14ac:dyDescent="0.15">
      <c r="B996" s="2"/>
      <c r="C996" s="4"/>
      <c r="D996" s="4"/>
      <c r="E996" s="4"/>
      <c r="I996" s="135"/>
      <c r="J996" s="135"/>
      <c r="K996" s="135"/>
      <c r="L996" s="135"/>
    </row>
    <row r="997" spans="2:12" ht="12" customHeight="1" x14ac:dyDescent="0.15">
      <c r="B997" s="2"/>
      <c r="C997" s="4"/>
      <c r="D997" s="4"/>
      <c r="E997" s="4"/>
      <c r="I997" s="135"/>
      <c r="J997" s="135"/>
      <c r="K997" s="135"/>
      <c r="L997" s="135"/>
    </row>
    <row r="998" spans="2:12" ht="12" customHeight="1" x14ac:dyDescent="0.15">
      <c r="B998" s="2"/>
      <c r="C998" s="4"/>
      <c r="D998" s="4"/>
      <c r="E998" s="4"/>
      <c r="I998" s="135"/>
      <c r="J998" s="135"/>
      <c r="K998" s="135"/>
      <c r="L998" s="135"/>
    </row>
    <row r="999" spans="2:12" ht="12" customHeight="1" x14ac:dyDescent="0.15">
      <c r="B999" s="2"/>
      <c r="C999" s="4"/>
      <c r="D999" s="4"/>
      <c r="E999" s="4"/>
      <c r="I999" s="135"/>
      <c r="J999" s="135"/>
      <c r="K999" s="135"/>
      <c r="L999" s="135"/>
    </row>
  </sheetData>
  <pageMargins left="0.78749999999999998" right="0.78749999999999998" top="0.78749999999999998" bottom="0.78749999999999998" header="0" footer="0"/>
  <pageSetup paperSize="9" orientation="portrait" r:id="rId1"/>
  <colBreaks count="1" manualBreakCount="1">
    <brk id="6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Z1000"/>
  <sheetViews>
    <sheetView workbookViewId="0">
      <selection activeCell="F6" sqref="F6"/>
    </sheetView>
  </sheetViews>
  <sheetFormatPr baseColWidth="10" defaultColWidth="12.6640625" defaultRowHeight="15" customHeight="1" x14ac:dyDescent="0.15"/>
  <cols>
    <col min="1" max="1" width="4.5" style="391" customWidth="1"/>
    <col min="2" max="2" width="38.83203125" style="391" customWidth="1"/>
    <col min="3" max="3" width="13" style="391" customWidth="1"/>
    <col min="4" max="4" width="29.83203125" style="391" customWidth="1"/>
    <col min="5" max="5" width="14.33203125" style="391" customWidth="1"/>
    <col min="6" max="6" width="4.5" style="391" customWidth="1"/>
    <col min="7" max="8" width="6.6640625" style="391" customWidth="1"/>
    <col min="9" max="9" width="11.5" style="391" customWidth="1"/>
    <col min="10" max="10" width="14.5" style="391" customWidth="1"/>
    <col min="11" max="11" width="15.1640625" style="391" customWidth="1"/>
    <col min="12" max="12" width="11.5" style="391" customWidth="1"/>
    <col min="13" max="16384" width="12.6640625" style="391"/>
  </cols>
  <sheetData>
    <row r="1" spans="1:26" ht="54" customHeight="1" x14ac:dyDescent="0.15">
      <c r="A1" s="390"/>
      <c r="B1" s="390"/>
      <c r="C1" s="390"/>
      <c r="D1" s="390"/>
      <c r="E1" s="390"/>
      <c r="F1" s="390"/>
      <c r="G1" s="390"/>
      <c r="I1" s="135"/>
      <c r="J1" s="135"/>
      <c r="K1" s="135"/>
      <c r="L1" s="135"/>
    </row>
    <row r="2" spans="1:26" ht="12" customHeight="1" x14ac:dyDescent="0.15">
      <c r="B2" s="2"/>
      <c r="C2" s="4"/>
      <c r="D2" s="4"/>
      <c r="E2" s="4"/>
      <c r="I2" s="135"/>
      <c r="J2" s="135"/>
      <c r="K2" s="135"/>
      <c r="L2" s="135"/>
    </row>
    <row r="3" spans="1:26" ht="18.75" customHeight="1" x14ac:dyDescent="0.2">
      <c r="A3" s="5" t="s">
        <v>0</v>
      </c>
      <c r="C3" s="4"/>
      <c r="D3" s="4"/>
      <c r="E3" s="4"/>
      <c r="F3" s="5"/>
      <c r="G3" s="5"/>
      <c r="I3" s="135"/>
      <c r="J3" s="135"/>
      <c r="K3" s="135"/>
      <c r="L3" s="135"/>
    </row>
    <row r="4" spans="1:26" ht="12" customHeight="1" x14ac:dyDescent="0.15">
      <c r="A4" s="2" t="s">
        <v>1</v>
      </c>
      <c r="C4" s="4"/>
      <c r="D4" s="4"/>
      <c r="E4" s="4"/>
      <c r="F4" s="2"/>
      <c r="G4" s="2"/>
      <c r="I4" s="135"/>
      <c r="J4" s="135"/>
      <c r="K4" s="135"/>
      <c r="L4" s="135"/>
    </row>
    <row r="5" spans="1:26" ht="12" customHeight="1" x14ac:dyDescent="0.15">
      <c r="B5" s="2"/>
      <c r="C5" s="4"/>
      <c r="D5" s="4"/>
      <c r="E5" s="4"/>
      <c r="I5" s="135"/>
      <c r="J5" s="135"/>
      <c r="K5" s="135"/>
      <c r="L5" s="135"/>
    </row>
    <row r="6" spans="1:26" ht="12" customHeight="1" x14ac:dyDescent="0.15">
      <c r="B6" s="6"/>
      <c r="C6" s="4"/>
      <c r="D6" s="4"/>
      <c r="E6" s="4"/>
      <c r="F6" s="159"/>
      <c r="G6" s="160"/>
      <c r="I6" s="135"/>
      <c r="J6" s="135"/>
      <c r="K6" s="135"/>
      <c r="L6" s="135"/>
    </row>
    <row r="7" spans="1:26" ht="17.25" customHeight="1" x14ac:dyDescent="0.15">
      <c r="A7" s="8"/>
      <c r="B7" s="425" t="s">
        <v>501</v>
      </c>
      <c r="C7" s="162"/>
      <c r="D7" s="162"/>
      <c r="E7" s="163"/>
      <c r="F7" s="8"/>
      <c r="G7" s="8"/>
      <c r="H7" s="8"/>
      <c r="I7" s="164"/>
      <c r="J7" s="164"/>
      <c r="K7" s="164"/>
      <c r="L7" s="16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" customHeight="1" x14ac:dyDescent="0.15">
      <c r="B8" s="2"/>
      <c r="C8" s="4"/>
      <c r="D8" s="4"/>
      <c r="E8" s="4"/>
      <c r="I8" s="135"/>
      <c r="J8" s="135"/>
      <c r="K8" s="135"/>
      <c r="L8" s="135"/>
    </row>
    <row r="9" spans="1:26" ht="16.5" customHeight="1" x14ac:dyDescent="0.15">
      <c r="B9" s="165"/>
      <c r="C9" s="166"/>
      <c r="D9" s="167"/>
      <c r="E9" s="168" t="s">
        <v>225</v>
      </c>
      <c r="I9" s="135"/>
      <c r="J9" s="135"/>
      <c r="K9" s="135"/>
      <c r="L9" s="135"/>
    </row>
    <row r="10" spans="1:26" ht="13.5" customHeight="1" x14ac:dyDescent="0.15">
      <c r="B10" s="222" t="s">
        <v>313</v>
      </c>
      <c r="C10" s="170"/>
      <c r="D10" s="141"/>
      <c r="E10" s="134"/>
      <c r="I10" s="135"/>
      <c r="J10" s="135"/>
      <c r="K10" s="135"/>
      <c r="L10" s="135"/>
    </row>
    <row r="11" spans="1:26" ht="15" customHeight="1" x14ac:dyDescent="0.15">
      <c r="A11" s="7"/>
      <c r="B11" s="426" t="s">
        <v>502</v>
      </c>
      <c r="C11" s="147"/>
      <c r="D11" s="172"/>
      <c r="E11" s="173">
        <v>53235</v>
      </c>
      <c r="I11" s="135"/>
      <c r="J11" s="135"/>
      <c r="K11" s="135"/>
      <c r="L11" s="135"/>
    </row>
    <row r="12" spans="1:26" ht="15" customHeight="1" x14ac:dyDescent="0.15">
      <c r="A12" s="7"/>
      <c r="B12" s="174"/>
      <c r="C12" s="4"/>
      <c r="D12" s="175"/>
      <c r="E12" s="134"/>
      <c r="I12" s="135"/>
      <c r="J12" s="135"/>
      <c r="K12" s="135"/>
      <c r="L12" s="135"/>
    </row>
    <row r="13" spans="1:26" ht="15" customHeight="1" x14ac:dyDescent="0.15">
      <c r="A13" s="7"/>
      <c r="B13" s="427" t="s">
        <v>504</v>
      </c>
      <c r="C13" s="4"/>
      <c r="D13" s="175"/>
      <c r="E13" s="173">
        <f>E11*0.1</f>
        <v>5323.5</v>
      </c>
      <c r="I13" s="135"/>
      <c r="J13" s="135"/>
      <c r="K13" s="135"/>
      <c r="L13" s="135"/>
    </row>
    <row r="14" spans="1:26" ht="7.5" customHeight="1" x14ac:dyDescent="0.15">
      <c r="A14" s="7"/>
      <c r="B14" s="64"/>
      <c r="C14" s="4"/>
      <c r="D14" s="134"/>
      <c r="E14" s="134"/>
      <c r="I14" s="135"/>
      <c r="J14" s="135"/>
      <c r="K14" s="135"/>
      <c r="L14" s="135"/>
    </row>
    <row r="15" spans="1:26" ht="15" customHeight="1" x14ac:dyDescent="0.15">
      <c r="A15" s="7"/>
      <c r="B15" s="223" t="s">
        <v>315</v>
      </c>
      <c r="C15" s="147"/>
      <c r="D15" s="176"/>
      <c r="E15" s="4"/>
      <c r="I15" s="135"/>
      <c r="J15" s="135"/>
      <c r="K15" s="135"/>
      <c r="L15" s="135"/>
    </row>
    <row r="16" spans="1:26" ht="15" customHeight="1" x14ac:dyDescent="0.15">
      <c r="A16" s="7"/>
      <c r="B16" s="426" t="s">
        <v>503</v>
      </c>
      <c r="C16" s="4"/>
      <c r="D16" s="134"/>
      <c r="E16" s="173">
        <v>48600</v>
      </c>
      <c r="I16" s="135"/>
      <c r="J16" s="135"/>
      <c r="K16" s="135"/>
      <c r="L16" s="135"/>
    </row>
    <row r="17" spans="1:15" ht="15" customHeight="1" x14ac:dyDescent="0.15">
      <c r="A17" s="7"/>
      <c r="B17" s="174"/>
      <c r="C17" s="4"/>
      <c r="D17" s="134"/>
      <c r="E17" s="134"/>
      <c r="I17" s="135"/>
      <c r="J17" s="135"/>
      <c r="K17" s="135"/>
      <c r="L17" s="135"/>
    </row>
    <row r="18" spans="1:15" ht="14" customHeight="1" x14ac:dyDescent="0.15">
      <c r="A18" s="7"/>
      <c r="B18" s="427" t="s">
        <v>504</v>
      </c>
      <c r="C18" s="4"/>
      <c r="D18" s="134"/>
      <c r="E18" s="173">
        <f>E16*0.1</f>
        <v>4860</v>
      </c>
      <c r="I18" s="135"/>
      <c r="J18" s="135"/>
      <c r="K18" s="135"/>
      <c r="L18" s="135"/>
    </row>
    <row r="19" spans="1:15" ht="15" customHeight="1" x14ac:dyDescent="0.15">
      <c r="A19" s="7"/>
      <c r="B19" s="171"/>
      <c r="C19" s="4"/>
      <c r="D19" s="134"/>
      <c r="E19" s="173"/>
      <c r="I19" s="135"/>
      <c r="J19" s="135"/>
      <c r="K19" s="135"/>
      <c r="L19" s="135"/>
    </row>
    <row r="20" spans="1:15" ht="7.5" customHeight="1" x14ac:dyDescent="0.15">
      <c r="B20" s="177"/>
      <c r="C20" s="178"/>
      <c r="D20" s="179"/>
      <c r="E20" s="134"/>
      <c r="I20" s="135"/>
      <c r="J20" s="135"/>
      <c r="K20" s="135"/>
      <c r="L20" s="135"/>
    </row>
    <row r="21" spans="1:15" ht="15" customHeight="1" x14ac:dyDescent="0.15">
      <c r="B21" s="180"/>
      <c r="C21" s="181"/>
      <c r="D21" s="182" t="s">
        <v>292</v>
      </c>
      <c r="E21" s="183">
        <f>SUM(E10:E20)</f>
        <v>112018.5</v>
      </c>
      <c r="I21" s="135"/>
      <c r="J21" s="135"/>
      <c r="K21" s="135"/>
      <c r="L21" s="135"/>
    </row>
    <row r="22" spans="1:15" ht="15" customHeight="1" x14ac:dyDescent="0.15">
      <c r="B22" s="184" t="s">
        <v>293</v>
      </c>
      <c r="C22" s="185"/>
      <c r="D22" s="185"/>
      <c r="E22" s="185"/>
      <c r="I22" s="135"/>
      <c r="J22" s="135"/>
      <c r="K22" s="135"/>
      <c r="L22" s="135"/>
    </row>
    <row r="23" spans="1:15" ht="15" customHeight="1" x14ac:dyDescent="0.15">
      <c r="B23" s="184" t="s">
        <v>294</v>
      </c>
      <c r="C23" s="185"/>
      <c r="D23" s="185"/>
      <c r="E23" s="185"/>
      <c r="I23" s="135"/>
      <c r="J23" s="135"/>
      <c r="K23" s="135"/>
      <c r="L23" s="135"/>
    </row>
    <row r="24" spans="1:15" ht="15" customHeight="1" x14ac:dyDescent="0.15">
      <c r="B24" s="186" t="s">
        <v>295</v>
      </c>
      <c r="C24" s="4"/>
      <c r="D24" s="4"/>
      <c r="E24" s="4"/>
      <c r="I24" s="135"/>
      <c r="J24" s="135"/>
      <c r="K24" s="135"/>
      <c r="L24" s="135"/>
    </row>
    <row r="25" spans="1:15" ht="15" customHeight="1" x14ac:dyDescent="0.15">
      <c r="B25" s="186" t="s">
        <v>296</v>
      </c>
      <c r="C25" s="4"/>
      <c r="D25" s="4"/>
      <c r="E25" s="4"/>
      <c r="I25" s="135"/>
      <c r="J25" s="135"/>
      <c r="K25" s="135"/>
      <c r="L25" s="135"/>
    </row>
    <row r="26" spans="1:15" ht="15" customHeight="1" x14ac:dyDescent="0.15">
      <c r="B26" s="187"/>
      <c r="C26" s="4"/>
      <c r="D26" s="4"/>
      <c r="E26" s="4"/>
      <c r="I26" s="135"/>
      <c r="J26" s="135"/>
      <c r="K26" s="135"/>
      <c r="L26" s="135"/>
    </row>
    <row r="27" spans="1:15" ht="15" customHeight="1" x14ac:dyDescent="0.15">
      <c r="B27" s="187" t="s">
        <v>297</v>
      </c>
      <c r="C27" s="4"/>
      <c r="D27" s="4"/>
      <c r="E27" s="4"/>
      <c r="I27" s="135"/>
      <c r="J27" s="135"/>
      <c r="K27" s="135"/>
      <c r="L27" s="135"/>
    </row>
    <row r="28" spans="1:15" ht="15" customHeight="1" x14ac:dyDescent="0.15">
      <c r="B28" s="187" t="s">
        <v>298</v>
      </c>
      <c r="C28" s="4"/>
      <c r="D28" s="4"/>
      <c r="E28" s="4"/>
      <c r="I28" s="135"/>
      <c r="J28" s="135"/>
      <c r="K28" s="135"/>
      <c r="L28" s="135"/>
    </row>
    <row r="29" spans="1:15" ht="15" customHeight="1" x14ac:dyDescent="0.15">
      <c r="B29" s="187"/>
      <c r="C29" s="4"/>
      <c r="D29" s="4"/>
      <c r="E29" s="4"/>
      <c r="I29" s="135"/>
      <c r="J29" s="135"/>
      <c r="K29" s="135"/>
      <c r="L29" s="135"/>
    </row>
    <row r="30" spans="1:15" ht="15" customHeight="1" x14ac:dyDescent="0.2">
      <c r="B30" s="188" t="s">
        <v>317</v>
      </c>
      <c r="C30" s="189"/>
      <c r="D30" s="190"/>
      <c r="E30" s="191">
        <f>E21</f>
        <v>112018.5</v>
      </c>
      <c r="H30" s="192" t="s">
        <v>300</v>
      </c>
      <c r="I30" s="193" t="s">
        <v>301</v>
      </c>
      <c r="J30" s="194" t="s">
        <v>302</v>
      </c>
      <c r="K30" s="194" t="s">
        <v>303</v>
      </c>
      <c r="L30" s="195" t="s">
        <v>304</v>
      </c>
      <c r="M30" s="196" t="s">
        <v>305</v>
      </c>
      <c r="N30" s="197"/>
      <c r="O30" s="198"/>
    </row>
    <row r="31" spans="1:15" ht="15" customHeight="1" x14ac:dyDescent="0.15">
      <c r="B31" s="199" t="s">
        <v>306</v>
      </c>
      <c r="C31" s="200" t="s">
        <v>307</v>
      </c>
      <c r="D31" s="201" t="s">
        <v>308</v>
      </c>
      <c r="E31" s="200" t="s">
        <v>309</v>
      </c>
      <c r="H31" s="202">
        <v>1</v>
      </c>
      <c r="I31" s="135">
        <f>E30</f>
        <v>112018.5</v>
      </c>
      <c r="J31" s="135">
        <v>3385038.8048100215</v>
      </c>
      <c r="K31" s="135">
        <v>26236200</v>
      </c>
      <c r="L31" s="224">
        <f>J31/J38*100</f>
        <v>12.902168777528845</v>
      </c>
      <c r="M31" s="135">
        <f t="shared" ref="M31:M37" si="0">(I31*J31/K31)</f>
        <v>14452.815932056143</v>
      </c>
      <c r="N31" s="203">
        <f t="shared" ref="N31:N37" si="1">M31</f>
        <v>14452.815932056143</v>
      </c>
    </row>
    <row r="32" spans="1:15" ht="15" customHeight="1" x14ac:dyDescent="0.15">
      <c r="B32" s="204" t="s">
        <v>184</v>
      </c>
      <c r="C32" s="205" t="s">
        <v>185</v>
      </c>
      <c r="D32" s="206">
        <v>0.129</v>
      </c>
      <c r="E32" s="207">
        <f>M31</f>
        <v>14452.815932056143</v>
      </c>
      <c r="H32" s="202">
        <v>2</v>
      </c>
      <c r="I32" s="135">
        <f>E30</f>
        <v>112018.5</v>
      </c>
      <c r="J32" s="135">
        <v>3452215.7605962222</v>
      </c>
      <c r="K32" s="135">
        <v>26236200</v>
      </c>
      <c r="L32" s="225">
        <f>J32/J38*100</f>
        <v>13.158215597518785</v>
      </c>
      <c r="M32" s="135">
        <f t="shared" si="0"/>
        <v>14739.635739106574</v>
      </c>
      <c r="N32" s="203">
        <f t="shared" si="1"/>
        <v>14739.635739106574</v>
      </c>
    </row>
    <row r="33" spans="2:14" ht="12" customHeight="1" x14ac:dyDescent="0.15">
      <c r="B33" s="208" t="s">
        <v>187</v>
      </c>
      <c r="C33" s="209" t="s">
        <v>188</v>
      </c>
      <c r="D33" s="210">
        <v>0.13159999999999999</v>
      </c>
      <c r="E33" s="211">
        <f t="shared" ref="E33:E38" si="2">M32</f>
        <v>14739.635739106574</v>
      </c>
      <c r="H33" s="202">
        <v>3</v>
      </c>
      <c r="I33" s="135">
        <f>E30</f>
        <v>112018.5</v>
      </c>
      <c r="J33" s="135">
        <v>4062206.5109048504</v>
      </c>
      <c r="K33" s="135">
        <v>26236200</v>
      </c>
      <c r="L33" s="225">
        <f>J33/J38*100</f>
        <v>15.483212168320303</v>
      </c>
      <c r="M33" s="135">
        <f t="shared" si="0"/>
        <v>17344.062022769875</v>
      </c>
      <c r="N33" s="203">
        <f t="shared" si="1"/>
        <v>17344.062022769875</v>
      </c>
    </row>
    <row r="34" spans="2:14" ht="12" customHeight="1" x14ac:dyDescent="0.15">
      <c r="B34" s="208" t="s">
        <v>189</v>
      </c>
      <c r="C34" s="209" t="s">
        <v>190</v>
      </c>
      <c r="D34" s="210">
        <v>0.15479999999999999</v>
      </c>
      <c r="E34" s="211">
        <f t="shared" si="2"/>
        <v>17344.062022769875</v>
      </c>
      <c r="H34" s="202">
        <v>4</v>
      </c>
      <c r="I34" s="135">
        <f>E30</f>
        <v>112018.5</v>
      </c>
      <c r="J34" s="135">
        <v>2069290.155914224</v>
      </c>
      <c r="K34" s="135">
        <v>26236200</v>
      </c>
      <c r="L34" s="225">
        <f>J34/J38*100</f>
        <v>7.8871565086187196</v>
      </c>
      <c r="M34" s="135">
        <f t="shared" si="0"/>
        <v>8835.0744136070589</v>
      </c>
      <c r="N34" s="203">
        <f t="shared" si="1"/>
        <v>8835.0744136070589</v>
      </c>
    </row>
    <row r="35" spans="2:14" ht="12" customHeight="1" x14ac:dyDescent="0.15">
      <c r="B35" s="208" t="s">
        <v>191</v>
      </c>
      <c r="C35" s="209" t="s">
        <v>192</v>
      </c>
      <c r="D35" s="210">
        <v>7.8899999999999998E-2</v>
      </c>
      <c r="E35" s="211">
        <f t="shared" si="2"/>
        <v>8835.0744136070589</v>
      </c>
      <c r="H35" s="202">
        <v>5</v>
      </c>
      <c r="I35" s="135">
        <f>E30</f>
        <v>112018.5</v>
      </c>
      <c r="J35" s="135">
        <v>2539128.9835855695</v>
      </c>
      <c r="K35" s="135">
        <v>26236200</v>
      </c>
      <c r="L35" s="225">
        <f>J35/J38*100</f>
        <v>9.6779601603340808</v>
      </c>
      <c r="M35" s="135">
        <f t="shared" si="0"/>
        <v>10841.105802203831</v>
      </c>
      <c r="N35" s="203">
        <f t="shared" si="1"/>
        <v>10841.105802203831</v>
      </c>
    </row>
    <row r="36" spans="2:14" ht="12" customHeight="1" x14ac:dyDescent="0.15">
      <c r="B36" s="208" t="s">
        <v>310</v>
      </c>
      <c r="C36" s="209" t="s">
        <v>194</v>
      </c>
      <c r="D36" s="210">
        <v>9.6799999999999997E-2</v>
      </c>
      <c r="E36" s="211">
        <f t="shared" si="2"/>
        <v>10841.105802203831</v>
      </c>
      <c r="H36" s="202">
        <v>6</v>
      </c>
      <c r="I36" s="135">
        <f>E30</f>
        <v>112018.5</v>
      </c>
      <c r="J36" s="135">
        <v>4172168.7897215486</v>
      </c>
      <c r="K36" s="135">
        <v>26236200</v>
      </c>
      <c r="L36" s="225">
        <f>J36/J38*100</f>
        <v>15.902336427232411</v>
      </c>
      <c r="M36" s="135">
        <f t="shared" si="0"/>
        <v>17813.558730739333</v>
      </c>
      <c r="N36" s="203">
        <f t="shared" si="1"/>
        <v>17813.558730739333</v>
      </c>
    </row>
    <row r="37" spans="2:14" ht="12" customHeight="1" x14ac:dyDescent="0.15">
      <c r="B37" s="208" t="s">
        <v>195</v>
      </c>
      <c r="C37" s="209" t="s">
        <v>196</v>
      </c>
      <c r="D37" s="210">
        <v>0.159</v>
      </c>
      <c r="E37" s="211">
        <f t="shared" si="2"/>
        <v>17813.558730739333</v>
      </c>
      <c r="H37" s="202">
        <v>7</v>
      </c>
      <c r="I37" s="135">
        <f>E30</f>
        <v>112018.5</v>
      </c>
      <c r="J37" s="135">
        <v>6556150.9944675583</v>
      </c>
      <c r="K37" s="135">
        <v>26236200</v>
      </c>
      <c r="L37" s="225">
        <f>J37/J38*100</f>
        <v>24.988950360446864</v>
      </c>
      <c r="M37" s="135">
        <f t="shared" si="0"/>
        <v>27992.247359517161</v>
      </c>
      <c r="N37" s="203">
        <f t="shared" si="1"/>
        <v>27992.247359517161</v>
      </c>
    </row>
    <row r="38" spans="2:14" ht="12" customHeight="1" x14ac:dyDescent="0.15">
      <c r="B38" s="208" t="s">
        <v>197</v>
      </c>
      <c r="C38" s="209" t="s">
        <v>198</v>
      </c>
      <c r="D38" s="210">
        <v>0.24990000000000001</v>
      </c>
      <c r="E38" s="211">
        <f t="shared" si="2"/>
        <v>27992.247359517161</v>
      </c>
      <c r="H38" s="212"/>
      <c r="I38" s="213"/>
      <c r="J38" s="214">
        <f>SUM(J31:J37)</f>
        <v>26236199.999999993</v>
      </c>
      <c r="K38" s="214"/>
      <c r="L38" s="214">
        <f t="shared" ref="L38:N38" si="3">SUM(L31:L37)</f>
        <v>100.00000000000001</v>
      </c>
      <c r="M38" s="214">
        <f t="shared" si="3"/>
        <v>112018.49999999997</v>
      </c>
      <c r="N38" s="215">
        <f t="shared" si="3"/>
        <v>112018.49999999997</v>
      </c>
    </row>
    <row r="39" spans="2:14" ht="12" customHeight="1" x14ac:dyDescent="0.15">
      <c r="B39" s="216" t="s">
        <v>225</v>
      </c>
      <c r="C39" s="217"/>
      <c r="D39" s="218">
        <f t="shared" ref="D39:E39" si="4">SUM(D32:D38)</f>
        <v>1</v>
      </c>
      <c r="E39" s="219">
        <f t="shared" si="4"/>
        <v>112018.49999999997</v>
      </c>
      <c r="I39" s="135"/>
      <c r="J39" s="135"/>
      <c r="K39" s="135"/>
      <c r="L39" s="135"/>
    </row>
    <row r="40" spans="2:14" ht="12" customHeight="1" x14ac:dyDescent="0.15">
      <c r="B40" s="220"/>
      <c r="C40" s="75"/>
      <c r="D40" s="221"/>
      <c r="E40" s="185"/>
      <c r="I40" s="135"/>
      <c r="J40" s="135"/>
      <c r="K40" s="135"/>
      <c r="L40" s="135"/>
    </row>
    <row r="41" spans="2:14" ht="12" customHeight="1" x14ac:dyDescent="0.15">
      <c r="B41" s="2"/>
      <c r="C41" s="4"/>
      <c r="D41" s="4"/>
      <c r="E41" s="4"/>
      <c r="I41" s="135"/>
      <c r="J41" s="135"/>
      <c r="K41" s="135"/>
      <c r="L41" s="135"/>
    </row>
    <row r="42" spans="2:14" ht="12" customHeight="1" x14ac:dyDescent="0.15">
      <c r="B42" s="2"/>
      <c r="C42" s="4"/>
      <c r="D42" s="4"/>
      <c r="E42" s="4"/>
      <c r="I42" s="135"/>
      <c r="J42" s="135"/>
      <c r="K42" s="135"/>
      <c r="L42" s="135"/>
    </row>
    <row r="43" spans="2:14" ht="12" customHeight="1" x14ac:dyDescent="0.15">
      <c r="B43" s="226"/>
      <c r="C43" s="135"/>
      <c r="D43" s="4"/>
      <c r="E43" s="206"/>
      <c r="I43" s="135"/>
      <c r="J43" s="135"/>
      <c r="K43" s="135"/>
      <c r="L43" s="135"/>
      <c r="M43" s="135"/>
    </row>
    <row r="44" spans="2:14" ht="12" customHeight="1" x14ac:dyDescent="0.15">
      <c r="B44" s="226"/>
      <c r="C44" s="135"/>
      <c r="D44" s="4"/>
      <c r="E44" s="210"/>
      <c r="I44" s="135"/>
      <c r="J44" s="135"/>
      <c r="K44" s="135"/>
      <c r="L44" s="135"/>
    </row>
    <row r="45" spans="2:14" ht="12" customHeight="1" x14ac:dyDescent="0.15">
      <c r="B45" s="226"/>
      <c r="C45" s="135"/>
      <c r="D45" s="4"/>
      <c r="E45" s="210"/>
      <c r="I45" s="135"/>
      <c r="J45" s="135"/>
      <c r="K45" s="135"/>
      <c r="L45" s="135"/>
    </row>
    <row r="46" spans="2:14" ht="12" customHeight="1" x14ac:dyDescent="0.15">
      <c r="B46" s="226"/>
      <c r="C46" s="135"/>
      <c r="D46" s="4"/>
      <c r="E46" s="210"/>
      <c r="I46" s="135"/>
      <c r="J46" s="135"/>
      <c r="K46" s="135"/>
      <c r="L46" s="135"/>
    </row>
    <row r="47" spans="2:14" ht="12" customHeight="1" x14ac:dyDescent="0.15">
      <c r="B47" s="226"/>
      <c r="C47" s="135"/>
      <c r="D47" s="4"/>
      <c r="E47" s="210"/>
      <c r="I47" s="135"/>
      <c r="J47" s="135"/>
      <c r="K47" s="135"/>
      <c r="L47" s="135"/>
    </row>
    <row r="48" spans="2:14" ht="12" customHeight="1" x14ac:dyDescent="0.15">
      <c r="B48" s="226"/>
      <c r="C48" s="135"/>
      <c r="D48" s="4"/>
      <c r="E48" s="210"/>
      <c r="I48" s="135"/>
      <c r="J48" s="135"/>
      <c r="K48" s="135"/>
      <c r="L48" s="135"/>
    </row>
    <row r="49" spans="2:12" ht="12" customHeight="1" x14ac:dyDescent="0.15">
      <c r="B49" s="226"/>
      <c r="C49" s="135"/>
      <c r="D49" s="4"/>
      <c r="E49" s="210"/>
      <c r="I49" s="135"/>
      <c r="J49" s="135"/>
      <c r="K49" s="135"/>
      <c r="L49" s="135"/>
    </row>
    <row r="50" spans="2:12" ht="12" customHeight="1" x14ac:dyDescent="0.15">
      <c r="B50" s="2"/>
      <c r="C50" s="147"/>
      <c r="D50" s="4"/>
      <c r="E50" s="4"/>
      <c r="I50" s="135"/>
      <c r="J50" s="135"/>
      <c r="K50" s="135"/>
      <c r="L50" s="135"/>
    </row>
    <row r="51" spans="2:12" ht="12" customHeight="1" x14ac:dyDescent="0.15">
      <c r="B51" s="2"/>
      <c r="C51" s="4"/>
      <c r="D51" s="4"/>
      <c r="E51" s="4"/>
      <c r="I51" s="135"/>
      <c r="J51" s="135"/>
      <c r="K51" s="135"/>
      <c r="L51" s="135"/>
    </row>
    <row r="52" spans="2:12" ht="12" customHeight="1" x14ac:dyDescent="0.15">
      <c r="B52" s="2"/>
      <c r="C52" s="4"/>
      <c r="D52" s="4"/>
      <c r="E52" s="4"/>
      <c r="I52" s="135"/>
      <c r="J52" s="135"/>
      <c r="K52" s="135"/>
      <c r="L52" s="135"/>
    </row>
    <row r="53" spans="2:12" ht="12" customHeight="1" x14ac:dyDescent="0.15">
      <c r="B53" s="2"/>
      <c r="C53" s="4"/>
      <c r="D53" s="4"/>
      <c r="E53" s="4"/>
      <c r="I53" s="135"/>
      <c r="J53" s="135"/>
      <c r="K53" s="135"/>
      <c r="L53" s="135"/>
    </row>
    <row r="54" spans="2:12" ht="12" customHeight="1" x14ac:dyDescent="0.15">
      <c r="B54" s="2"/>
      <c r="C54" s="4"/>
      <c r="D54" s="4"/>
      <c r="E54" s="4"/>
      <c r="I54" s="135"/>
      <c r="J54" s="135"/>
      <c r="K54" s="135"/>
      <c r="L54" s="135"/>
    </row>
    <row r="55" spans="2:12" ht="12" customHeight="1" x14ac:dyDescent="0.15">
      <c r="B55" s="2"/>
      <c r="C55" s="4"/>
      <c r="D55" s="4"/>
      <c r="E55" s="4"/>
      <c r="I55" s="135"/>
      <c r="J55" s="135"/>
      <c r="K55" s="135"/>
      <c r="L55" s="135"/>
    </row>
    <row r="56" spans="2:12" ht="12" customHeight="1" x14ac:dyDescent="0.15">
      <c r="B56" s="2"/>
      <c r="C56" s="4"/>
      <c r="D56" s="4"/>
      <c r="E56" s="4"/>
      <c r="I56" s="135"/>
      <c r="J56" s="135"/>
      <c r="K56" s="135"/>
      <c r="L56" s="135"/>
    </row>
    <row r="57" spans="2:12" ht="12" customHeight="1" x14ac:dyDescent="0.15">
      <c r="B57" s="2"/>
      <c r="C57" s="4"/>
      <c r="D57" s="4"/>
      <c r="E57" s="4"/>
      <c r="I57" s="135"/>
      <c r="J57" s="135"/>
      <c r="K57" s="135"/>
      <c r="L57" s="135"/>
    </row>
    <row r="58" spans="2:12" ht="12" customHeight="1" x14ac:dyDescent="0.15">
      <c r="B58" s="2"/>
      <c r="C58" s="4"/>
      <c r="D58" s="4"/>
      <c r="E58" s="4"/>
      <c r="I58" s="135"/>
      <c r="J58" s="135"/>
      <c r="K58" s="135"/>
      <c r="L58" s="135"/>
    </row>
    <row r="59" spans="2:12" ht="12" customHeight="1" x14ac:dyDescent="0.15">
      <c r="B59" s="2"/>
      <c r="C59" s="4"/>
      <c r="D59" s="4"/>
      <c r="E59" s="4"/>
      <c r="I59" s="135"/>
      <c r="J59" s="135"/>
      <c r="K59" s="135"/>
      <c r="L59" s="135"/>
    </row>
    <row r="60" spans="2:12" ht="12" customHeight="1" x14ac:dyDescent="0.15">
      <c r="B60" s="2"/>
      <c r="C60" s="4"/>
      <c r="D60" s="4"/>
      <c r="E60" s="4"/>
      <c r="I60" s="135"/>
      <c r="J60" s="135"/>
      <c r="K60" s="135"/>
      <c r="L60" s="135"/>
    </row>
    <row r="61" spans="2:12" ht="12" customHeight="1" x14ac:dyDescent="0.15">
      <c r="B61" s="2"/>
      <c r="C61" s="4"/>
      <c r="D61" s="4"/>
      <c r="E61" s="4"/>
      <c r="I61" s="135"/>
      <c r="J61" s="135"/>
      <c r="K61" s="135"/>
      <c r="L61" s="135"/>
    </row>
    <row r="62" spans="2:12" ht="12" customHeight="1" x14ac:dyDescent="0.15">
      <c r="B62" s="2"/>
      <c r="C62" s="4"/>
      <c r="D62" s="4"/>
      <c r="E62" s="4"/>
      <c r="I62" s="135"/>
      <c r="J62" s="135"/>
      <c r="K62" s="135"/>
      <c r="L62" s="135"/>
    </row>
    <row r="63" spans="2:12" ht="12" customHeight="1" x14ac:dyDescent="0.15">
      <c r="B63" s="2"/>
      <c r="C63" s="4"/>
      <c r="D63" s="4"/>
      <c r="E63" s="4"/>
      <c r="I63" s="135"/>
      <c r="J63" s="135"/>
      <c r="K63" s="135"/>
      <c r="L63" s="135"/>
    </row>
    <row r="64" spans="2:12" ht="12" customHeight="1" x14ac:dyDescent="0.15">
      <c r="B64" s="2"/>
      <c r="C64" s="4"/>
      <c r="D64" s="4"/>
      <c r="E64" s="4"/>
      <c r="I64" s="135"/>
      <c r="J64" s="135"/>
      <c r="K64" s="135"/>
      <c r="L64" s="135"/>
    </row>
    <row r="65" spans="2:12" ht="12" customHeight="1" x14ac:dyDescent="0.15">
      <c r="B65" s="2"/>
      <c r="C65" s="4"/>
      <c r="D65" s="4"/>
      <c r="E65" s="4"/>
      <c r="I65" s="135"/>
      <c r="J65" s="135"/>
      <c r="K65" s="135"/>
      <c r="L65" s="135"/>
    </row>
    <row r="66" spans="2:12" ht="12" customHeight="1" x14ac:dyDescent="0.15">
      <c r="B66" s="2"/>
      <c r="C66" s="4"/>
      <c r="D66" s="4"/>
      <c r="E66" s="4"/>
      <c r="I66" s="135"/>
      <c r="J66" s="135"/>
      <c r="K66" s="135"/>
      <c r="L66" s="135"/>
    </row>
    <row r="67" spans="2:12" ht="12" customHeight="1" x14ac:dyDescent="0.15">
      <c r="B67" s="2"/>
      <c r="C67" s="4"/>
      <c r="D67" s="4"/>
      <c r="E67" s="4"/>
      <c r="I67" s="135"/>
      <c r="J67" s="135"/>
      <c r="K67" s="135"/>
      <c r="L67" s="135"/>
    </row>
    <row r="68" spans="2:12" ht="12" customHeight="1" x14ac:dyDescent="0.15">
      <c r="B68" s="2"/>
      <c r="C68" s="4"/>
      <c r="D68" s="4"/>
      <c r="E68" s="4"/>
      <c r="I68" s="135"/>
      <c r="J68" s="135"/>
      <c r="K68" s="135"/>
      <c r="L68" s="135"/>
    </row>
    <row r="69" spans="2:12" ht="12" customHeight="1" x14ac:dyDescent="0.15">
      <c r="B69" s="2"/>
      <c r="C69" s="4"/>
      <c r="D69" s="4"/>
      <c r="E69" s="4"/>
      <c r="I69" s="135"/>
      <c r="J69" s="135"/>
      <c r="K69" s="135"/>
      <c r="L69" s="135"/>
    </row>
    <row r="70" spans="2:12" ht="12" customHeight="1" x14ac:dyDescent="0.15">
      <c r="B70" s="2"/>
      <c r="C70" s="4"/>
      <c r="D70" s="4"/>
      <c r="E70" s="4"/>
      <c r="I70" s="135"/>
      <c r="J70" s="135"/>
      <c r="K70" s="135"/>
      <c r="L70" s="135"/>
    </row>
    <row r="71" spans="2:12" ht="12" customHeight="1" x14ac:dyDescent="0.15">
      <c r="B71" s="2"/>
      <c r="C71" s="4"/>
      <c r="D71" s="4"/>
      <c r="E71" s="4"/>
      <c r="I71" s="135"/>
      <c r="J71" s="135"/>
      <c r="K71" s="135"/>
      <c r="L71" s="135"/>
    </row>
    <row r="72" spans="2:12" ht="12" customHeight="1" x14ac:dyDescent="0.15">
      <c r="B72" s="2"/>
      <c r="C72" s="4"/>
      <c r="D72" s="4"/>
      <c r="E72" s="4"/>
      <c r="I72" s="135"/>
      <c r="J72" s="135"/>
      <c r="K72" s="135"/>
      <c r="L72" s="135"/>
    </row>
    <row r="73" spans="2:12" ht="12" customHeight="1" x14ac:dyDescent="0.15">
      <c r="B73" s="2"/>
      <c r="C73" s="4"/>
      <c r="D73" s="4"/>
      <c r="E73" s="4"/>
      <c r="I73" s="135"/>
      <c r="J73" s="135"/>
      <c r="K73" s="135"/>
      <c r="L73" s="135"/>
    </row>
    <row r="74" spans="2:12" ht="12" customHeight="1" x14ac:dyDescent="0.15">
      <c r="B74" s="2"/>
      <c r="C74" s="4"/>
      <c r="D74" s="4"/>
      <c r="E74" s="4"/>
      <c r="I74" s="135"/>
      <c r="J74" s="135"/>
      <c r="K74" s="135"/>
      <c r="L74" s="135"/>
    </row>
    <row r="75" spans="2:12" ht="12" customHeight="1" x14ac:dyDescent="0.15">
      <c r="B75" s="2"/>
      <c r="C75" s="4"/>
      <c r="D75" s="4"/>
      <c r="E75" s="4"/>
      <c r="I75" s="135"/>
      <c r="J75" s="135"/>
      <c r="K75" s="135"/>
      <c r="L75" s="135"/>
    </row>
    <row r="76" spans="2:12" ht="12" customHeight="1" x14ac:dyDescent="0.15">
      <c r="B76" s="2"/>
      <c r="C76" s="4"/>
      <c r="D76" s="4"/>
      <c r="E76" s="4"/>
      <c r="I76" s="135"/>
      <c r="J76" s="135"/>
      <c r="K76" s="135"/>
      <c r="L76" s="135"/>
    </row>
    <row r="77" spans="2:12" ht="12" customHeight="1" x14ac:dyDescent="0.15">
      <c r="B77" s="2"/>
      <c r="C77" s="4"/>
      <c r="D77" s="4"/>
      <c r="E77" s="4"/>
      <c r="I77" s="135"/>
      <c r="J77" s="135"/>
      <c r="K77" s="135"/>
      <c r="L77" s="135"/>
    </row>
    <row r="78" spans="2:12" ht="12" customHeight="1" x14ac:dyDescent="0.15">
      <c r="B78" s="2"/>
      <c r="C78" s="4"/>
      <c r="D78" s="4"/>
      <c r="E78" s="4"/>
      <c r="I78" s="135"/>
      <c r="J78" s="135"/>
      <c r="K78" s="135"/>
      <c r="L78" s="135"/>
    </row>
    <row r="79" spans="2:12" ht="12" customHeight="1" x14ac:dyDescent="0.15">
      <c r="B79" s="2"/>
      <c r="C79" s="4"/>
      <c r="D79" s="4"/>
      <c r="E79" s="4"/>
      <c r="I79" s="135"/>
      <c r="J79" s="135"/>
      <c r="K79" s="135"/>
      <c r="L79" s="135"/>
    </row>
    <row r="80" spans="2:12" ht="12" customHeight="1" x14ac:dyDescent="0.15">
      <c r="B80" s="2"/>
      <c r="C80" s="4"/>
      <c r="D80" s="4"/>
      <c r="E80" s="4"/>
      <c r="I80" s="135"/>
      <c r="J80" s="135"/>
      <c r="K80" s="135"/>
      <c r="L80" s="135"/>
    </row>
    <row r="81" spans="2:12" ht="12" customHeight="1" x14ac:dyDescent="0.15">
      <c r="B81" s="2"/>
      <c r="C81" s="4"/>
      <c r="D81" s="4"/>
      <c r="E81" s="4"/>
      <c r="I81" s="135"/>
      <c r="J81" s="135"/>
      <c r="K81" s="135"/>
      <c r="L81" s="135"/>
    </row>
    <row r="82" spans="2:12" ht="12" customHeight="1" x14ac:dyDescent="0.15">
      <c r="B82" s="2"/>
      <c r="C82" s="4"/>
      <c r="D82" s="4"/>
      <c r="E82" s="4"/>
      <c r="I82" s="135"/>
      <c r="J82" s="135"/>
      <c r="K82" s="135"/>
      <c r="L82" s="135"/>
    </row>
    <row r="83" spans="2:12" ht="12" customHeight="1" x14ac:dyDescent="0.15">
      <c r="B83" s="2"/>
      <c r="C83" s="4"/>
      <c r="D83" s="4"/>
      <c r="E83" s="4"/>
      <c r="I83" s="135"/>
      <c r="J83" s="135"/>
      <c r="K83" s="135"/>
      <c r="L83" s="135"/>
    </row>
    <row r="84" spans="2:12" ht="12" customHeight="1" x14ac:dyDescent="0.15">
      <c r="B84" s="2"/>
      <c r="C84" s="4"/>
      <c r="D84" s="4"/>
      <c r="E84" s="4"/>
      <c r="I84" s="135"/>
      <c r="J84" s="135"/>
      <c r="K84" s="135"/>
      <c r="L84" s="135"/>
    </row>
    <row r="85" spans="2:12" ht="12" customHeight="1" x14ac:dyDescent="0.15">
      <c r="B85" s="2"/>
      <c r="C85" s="4"/>
      <c r="D85" s="4"/>
      <c r="E85" s="4"/>
      <c r="I85" s="135"/>
      <c r="J85" s="135"/>
      <c r="K85" s="135"/>
      <c r="L85" s="135"/>
    </row>
    <row r="86" spans="2:12" ht="12" customHeight="1" x14ac:dyDescent="0.15">
      <c r="B86" s="2"/>
      <c r="C86" s="4"/>
      <c r="D86" s="4"/>
      <c r="E86" s="4"/>
      <c r="I86" s="135"/>
      <c r="J86" s="135"/>
      <c r="K86" s="135"/>
      <c r="L86" s="135"/>
    </row>
    <row r="87" spans="2:12" ht="12" customHeight="1" x14ac:dyDescent="0.15">
      <c r="B87" s="2"/>
      <c r="C87" s="4"/>
      <c r="D87" s="4"/>
      <c r="E87" s="4"/>
      <c r="I87" s="135"/>
      <c r="J87" s="135"/>
      <c r="K87" s="135"/>
      <c r="L87" s="135"/>
    </row>
    <row r="88" spans="2:12" ht="12" customHeight="1" x14ac:dyDescent="0.15">
      <c r="B88" s="2"/>
      <c r="C88" s="4"/>
      <c r="D88" s="4"/>
      <c r="E88" s="4"/>
      <c r="I88" s="135"/>
      <c r="J88" s="135"/>
      <c r="K88" s="135"/>
      <c r="L88" s="135"/>
    </row>
    <row r="89" spans="2:12" ht="12" customHeight="1" x14ac:dyDescent="0.15">
      <c r="B89" s="2"/>
      <c r="C89" s="4"/>
      <c r="D89" s="4"/>
      <c r="E89" s="4"/>
      <c r="I89" s="135"/>
      <c r="J89" s="135"/>
      <c r="K89" s="135"/>
      <c r="L89" s="135"/>
    </row>
    <row r="90" spans="2:12" ht="12" customHeight="1" x14ac:dyDescent="0.15">
      <c r="B90" s="2"/>
      <c r="C90" s="4"/>
      <c r="D90" s="4"/>
      <c r="E90" s="4"/>
      <c r="I90" s="135"/>
      <c r="J90" s="135"/>
      <c r="K90" s="135"/>
      <c r="L90" s="135"/>
    </row>
    <row r="91" spans="2:12" ht="12" customHeight="1" x14ac:dyDescent="0.15">
      <c r="B91" s="2"/>
      <c r="C91" s="4"/>
      <c r="D91" s="4"/>
      <c r="E91" s="4"/>
      <c r="I91" s="135"/>
      <c r="J91" s="135"/>
      <c r="K91" s="135"/>
      <c r="L91" s="135"/>
    </row>
    <row r="92" spans="2:12" ht="12" customHeight="1" x14ac:dyDescent="0.15">
      <c r="B92" s="2"/>
      <c r="C92" s="4"/>
      <c r="D92" s="4"/>
      <c r="E92" s="4"/>
      <c r="I92" s="135"/>
      <c r="J92" s="135"/>
      <c r="K92" s="135"/>
      <c r="L92" s="135"/>
    </row>
    <row r="93" spans="2:12" ht="12" customHeight="1" x14ac:dyDescent="0.15">
      <c r="B93" s="2"/>
      <c r="C93" s="4"/>
      <c r="D93" s="4"/>
      <c r="E93" s="4"/>
      <c r="I93" s="135"/>
      <c r="J93" s="135"/>
      <c r="K93" s="135"/>
      <c r="L93" s="135"/>
    </row>
    <row r="94" spans="2:12" ht="12" customHeight="1" x14ac:dyDescent="0.15">
      <c r="B94" s="2"/>
      <c r="C94" s="4"/>
      <c r="D94" s="4"/>
      <c r="E94" s="4"/>
      <c r="I94" s="135"/>
      <c r="J94" s="135"/>
      <c r="K94" s="135"/>
      <c r="L94" s="135"/>
    </row>
    <row r="95" spans="2:12" ht="12" customHeight="1" x14ac:dyDescent="0.15">
      <c r="B95" s="2"/>
      <c r="C95" s="4"/>
      <c r="D95" s="4"/>
      <c r="E95" s="4"/>
      <c r="I95" s="135"/>
      <c r="J95" s="135"/>
      <c r="K95" s="135"/>
      <c r="L95" s="135"/>
    </row>
    <row r="96" spans="2:12" ht="12" customHeight="1" x14ac:dyDescent="0.15">
      <c r="B96" s="2"/>
      <c r="C96" s="4"/>
      <c r="D96" s="4"/>
      <c r="E96" s="4"/>
      <c r="I96" s="135"/>
      <c r="J96" s="135"/>
      <c r="K96" s="135"/>
      <c r="L96" s="135"/>
    </row>
    <row r="97" spans="2:12" ht="12" customHeight="1" x14ac:dyDescent="0.15">
      <c r="B97" s="2"/>
      <c r="C97" s="4"/>
      <c r="D97" s="4"/>
      <c r="E97" s="4"/>
      <c r="I97" s="135"/>
      <c r="J97" s="135"/>
      <c r="K97" s="135"/>
      <c r="L97" s="135"/>
    </row>
    <row r="98" spans="2:12" ht="12" customHeight="1" x14ac:dyDescent="0.15">
      <c r="B98" s="2"/>
      <c r="C98" s="4"/>
      <c r="D98" s="4"/>
      <c r="E98" s="4"/>
      <c r="I98" s="135"/>
      <c r="J98" s="135"/>
      <c r="K98" s="135"/>
      <c r="L98" s="135"/>
    </row>
    <row r="99" spans="2:12" ht="12" customHeight="1" x14ac:dyDescent="0.15">
      <c r="B99" s="2"/>
      <c r="C99" s="4"/>
      <c r="D99" s="4"/>
      <c r="E99" s="4"/>
      <c r="I99" s="135"/>
      <c r="J99" s="135"/>
      <c r="K99" s="135"/>
      <c r="L99" s="135"/>
    </row>
    <row r="100" spans="2:12" ht="12" customHeight="1" x14ac:dyDescent="0.15">
      <c r="B100" s="2"/>
      <c r="C100" s="4"/>
      <c r="D100" s="4"/>
      <c r="E100" s="4"/>
      <c r="I100" s="135"/>
      <c r="J100" s="135"/>
      <c r="K100" s="135"/>
      <c r="L100" s="135"/>
    </row>
    <row r="101" spans="2:12" ht="12" customHeight="1" x14ac:dyDescent="0.15">
      <c r="B101" s="2"/>
      <c r="C101" s="4"/>
      <c r="D101" s="4"/>
      <c r="E101" s="4"/>
      <c r="I101" s="135"/>
      <c r="J101" s="135"/>
      <c r="K101" s="135"/>
      <c r="L101" s="135"/>
    </row>
    <row r="102" spans="2:12" ht="12" customHeight="1" x14ac:dyDescent="0.15">
      <c r="B102" s="2"/>
      <c r="C102" s="4"/>
      <c r="D102" s="4"/>
      <c r="E102" s="4"/>
      <c r="I102" s="135"/>
      <c r="J102" s="135"/>
      <c r="K102" s="135"/>
      <c r="L102" s="135"/>
    </row>
    <row r="103" spans="2:12" ht="12" customHeight="1" x14ac:dyDescent="0.15">
      <c r="B103" s="2"/>
      <c r="C103" s="4"/>
      <c r="D103" s="4"/>
      <c r="E103" s="4"/>
      <c r="I103" s="135"/>
      <c r="J103" s="135"/>
      <c r="K103" s="135"/>
      <c r="L103" s="135"/>
    </row>
    <row r="104" spans="2:12" ht="12" customHeight="1" x14ac:dyDescent="0.15">
      <c r="B104" s="2"/>
      <c r="C104" s="4"/>
      <c r="D104" s="4"/>
      <c r="E104" s="4"/>
      <c r="I104" s="135"/>
      <c r="J104" s="135"/>
      <c r="K104" s="135"/>
      <c r="L104" s="135"/>
    </row>
    <row r="105" spans="2:12" ht="12" customHeight="1" x14ac:dyDescent="0.15">
      <c r="B105" s="2"/>
      <c r="C105" s="4"/>
      <c r="D105" s="4"/>
      <c r="E105" s="4"/>
      <c r="I105" s="135"/>
      <c r="J105" s="135"/>
      <c r="K105" s="135"/>
      <c r="L105" s="135"/>
    </row>
    <row r="106" spans="2:12" ht="12" customHeight="1" x14ac:dyDescent="0.15">
      <c r="B106" s="2"/>
      <c r="C106" s="4"/>
      <c r="D106" s="4"/>
      <c r="E106" s="4"/>
      <c r="I106" s="135"/>
      <c r="J106" s="135"/>
      <c r="K106" s="135"/>
      <c r="L106" s="135"/>
    </row>
    <row r="107" spans="2:12" ht="12" customHeight="1" x14ac:dyDescent="0.15">
      <c r="B107" s="2"/>
      <c r="C107" s="4"/>
      <c r="D107" s="4"/>
      <c r="E107" s="4"/>
      <c r="I107" s="135"/>
      <c r="J107" s="135"/>
      <c r="K107" s="135"/>
      <c r="L107" s="135"/>
    </row>
    <row r="108" spans="2:12" ht="12" customHeight="1" x14ac:dyDescent="0.15">
      <c r="B108" s="2"/>
      <c r="C108" s="4"/>
      <c r="D108" s="4"/>
      <c r="E108" s="4"/>
      <c r="I108" s="135"/>
      <c r="J108" s="135"/>
      <c r="K108" s="135"/>
      <c r="L108" s="135"/>
    </row>
    <row r="109" spans="2:12" ht="12" customHeight="1" x14ac:dyDescent="0.15">
      <c r="B109" s="2"/>
      <c r="C109" s="4"/>
      <c r="D109" s="4"/>
      <c r="E109" s="4"/>
      <c r="I109" s="135"/>
      <c r="J109" s="135"/>
      <c r="K109" s="135"/>
      <c r="L109" s="135"/>
    </row>
    <row r="110" spans="2:12" ht="12" customHeight="1" x14ac:dyDescent="0.15">
      <c r="B110" s="2"/>
      <c r="C110" s="4"/>
      <c r="D110" s="4"/>
      <c r="E110" s="4"/>
      <c r="I110" s="135"/>
      <c r="J110" s="135"/>
      <c r="K110" s="135"/>
      <c r="L110" s="135"/>
    </row>
    <row r="111" spans="2:12" ht="12" customHeight="1" x14ac:dyDescent="0.15">
      <c r="B111" s="2"/>
      <c r="C111" s="4"/>
      <c r="D111" s="4"/>
      <c r="E111" s="4"/>
      <c r="I111" s="135"/>
      <c r="J111" s="135"/>
      <c r="K111" s="135"/>
      <c r="L111" s="135"/>
    </row>
    <row r="112" spans="2:12" ht="12" customHeight="1" x14ac:dyDescent="0.15">
      <c r="B112" s="2"/>
      <c r="C112" s="4"/>
      <c r="D112" s="4"/>
      <c r="E112" s="4"/>
      <c r="I112" s="135"/>
      <c r="J112" s="135"/>
      <c r="K112" s="135"/>
      <c r="L112" s="135"/>
    </row>
    <row r="113" spans="2:12" ht="12" customHeight="1" x14ac:dyDescent="0.15">
      <c r="B113" s="2"/>
      <c r="C113" s="4"/>
      <c r="D113" s="4"/>
      <c r="E113" s="4"/>
      <c r="I113" s="135"/>
      <c r="J113" s="135"/>
      <c r="K113" s="135"/>
      <c r="L113" s="135"/>
    </row>
    <row r="114" spans="2:12" ht="12" customHeight="1" x14ac:dyDescent="0.15">
      <c r="B114" s="2"/>
      <c r="C114" s="4"/>
      <c r="D114" s="4"/>
      <c r="E114" s="4"/>
      <c r="I114" s="135"/>
      <c r="J114" s="135"/>
      <c r="K114" s="135"/>
      <c r="L114" s="135"/>
    </row>
    <row r="115" spans="2:12" ht="12" customHeight="1" x14ac:dyDescent="0.15">
      <c r="B115" s="2"/>
      <c r="C115" s="4"/>
      <c r="D115" s="4"/>
      <c r="E115" s="4"/>
      <c r="I115" s="135"/>
      <c r="J115" s="135"/>
      <c r="K115" s="135"/>
      <c r="L115" s="135"/>
    </row>
    <row r="116" spans="2:12" ht="12" customHeight="1" x14ac:dyDescent="0.15">
      <c r="B116" s="2"/>
      <c r="C116" s="4"/>
      <c r="D116" s="4"/>
      <c r="E116" s="4"/>
      <c r="I116" s="135"/>
      <c r="J116" s="135"/>
      <c r="K116" s="135"/>
      <c r="L116" s="135"/>
    </row>
    <row r="117" spans="2:12" ht="12" customHeight="1" x14ac:dyDescent="0.15">
      <c r="B117" s="2"/>
      <c r="C117" s="4"/>
      <c r="D117" s="4"/>
      <c r="E117" s="4"/>
      <c r="I117" s="135"/>
      <c r="J117" s="135"/>
      <c r="K117" s="135"/>
      <c r="L117" s="135"/>
    </row>
    <row r="118" spans="2:12" ht="12" customHeight="1" x14ac:dyDescent="0.15">
      <c r="B118" s="2"/>
      <c r="C118" s="4"/>
      <c r="D118" s="4"/>
      <c r="E118" s="4"/>
      <c r="I118" s="135"/>
      <c r="J118" s="135"/>
      <c r="K118" s="135"/>
      <c r="L118" s="135"/>
    </row>
    <row r="119" spans="2:12" ht="12" customHeight="1" x14ac:dyDescent="0.15">
      <c r="B119" s="2"/>
      <c r="C119" s="4"/>
      <c r="D119" s="4"/>
      <c r="E119" s="4"/>
      <c r="I119" s="135"/>
      <c r="J119" s="135"/>
      <c r="K119" s="135"/>
      <c r="L119" s="135"/>
    </row>
    <row r="120" spans="2:12" ht="12" customHeight="1" x14ac:dyDescent="0.15">
      <c r="B120" s="2"/>
      <c r="C120" s="4"/>
      <c r="D120" s="4"/>
      <c r="E120" s="4"/>
      <c r="I120" s="135"/>
      <c r="J120" s="135"/>
      <c r="K120" s="135"/>
      <c r="L120" s="135"/>
    </row>
    <row r="121" spans="2:12" ht="12" customHeight="1" x14ac:dyDescent="0.15">
      <c r="B121" s="2"/>
      <c r="C121" s="4"/>
      <c r="D121" s="4"/>
      <c r="E121" s="4"/>
      <c r="I121" s="135"/>
      <c r="J121" s="135"/>
      <c r="K121" s="135"/>
      <c r="L121" s="135"/>
    </row>
    <row r="122" spans="2:12" ht="12" customHeight="1" x14ac:dyDescent="0.15">
      <c r="B122" s="2"/>
      <c r="C122" s="4"/>
      <c r="D122" s="4"/>
      <c r="E122" s="4"/>
      <c r="I122" s="135"/>
      <c r="J122" s="135"/>
      <c r="K122" s="135"/>
      <c r="L122" s="135"/>
    </row>
    <row r="123" spans="2:12" ht="12" customHeight="1" x14ac:dyDescent="0.15">
      <c r="B123" s="2"/>
      <c r="C123" s="4"/>
      <c r="D123" s="4"/>
      <c r="E123" s="4"/>
      <c r="I123" s="135"/>
      <c r="J123" s="135"/>
      <c r="K123" s="135"/>
      <c r="L123" s="135"/>
    </row>
    <row r="124" spans="2:12" ht="12" customHeight="1" x14ac:dyDescent="0.15">
      <c r="B124" s="2"/>
      <c r="C124" s="4"/>
      <c r="D124" s="4"/>
      <c r="E124" s="4"/>
      <c r="I124" s="135"/>
      <c r="J124" s="135"/>
      <c r="K124" s="135"/>
      <c r="L124" s="135"/>
    </row>
    <row r="125" spans="2:12" ht="12" customHeight="1" x14ac:dyDescent="0.15">
      <c r="B125" s="2"/>
      <c r="C125" s="4"/>
      <c r="D125" s="4"/>
      <c r="E125" s="4"/>
      <c r="I125" s="135"/>
      <c r="J125" s="135"/>
      <c r="K125" s="135"/>
      <c r="L125" s="135"/>
    </row>
    <row r="126" spans="2:12" ht="12" customHeight="1" x14ac:dyDescent="0.15">
      <c r="B126" s="2"/>
      <c r="C126" s="4"/>
      <c r="D126" s="4"/>
      <c r="E126" s="4"/>
      <c r="I126" s="135"/>
      <c r="J126" s="135"/>
      <c r="K126" s="135"/>
      <c r="L126" s="135"/>
    </row>
    <row r="127" spans="2:12" ht="12" customHeight="1" x14ac:dyDescent="0.15">
      <c r="B127" s="2"/>
      <c r="C127" s="4"/>
      <c r="D127" s="4"/>
      <c r="E127" s="4"/>
      <c r="I127" s="135"/>
      <c r="J127" s="135"/>
      <c r="K127" s="135"/>
      <c r="L127" s="135"/>
    </row>
    <row r="128" spans="2:12" ht="12" customHeight="1" x14ac:dyDescent="0.15">
      <c r="B128" s="2"/>
      <c r="C128" s="4"/>
      <c r="D128" s="4"/>
      <c r="E128" s="4"/>
      <c r="I128" s="135"/>
      <c r="J128" s="135"/>
      <c r="K128" s="135"/>
      <c r="L128" s="135"/>
    </row>
    <row r="129" spans="2:12" ht="12" customHeight="1" x14ac:dyDescent="0.15">
      <c r="B129" s="2"/>
      <c r="C129" s="4"/>
      <c r="D129" s="4"/>
      <c r="E129" s="4"/>
      <c r="I129" s="135"/>
      <c r="J129" s="135"/>
      <c r="K129" s="135"/>
      <c r="L129" s="135"/>
    </row>
    <row r="130" spans="2:12" ht="12" customHeight="1" x14ac:dyDescent="0.15">
      <c r="B130" s="2"/>
      <c r="C130" s="4"/>
      <c r="D130" s="4"/>
      <c r="E130" s="4"/>
      <c r="I130" s="135"/>
      <c r="J130" s="135"/>
      <c r="K130" s="135"/>
      <c r="L130" s="135"/>
    </row>
    <row r="131" spans="2:12" ht="12" customHeight="1" x14ac:dyDescent="0.15">
      <c r="B131" s="2"/>
      <c r="C131" s="4"/>
      <c r="D131" s="4"/>
      <c r="E131" s="4"/>
      <c r="I131" s="135"/>
      <c r="J131" s="135"/>
      <c r="K131" s="135"/>
      <c r="L131" s="135"/>
    </row>
    <row r="132" spans="2:12" ht="12" customHeight="1" x14ac:dyDescent="0.15">
      <c r="B132" s="2"/>
      <c r="C132" s="4"/>
      <c r="D132" s="4"/>
      <c r="E132" s="4"/>
      <c r="I132" s="135"/>
      <c r="J132" s="135"/>
      <c r="K132" s="135"/>
      <c r="L132" s="135"/>
    </row>
    <row r="133" spans="2:12" ht="12" customHeight="1" x14ac:dyDescent="0.15">
      <c r="B133" s="2"/>
      <c r="C133" s="4"/>
      <c r="D133" s="4"/>
      <c r="E133" s="4"/>
      <c r="I133" s="135"/>
      <c r="J133" s="135"/>
      <c r="K133" s="135"/>
      <c r="L133" s="135"/>
    </row>
    <row r="134" spans="2:12" ht="12" customHeight="1" x14ac:dyDescent="0.15">
      <c r="B134" s="2"/>
      <c r="C134" s="4"/>
      <c r="D134" s="4"/>
      <c r="E134" s="4"/>
      <c r="I134" s="135"/>
      <c r="J134" s="135"/>
      <c r="K134" s="135"/>
      <c r="L134" s="135"/>
    </row>
    <row r="135" spans="2:12" ht="12" customHeight="1" x14ac:dyDescent="0.15">
      <c r="B135" s="2"/>
      <c r="C135" s="4"/>
      <c r="D135" s="4"/>
      <c r="E135" s="4"/>
      <c r="I135" s="135"/>
      <c r="J135" s="135"/>
      <c r="K135" s="135"/>
      <c r="L135" s="135"/>
    </row>
    <row r="136" spans="2:12" ht="12" customHeight="1" x14ac:dyDescent="0.15">
      <c r="B136" s="2"/>
      <c r="C136" s="4"/>
      <c r="D136" s="4"/>
      <c r="E136" s="4"/>
      <c r="I136" s="135"/>
      <c r="J136" s="135"/>
      <c r="K136" s="135"/>
      <c r="L136" s="135"/>
    </row>
    <row r="137" spans="2:12" ht="12" customHeight="1" x14ac:dyDescent="0.15">
      <c r="B137" s="2"/>
      <c r="C137" s="4"/>
      <c r="D137" s="4"/>
      <c r="E137" s="4"/>
      <c r="I137" s="135"/>
      <c r="J137" s="135"/>
      <c r="K137" s="135"/>
      <c r="L137" s="135"/>
    </row>
    <row r="138" spans="2:12" ht="12" customHeight="1" x14ac:dyDescent="0.15">
      <c r="B138" s="2"/>
      <c r="C138" s="4"/>
      <c r="D138" s="4"/>
      <c r="E138" s="4"/>
      <c r="I138" s="135"/>
      <c r="J138" s="135"/>
      <c r="K138" s="135"/>
      <c r="L138" s="135"/>
    </row>
    <row r="139" spans="2:12" ht="12" customHeight="1" x14ac:dyDescent="0.15">
      <c r="B139" s="2"/>
      <c r="C139" s="4"/>
      <c r="D139" s="4"/>
      <c r="E139" s="4"/>
      <c r="I139" s="135"/>
      <c r="J139" s="135"/>
      <c r="K139" s="135"/>
      <c r="L139" s="135"/>
    </row>
    <row r="140" spans="2:12" ht="12" customHeight="1" x14ac:dyDescent="0.15">
      <c r="B140" s="2"/>
      <c r="C140" s="4"/>
      <c r="D140" s="4"/>
      <c r="E140" s="4"/>
      <c r="I140" s="135"/>
      <c r="J140" s="135"/>
      <c r="K140" s="135"/>
      <c r="L140" s="135"/>
    </row>
    <row r="141" spans="2:12" ht="12" customHeight="1" x14ac:dyDescent="0.15">
      <c r="B141" s="2"/>
      <c r="C141" s="4"/>
      <c r="D141" s="4"/>
      <c r="E141" s="4"/>
      <c r="I141" s="135"/>
      <c r="J141" s="135"/>
      <c r="K141" s="135"/>
      <c r="L141" s="135"/>
    </row>
    <row r="142" spans="2:12" ht="12" customHeight="1" x14ac:dyDescent="0.15">
      <c r="B142" s="2"/>
      <c r="C142" s="4"/>
      <c r="D142" s="4"/>
      <c r="E142" s="4"/>
      <c r="I142" s="135"/>
      <c r="J142" s="135"/>
      <c r="K142" s="135"/>
      <c r="L142" s="135"/>
    </row>
    <row r="143" spans="2:12" ht="12" customHeight="1" x14ac:dyDescent="0.15">
      <c r="B143" s="2"/>
      <c r="C143" s="4"/>
      <c r="D143" s="4"/>
      <c r="E143" s="4"/>
      <c r="I143" s="135"/>
      <c r="J143" s="135"/>
      <c r="K143" s="135"/>
      <c r="L143" s="135"/>
    </row>
    <row r="144" spans="2:12" ht="12" customHeight="1" x14ac:dyDescent="0.15">
      <c r="B144" s="2"/>
      <c r="C144" s="4"/>
      <c r="D144" s="4"/>
      <c r="E144" s="4"/>
      <c r="I144" s="135"/>
      <c r="J144" s="135"/>
      <c r="K144" s="135"/>
      <c r="L144" s="135"/>
    </row>
    <row r="145" spans="2:12" ht="12" customHeight="1" x14ac:dyDescent="0.15">
      <c r="B145" s="2"/>
      <c r="C145" s="4"/>
      <c r="D145" s="4"/>
      <c r="E145" s="4"/>
      <c r="I145" s="135"/>
      <c r="J145" s="135"/>
      <c r="K145" s="135"/>
      <c r="L145" s="135"/>
    </row>
    <row r="146" spans="2:12" ht="12" customHeight="1" x14ac:dyDescent="0.15">
      <c r="B146" s="2"/>
      <c r="C146" s="4"/>
      <c r="D146" s="4"/>
      <c r="E146" s="4"/>
      <c r="I146" s="135"/>
      <c r="J146" s="135"/>
      <c r="K146" s="135"/>
      <c r="L146" s="135"/>
    </row>
    <row r="147" spans="2:12" ht="12" customHeight="1" x14ac:dyDescent="0.15">
      <c r="B147" s="2"/>
      <c r="C147" s="4"/>
      <c r="D147" s="4"/>
      <c r="E147" s="4"/>
      <c r="I147" s="135"/>
      <c r="J147" s="135"/>
      <c r="K147" s="135"/>
      <c r="L147" s="135"/>
    </row>
    <row r="148" spans="2:12" ht="12" customHeight="1" x14ac:dyDescent="0.15">
      <c r="B148" s="2"/>
      <c r="C148" s="4"/>
      <c r="D148" s="4"/>
      <c r="E148" s="4"/>
      <c r="I148" s="135"/>
      <c r="J148" s="135"/>
      <c r="K148" s="135"/>
      <c r="L148" s="135"/>
    </row>
    <row r="149" spans="2:12" ht="12" customHeight="1" x14ac:dyDescent="0.15">
      <c r="B149" s="2"/>
      <c r="C149" s="4"/>
      <c r="D149" s="4"/>
      <c r="E149" s="4"/>
      <c r="I149" s="135"/>
      <c r="J149" s="135"/>
      <c r="K149" s="135"/>
      <c r="L149" s="135"/>
    </row>
    <row r="150" spans="2:12" ht="12" customHeight="1" x14ac:dyDescent="0.15">
      <c r="B150" s="2"/>
      <c r="C150" s="4"/>
      <c r="D150" s="4"/>
      <c r="E150" s="4"/>
      <c r="I150" s="135"/>
      <c r="J150" s="135"/>
      <c r="K150" s="135"/>
      <c r="L150" s="135"/>
    </row>
    <row r="151" spans="2:12" ht="12" customHeight="1" x14ac:dyDescent="0.15">
      <c r="B151" s="2"/>
      <c r="C151" s="4"/>
      <c r="D151" s="4"/>
      <c r="E151" s="4"/>
      <c r="I151" s="135"/>
      <c r="J151" s="135"/>
      <c r="K151" s="135"/>
      <c r="L151" s="135"/>
    </row>
    <row r="152" spans="2:12" ht="12" customHeight="1" x14ac:dyDescent="0.15">
      <c r="B152" s="2"/>
      <c r="C152" s="4"/>
      <c r="D152" s="4"/>
      <c r="E152" s="4"/>
      <c r="I152" s="135"/>
      <c r="J152" s="135"/>
      <c r="K152" s="135"/>
      <c r="L152" s="135"/>
    </row>
    <row r="153" spans="2:12" ht="12" customHeight="1" x14ac:dyDescent="0.15">
      <c r="B153" s="2"/>
      <c r="C153" s="4"/>
      <c r="D153" s="4"/>
      <c r="E153" s="4"/>
      <c r="I153" s="135"/>
      <c r="J153" s="135"/>
      <c r="K153" s="135"/>
      <c r="L153" s="135"/>
    </row>
    <row r="154" spans="2:12" ht="12" customHeight="1" x14ac:dyDescent="0.15">
      <c r="B154" s="2"/>
      <c r="C154" s="4"/>
      <c r="D154" s="4"/>
      <c r="E154" s="4"/>
      <c r="I154" s="135"/>
      <c r="J154" s="135"/>
      <c r="K154" s="135"/>
      <c r="L154" s="135"/>
    </row>
    <row r="155" spans="2:12" ht="12" customHeight="1" x14ac:dyDescent="0.15">
      <c r="B155" s="2"/>
      <c r="C155" s="4"/>
      <c r="D155" s="4"/>
      <c r="E155" s="4"/>
      <c r="I155" s="135"/>
      <c r="J155" s="135"/>
      <c r="K155" s="135"/>
      <c r="L155" s="135"/>
    </row>
    <row r="156" spans="2:12" ht="12" customHeight="1" x14ac:dyDescent="0.15">
      <c r="B156" s="2"/>
      <c r="C156" s="4"/>
      <c r="D156" s="4"/>
      <c r="E156" s="4"/>
      <c r="I156" s="135"/>
      <c r="J156" s="135"/>
      <c r="K156" s="135"/>
      <c r="L156" s="135"/>
    </row>
    <row r="157" spans="2:12" ht="12" customHeight="1" x14ac:dyDescent="0.15">
      <c r="B157" s="2"/>
      <c r="C157" s="4"/>
      <c r="D157" s="4"/>
      <c r="E157" s="4"/>
      <c r="I157" s="135"/>
      <c r="J157" s="135"/>
      <c r="K157" s="135"/>
      <c r="L157" s="135"/>
    </row>
    <row r="158" spans="2:12" ht="12" customHeight="1" x14ac:dyDescent="0.15">
      <c r="B158" s="2"/>
      <c r="C158" s="4"/>
      <c r="D158" s="4"/>
      <c r="E158" s="4"/>
      <c r="I158" s="135"/>
      <c r="J158" s="135"/>
      <c r="K158" s="135"/>
      <c r="L158" s="135"/>
    </row>
    <row r="159" spans="2:12" ht="12" customHeight="1" x14ac:dyDescent="0.15">
      <c r="B159" s="2"/>
      <c r="C159" s="4"/>
      <c r="D159" s="4"/>
      <c r="E159" s="4"/>
      <c r="I159" s="135"/>
      <c r="J159" s="135"/>
      <c r="K159" s="135"/>
      <c r="L159" s="135"/>
    </row>
    <row r="160" spans="2:12" ht="12" customHeight="1" x14ac:dyDescent="0.15">
      <c r="B160" s="2"/>
      <c r="C160" s="4"/>
      <c r="D160" s="4"/>
      <c r="E160" s="4"/>
      <c r="I160" s="135"/>
      <c r="J160" s="135"/>
      <c r="K160" s="135"/>
      <c r="L160" s="135"/>
    </row>
    <row r="161" spans="2:12" ht="12" customHeight="1" x14ac:dyDescent="0.15">
      <c r="B161" s="2"/>
      <c r="C161" s="4"/>
      <c r="D161" s="4"/>
      <c r="E161" s="4"/>
      <c r="I161" s="135"/>
      <c r="J161" s="135"/>
      <c r="K161" s="135"/>
      <c r="L161" s="135"/>
    </row>
    <row r="162" spans="2:12" ht="12" customHeight="1" x14ac:dyDescent="0.15">
      <c r="B162" s="2"/>
      <c r="C162" s="4"/>
      <c r="D162" s="4"/>
      <c r="E162" s="4"/>
      <c r="I162" s="135"/>
      <c r="J162" s="135"/>
      <c r="K162" s="135"/>
      <c r="L162" s="135"/>
    </row>
    <row r="163" spans="2:12" ht="12" customHeight="1" x14ac:dyDescent="0.15">
      <c r="B163" s="2"/>
      <c r="C163" s="4"/>
      <c r="D163" s="4"/>
      <c r="E163" s="4"/>
      <c r="I163" s="135"/>
      <c r="J163" s="135"/>
      <c r="K163" s="135"/>
      <c r="L163" s="135"/>
    </row>
    <row r="164" spans="2:12" ht="12" customHeight="1" x14ac:dyDescent="0.15">
      <c r="B164" s="2"/>
      <c r="C164" s="4"/>
      <c r="D164" s="4"/>
      <c r="E164" s="4"/>
      <c r="I164" s="135"/>
      <c r="J164" s="135"/>
      <c r="K164" s="135"/>
      <c r="L164" s="135"/>
    </row>
    <row r="165" spans="2:12" ht="12" customHeight="1" x14ac:dyDescent="0.15">
      <c r="B165" s="2"/>
      <c r="C165" s="4"/>
      <c r="D165" s="4"/>
      <c r="E165" s="4"/>
      <c r="I165" s="135"/>
      <c r="J165" s="135"/>
      <c r="K165" s="135"/>
      <c r="L165" s="135"/>
    </row>
    <row r="166" spans="2:12" ht="12" customHeight="1" x14ac:dyDescent="0.15">
      <c r="B166" s="2"/>
      <c r="C166" s="4"/>
      <c r="D166" s="4"/>
      <c r="E166" s="4"/>
      <c r="I166" s="135"/>
      <c r="J166" s="135"/>
      <c r="K166" s="135"/>
      <c r="L166" s="135"/>
    </row>
    <row r="167" spans="2:12" ht="12" customHeight="1" x14ac:dyDescent="0.15">
      <c r="B167" s="2"/>
      <c r="C167" s="4"/>
      <c r="D167" s="4"/>
      <c r="E167" s="4"/>
      <c r="I167" s="135"/>
      <c r="J167" s="135"/>
      <c r="K167" s="135"/>
      <c r="L167" s="135"/>
    </row>
    <row r="168" spans="2:12" ht="12" customHeight="1" x14ac:dyDescent="0.15">
      <c r="B168" s="2"/>
      <c r="C168" s="4"/>
      <c r="D168" s="4"/>
      <c r="E168" s="4"/>
      <c r="I168" s="135"/>
      <c r="J168" s="135"/>
      <c r="K168" s="135"/>
      <c r="L168" s="135"/>
    </row>
    <row r="169" spans="2:12" ht="12" customHeight="1" x14ac:dyDescent="0.15">
      <c r="B169" s="2"/>
      <c r="C169" s="4"/>
      <c r="D169" s="4"/>
      <c r="E169" s="4"/>
      <c r="I169" s="135"/>
      <c r="J169" s="135"/>
      <c r="K169" s="135"/>
      <c r="L169" s="135"/>
    </row>
    <row r="170" spans="2:12" ht="12" customHeight="1" x14ac:dyDescent="0.15">
      <c r="B170" s="2"/>
      <c r="C170" s="4"/>
      <c r="D170" s="4"/>
      <c r="E170" s="4"/>
      <c r="I170" s="135"/>
      <c r="J170" s="135"/>
      <c r="K170" s="135"/>
      <c r="L170" s="135"/>
    </row>
    <row r="171" spans="2:12" ht="12" customHeight="1" x14ac:dyDescent="0.15">
      <c r="B171" s="2"/>
      <c r="C171" s="4"/>
      <c r="D171" s="4"/>
      <c r="E171" s="4"/>
      <c r="I171" s="135"/>
      <c r="J171" s="135"/>
      <c r="K171" s="135"/>
      <c r="L171" s="135"/>
    </row>
    <row r="172" spans="2:12" ht="12" customHeight="1" x14ac:dyDescent="0.15">
      <c r="B172" s="2"/>
      <c r="C172" s="4"/>
      <c r="D172" s="4"/>
      <c r="E172" s="4"/>
      <c r="I172" s="135"/>
      <c r="J172" s="135"/>
      <c r="K172" s="135"/>
      <c r="L172" s="135"/>
    </row>
    <row r="173" spans="2:12" ht="12" customHeight="1" x14ac:dyDescent="0.15">
      <c r="B173" s="2"/>
      <c r="C173" s="4"/>
      <c r="D173" s="4"/>
      <c r="E173" s="4"/>
      <c r="I173" s="135"/>
      <c r="J173" s="135"/>
      <c r="K173" s="135"/>
      <c r="L173" s="135"/>
    </row>
    <row r="174" spans="2:12" ht="12" customHeight="1" x14ac:dyDescent="0.15">
      <c r="B174" s="2"/>
      <c r="C174" s="4"/>
      <c r="D174" s="4"/>
      <c r="E174" s="4"/>
      <c r="I174" s="135"/>
      <c r="J174" s="135"/>
      <c r="K174" s="135"/>
      <c r="L174" s="135"/>
    </row>
    <row r="175" spans="2:12" ht="12" customHeight="1" x14ac:dyDescent="0.15">
      <c r="B175" s="2"/>
      <c r="C175" s="4"/>
      <c r="D175" s="4"/>
      <c r="E175" s="4"/>
      <c r="I175" s="135"/>
      <c r="J175" s="135"/>
      <c r="K175" s="135"/>
      <c r="L175" s="135"/>
    </row>
    <row r="176" spans="2:12" ht="12" customHeight="1" x14ac:dyDescent="0.15">
      <c r="B176" s="2"/>
      <c r="C176" s="4"/>
      <c r="D176" s="4"/>
      <c r="E176" s="4"/>
      <c r="I176" s="135"/>
      <c r="J176" s="135"/>
      <c r="K176" s="135"/>
      <c r="L176" s="135"/>
    </row>
    <row r="177" spans="2:12" ht="12" customHeight="1" x14ac:dyDescent="0.15">
      <c r="B177" s="2"/>
      <c r="C177" s="4"/>
      <c r="D177" s="4"/>
      <c r="E177" s="4"/>
      <c r="I177" s="135"/>
      <c r="J177" s="135"/>
      <c r="K177" s="135"/>
      <c r="L177" s="135"/>
    </row>
    <row r="178" spans="2:12" ht="12" customHeight="1" x14ac:dyDescent="0.15">
      <c r="B178" s="2"/>
      <c r="C178" s="4"/>
      <c r="D178" s="4"/>
      <c r="E178" s="4"/>
      <c r="I178" s="135"/>
      <c r="J178" s="135"/>
      <c r="K178" s="135"/>
      <c r="L178" s="135"/>
    </row>
    <row r="179" spans="2:12" ht="12" customHeight="1" x14ac:dyDescent="0.15">
      <c r="B179" s="2"/>
      <c r="C179" s="4"/>
      <c r="D179" s="4"/>
      <c r="E179" s="4"/>
      <c r="I179" s="135"/>
      <c r="J179" s="135"/>
      <c r="K179" s="135"/>
      <c r="L179" s="135"/>
    </row>
    <row r="180" spans="2:12" ht="12" customHeight="1" x14ac:dyDescent="0.15">
      <c r="B180" s="2"/>
      <c r="C180" s="4"/>
      <c r="D180" s="4"/>
      <c r="E180" s="4"/>
      <c r="I180" s="135"/>
      <c r="J180" s="135"/>
      <c r="K180" s="135"/>
      <c r="L180" s="135"/>
    </row>
    <row r="181" spans="2:12" ht="12" customHeight="1" x14ac:dyDescent="0.15">
      <c r="B181" s="2"/>
      <c r="C181" s="4"/>
      <c r="D181" s="4"/>
      <c r="E181" s="4"/>
      <c r="I181" s="135"/>
      <c r="J181" s="135"/>
      <c r="K181" s="135"/>
      <c r="L181" s="135"/>
    </row>
    <row r="182" spans="2:12" ht="12" customHeight="1" x14ac:dyDescent="0.15">
      <c r="B182" s="2"/>
      <c r="C182" s="4"/>
      <c r="D182" s="4"/>
      <c r="E182" s="4"/>
      <c r="I182" s="135"/>
      <c r="J182" s="135"/>
      <c r="K182" s="135"/>
      <c r="L182" s="135"/>
    </row>
    <row r="183" spans="2:12" ht="12" customHeight="1" x14ac:dyDescent="0.15">
      <c r="B183" s="2"/>
      <c r="C183" s="4"/>
      <c r="D183" s="4"/>
      <c r="E183" s="4"/>
      <c r="I183" s="135"/>
      <c r="J183" s="135"/>
      <c r="K183" s="135"/>
      <c r="L183" s="135"/>
    </row>
    <row r="184" spans="2:12" ht="12" customHeight="1" x14ac:dyDescent="0.15">
      <c r="B184" s="2"/>
      <c r="C184" s="4"/>
      <c r="D184" s="4"/>
      <c r="E184" s="4"/>
      <c r="I184" s="135"/>
      <c r="J184" s="135"/>
      <c r="K184" s="135"/>
      <c r="L184" s="135"/>
    </row>
    <row r="185" spans="2:12" ht="12" customHeight="1" x14ac:dyDescent="0.15">
      <c r="B185" s="2"/>
      <c r="C185" s="4"/>
      <c r="D185" s="4"/>
      <c r="E185" s="4"/>
      <c r="I185" s="135"/>
      <c r="J185" s="135"/>
      <c r="K185" s="135"/>
      <c r="L185" s="135"/>
    </row>
    <row r="186" spans="2:12" ht="12" customHeight="1" x14ac:dyDescent="0.15">
      <c r="B186" s="2"/>
      <c r="C186" s="4"/>
      <c r="D186" s="4"/>
      <c r="E186" s="4"/>
      <c r="I186" s="135"/>
      <c r="J186" s="135"/>
      <c r="K186" s="135"/>
      <c r="L186" s="135"/>
    </row>
    <row r="187" spans="2:12" ht="12" customHeight="1" x14ac:dyDescent="0.15">
      <c r="B187" s="2"/>
      <c r="C187" s="4"/>
      <c r="D187" s="4"/>
      <c r="E187" s="4"/>
      <c r="I187" s="135"/>
      <c r="J187" s="135"/>
      <c r="K187" s="135"/>
      <c r="L187" s="135"/>
    </row>
    <row r="188" spans="2:12" ht="12" customHeight="1" x14ac:dyDescent="0.15">
      <c r="B188" s="2"/>
      <c r="C188" s="4"/>
      <c r="D188" s="4"/>
      <c r="E188" s="4"/>
      <c r="I188" s="135"/>
      <c r="J188" s="135"/>
      <c r="K188" s="135"/>
      <c r="L188" s="135"/>
    </row>
    <row r="189" spans="2:12" ht="12" customHeight="1" x14ac:dyDescent="0.15">
      <c r="B189" s="2"/>
      <c r="C189" s="4"/>
      <c r="D189" s="4"/>
      <c r="E189" s="4"/>
      <c r="I189" s="135"/>
      <c r="J189" s="135"/>
      <c r="K189" s="135"/>
      <c r="L189" s="135"/>
    </row>
    <row r="190" spans="2:12" ht="12" customHeight="1" x14ac:dyDescent="0.15">
      <c r="B190" s="2"/>
      <c r="C190" s="4"/>
      <c r="D190" s="4"/>
      <c r="E190" s="4"/>
      <c r="I190" s="135"/>
      <c r="J190" s="135"/>
      <c r="K190" s="135"/>
      <c r="L190" s="135"/>
    </row>
    <row r="191" spans="2:12" ht="12" customHeight="1" x14ac:dyDescent="0.15">
      <c r="B191" s="2"/>
      <c r="C191" s="4"/>
      <c r="D191" s="4"/>
      <c r="E191" s="4"/>
      <c r="I191" s="135"/>
      <c r="J191" s="135"/>
      <c r="K191" s="135"/>
      <c r="L191" s="135"/>
    </row>
    <row r="192" spans="2:12" ht="12" customHeight="1" x14ac:dyDescent="0.15">
      <c r="B192" s="2"/>
      <c r="C192" s="4"/>
      <c r="D192" s="4"/>
      <c r="E192" s="4"/>
      <c r="I192" s="135"/>
      <c r="J192" s="135"/>
      <c r="K192" s="135"/>
      <c r="L192" s="135"/>
    </row>
    <row r="193" spans="2:12" ht="12" customHeight="1" x14ac:dyDescent="0.15">
      <c r="B193" s="2"/>
      <c r="C193" s="4"/>
      <c r="D193" s="4"/>
      <c r="E193" s="4"/>
      <c r="I193" s="135"/>
      <c r="J193" s="135"/>
      <c r="K193" s="135"/>
      <c r="L193" s="135"/>
    </row>
    <row r="194" spans="2:12" ht="12" customHeight="1" x14ac:dyDescent="0.15">
      <c r="B194" s="2"/>
      <c r="C194" s="4"/>
      <c r="D194" s="4"/>
      <c r="E194" s="4"/>
      <c r="I194" s="135"/>
      <c r="J194" s="135"/>
      <c r="K194" s="135"/>
      <c r="L194" s="135"/>
    </row>
    <row r="195" spans="2:12" ht="12" customHeight="1" x14ac:dyDescent="0.15">
      <c r="B195" s="2"/>
      <c r="C195" s="4"/>
      <c r="D195" s="4"/>
      <c r="E195" s="4"/>
      <c r="I195" s="135"/>
      <c r="J195" s="135"/>
      <c r="K195" s="135"/>
      <c r="L195" s="135"/>
    </row>
    <row r="196" spans="2:12" ht="12" customHeight="1" x14ac:dyDescent="0.15">
      <c r="B196" s="2"/>
      <c r="C196" s="4"/>
      <c r="D196" s="4"/>
      <c r="E196" s="4"/>
      <c r="I196" s="135"/>
      <c r="J196" s="135"/>
      <c r="K196" s="135"/>
      <c r="L196" s="135"/>
    </row>
    <row r="197" spans="2:12" ht="12" customHeight="1" x14ac:dyDescent="0.15">
      <c r="B197" s="2"/>
      <c r="C197" s="4"/>
      <c r="D197" s="4"/>
      <c r="E197" s="4"/>
      <c r="I197" s="135"/>
      <c r="J197" s="135"/>
      <c r="K197" s="135"/>
      <c r="L197" s="135"/>
    </row>
    <row r="198" spans="2:12" ht="12" customHeight="1" x14ac:dyDescent="0.15">
      <c r="B198" s="2"/>
      <c r="C198" s="4"/>
      <c r="D198" s="4"/>
      <c r="E198" s="4"/>
      <c r="I198" s="135"/>
      <c r="J198" s="135"/>
      <c r="K198" s="135"/>
      <c r="L198" s="135"/>
    </row>
    <row r="199" spans="2:12" ht="12" customHeight="1" x14ac:dyDescent="0.15">
      <c r="B199" s="2"/>
      <c r="C199" s="4"/>
      <c r="D199" s="4"/>
      <c r="E199" s="4"/>
      <c r="I199" s="135"/>
      <c r="J199" s="135"/>
      <c r="K199" s="135"/>
      <c r="L199" s="135"/>
    </row>
    <row r="200" spans="2:12" ht="12" customHeight="1" x14ac:dyDescent="0.15">
      <c r="B200" s="2"/>
      <c r="C200" s="4"/>
      <c r="D200" s="4"/>
      <c r="E200" s="4"/>
      <c r="I200" s="135"/>
      <c r="J200" s="135"/>
      <c r="K200" s="135"/>
      <c r="L200" s="135"/>
    </row>
    <row r="201" spans="2:12" ht="12" customHeight="1" x14ac:dyDescent="0.15">
      <c r="B201" s="2"/>
      <c r="C201" s="4"/>
      <c r="D201" s="4"/>
      <c r="E201" s="4"/>
      <c r="I201" s="135"/>
      <c r="J201" s="135"/>
      <c r="K201" s="135"/>
      <c r="L201" s="135"/>
    </row>
    <row r="202" spans="2:12" ht="12" customHeight="1" x14ac:dyDescent="0.15">
      <c r="B202" s="2"/>
      <c r="C202" s="4"/>
      <c r="D202" s="4"/>
      <c r="E202" s="4"/>
      <c r="I202" s="135"/>
      <c r="J202" s="135"/>
      <c r="K202" s="135"/>
      <c r="L202" s="135"/>
    </row>
    <row r="203" spans="2:12" ht="12" customHeight="1" x14ac:dyDescent="0.15">
      <c r="B203" s="2"/>
      <c r="C203" s="4"/>
      <c r="D203" s="4"/>
      <c r="E203" s="4"/>
      <c r="I203" s="135"/>
      <c r="J203" s="135"/>
      <c r="K203" s="135"/>
      <c r="L203" s="135"/>
    </row>
    <row r="204" spans="2:12" ht="12" customHeight="1" x14ac:dyDescent="0.15">
      <c r="B204" s="2"/>
      <c r="C204" s="4"/>
      <c r="D204" s="4"/>
      <c r="E204" s="4"/>
      <c r="I204" s="135"/>
      <c r="J204" s="135"/>
      <c r="K204" s="135"/>
      <c r="L204" s="135"/>
    </row>
    <row r="205" spans="2:12" ht="12" customHeight="1" x14ac:dyDescent="0.15">
      <c r="B205" s="2"/>
      <c r="C205" s="4"/>
      <c r="D205" s="4"/>
      <c r="E205" s="4"/>
      <c r="I205" s="135"/>
      <c r="J205" s="135"/>
      <c r="K205" s="135"/>
      <c r="L205" s="135"/>
    </row>
    <row r="206" spans="2:12" ht="12" customHeight="1" x14ac:dyDescent="0.15">
      <c r="B206" s="2"/>
      <c r="C206" s="4"/>
      <c r="D206" s="4"/>
      <c r="E206" s="4"/>
      <c r="I206" s="135"/>
      <c r="J206" s="135"/>
      <c r="K206" s="135"/>
      <c r="L206" s="135"/>
    </row>
    <row r="207" spans="2:12" ht="12" customHeight="1" x14ac:dyDescent="0.15">
      <c r="B207" s="2"/>
      <c r="C207" s="4"/>
      <c r="D207" s="4"/>
      <c r="E207" s="4"/>
      <c r="I207" s="135"/>
      <c r="J207" s="135"/>
      <c r="K207" s="135"/>
      <c r="L207" s="135"/>
    </row>
    <row r="208" spans="2:12" ht="12" customHeight="1" x14ac:dyDescent="0.15">
      <c r="B208" s="2"/>
      <c r="C208" s="4"/>
      <c r="D208" s="4"/>
      <c r="E208" s="4"/>
      <c r="I208" s="135"/>
      <c r="J208" s="135"/>
      <c r="K208" s="135"/>
      <c r="L208" s="135"/>
    </row>
    <row r="209" spans="2:12" ht="12" customHeight="1" x14ac:dyDescent="0.15">
      <c r="B209" s="2"/>
      <c r="C209" s="4"/>
      <c r="D209" s="4"/>
      <c r="E209" s="4"/>
      <c r="I209" s="135"/>
      <c r="J209" s="135"/>
      <c r="K209" s="135"/>
      <c r="L209" s="135"/>
    </row>
    <row r="210" spans="2:12" ht="12" customHeight="1" x14ac:dyDescent="0.15">
      <c r="B210" s="2"/>
      <c r="C210" s="4"/>
      <c r="D210" s="4"/>
      <c r="E210" s="4"/>
      <c r="I210" s="135"/>
      <c r="J210" s="135"/>
      <c r="K210" s="135"/>
      <c r="L210" s="135"/>
    </row>
    <row r="211" spans="2:12" ht="12" customHeight="1" x14ac:dyDescent="0.15">
      <c r="B211" s="2"/>
      <c r="C211" s="4"/>
      <c r="D211" s="4"/>
      <c r="E211" s="4"/>
      <c r="I211" s="135"/>
      <c r="J211" s="135"/>
      <c r="K211" s="135"/>
      <c r="L211" s="135"/>
    </row>
    <row r="212" spans="2:12" ht="12" customHeight="1" x14ac:dyDescent="0.15">
      <c r="B212" s="2"/>
      <c r="C212" s="4"/>
      <c r="D212" s="4"/>
      <c r="E212" s="4"/>
      <c r="I212" s="135"/>
      <c r="J212" s="135"/>
      <c r="K212" s="135"/>
      <c r="L212" s="135"/>
    </row>
    <row r="213" spans="2:12" ht="12" customHeight="1" x14ac:dyDescent="0.15">
      <c r="B213" s="2"/>
      <c r="C213" s="4"/>
      <c r="D213" s="4"/>
      <c r="E213" s="4"/>
      <c r="I213" s="135"/>
      <c r="J213" s="135"/>
      <c r="K213" s="135"/>
      <c r="L213" s="135"/>
    </row>
    <row r="214" spans="2:12" ht="12" customHeight="1" x14ac:dyDescent="0.15">
      <c r="B214" s="2"/>
      <c r="C214" s="4"/>
      <c r="D214" s="4"/>
      <c r="E214" s="4"/>
      <c r="I214" s="135"/>
      <c r="J214" s="135"/>
      <c r="K214" s="135"/>
      <c r="L214" s="135"/>
    </row>
    <row r="215" spans="2:12" ht="12" customHeight="1" x14ac:dyDescent="0.15">
      <c r="B215" s="2"/>
      <c r="C215" s="4"/>
      <c r="D215" s="4"/>
      <c r="E215" s="4"/>
      <c r="I215" s="135"/>
      <c r="J215" s="135"/>
      <c r="K215" s="135"/>
      <c r="L215" s="135"/>
    </row>
    <row r="216" spans="2:12" ht="12" customHeight="1" x14ac:dyDescent="0.15">
      <c r="B216" s="2"/>
      <c r="C216" s="4"/>
      <c r="D216" s="4"/>
      <c r="E216" s="4"/>
      <c r="I216" s="135"/>
      <c r="J216" s="135"/>
      <c r="K216" s="135"/>
      <c r="L216" s="135"/>
    </row>
    <row r="217" spans="2:12" ht="12" customHeight="1" x14ac:dyDescent="0.15">
      <c r="B217" s="2"/>
      <c r="C217" s="4"/>
      <c r="D217" s="4"/>
      <c r="E217" s="4"/>
      <c r="I217" s="135"/>
      <c r="J217" s="135"/>
      <c r="K217" s="135"/>
      <c r="L217" s="135"/>
    </row>
    <row r="218" spans="2:12" ht="12" customHeight="1" x14ac:dyDescent="0.15">
      <c r="B218" s="2"/>
      <c r="C218" s="4"/>
      <c r="D218" s="4"/>
      <c r="E218" s="4"/>
      <c r="I218" s="135"/>
      <c r="J218" s="135"/>
      <c r="K218" s="135"/>
      <c r="L218" s="135"/>
    </row>
    <row r="219" spans="2:12" ht="12" customHeight="1" x14ac:dyDescent="0.15">
      <c r="B219" s="2"/>
      <c r="C219" s="4"/>
      <c r="D219" s="4"/>
      <c r="E219" s="4"/>
      <c r="I219" s="135"/>
      <c r="J219" s="135"/>
      <c r="K219" s="135"/>
      <c r="L219" s="135"/>
    </row>
    <row r="220" spans="2:12" ht="12" customHeight="1" x14ac:dyDescent="0.15">
      <c r="B220" s="2"/>
      <c r="C220" s="4"/>
      <c r="D220" s="4"/>
      <c r="E220" s="4"/>
      <c r="I220" s="135"/>
      <c r="J220" s="135"/>
      <c r="K220" s="135"/>
      <c r="L220" s="135"/>
    </row>
    <row r="221" spans="2:12" ht="12" customHeight="1" x14ac:dyDescent="0.15">
      <c r="B221" s="2"/>
      <c r="C221" s="4"/>
      <c r="D221" s="4"/>
      <c r="E221" s="4"/>
      <c r="I221" s="135"/>
      <c r="J221" s="135"/>
      <c r="K221" s="135"/>
      <c r="L221" s="135"/>
    </row>
    <row r="222" spans="2:12" ht="12" customHeight="1" x14ac:dyDescent="0.15">
      <c r="B222" s="2"/>
      <c r="C222" s="4"/>
      <c r="D222" s="4"/>
      <c r="E222" s="4"/>
      <c r="I222" s="135"/>
      <c r="J222" s="135"/>
      <c r="K222" s="135"/>
      <c r="L222" s="135"/>
    </row>
    <row r="223" spans="2:12" ht="12" customHeight="1" x14ac:dyDescent="0.15">
      <c r="B223" s="2"/>
      <c r="C223" s="4"/>
      <c r="D223" s="4"/>
      <c r="E223" s="4"/>
      <c r="I223" s="135"/>
      <c r="J223" s="135"/>
      <c r="K223" s="135"/>
      <c r="L223" s="135"/>
    </row>
    <row r="224" spans="2:12" ht="12" customHeight="1" x14ac:dyDescent="0.15">
      <c r="B224" s="2"/>
      <c r="C224" s="4"/>
      <c r="D224" s="4"/>
      <c r="E224" s="4"/>
      <c r="I224" s="135"/>
      <c r="J224" s="135"/>
      <c r="K224" s="135"/>
      <c r="L224" s="135"/>
    </row>
    <row r="225" spans="2:12" ht="12" customHeight="1" x14ac:dyDescent="0.15">
      <c r="B225" s="2"/>
      <c r="C225" s="4"/>
      <c r="D225" s="4"/>
      <c r="E225" s="4"/>
      <c r="I225" s="135"/>
      <c r="J225" s="135"/>
      <c r="K225" s="135"/>
      <c r="L225" s="135"/>
    </row>
    <row r="226" spans="2:12" ht="12" customHeight="1" x14ac:dyDescent="0.15">
      <c r="B226" s="2"/>
      <c r="C226" s="4"/>
      <c r="D226" s="4"/>
      <c r="E226" s="4"/>
      <c r="I226" s="135"/>
      <c r="J226" s="135"/>
      <c r="K226" s="135"/>
      <c r="L226" s="135"/>
    </row>
    <row r="227" spans="2:12" ht="12" customHeight="1" x14ac:dyDescent="0.15">
      <c r="B227" s="2"/>
      <c r="C227" s="4"/>
      <c r="D227" s="4"/>
      <c r="E227" s="4"/>
      <c r="I227" s="135"/>
      <c r="J227" s="135"/>
      <c r="K227" s="135"/>
      <c r="L227" s="135"/>
    </row>
    <row r="228" spans="2:12" ht="12" customHeight="1" x14ac:dyDescent="0.15">
      <c r="B228" s="2"/>
      <c r="C228" s="4"/>
      <c r="D228" s="4"/>
      <c r="E228" s="4"/>
      <c r="I228" s="135"/>
      <c r="J228" s="135"/>
      <c r="K228" s="135"/>
      <c r="L228" s="135"/>
    </row>
    <row r="229" spans="2:12" ht="12" customHeight="1" x14ac:dyDescent="0.15">
      <c r="B229" s="2"/>
      <c r="C229" s="4"/>
      <c r="D229" s="4"/>
      <c r="E229" s="4"/>
      <c r="I229" s="135"/>
      <c r="J229" s="135"/>
      <c r="K229" s="135"/>
      <c r="L229" s="135"/>
    </row>
    <row r="230" spans="2:12" ht="12" customHeight="1" x14ac:dyDescent="0.15">
      <c r="B230" s="2"/>
      <c r="C230" s="4"/>
      <c r="D230" s="4"/>
      <c r="E230" s="4"/>
      <c r="I230" s="135"/>
      <c r="J230" s="135"/>
      <c r="K230" s="135"/>
      <c r="L230" s="135"/>
    </row>
    <row r="231" spans="2:12" ht="12" customHeight="1" x14ac:dyDescent="0.15">
      <c r="B231" s="2"/>
      <c r="C231" s="4"/>
      <c r="D231" s="4"/>
      <c r="E231" s="4"/>
      <c r="I231" s="135"/>
      <c r="J231" s="135"/>
      <c r="K231" s="135"/>
      <c r="L231" s="135"/>
    </row>
    <row r="232" spans="2:12" ht="12" customHeight="1" x14ac:dyDescent="0.15">
      <c r="B232" s="2"/>
      <c r="C232" s="4"/>
      <c r="D232" s="4"/>
      <c r="E232" s="4"/>
      <c r="I232" s="135"/>
      <c r="J232" s="135"/>
      <c r="K232" s="135"/>
      <c r="L232" s="135"/>
    </row>
    <row r="233" spans="2:12" ht="12" customHeight="1" x14ac:dyDescent="0.15">
      <c r="B233" s="2"/>
      <c r="C233" s="4"/>
      <c r="D233" s="4"/>
      <c r="E233" s="4"/>
      <c r="I233" s="135"/>
      <c r="J233" s="135"/>
      <c r="K233" s="135"/>
      <c r="L233" s="135"/>
    </row>
    <row r="234" spans="2:12" ht="12" customHeight="1" x14ac:dyDescent="0.15">
      <c r="B234" s="2"/>
      <c r="C234" s="4"/>
      <c r="D234" s="4"/>
      <c r="E234" s="4"/>
      <c r="I234" s="135"/>
      <c r="J234" s="135"/>
      <c r="K234" s="135"/>
      <c r="L234" s="135"/>
    </row>
    <row r="235" spans="2:12" ht="12" customHeight="1" x14ac:dyDescent="0.15">
      <c r="B235" s="2"/>
      <c r="C235" s="4"/>
      <c r="D235" s="4"/>
      <c r="E235" s="4"/>
      <c r="I235" s="135"/>
      <c r="J235" s="135"/>
      <c r="K235" s="135"/>
      <c r="L235" s="135"/>
    </row>
    <row r="236" spans="2:12" ht="12" customHeight="1" x14ac:dyDescent="0.15">
      <c r="B236" s="2"/>
      <c r="C236" s="4"/>
      <c r="D236" s="4"/>
      <c r="E236" s="4"/>
      <c r="I236" s="135"/>
      <c r="J236" s="135"/>
      <c r="K236" s="135"/>
      <c r="L236" s="135"/>
    </row>
    <row r="237" spans="2:12" ht="12" customHeight="1" x14ac:dyDescent="0.15">
      <c r="B237" s="2"/>
      <c r="C237" s="4"/>
      <c r="D237" s="4"/>
      <c r="E237" s="4"/>
      <c r="I237" s="135"/>
      <c r="J237" s="135"/>
      <c r="K237" s="135"/>
      <c r="L237" s="135"/>
    </row>
    <row r="238" spans="2:12" ht="12" customHeight="1" x14ac:dyDescent="0.15">
      <c r="B238" s="2"/>
      <c r="C238" s="4"/>
      <c r="D238" s="4"/>
      <c r="E238" s="4"/>
      <c r="I238" s="135"/>
      <c r="J238" s="135"/>
      <c r="K238" s="135"/>
      <c r="L238" s="135"/>
    </row>
    <row r="239" spans="2:12" ht="12" customHeight="1" x14ac:dyDescent="0.15">
      <c r="B239" s="2"/>
      <c r="C239" s="4"/>
      <c r="D239" s="4"/>
      <c r="E239" s="4"/>
      <c r="I239" s="135"/>
      <c r="J239" s="135"/>
      <c r="K239" s="135"/>
      <c r="L239" s="135"/>
    </row>
    <row r="240" spans="2:12" ht="12" customHeight="1" x14ac:dyDescent="0.15">
      <c r="B240" s="2"/>
      <c r="C240" s="4"/>
      <c r="D240" s="4"/>
      <c r="E240" s="4"/>
      <c r="I240" s="135"/>
      <c r="J240" s="135"/>
      <c r="K240" s="135"/>
      <c r="L240" s="135"/>
    </row>
    <row r="241" spans="2:12" ht="12" customHeight="1" x14ac:dyDescent="0.15">
      <c r="B241" s="2"/>
      <c r="C241" s="4"/>
      <c r="D241" s="4"/>
      <c r="E241" s="4"/>
      <c r="I241" s="135"/>
      <c r="J241" s="135"/>
      <c r="K241" s="135"/>
      <c r="L241" s="135"/>
    </row>
    <row r="242" spans="2:12" ht="12" customHeight="1" x14ac:dyDescent="0.15">
      <c r="B242" s="2"/>
      <c r="C242" s="4"/>
      <c r="D242" s="4"/>
      <c r="E242" s="4"/>
      <c r="I242" s="135"/>
      <c r="J242" s="135"/>
      <c r="K242" s="135"/>
      <c r="L242" s="135"/>
    </row>
    <row r="243" spans="2:12" ht="12" customHeight="1" x14ac:dyDescent="0.15">
      <c r="B243" s="2"/>
      <c r="C243" s="4"/>
      <c r="D243" s="4"/>
      <c r="E243" s="4"/>
      <c r="I243" s="135"/>
      <c r="J243" s="135"/>
      <c r="K243" s="135"/>
      <c r="L243" s="135"/>
    </row>
    <row r="244" spans="2:12" ht="12" customHeight="1" x14ac:dyDescent="0.15">
      <c r="B244" s="2"/>
      <c r="C244" s="4"/>
      <c r="D244" s="4"/>
      <c r="E244" s="4"/>
      <c r="I244" s="135"/>
      <c r="J244" s="135"/>
      <c r="K244" s="135"/>
      <c r="L244" s="135"/>
    </row>
    <row r="245" spans="2:12" ht="12" customHeight="1" x14ac:dyDescent="0.15">
      <c r="B245" s="2"/>
      <c r="C245" s="4"/>
      <c r="D245" s="4"/>
      <c r="E245" s="4"/>
      <c r="I245" s="135"/>
      <c r="J245" s="135"/>
      <c r="K245" s="135"/>
      <c r="L245" s="135"/>
    </row>
    <row r="246" spans="2:12" ht="12" customHeight="1" x14ac:dyDescent="0.15">
      <c r="B246" s="2"/>
      <c r="C246" s="4"/>
      <c r="D246" s="4"/>
      <c r="E246" s="4"/>
      <c r="I246" s="135"/>
      <c r="J246" s="135"/>
      <c r="K246" s="135"/>
      <c r="L246" s="135"/>
    </row>
    <row r="247" spans="2:12" ht="12" customHeight="1" x14ac:dyDescent="0.15">
      <c r="B247" s="2"/>
      <c r="C247" s="4"/>
      <c r="D247" s="4"/>
      <c r="E247" s="4"/>
      <c r="I247" s="135"/>
      <c r="J247" s="135"/>
      <c r="K247" s="135"/>
      <c r="L247" s="135"/>
    </row>
    <row r="248" spans="2:12" ht="12" customHeight="1" x14ac:dyDescent="0.15">
      <c r="B248" s="2"/>
      <c r="C248" s="4"/>
      <c r="D248" s="4"/>
      <c r="E248" s="4"/>
      <c r="I248" s="135"/>
      <c r="J248" s="135"/>
      <c r="K248" s="135"/>
      <c r="L248" s="135"/>
    </row>
    <row r="249" spans="2:12" ht="12" customHeight="1" x14ac:dyDescent="0.15">
      <c r="B249" s="2"/>
      <c r="C249" s="4"/>
      <c r="D249" s="4"/>
      <c r="E249" s="4"/>
      <c r="I249" s="135"/>
      <c r="J249" s="135"/>
      <c r="K249" s="135"/>
      <c r="L249" s="135"/>
    </row>
    <row r="250" spans="2:12" ht="12" customHeight="1" x14ac:dyDescent="0.15">
      <c r="B250" s="2"/>
      <c r="C250" s="4"/>
      <c r="D250" s="4"/>
      <c r="E250" s="4"/>
      <c r="I250" s="135"/>
      <c r="J250" s="135"/>
      <c r="K250" s="135"/>
      <c r="L250" s="135"/>
    </row>
    <row r="251" spans="2:12" ht="12" customHeight="1" x14ac:dyDescent="0.15">
      <c r="B251" s="2"/>
      <c r="C251" s="4"/>
      <c r="D251" s="4"/>
      <c r="E251" s="4"/>
      <c r="I251" s="135"/>
      <c r="J251" s="135"/>
      <c r="K251" s="135"/>
      <c r="L251" s="135"/>
    </row>
    <row r="252" spans="2:12" ht="12" customHeight="1" x14ac:dyDescent="0.15">
      <c r="B252" s="2"/>
      <c r="C252" s="4"/>
      <c r="D252" s="4"/>
      <c r="E252" s="4"/>
      <c r="I252" s="135"/>
      <c r="J252" s="135"/>
      <c r="K252" s="135"/>
      <c r="L252" s="135"/>
    </row>
    <row r="253" spans="2:12" ht="12" customHeight="1" x14ac:dyDescent="0.15">
      <c r="B253" s="2"/>
      <c r="C253" s="4"/>
      <c r="D253" s="4"/>
      <c r="E253" s="4"/>
      <c r="I253" s="135"/>
      <c r="J253" s="135"/>
      <c r="K253" s="135"/>
      <c r="L253" s="135"/>
    </row>
    <row r="254" spans="2:12" ht="12" customHeight="1" x14ac:dyDescent="0.15">
      <c r="B254" s="2"/>
      <c r="C254" s="4"/>
      <c r="D254" s="4"/>
      <c r="E254" s="4"/>
      <c r="I254" s="135"/>
      <c r="J254" s="135"/>
      <c r="K254" s="135"/>
      <c r="L254" s="135"/>
    </row>
    <row r="255" spans="2:12" ht="12" customHeight="1" x14ac:dyDescent="0.15">
      <c r="B255" s="2"/>
      <c r="C255" s="4"/>
      <c r="D255" s="4"/>
      <c r="E255" s="4"/>
      <c r="I255" s="135"/>
      <c r="J255" s="135"/>
      <c r="K255" s="135"/>
      <c r="L255" s="135"/>
    </row>
    <row r="256" spans="2:12" ht="12" customHeight="1" x14ac:dyDescent="0.15">
      <c r="B256" s="2"/>
      <c r="C256" s="4"/>
      <c r="D256" s="4"/>
      <c r="E256" s="4"/>
      <c r="I256" s="135"/>
      <c r="J256" s="135"/>
      <c r="K256" s="135"/>
      <c r="L256" s="135"/>
    </row>
    <row r="257" spans="2:12" ht="12" customHeight="1" x14ac:dyDescent="0.15">
      <c r="B257" s="2"/>
      <c r="C257" s="4"/>
      <c r="D257" s="4"/>
      <c r="E257" s="4"/>
      <c r="I257" s="135"/>
      <c r="J257" s="135"/>
      <c r="K257" s="135"/>
      <c r="L257" s="135"/>
    </row>
    <row r="258" spans="2:12" ht="12" customHeight="1" x14ac:dyDescent="0.15">
      <c r="B258" s="2"/>
      <c r="C258" s="4"/>
      <c r="D258" s="4"/>
      <c r="E258" s="4"/>
      <c r="I258" s="135"/>
      <c r="J258" s="135"/>
      <c r="K258" s="135"/>
      <c r="L258" s="135"/>
    </row>
    <row r="259" spans="2:12" ht="12" customHeight="1" x14ac:dyDescent="0.15">
      <c r="B259" s="2"/>
      <c r="C259" s="4"/>
      <c r="D259" s="4"/>
      <c r="E259" s="4"/>
      <c r="I259" s="135"/>
      <c r="J259" s="135"/>
      <c r="K259" s="135"/>
      <c r="L259" s="135"/>
    </row>
    <row r="260" spans="2:12" ht="12" customHeight="1" x14ac:dyDescent="0.15">
      <c r="B260" s="2"/>
      <c r="C260" s="4"/>
      <c r="D260" s="4"/>
      <c r="E260" s="4"/>
      <c r="I260" s="135"/>
      <c r="J260" s="135"/>
      <c r="K260" s="135"/>
      <c r="L260" s="135"/>
    </row>
    <row r="261" spans="2:12" ht="12" customHeight="1" x14ac:dyDescent="0.15">
      <c r="B261" s="2"/>
      <c r="C261" s="4"/>
      <c r="D261" s="4"/>
      <c r="E261" s="4"/>
      <c r="I261" s="135"/>
      <c r="J261" s="135"/>
      <c r="K261" s="135"/>
      <c r="L261" s="135"/>
    </row>
    <row r="262" spans="2:12" ht="12" customHeight="1" x14ac:dyDescent="0.15">
      <c r="B262" s="2"/>
      <c r="C262" s="4"/>
      <c r="D262" s="4"/>
      <c r="E262" s="4"/>
      <c r="I262" s="135"/>
      <c r="J262" s="135"/>
      <c r="K262" s="135"/>
      <c r="L262" s="135"/>
    </row>
    <row r="263" spans="2:12" ht="12" customHeight="1" x14ac:dyDescent="0.15">
      <c r="B263" s="2"/>
      <c r="C263" s="4"/>
      <c r="D263" s="4"/>
      <c r="E263" s="4"/>
      <c r="I263" s="135"/>
      <c r="J263" s="135"/>
      <c r="K263" s="135"/>
      <c r="L263" s="135"/>
    </row>
    <row r="264" spans="2:12" ht="12" customHeight="1" x14ac:dyDescent="0.15">
      <c r="B264" s="2"/>
      <c r="C264" s="4"/>
      <c r="D264" s="4"/>
      <c r="E264" s="4"/>
      <c r="I264" s="135"/>
      <c r="J264" s="135"/>
      <c r="K264" s="135"/>
      <c r="L264" s="135"/>
    </row>
    <row r="265" spans="2:12" ht="12" customHeight="1" x14ac:dyDescent="0.15">
      <c r="B265" s="2"/>
      <c r="C265" s="4"/>
      <c r="D265" s="4"/>
      <c r="E265" s="4"/>
      <c r="I265" s="135"/>
      <c r="J265" s="135"/>
      <c r="K265" s="135"/>
      <c r="L265" s="135"/>
    </row>
    <row r="266" spans="2:12" ht="12" customHeight="1" x14ac:dyDescent="0.15">
      <c r="B266" s="2"/>
      <c r="C266" s="4"/>
      <c r="D266" s="4"/>
      <c r="E266" s="4"/>
      <c r="I266" s="135"/>
      <c r="J266" s="135"/>
      <c r="K266" s="135"/>
      <c r="L266" s="135"/>
    </row>
    <row r="267" spans="2:12" ht="12" customHeight="1" x14ac:dyDescent="0.15">
      <c r="B267" s="2"/>
      <c r="C267" s="4"/>
      <c r="D267" s="4"/>
      <c r="E267" s="4"/>
      <c r="I267" s="135"/>
      <c r="J267" s="135"/>
      <c r="K267" s="135"/>
      <c r="L267" s="135"/>
    </row>
    <row r="268" spans="2:12" ht="12" customHeight="1" x14ac:dyDescent="0.15">
      <c r="B268" s="2"/>
      <c r="C268" s="4"/>
      <c r="D268" s="4"/>
      <c r="E268" s="4"/>
      <c r="I268" s="135"/>
      <c r="J268" s="135"/>
      <c r="K268" s="135"/>
      <c r="L268" s="135"/>
    </row>
    <row r="269" spans="2:12" ht="12" customHeight="1" x14ac:dyDescent="0.15">
      <c r="B269" s="2"/>
      <c r="C269" s="4"/>
      <c r="D269" s="4"/>
      <c r="E269" s="4"/>
      <c r="I269" s="135"/>
      <c r="J269" s="135"/>
      <c r="K269" s="135"/>
      <c r="L269" s="135"/>
    </row>
    <row r="270" spans="2:12" ht="12" customHeight="1" x14ac:dyDescent="0.15">
      <c r="B270" s="2"/>
      <c r="C270" s="4"/>
      <c r="D270" s="4"/>
      <c r="E270" s="4"/>
      <c r="I270" s="135"/>
      <c r="J270" s="135"/>
      <c r="K270" s="135"/>
      <c r="L270" s="135"/>
    </row>
    <row r="271" spans="2:12" ht="12" customHeight="1" x14ac:dyDescent="0.15">
      <c r="B271" s="2"/>
      <c r="C271" s="4"/>
      <c r="D271" s="4"/>
      <c r="E271" s="4"/>
      <c r="I271" s="135"/>
      <c r="J271" s="135"/>
      <c r="K271" s="135"/>
      <c r="L271" s="135"/>
    </row>
    <row r="272" spans="2:12" ht="12" customHeight="1" x14ac:dyDescent="0.15">
      <c r="B272" s="2"/>
      <c r="C272" s="4"/>
      <c r="D272" s="4"/>
      <c r="E272" s="4"/>
      <c r="I272" s="135"/>
      <c r="J272" s="135"/>
      <c r="K272" s="135"/>
      <c r="L272" s="135"/>
    </row>
    <row r="273" spans="2:12" ht="12" customHeight="1" x14ac:dyDescent="0.15">
      <c r="B273" s="2"/>
      <c r="C273" s="4"/>
      <c r="D273" s="4"/>
      <c r="E273" s="4"/>
      <c r="I273" s="135"/>
      <c r="J273" s="135"/>
      <c r="K273" s="135"/>
      <c r="L273" s="135"/>
    </row>
    <row r="274" spans="2:12" ht="12" customHeight="1" x14ac:dyDescent="0.15">
      <c r="B274" s="2"/>
      <c r="C274" s="4"/>
      <c r="D274" s="4"/>
      <c r="E274" s="4"/>
      <c r="I274" s="135"/>
      <c r="J274" s="135"/>
      <c r="K274" s="135"/>
      <c r="L274" s="135"/>
    </row>
    <row r="275" spans="2:12" ht="12" customHeight="1" x14ac:dyDescent="0.15">
      <c r="B275" s="2"/>
      <c r="C275" s="4"/>
      <c r="D275" s="4"/>
      <c r="E275" s="4"/>
      <c r="I275" s="135"/>
      <c r="J275" s="135"/>
      <c r="K275" s="135"/>
      <c r="L275" s="135"/>
    </row>
    <row r="276" spans="2:12" ht="12" customHeight="1" x14ac:dyDescent="0.15">
      <c r="B276" s="2"/>
      <c r="C276" s="4"/>
      <c r="D276" s="4"/>
      <c r="E276" s="4"/>
      <c r="I276" s="135"/>
      <c r="J276" s="135"/>
      <c r="K276" s="135"/>
      <c r="L276" s="135"/>
    </row>
    <row r="277" spans="2:12" ht="12" customHeight="1" x14ac:dyDescent="0.15">
      <c r="B277" s="2"/>
      <c r="C277" s="4"/>
      <c r="D277" s="4"/>
      <c r="E277" s="4"/>
      <c r="I277" s="135"/>
      <c r="J277" s="135"/>
      <c r="K277" s="135"/>
      <c r="L277" s="135"/>
    </row>
    <row r="278" spans="2:12" ht="12" customHeight="1" x14ac:dyDescent="0.15">
      <c r="B278" s="2"/>
      <c r="C278" s="4"/>
      <c r="D278" s="4"/>
      <c r="E278" s="4"/>
      <c r="I278" s="135"/>
      <c r="J278" s="135"/>
      <c r="K278" s="135"/>
      <c r="L278" s="135"/>
    </row>
    <row r="279" spans="2:12" ht="12" customHeight="1" x14ac:dyDescent="0.15">
      <c r="B279" s="2"/>
      <c r="C279" s="4"/>
      <c r="D279" s="4"/>
      <c r="E279" s="4"/>
      <c r="I279" s="135"/>
      <c r="J279" s="135"/>
      <c r="K279" s="135"/>
      <c r="L279" s="135"/>
    </row>
    <row r="280" spans="2:12" ht="12" customHeight="1" x14ac:dyDescent="0.15">
      <c r="B280" s="2"/>
      <c r="C280" s="4"/>
      <c r="D280" s="4"/>
      <c r="E280" s="4"/>
      <c r="I280" s="135"/>
      <c r="J280" s="135"/>
      <c r="K280" s="135"/>
      <c r="L280" s="135"/>
    </row>
    <row r="281" spans="2:12" ht="12" customHeight="1" x14ac:dyDescent="0.15">
      <c r="B281" s="2"/>
      <c r="C281" s="4"/>
      <c r="D281" s="4"/>
      <c r="E281" s="4"/>
      <c r="I281" s="135"/>
      <c r="J281" s="135"/>
      <c r="K281" s="135"/>
      <c r="L281" s="135"/>
    </row>
    <row r="282" spans="2:12" ht="12" customHeight="1" x14ac:dyDescent="0.15">
      <c r="B282" s="2"/>
      <c r="C282" s="4"/>
      <c r="D282" s="4"/>
      <c r="E282" s="4"/>
      <c r="I282" s="135"/>
      <c r="J282" s="135"/>
      <c r="K282" s="135"/>
      <c r="L282" s="135"/>
    </row>
    <row r="283" spans="2:12" ht="12" customHeight="1" x14ac:dyDescent="0.15">
      <c r="B283" s="2"/>
      <c r="C283" s="4"/>
      <c r="D283" s="4"/>
      <c r="E283" s="4"/>
      <c r="I283" s="135"/>
      <c r="J283" s="135"/>
      <c r="K283" s="135"/>
      <c r="L283" s="135"/>
    </row>
    <row r="284" spans="2:12" ht="12" customHeight="1" x14ac:dyDescent="0.15">
      <c r="B284" s="2"/>
      <c r="C284" s="4"/>
      <c r="D284" s="4"/>
      <c r="E284" s="4"/>
      <c r="I284" s="135"/>
      <c r="J284" s="135"/>
      <c r="K284" s="135"/>
      <c r="L284" s="135"/>
    </row>
    <row r="285" spans="2:12" ht="12" customHeight="1" x14ac:dyDescent="0.15">
      <c r="B285" s="2"/>
      <c r="C285" s="4"/>
      <c r="D285" s="4"/>
      <c r="E285" s="4"/>
      <c r="I285" s="135"/>
      <c r="J285" s="135"/>
      <c r="K285" s="135"/>
      <c r="L285" s="135"/>
    </row>
    <row r="286" spans="2:12" ht="12" customHeight="1" x14ac:dyDescent="0.15">
      <c r="B286" s="2"/>
      <c r="C286" s="4"/>
      <c r="D286" s="4"/>
      <c r="E286" s="4"/>
      <c r="I286" s="135"/>
      <c r="J286" s="135"/>
      <c r="K286" s="135"/>
      <c r="L286" s="135"/>
    </row>
    <row r="287" spans="2:12" ht="12" customHeight="1" x14ac:dyDescent="0.15">
      <c r="B287" s="2"/>
      <c r="C287" s="4"/>
      <c r="D287" s="4"/>
      <c r="E287" s="4"/>
      <c r="I287" s="135"/>
      <c r="J287" s="135"/>
      <c r="K287" s="135"/>
      <c r="L287" s="135"/>
    </row>
    <row r="288" spans="2:12" ht="12" customHeight="1" x14ac:dyDescent="0.15">
      <c r="B288" s="2"/>
      <c r="C288" s="4"/>
      <c r="D288" s="4"/>
      <c r="E288" s="4"/>
      <c r="I288" s="135"/>
      <c r="J288" s="135"/>
      <c r="K288" s="135"/>
      <c r="L288" s="135"/>
    </row>
    <row r="289" spans="2:12" ht="12" customHeight="1" x14ac:dyDescent="0.15">
      <c r="B289" s="2"/>
      <c r="C289" s="4"/>
      <c r="D289" s="4"/>
      <c r="E289" s="4"/>
      <c r="I289" s="135"/>
      <c r="J289" s="135"/>
      <c r="K289" s="135"/>
      <c r="L289" s="135"/>
    </row>
    <row r="290" spans="2:12" ht="12" customHeight="1" x14ac:dyDescent="0.15">
      <c r="B290" s="2"/>
      <c r="C290" s="4"/>
      <c r="D290" s="4"/>
      <c r="E290" s="4"/>
      <c r="I290" s="135"/>
      <c r="J290" s="135"/>
      <c r="K290" s="135"/>
      <c r="L290" s="135"/>
    </row>
    <row r="291" spans="2:12" ht="12" customHeight="1" x14ac:dyDescent="0.15">
      <c r="B291" s="2"/>
      <c r="C291" s="4"/>
      <c r="D291" s="4"/>
      <c r="E291" s="4"/>
      <c r="I291" s="135"/>
      <c r="J291" s="135"/>
      <c r="K291" s="135"/>
      <c r="L291" s="135"/>
    </row>
    <row r="292" spans="2:12" ht="12" customHeight="1" x14ac:dyDescent="0.15">
      <c r="B292" s="2"/>
      <c r="C292" s="4"/>
      <c r="D292" s="4"/>
      <c r="E292" s="4"/>
      <c r="I292" s="135"/>
      <c r="J292" s="135"/>
      <c r="K292" s="135"/>
      <c r="L292" s="135"/>
    </row>
    <row r="293" spans="2:12" ht="12" customHeight="1" x14ac:dyDescent="0.15">
      <c r="B293" s="2"/>
      <c r="C293" s="4"/>
      <c r="D293" s="4"/>
      <c r="E293" s="4"/>
      <c r="I293" s="135"/>
      <c r="J293" s="135"/>
      <c r="K293" s="135"/>
      <c r="L293" s="135"/>
    </row>
    <row r="294" spans="2:12" ht="12" customHeight="1" x14ac:dyDescent="0.15">
      <c r="B294" s="2"/>
      <c r="C294" s="4"/>
      <c r="D294" s="4"/>
      <c r="E294" s="4"/>
      <c r="I294" s="135"/>
      <c r="J294" s="135"/>
      <c r="K294" s="135"/>
      <c r="L294" s="135"/>
    </row>
    <row r="295" spans="2:12" ht="12" customHeight="1" x14ac:dyDescent="0.15">
      <c r="B295" s="2"/>
      <c r="C295" s="4"/>
      <c r="D295" s="4"/>
      <c r="E295" s="4"/>
      <c r="I295" s="135"/>
      <c r="J295" s="135"/>
      <c r="K295" s="135"/>
      <c r="L295" s="135"/>
    </row>
    <row r="296" spans="2:12" ht="12" customHeight="1" x14ac:dyDescent="0.15">
      <c r="B296" s="2"/>
      <c r="C296" s="4"/>
      <c r="D296" s="4"/>
      <c r="E296" s="4"/>
      <c r="I296" s="135"/>
      <c r="J296" s="135"/>
      <c r="K296" s="135"/>
      <c r="L296" s="135"/>
    </row>
    <row r="297" spans="2:12" ht="12" customHeight="1" x14ac:dyDescent="0.15">
      <c r="B297" s="2"/>
      <c r="C297" s="4"/>
      <c r="D297" s="4"/>
      <c r="E297" s="4"/>
      <c r="I297" s="135"/>
      <c r="J297" s="135"/>
      <c r="K297" s="135"/>
      <c r="L297" s="135"/>
    </row>
    <row r="298" spans="2:12" ht="12" customHeight="1" x14ac:dyDescent="0.15">
      <c r="B298" s="2"/>
      <c r="C298" s="4"/>
      <c r="D298" s="4"/>
      <c r="E298" s="4"/>
      <c r="I298" s="135"/>
      <c r="J298" s="135"/>
      <c r="K298" s="135"/>
      <c r="L298" s="135"/>
    </row>
    <row r="299" spans="2:12" ht="12" customHeight="1" x14ac:dyDescent="0.15">
      <c r="B299" s="2"/>
      <c r="C299" s="4"/>
      <c r="D299" s="4"/>
      <c r="E299" s="4"/>
      <c r="I299" s="135"/>
      <c r="J299" s="135"/>
      <c r="K299" s="135"/>
      <c r="L299" s="135"/>
    </row>
    <row r="300" spans="2:12" ht="12" customHeight="1" x14ac:dyDescent="0.15">
      <c r="B300" s="2"/>
      <c r="C300" s="4"/>
      <c r="D300" s="4"/>
      <c r="E300" s="4"/>
      <c r="I300" s="135"/>
      <c r="J300" s="135"/>
      <c r="K300" s="135"/>
      <c r="L300" s="135"/>
    </row>
    <row r="301" spans="2:12" ht="12" customHeight="1" x14ac:dyDescent="0.15">
      <c r="B301" s="2"/>
      <c r="C301" s="4"/>
      <c r="D301" s="4"/>
      <c r="E301" s="4"/>
      <c r="I301" s="135"/>
      <c r="J301" s="135"/>
      <c r="K301" s="135"/>
      <c r="L301" s="135"/>
    </row>
    <row r="302" spans="2:12" ht="12" customHeight="1" x14ac:dyDescent="0.15">
      <c r="B302" s="2"/>
      <c r="C302" s="4"/>
      <c r="D302" s="4"/>
      <c r="E302" s="4"/>
      <c r="I302" s="135"/>
      <c r="J302" s="135"/>
      <c r="K302" s="135"/>
      <c r="L302" s="135"/>
    </row>
    <row r="303" spans="2:12" ht="12" customHeight="1" x14ac:dyDescent="0.15">
      <c r="B303" s="2"/>
      <c r="C303" s="4"/>
      <c r="D303" s="4"/>
      <c r="E303" s="4"/>
      <c r="I303" s="135"/>
      <c r="J303" s="135"/>
      <c r="K303" s="135"/>
      <c r="L303" s="135"/>
    </row>
    <row r="304" spans="2:12" ht="12" customHeight="1" x14ac:dyDescent="0.15">
      <c r="B304" s="2"/>
      <c r="C304" s="4"/>
      <c r="D304" s="4"/>
      <c r="E304" s="4"/>
      <c r="I304" s="135"/>
      <c r="J304" s="135"/>
      <c r="K304" s="135"/>
      <c r="L304" s="135"/>
    </row>
    <row r="305" spans="2:12" ht="12" customHeight="1" x14ac:dyDescent="0.15">
      <c r="B305" s="2"/>
      <c r="C305" s="4"/>
      <c r="D305" s="4"/>
      <c r="E305" s="4"/>
      <c r="I305" s="135"/>
      <c r="J305" s="135"/>
      <c r="K305" s="135"/>
      <c r="L305" s="135"/>
    </row>
    <row r="306" spans="2:12" ht="12" customHeight="1" x14ac:dyDescent="0.15">
      <c r="B306" s="2"/>
      <c r="C306" s="4"/>
      <c r="D306" s="4"/>
      <c r="E306" s="4"/>
      <c r="I306" s="135"/>
      <c r="J306" s="135"/>
      <c r="K306" s="135"/>
      <c r="L306" s="135"/>
    </row>
    <row r="307" spans="2:12" ht="12" customHeight="1" x14ac:dyDescent="0.15">
      <c r="B307" s="2"/>
      <c r="C307" s="4"/>
      <c r="D307" s="4"/>
      <c r="E307" s="4"/>
      <c r="I307" s="135"/>
      <c r="J307" s="135"/>
      <c r="K307" s="135"/>
      <c r="L307" s="135"/>
    </row>
    <row r="308" spans="2:12" ht="12" customHeight="1" x14ac:dyDescent="0.15">
      <c r="B308" s="2"/>
      <c r="C308" s="4"/>
      <c r="D308" s="4"/>
      <c r="E308" s="4"/>
      <c r="I308" s="135"/>
      <c r="J308" s="135"/>
      <c r="K308" s="135"/>
      <c r="L308" s="135"/>
    </row>
    <row r="309" spans="2:12" ht="12" customHeight="1" x14ac:dyDescent="0.15">
      <c r="B309" s="2"/>
      <c r="C309" s="4"/>
      <c r="D309" s="4"/>
      <c r="E309" s="4"/>
      <c r="I309" s="135"/>
      <c r="J309" s="135"/>
      <c r="K309" s="135"/>
      <c r="L309" s="135"/>
    </row>
    <row r="310" spans="2:12" ht="12" customHeight="1" x14ac:dyDescent="0.15">
      <c r="B310" s="2"/>
      <c r="C310" s="4"/>
      <c r="D310" s="4"/>
      <c r="E310" s="4"/>
      <c r="I310" s="135"/>
      <c r="J310" s="135"/>
      <c r="K310" s="135"/>
      <c r="L310" s="135"/>
    </row>
    <row r="311" spans="2:12" ht="12" customHeight="1" x14ac:dyDescent="0.15">
      <c r="B311" s="2"/>
      <c r="C311" s="4"/>
      <c r="D311" s="4"/>
      <c r="E311" s="4"/>
      <c r="I311" s="135"/>
      <c r="J311" s="135"/>
      <c r="K311" s="135"/>
      <c r="L311" s="135"/>
    </row>
    <row r="312" spans="2:12" ht="12" customHeight="1" x14ac:dyDescent="0.15">
      <c r="B312" s="2"/>
      <c r="C312" s="4"/>
      <c r="D312" s="4"/>
      <c r="E312" s="4"/>
      <c r="I312" s="135"/>
      <c r="J312" s="135"/>
      <c r="K312" s="135"/>
      <c r="L312" s="135"/>
    </row>
    <row r="313" spans="2:12" ht="12" customHeight="1" x14ac:dyDescent="0.15">
      <c r="B313" s="2"/>
      <c r="C313" s="4"/>
      <c r="D313" s="4"/>
      <c r="E313" s="4"/>
      <c r="I313" s="135"/>
      <c r="J313" s="135"/>
      <c r="K313" s="135"/>
      <c r="L313" s="135"/>
    </row>
    <row r="314" spans="2:12" ht="12" customHeight="1" x14ac:dyDescent="0.15">
      <c r="B314" s="2"/>
      <c r="C314" s="4"/>
      <c r="D314" s="4"/>
      <c r="E314" s="4"/>
      <c r="I314" s="135"/>
      <c r="J314" s="135"/>
      <c r="K314" s="135"/>
      <c r="L314" s="135"/>
    </row>
    <row r="315" spans="2:12" ht="12" customHeight="1" x14ac:dyDescent="0.15">
      <c r="B315" s="2"/>
      <c r="C315" s="4"/>
      <c r="D315" s="4"/>
      <c r="E315" s="4"/>
      <c r="I315" s="135"/>
      <c r="J315" s="135"/>
      <c r="K315" s="135"/>
      <c r="L315" s="135"/>
    </row>
    <row r="316" spans="2:12" ht="12" customHeight="1" x14ac:dyDescent="0.15">
      <c r="B316" s="2"/>
      <c r="C316" s="4"/>
      <c r="D316" s="4"/>
      <c r="E316" s="4"/>
      <c r="I316" s="135"/>
      <c r="J316" s="135"/>
      <c r="K316" s="135"/>
      <c r="L316" s="135"/>
    </row>
    <row r="317" spans="2:12" ht="12" customHeight="1" x14ac:dyDescent="0.15">
      <c r="B317" s="2"/>
      <c r="C317" s="4"/>
      <c r="D317" s="4"/>
      <c r="E317" s="4"/>
      <c r="I317" s="135"/>
      <c r="J317" s="135"/>
      <c r="K317" s="135"/>
      <c r="L317" s="135"/>
    </row>
    <row r="318" spans="2:12" ht="12" customHeight="1" x14ac:dyDescent="0.15">
      <c r="B318" s="2"/>
      <c r="C318" s="4"/>
      <c r="D318" s="4"/>
      <c r="E318" s="4"/>
      <c r="I318" s="135"/>
      <c r="J318" s="135"/>
      <c r="K318" s="135"/>
      <c r="L318" s="135"/>
    </row>
    <row r="319" spans="2:12" ht="12" customHeight="1" x14ac:dyDescent="0.15">
      <c r="B319" s="2"/>
      <c r="C319" s="4"/>
      <c r="D319" s="4"/>
      <c r="E319" s="4"/>
      <c r="I319" s="135"/>
      <c r="J319" s="135"/>
      <c r="K319" s="135"/>
      <c r="L319" s="135"/>
    </row>
    <row r="320" spans="2:12" ht="12" customHeight="1" x14ac:dyDescent="0.15">
      <c r="B320" s="2"/>
      <c r="C320" s="4"/>
      <c r="D320" s="4"/>
      <c r="E320" s="4"/>
      <c r="I320" s="135"/>
      <c r="J320" s="135"/>
      <c r="K320" s="135"/>
      <c r="L320" s="135"/>
    </row>
    <row r="321" spans="2:12" ht="12" customHeight="1" x14ac:dyDescent="0.15">
      <c r="B321" s="2"/>
      <c r="C321" s="4"/>
      <c r="D321" s="4"/>
      <c r="E321" s="4"/>
      <c r="I321" s="135"/>
      <c r="J321" s="135"/>
      <c r="K321" s="135"/>
      <c r="L321" s="135"/>
    </row>
    <row r="322" spans="2:12" ht="12" customHeight="1" x14ac:dyDescent="0.15">
      <c r="B322" s="2"/>
      <c r="C322" s="4"/>
      <c r="D322" s="4"/>
      <c r="E322" s="4"/>
      <c r="I322" s="135"/>
      <c r="J322" s="135"/>
      <c r="K322" s="135"/>
      <c r="L322" s="135"/>
    </row>
    <row r="323" spans="2:12" ht="12" customHeight="1" x14ac:dyDescent="0.15">
      <c r="B323" s="2"/>
      <c r="C323" s="4"/>
      <c r="D323" s="4"/>
      <c r="E323" s="4"/>
      <c r="I323" s="135"/>
      <c r="J323" s="135"/>
      <c r="K323" s="135"/>
      <c r="L323" s="135"/>
    </row>
    <row r="324" spans="2:12" ht="12" customHeight="1" x14ac:dyDescent="0.15">
      <c r="B324" s="2"/>
      <c r="C324" s="4"/>
      <c r="D324" s="4"/>
      <c r="E324" s="4"/>
      <c r="I324" s="135"/>
      <c r="J324" s="135"/>
      <c r="K324" s="135"/>
      <c r="L324" s="135"/>
    </row>
    <row r="325" spans="2:12" ht="12" customHeight="1" x14ac:dyDescent="0.15">
      <c r="B325" s="2"/>
      <c r="C325" s="4"/>
      <c r="D325" s="4"/>
      <c r="E325" s="4"/>
      <c r="I325" s="135"/>
      <c r="J325" s="135"/>
      <c r="K325" s="135"/>
      <c r="L325" s="135"/>
    </row>
    <row r="326" spans="2:12" ht="12" customHeight="1" x14ac:dyDescent="0.15">
      <c r="B326" s="2"/>
      <c r="C326" s="4"/>
      <c r="D326" s="4"/>
      <c r="E326" s="4"/>
      <c r="I326" s="135"/>
      <c r="J326" s="135"/>
      <c r="K326" s="135"/>
      <c r="L326" s="135"/>
    </row>
    <row r="327" spans="2:12" ht="12" customHeight="1" x14ac:dyDescent="0.15">
      <c r="B327" s="2"/>
      <c r="C327" s="4"/>
      <c r="D327" s="4"/>
      <c r="E327" s="4"/>
      <c r="I327" s="135"/>
      <c r="J327" s="135"/>
      <c r="K327" s="135"/>
      <c r="L327" s="135"/>
    </row>
    <row r="328" spans="2:12" ht="12" customHeight="1" x14ac:dyDescent="0.15">
      <c r="B328" s="2"/>
      <c r="C328" s="4"/>
      <c r="D328" s="4"/>
      <c r="E328" s="4"/>
      <c r="I328" s="135"/>
      <c r="J328" s="135"/>
      <c r="K328" s="135"/>
      <c r="L328" s="135"/>
    </row>
    <row r="329" spans="2:12" ht="12" customHeight="1" x14ac:dyDescent="0.15">
      <c r="B329" s="2"/>
      <c r="C329" s="4"/>
      <c r="D329" s="4"/>
      <c r="E329" s="4"/>
      <c r="I329" s="135"/>
      <c r="J329" s="135"/>
      <c r="K329" s="135"/>
      <c r="L329" s="135"/>
    </row>
    <row r="330" spans="2:12" ht="12" customHeight="1" x14ac:dyDescent="0.15">
      <c r="B330" s="2"/>
      <c r="C330" s="4"/>
      <c r="D330" s="4"/>
      <c r="E330" s="4"/>
      <c r="I330" s="135"/>
      <c r="J330" s="135"/>
      <c r="K330" s="135"/>
      <c r="L330" s="135"/>
    </row>
    <row r="331" spans="2:12" ht="12" customHeight="1" x14ac:dyDescent="0.15">
      <c r="B331" s="2"/>
      <c r="C331" s="4"/>
      <c r="D331" s="4"/>
      <c r="E331" s="4"/>
      <c r="I331" s="135"/>
      <c r="J331" s="135"/>
      <c r="K331" s="135"/>
      <c r="L331" s="135"/>
    </row>
    <row r="332" spans="2:12" ht="12" customHeight="1" x14ac:dyDescent="0.15">
      <c r="B332" s="2"/>
      <c r="C332" s="4"/>
      <c r="D332" s="4"/>
      <c r="E332" s="4"/>
      <c r="I332" s="135"/>
      <c r="J332" s="135"/>
      <c r="K332" s="135"/>
      <c r="L332" s="135"/>
    </row>
    <row r="333" spans="2:12" ht="12" customHeight="1" x14ac:dyDescent="0.15">
      <c r="B333" s="2"/>
      <c r="C333" s="4"/>
      <c r="D333" s="4"/>
      <c r="E333" s="4"/>
      <c r="I333" s="135"/>
      <c r="J333" s="135"/>
      <c r="K333" s="135"/>
      <c r="L333" s="135"/>
    </row>
    <row r="334" spans="2:12" ht="12" customHeight="1" x14ac:dyDescent="0.15">
      <c r="B334" s="2"/>
      <c r="C334" s="4"/>
      <c r="D334" s="4"/>
      <c r="E334" s="4"/>
      <c r="I334" s="135"/>
      <c r="J334" s="135"/>
      <c r="K334" s="135"/>
      <c r="L334" s="135"/>
    </row>
    <row r="335" spans="2:12" ht="12" customHeight="1" x14ac:dyDescent="0.15">
      <c r="B335" s="2"/>
      <c r="C335" s="4"/>
      <c r="D335" s="4"/>
      <c r="E335" s="4"/>
      <c r="I335" s="135"/>
      <c r="J335" s="135"/>
      <c r="K335" s="135"/>
      <c r="L335" s="135"/>
    </row>
    <row r="336" spans="2:12" ht="12" customHeight="1" x14ac:dyDescent="0.15">
      <c r="B336" s="2"/>
      <c r="C336" s="4"/>
      <c r="D336" s="4"/>
      <c r="E336" s="4"/>
      <c r="I336" s="135"/>
      <c r="J336" s="135"/>
      <c r="K336" s="135"/>
      <c r="L336" s="135"/>
    </row>
    <row r="337" spans="2:12" ht="12" customHeight="1" x14ac:dyDescent="0.15">
      <c r="B337" s="2"/>
      <c r="C337" s="4"/>
      <c r="D337" s="4"/>
      <c r="E337" s="4"/>
      <c r="I337" s="135"/>
      <c r="J337" s="135"/>
      <c r="K337" s="135"/>
      <c r="L337" s="135"/>
    </row>
    <row r="338" spans="2:12" ht="12" customHeight="1" x14ac:dyDescent="0.15">
      <c r="B338" s="2"/>
      <c r="C338" s="4"/>
      <c r="D338" s="4"/>
      <c r="E338" s="4"/>
      <c r="I338" s="135"/>
      <c r="J338" s="135"/>
      <c r="K338" s="135"/>
      <c r="L338" s="135"/>
    </row>
    <row r="339" spans="2:12" ht="12" customHeight="1" x14ac:dyDescent="0.15">
      <c r="B339" s="2"/>
      <c r="C339" s="4"/>
      <c r="D339" s="4"/>
      <c r="E339" s="4"/>
      <c r="I339" s="135"/>
      <c r="J339" s="135"/>
      <c r="K339" s="135"/>
      <c r="L339" s="135"/>
    </row>
    <row r="340" spans="2:12" ht="12" customHeight="1" x14ac:dyDescent="0.15">
      <c r="B340" s="2"/>
      <c r="C340" s="4"/>
      <c r="D340" s="4"/>
      <c r="E340" s="4"/>
      <c r="I340" s="135"/>
      <c r="J340" s="135"/>
      <c r="K340" s="135"/>
      <c r="L340" s="135"/>
    </row>
    <row r="341" spans="2:12" ht="12" customHeight="1" x14ac:dyDescent="0.15">
      <c r="B341" s="2"/>
      <c r="C341" s="4"/>
      <c r="D341" s="4"/>
      <c r="E341" s="4"/>
      <c r="I341" s="135"/>
      <c r="J341" s="135"/>
      <c r="K341" s="135"/>
      <c r="L341" s="135"/>
    </row>
    <row r="342" spans="2:12" ht="12" customHeight="1" x14ac:dyDescent="0.15">
      <c r="B342" s="2"/>
      <c r="C342" s="4"/>
      <c r="D342" s="4"/>
      <c r="E342" s="4"/>
      <c r="I342" s="135"/>
      <c r="J342" s="135"/>
      <c r="K342" s="135"/>
      <c r="L342" s="135"/>
    </row>
    <row r="343" spans="2:12" ht="12" customHeight="1" x14ac:dyDescent="0.15">
      <c r="B343" s="2"/>
      <c r="C343" s="4"/>
      <c r="D343" s="4"/>
      <c r="E343" s="4"/>
      <c r="I343" s="135"/>
      <c r="J343" s="135"/>
      <c r="K343" s="135"/>
      <c r="L343" s="135"/>
    </row>
    <row r="344" spans="2:12" ht="12" customHeight="1" x14ac:dyDescent="0.15">
      <c r="B344" s="2"/>
      <c r="C344" s="4"/>
      <c r="D344" s="4"/>
      <c r="E344" s="4"/>
      <c r="I344" s="135"/>
      <c r="J344" s="135"/>
      <c r="K344" s="135"/>
      <c r="L344" s="135"/>
    </row>
    <row r="345" spans="2:12" ht="12" customHeight="1" x14ac:dyDescent="0.15">
      <c r="B345" s="2"/>
      <c r="C345" s="4"/>
      <c r="D345" s="4"/>
      <c r="E345" s="4"/>
      <c r="I345" s="135"/>
      <c r="J345" s="135"/>
      <c r="K345" s="135"/>
      <c r="L345" s="135"/>
    </row>
    <row r="346" spans="2:12" ht="12" customHeight="1" x14ac:dyDescent="0.15">
      <c r="B346" s="2"/>
      <c r="C346" s="4"/>
      <c r="D346" s="4"/>
      <c r="E346" s="4"/>
      <c r="I346" s="135"/>
      <c r="J346" s="135"/>
      <c r="K346" s="135"/>
      <c r="L346" s="135"/>
    </row>
    <row r="347" spans="2:12" ht="12" customHeight="1" x14ac:dyDescent="0.15">
      <c r="B347" s="2"/>
      <c r="C347" s="4"/>
      <c r="D347" s="4"/>
      <c r="E347" s="4"/>
      <c r="I347" s="135"/>
      <c r="J347" s="135"/>
      <c r="K347" s="135"/>
      <c r="L347" s="135"/>
    </row>
    <row r="348" spans="2:12" ht="12" customHeight="1" x14ac:dyDescent="0.15">
      <c r="B348" s="2"/>
      <c r="C348" s="4"/>
      <c r="D348" s="4"/>
      <c r="E348" s="4"/>
      <c r="I348" s="135"/>
      <c r="J348" s="135"/>
      <c r="K348" s="135"/>
      <c r="L348" s="135"/>
    </row>
    <row r="349" spans="2:12" ht="12" customHeight="1" x14ac:dyDescent="0.15">
      <c r="B349" s="2"/>
      <c r="C349" s="4"/>
      <c r="D349" s="4"/>
      <c r="E349" s="4"/>
      <c r="I349" s="135"/>
      <c r="J349" s="135"/>
      <c r="K349" s="135"/>
      <c r="L349" s="135"/>
    </row>
    <row r="350" spans="2:12" ht="12" customHeight="1" x14ac:dyDescent="0.15">
      <c r="B350" s="2"/>
      <c r="C350" s="4"/>
      <c r="D350" s="4"/>
      <c r="E350" s="4"/>
      <c r="I350" s="135"/>
      <c r="J350" s="135"/>
      <c r="K350" s="135"/>
      <c r="L350" s="135"/>
    </row>
    <row r="351" spans="2:12" ht="12" customHeight="1" x14ac:dyDescent="0.15">
      <c r="B351" s="2"/>
      <c r="C351" s="4"/>
      <c r="D351" s="4"/>
      <c r="E351" s="4"/>
      <c r="I351" s="135"/>
      <c r="J351" s="135"/>
      <c r="K351" s="135"/>
      <c r="L351" s="135"/>
    </row>
    <row r="352" spans="2:12" ht="12" customHeight="1" x14ac:dyDescent="0.15">
      <c r="B352" s="2"/>
      <c r="C352" s="4"/>
      <c r="D352" s="4"/>
      <c r="E352" s="4"/>
      <c r="I352" s="135"/>
      <c r="J352" s="135"/>
      <c r="K352" s="135"/>
      <c r="L352" s="135"/>
    </row>
    <row r="353" spans="2:12" ht="12" customHeight="1" x14ac:dyDescent="0.15">
      <c r="B353" s="2"/>
      <c r="C353" s="4"/>
      <c r="D353" s="4"/>
      <c r="E353" s="4"/>
      <c r="I353" s="135"/>
      <c r="J353" s="135"/>
      <c r="K353" s="135"/>
      <c r="L353" s="135"/>
    </row>
    <row r="354" spans="2:12" ht="12" customHeight="1" x14ac:dyDescent="0.15">
      <c r="B354" s="2"/>
      <c r="C354" s="4"/>
      <c r="D354" s="4"/>
      <c r="E354" s="4"/>
      <c r="I354" s="135"/>
      <c r="J354" s="135"/>
      <c r="K354" s="135"/>
      <c r="L354" s="135"/>
    </row>
    <row r="355" spans="2:12" ht="12" customHeight="1" x14ac:dyDescent="0.15">
      <c r="B355" s="2"/>
      <c r="C355" s="4"/>
      <c r="D355" s="4"/>
      <c r="E355" s="4"/>
      <c r="I355" s="135"/>
      <c r="J355" s="135"/>
      <c r="K355" s="135"/>
      <c r="L355" s="135"/>
    </row>
    <row r="356" spans="2:12" ht="12" customHeight="1" x14ac:dyDescent="0.15">
      <c r="B356" s="2"/>
      <c r="C356" s="4"/>
      <c r="D356" s="4"/>
      <c r="E356" s="4"/>
      <c r="I356" s="135"/>
      <c r="J356" s="135"/>
      <c r="K356" s="135"/>
      <c r="L356" s="135"/>
    </row>
    <row r="357" spans="2:12" ht="12" customHeight="1" x14ac:dyDescent="0.15">
      <c r="B357" s="2"/>
      <c r="C357" s="4"/>
      <c r="D357" s="4"/>
      <c r="E357" s="4"/>
      <c r="I357" s="135"/>
      <c r="J357" s="135"/>
      <c r="K357" s="135"/>
      <c r="L357" s="135"/>
    </row>
    <row r="358" spans="2:12" ht="12" customHeight="1" x14ac:dyDescent="0.15">
      <c r="B358" s="2"/>
      <c r="C358" s="4"/>
      <c r="D358" s="4"/>
      <c r="E358" s="4"/>
      <c r="I358" s="135"/>
      <c r="J358" s="135"/>
      <c r="K358" s="135"/>
      <c r="L358" s="135"/>
    </row>
    <row r="359" spans="2:12" ht="12" customHeight="1" x14ac:dyDescent="0.15">
      <c r="B359" s="2"/>
      <c r="C359" s="4"/>
      <c r="D359" s="4"/>
      <c r="E359" s="4"/>
      <c r="I359" s="135"/>
      <c r="J359" s="135"/>
      <c r="K359" s="135"/>
      <c r="L359" s="135"/>
    </row>
    <row r="360" spans="2:12" ht="12" customHeight="1" x14ac:dyDescent="0.15">
      <c r="B360" s="2"/>
      <c r="C360" s="4"/>
      <c r="D360" s="4"/>
      <c r="E360" s="4"/>
      <c r="I360" s="135"/>
      <c r="J360" s="135"/>
      <c r="K360" s="135"/>
      <c r="L360" s="135"/>
    </row>
    <row r="361" spans="2:12" ht="12" customHeight="1" x14ac:dyDescent="0.15">
      <c r="B361" s="2"/>
      <c r="C361" s="4"/>
      <c r="D361" s="4"/>
      <c r="E361" s="4"/>
      <c r="I361" s="135"/>
      <c r="J361" s="135"/>
      <c r="K361" s="135"/>
      <c r="L361" s="135"/>
    </row>
    <row r="362" spans="2:12" ht="12" customHeight="1" x14ac:dyDescent="0.15">
      <c r="B362" s="2"/>
      <c r="C362" s="4"/>
      <c r="D362" s="4"/>
      <c r="E362" s="4"/>
      <c r="I362" s="135"/>
      <c r="J362" s="135"/>
      <c r="K362" s="135"/>
      <c r="L362" s="135"/>
    </row>
    <row r="363" spans="2:12" ht="12" customHeight="1" x14ac:dyDescent="0.15">
      <c r="B363" s="2"/>
      <c r="C363" s="4"/>
      <c r="D363" s="4"/>
      <c r="E363" s="4"/>
      <c r="I363" s="135"/>
      <c r="J363" s="135"/>
      <c r="K363" s="135"/>
      <c r="L363" s="135"/>
    </row>
    <row r="364" spans="2:12" ht="12" customHeight="1" x14ac:dyDescent="0.15">
      <c r="B364" s="2"/>
      <c r="C364" s="4"/>
      <c r="D364" s="4"/>
      <c r="E364" s="4"/>
      <c r="I364" s="135"/>
      <c r="J364" s="135"/>
      <c r="K364" s="135"/>
      <c r="L364" s="135"/>
    </row>
    <row r="365" spans="2:12" ht="12" customHeight="1" x14ac:dyDescent="0.15">
      <c r="B365" s="2"/>
      <c r="C365" s="4"/>
      <c r="D365" s="4"/>
      <c r="E365" s="4"/>
      <c r="I365" s="135"/>
      <c r="J365" s="135"/>
      <c r="K365" s="135"/>
      <c r="L365" s="135"/>
    </row>
    <row r="366" spans="2:12" ht="12" customHeight="1" x14ac:dyDescent="0.15">
      <c r="B366" s="2"/>
      <c r="C366" s="4"/>
      <c r="D366" s="4"/>
      <c r="E366" s="4"/>
      <c r="I366" s="135"/>
      <c r="J366" s="135"/>
      <c r="K366" s="135"/>
      <c r="L366" s="135"/>
    </row>
    <row r="367" spans="2:12" ht="12" customHeight="1" x14ac:dyDescent="0.15">
      <c r="B367" s="2"/>
      <c r="C367" s="4"/>
      <c r="D367" s="4"/>
      <c r="E367" s="4"/>
      <c r="I367" s="135"/>
      <c r="J367" s="135"/>
      <c r="K367" s="135"/>
      <c r="L367" s="135"/>
    </row>
    <row r="368" spans="2:12" ht="12" customHeight="1" x14ac:dyDescent="0.15">
      <c r="B368" s="2"/>
      <c r="C368" s="4"/>
      <c r="D368" s="4"/>
      <c r="E368" s="4"/>
      <c r="I368" s="135"/>
      <c r="J368" s="135"/>
      <c r="K368" s="135"/>
      <c r="L368" s="135"/>
    </row>
    <row r="369" spans="2:12" ht="12" customHeight="1" x14ac:dyDescent="0.15">
      <c r="B369" s="2"/>
      <c r="C369" s="4"/>
      <c r="D369" s="4"/>
      <c r="E369" s="4"/>
      <c r="I369" s="135"/>
      <c r="J369" s="135"/>
      <c r="K369" s="135"/>
      <c r="L369" s="135"/>
    </row>
    <row r="370" spans="2:12" ht="12" customHeight="1" x14ac:dyDescent="0.15">
      <c r="B370" s="2"/>
      <c r="C370" s="4"/>
      <c r="D370" s="4"/>
      <c r="E370" s="4"/>
      <c r="I370" s="135"/>
      <c r="J370" s="135"/>
      <c r="K370" s="135"/>
      <c r="L370" s="135"/>
    </row>
    <row r="371" spans="2:12" ht="12" customHeight="1" x14ac:dyDescent="0.15">
      <c r="B371" s="2"/>
      <c r="C371" s="4"/>
      <c r="D371" s="4"/>
      <c r="E371" s="4"/>
      <c r="I371" s="135"/>
      <c r="J371" s="135"/>
      <c r="K371" s="135"/>
      <c r="L371" s="135"/>
    </row>
    <row r="372" spans="2:12" ht="12" customHeight="1" x14ac:dyDescent="0.15">
      <c r="B372" s="2"/>
      <c r="C372" s="4"/>
      <c r="D372" s="4"/>
      <c r="E372" s="4"/>
      <c r="I372" s="135"/>
      <c r="J372" s="135"/>
      <c r="K372" s="135"/>
      <c r="L372" s="135"/>
    </row>
    <row r="373" spans="2:12" ht="12" customHeight="1" x14ac:dyDescent="0.15">
      <c r="B373" s="2"/>
      <c r="C373" s="4"/>
      <c r="D373" s="4"/>
      <c r="E373" s="4"/>
      <c r="I373" s="135"/>
      <c r="J373" s="135"/>
      <c r="K373" s="135"/>
      <c r="L373" s="135"/>
    </row>
    <row r="374" spans="2:12" ht="12" customHeight="1" x14ac:dyDescent="0.15">
      <c r="B374" s="2"/>
      <c r="C374" s="4"/>
      <c r="D374" s="4"/>
      <c r="E374" s="4"/>
      <c r="I374" s="135"/>
      <c r="J374" s="135"/>
      <c r="K374" s="135"/>
      <c r="L374" s="135"/>
    </row>
    <row r="375" spans="2:12" ht="12" customHeight="1" x14ac:dyDescent="0.15">
      <c r="B375" s="2"/>
      <c r="C375" s="4"/>
      <c r="D375" s="4"/>
      <c r="E375" s="4"/>
      <c r="I375" s="135"/>
      <c r="J375" s="135"/>
      <c r="K375" s="135"/>
      <c r="L375" s="135"/>
    </row>
    <row r="376" spans="2:12" ht="12" customHeight="1" x14ac:dyDescent="0.15">
      <c r="B376" s="2"/>
      <c r="C376" s="4"/>
      <c r="D376" s="4"/>
      <c r="E376" s="4"/>
      <c r="I376" s="135"/>
      <c r="J376" s="135"/>
      <c r="K376" s="135"/>
      <c r="L376" s="135"/>
    </row>
    <row r="377" spans="2:12" ht="12" customHeight="1" x14ac:dyDescent="0.15">
      <c r="B377" s="2"/>
      <c r="C377" s="4"/>
      <c r="D377" s="4"/>
      <c r="E377" s="4"/>
      <c r="I377" s="135"/>
      <c r="J377" s="135"/>
      <c r="K377" s="135"/>
      <c r="L377" s="135"/>
    </row>
    <row r="378" spans="2:12" ht="12" customHeight="1" x14ac:dyDescent="0.15">
      <c r="B378" s="2"/>
      <c r="C378" s="4"/>
      <c r="D378" s="4"/>
      <c r="E378" s="4"/>
      <c r="I378" s="135"/>
      <c r="J378" s="135"/>
      <c r="K378" s="135"/>
      <c r="L378" s="135"/>
    </row>
    <row r="379" spans="2:12" ht="12" customHeight="1" x14ac:dyDescent="0.15">
      <c r="B379" s="2"/>
      <c r="C379" s="4"/>
      <c r="D379" s="4"/>
      <c r="E379" s="4"/>
      <c r="I379" s="135"/>
      <c r="J379" s="135"/>
      <c r="K379" s="135"/>
      <c r="L379" s="135"/>
    </row>
    <row r="380" spans="2:12" ht="12" customHeight="1" x14ac:dyDescent="0.15">
      <c r="B380" s="2"/>
      <c r="C380" s="4"/>
      <c r="D380" s="4"/>
      <c r="E380" s="4"/>
      <c r="I380" s="135"/>
      <c r="J380" s="135"/>
      <c r="K380" s="135"/>
      <c r="L380" s="135"/>
    </row>
    <row r="381" spans="2:12" ht="12" customHeight="1" x14ac:dyDescent="0.15">
      <c r="B381" s="2"/>
      <c r="C381" s="4"/>
      <c r="D381" s="4"/>
      <c r="E381" s="4"/>
      <c r="I381" s="135"/>
      <c r="J381" s="135"/>
      <c r="K381" s="135"/>
      <c r="L381" s="135"/>
    </row>
    <row r="382" spans="2:12" ht="12" customHeight="1" x14ac:dyDescent="0.15">
      <c r="B382" s="2"/>
      <c r="C382" s="4"/>
      <c r="D382" s="4"/>
      <c r="E382" s="4"/>
      <c r="I382" s="135"/>
      <c r="J382" s="135"/>
      <c r="K382" s="135"/>
      <c r="L382" s="135"/>
    </row>
    <row r="383" spans="2:12" ht="12" customHeight="1" x14ac:dyDescent="0.15">
      <c r="B383" s="2"/>
      <c r="C383" s="4"/>
      <c r="D383" s="4"/>
      <c r="E383" s="4"/>
      <c r="I383" s="135"/>
      <c r="J383" s="135"/>
      <c r="K383" s="135"/>
      <c r="L383" s="135"/>
    </row>
    <row r="384" spans="2:12" ht="12" customHeight="1" x14ac:dyDescent="0.15">
      <c r="B384" s="2"/>
      <c r="C384" s="4"/>
      <c r="D384" s="4"/>
      <c r="E384" s="4"/>
      <c r="I384" s="135"/>
      <c r="J384" s="135"/>
      <c r="K384" s="135"/>
      <c r="L384" s="135"/>
    </row>
    <row r="385" spans="2:12" ht="12" customHeight="1" x14ac:dyDescent="0.15">
      <c r="B385" s="2"/>
      <c r="C385" s="4"/>
      <c r="D385" s="4"/>
      <c r="E385" s="4"/>
      <c r="I385" s="135"/>
      <c r="J385" s="135"/>
      <c r="K385" s="135"/>
      <c r="L385" s="135"/>
    </row>
    <row r="386" spans="2:12" ht="12" customHeight="1" x14ac:dyDescent="0.15">
      <c r="B386" s="2"/>
      <c r="C386" s="4"/>
      <c r="D386" s="4"/>
      <c r="E386" s="4"/>
      <c r="I386" s="135"/>
      <c r="J386" s="135"/>
      <c r="K386" s="135"/>
      <c r="L386" s="135"/>
    </row>
    <row r="387" spans="2:12" ht="12" customHeight="1" x14ac:dyDescent="0.15">
      <c r="B387" s="2"/>
      <c r="C387" s="4"/>
      <c r="D387" s="4"/>
      <c r="E387" s="4"/>
      <c r="I387" s="135"/>
      <c r="J387" s="135"/>
      <c r="K387" s="135"/>
      <c r="L387" s="135"/>
    </row>
    <row r="388" spans="2:12" ht="12" customHeight="1" x14ac:dyDescent="0.15">
      <c r="B388" s="2"/>
      <c r="C388" s="4"/>
      <c r="D388" s="4"/>
      <c r="E388" s="4"/>
      <c r="I388" s="135"/>
      <c r="J388" s="135"/>
      <c r="K388" s="135"/>
      <c r="L388" s="135"/>
    </row>
    <row r="389" spans="2:12" ht="12" customHeight="1" x14ac:dyDescent="0.15">
      <c r="B389" s="2"/>
      <c r="C389" s="4"/>
      <c r="D389" s="4"/>
      <c r="E389" s="4"/>
      <c r="I389" s="135"/>
      <c r="J389" s="135"/>
      <c r="K389" s="135"/>
      <c r="L389" s="135"/>
    </row>
    <row r="390" spans="2:12" ht="12" customHeight="1" x14ac:dyDescent="0.15">
      <c r="B390" s="2"/>
      <c r="C390" s="4"/>
      <c r="D390" s="4"/>
      <c r="E390" s="4"/>
      <c r="I390" s="135"/>
      <c r="J390" s="135"/>
      <c r="K390" s="135"/>
      <c r="L390" s="135"/>
    </row>
    <row r="391" spans="2:12" ht="12" customHeight="1" x14ac:dyDescent="0.15">
      <c r="B391" s="2"/>
      <c r="C391" s="4"/>
      <c r="D391" s="4"/>
      <c r="E391" s="4"/>
      <c r="I391" s="135"/>
      <c r="J391" s="135"/>
      <c r="K391" s="135"/>
      <c r="L391" s="135"/>
    </row>
    <row r="392" spans="2:12" ht="12" customHeight="1" x14ac:dyDescent="0.15">
      <c r="B392" s="2"/>
      <c r="C392" s="4"/>
      <c r="D392" s="4"/>
      <c r="E392" s="4"/>
      <c r="I392" s="135"/>
      <c r="J392" s="135"/>
      <c r="K392" s="135"/>
      <c r="L392" s="135"/>
    </row>
    <row r="393" spans="2:12" ht="12" customHeight="1" x14ac:dyDescent="0.15">
      <c r="B393" s="2"/>
      <c r="C393" s="4"/>
      <c r="D393" s="4"/>
      <c r="E393" s="4"/>
      <c r="I393" s="135"/>
      <c r="J393" s="135"/>
      <c r="K393" s="135"/>
      <c r="L393" s="135"/>
    </row>
    <row r="394" spans="2:12" ht="12" customHeight="1" x14ac:dyDescent="0.15">
      <c r="B394" s="2"/>
      <c r="C394" s="4"/>
      <c r="D394" s="4"/>
      <c r="E394" s="4"/>
      <c r="I394" s="135"/>
      <c r="J394" s="135"/>
      <c r="K394" s="135"/>
      <c r="L394" s="135"/>
    </row>
    <row r="395" spans="2:12" ht="12" customHeight="1" x14ac:dyDescent="0.15">
      <c r="B395" s="2"/>
      <c r="C395" s="4"/>
      <c r="D395" s="4"/>
      <c r="E395" s="4"/>
      <c r="I395" s="135"/>
      <c r="J395" s="135"/>
      <c r="K395" s="135"/>
      <c r="L395" s="135"/>
    </row>
    <row r="396" spans="2:12" ht="12" customHeight="1" x14ac:dyDescent="0.15">
      <c r="B396" s="2"/>
      <c r="C396" s="4"/>
      <c r="D396" s="4"/>
      <c r="E396" s="4"/>
      <c r="I396" s="135"/>
      <c r="J396" s="135"/>
      <c r="K396" s="135"/>
      <c r="L396" s="135"/>
    </row>
    <row r="397" spans="2:12" ht="12" customHeight="1" x14ac:dyDescent="0.15">
      <c r="B397" s="2"/>
      <c r="C397" s="4"/>
      <c r="D397" s="4"/>
      <c r="E397" s="4"/>
      <c r="I397" s="135"/>
      <c r="J397" s="135"/>
      <c r="K397" s="135"/>
      <c r="L397" s="135"/>
    </row>
    <row r="398" spans="2:12" ht="12" customHeight="1" x14ac:dyDescent="0.15">
      <c r="B398" s="2"/>
      <c r="C398" s="4"/>
      <c r="D398" s="4"/>
      <c r="E398" s="4"/>
      <c r="I398" s="135"/>
      <c r="J398" s="135"/>
      <c r="K398" s="135"/>
      <c r="L398" s="135"/>
    </row>
    <row r="399" spans="2:12" ht="12" customHeight="1" x14ac:dyDescent="0.15">
      <c r="B399" s="2"/>
      <c r="C399" s="4"/>
      <c r="D399" s="4"/>
      <c r="E399" s="4"/>
      <c r="I399" s="135"/>
      <c r="J399" s="135"/>
      <c r="K399" s="135"/>
      <c r="L399" s="135"/>
    </row>
    <row r="400" spans="2:12" ht="12" customHeight="1" x14ac:dyDescent="0.15">
      <c r="B400" s="2"/>
      <c r="C400" s="4"/>
      <c r="D400" s="4"/>
      <c r="E400" s="4"/>
      <c r="I400" s="135"/>
      <c r="J400" s="135"/>
      <c r="K400" s="135"/>
      <c r="L400" s="135"/>
    </row>
    <row r="401" spans="2:12" ht="12" customHeight="1" x14ac:dyDescent="0.15">
      <c r="B401" s="2"/>
      <c r="C401" s="4"/>
      <c r="D401" s="4"/>
      <c r="E401" s="4"/>
      <c r="I401" s="135"/>
      <c r="J401" s="135"/>
      <c r="K401" s="135"/>
      <c r="L401" s="135"/>
    </row>
    <row r="402" spans="2:12" ht="12" customHeight="1" x14ac:dyDescent="0.15">
      <c r="B402" s="2"/>
      <c r="C402" s="4"/>
      <c r="D402" s="4"/>
      <c r="E402" s="4"/>
      <c r="I402" s="135"/>
      <c r="J402" s="135"/>
      <c r="K402" s="135"/>
      <c r="L402" s="135"/>
    </row>
    <row r="403" spans="2:12" ht="12" customHeight="1" x14ac:dyDescent="0.15">
      <c r="B403" s="2"/>
      <c r="C403" s="4"/>
      <c r="D403" s="4"/>
      <c r="E403" s="4"/>
      <c r="I403" s="135"/>
      <c r="J403" s="135"/>
      <c r="K403" s="135"/>
      <c r="L403" s="135"/>
    </row>
    <row r="404" spans="2:12" ht="12" customHeight="1" x14ac:dyDescent="0.15">
      <c r="B404" s="2"/>
      <c r="C404" s="4"/>
      <c r="D404" s="4"/>
      <c r="E404" s="4"/>
      <c r="I404" s="135"/>
      <c r="J404" s="135"/>
      <c r="K404" s="135"/>
      <c r="L404" s="135"/>
    </row>
    <row r="405" spans="2:12" ht="12" customHeight="1" x14ac:dyDescent="0.15">
      <c r="B405" s="2"/>
      <c r="C405" s="4"/>
      <c r="D405" s="4"/>
      <c r="E405" s="4"/>
      <c r="I405" s="135"/>
      <c r="J405" s="135"/>
      <c r="K405" s="135"/>
      <c r="L405" s="135"/>
    </row>
    <row r="406" spans="2:12" ht="12" customHeight="1" x14ac:dyDescent="0.15">
      <c r="B406" s="2"/>
      <c r="C406" s="4"/>
      <c r="D406" s="4"/>
      <c r="E406" s="4"/>
      <c r="I406" s="135"/>
      <c r="J406" s="135"/>
      <c r="K406" s="135"/>
      <c r="L406" s="135"/>
    </row>
    <row r="407" spans="2:12" ht="12" customHeight="1" x14ac:dyDescent="0.15">
      <c r="B407" s="2"/>
      <c r="C407" s="4"/>
      <c r="D407" s="4"/>
      <c r="E407" s="4"/>
      <c r="I407" s="135"/>
      <c r="J407" s="135"/>
      <c r="K407" s="135"/>
      <c r="L407" s="135"/>
    </row>
    <row r="408" spans="2:12" ht="12" customHeight="1" x14ac:dyDescent="0.15">
      <c r="B408" s="2"/>
      <c r="C408" s="4"/>
      <c r="D408" s="4"/>
      <c r="E408" s="4"/>
      <c r="I408" s="135"/>
      <c r="J408" s="135"/>
      <c r="K408" s="135"/>
      <c r="L408" s="135"/>
    </row>
    <row r="409" spans="2:12" ht="12" customHeight="1" x14ac:dyDescent="0.15">
      <c r="B409" s="2"/>
      <c r="C409" s="4"/>
      <c r="D409" s="4"/>
      <c r="E409" s="4"/>
      <c r="I409" s="135"/>
      <c r="J409" s="135"/>
      <c r="K409" s="135"/>
      <c r="L409" s="135"/>
    </row>
    <row r="410" spans="2:12" ht="12" customHeight="1" x14ac:dyDescent="0.15">
      <c r="B410" s="2"/>
      <c r="C410" s="4"/>
      <c r="D410" s="4"/>
      <c r="E410" s="4"/>
      <c r="I410" s="135"/>
      <c r="J410" s="135"/>
      <c r="K410" s="135"/>
      <c r="L410" s="135"/>
    </row>
    <row r="411" spans="2:12" ht="12" customHeight="1" x14ac:dyDescent="0.15">
      <c r="B411" s="2"/>
      <c r="C411" s="4"/>
      <c r="D411" s="4"/>
      <c r="E411" s="4"/>
      <c r="I411" s="135"/>
      <c r="J411" s="135"/>
      <c r="K411" s="135"/>
      <c r="L411" s="135"/>
    </row>
    <row r="412" spans="2:12" ht="12" customHeight="1" x14ac:dyDescent="0.15">
      <c r="B412" s="2"/>
      <c r="C412" s="4"/>
      <c r="D412" s="4"/>
      <c r="E412" s="4"/>
      <c r="I412" s="135"/>
      <c r="J412" s="135"/>
      <c r="K412" s="135"/>
      <c r="L412" s="135"/>
    </row>
    <row r="413" spans="2:12" ht="12" customHeight="1" x14ac:dyDescent="0.15">
      <c r="B413" s="2"/>
      <c r="C413" s="4"/>
      <c r="D413" s="4"/>
      <c r="E413" s="4"/>
      <c r="I413" s="135"/>
      <c r="J413" s="135"/>
      <c r="K413" s="135"/>
      <c r="L413" s="135"/>
    </row>
    <row r="414" spans="2:12" ht="12" customHeight="1" x14ac:dyDescent="0.15">
      <c r="B414" s="2"/>
      <c r="C414" s="4"/>
      <c r="D414" s="4"/>
      <c r="E414" s="4"/>
      <c r="I414" s="135"/>
      <c r="J414" s="135"/>
      <c r="K414" s="135"/>
      <c r="L414" s="135"/>
    </row>
    <row r="415" spans="2:12" ht="12" customHeight="1" x14ac:dyDescent="0.15">
      <c r="B415" s="2"/>
      <c r="C415" s="4"/>
      <c r="D415" s="4"/>
      <c r="E415" s="4"/>
      <c r="I415" s="135"/>
      <c r="J415" s="135"/>
      <c r="K415" s="135"/>
      <c r="L415" s="135"/>
    </row>
    <row r="416" spans="2:12" ht="12" customHeight="1" x14ac:dyDescent="0.15">
      <c r="B416" s="2"/>
      <c r="C416" s="4"/>
      <c r="D416" s="4"/>
      <c r="E416" s="4"/>
      <c r="I416" s="135"/>
      <c r="J416" s="135"/>
      <c r="K416" s="135"/>
      <c r="L416" s="135"/>
    </row>
    <row r="417" spans="2:12" ht="12" customHeight="1" x14ac:dyDescent="0.15">
      <c r="B417" s="2"/>
      <c r="C417" s="4"/>
      <c r="D417" s="4"/>
      <c r="E417" s="4"/>
      <c r="I417" s="135"/>
      <c r="J417" s="135"/>
      <c r="K417" s="135"/>
      <c r="L417" s="135"/>
    </row>
    <row r="418" spans="2:12" ht="12" customHeight="1" x14ac:dyDescent="0.15">
      <c r="B418" s="2"/>
      <c r="C418" s="4"/>
      <c r="D418" s="4"/>
      <c r="E418" s="4"/>
      <c r="I418" s="135"/>
      <c r="J418" s="135"/>
      <c r="K418" s="135"/>
      <c r="L418" s="135"/>
    </row>
    <row r="419" spans="2:12" ht="12" customHeight="1" x14ac:dyDescent="0.15">
      <c r="B419" s="2"/>
      <c r="C419" s="4"/>
      <c r="D419" s="4"/>
      <c r="E419" s="4"/>
      <c r="I419" s="135"/>
      <c r="J419" s="135"/>
      <c r="K419" s="135"/>
      <c r="L419" s="135"/>
    </row>
    <row r="420" spans="2:12" ht="12" customHeight="1" x14ac:dyDescent="0.15">
      <c r="B420" s="2"/>
      <c r="C420" s="4"/>
      <c r="D420" s="4"/>
      <c r="E420" s="4"/>
      <c r="I420" s="135"/>
      <c r="J420" s="135"/>
      <c r="K420" s="135"/>
      <c r="L420" s="135"/>
    </row>
    <row r="421" spans="2:12" ht="12" customHeight="1" x14ac:dyDescent="0.15">
      <c r="B421" s="2"/>
      <c r="C421" s="4"/>
      <c r="D421" s="4"/>
      <c r="E421" s="4"/>
      <c r="I421" s="135"/>
      <c r="J421" s="135"/>
      <c r="K421" s="135"/>
      <c r="L421" s="135"/>
    </row>
    <row r="422" spans="2:12" ht="12" customHeight="1" x14ac:dyDescent="0.15">
      <c r="B422" s="2"/>
      <c r="C422" s="4"/>
      <c r="D422" s="4"/>
      <c r="E422" s="4"/>
      <c r="I422" s="135"/>
      <c r="J422" s="135"/>
      <c r="K422" s="135"/>
      <c r="L422" s="135"/>
    </row>
    <row r="423" spans="2:12" ht="12" customHeight="1" x14ac:dyDescent="0.15">
      <c r="B423" s="2"/>
      <c r="C423" s="4"/>
      <c r="D423" s="4"/>
      <c r="E423" s="4"/>
      <c r="I423" s="135"/>
      <c r="J423" s="135"/>
      <c r="K423" s="135"/>
      <c r="L423" s="135"/>
    </row>
    <row r="424" spans="2:12" ht="12" customHeight="1" x14ac:dyDescent="0.15">
      <c r="B424" s="2"/>
      <c r="C424" s="4"/>
      <c r="D424" s="4"/>
      <c r="E424" s="4"/>
      <c r="I424" s="135"/>
      <c r="J424" s="135"/>
      <c r="K424" s="135"/>
      <c r="L424" s="135"/>
    </row>
    <row r="425" spans="2:12" ht="12" customHeight="1" x14ac:dyDescent="0.15">
      <c r="B425" s="2"/>
      <c r="C425" s="4"/>
      <c r="D425" s="4"/>
      <c r="E425" s="4"/>
      <c r="I425" s="135"/>
      <c r="J425" s="135"/>
      <c r="K425" s="135"/>
      <c r="L425" s="135"/>
    </row>
    <row r="426" spans="2:12" ht="12" customHeight="1" x14ac:dyDescent="0.15">
      <c r="B426" s="2"/>
      <c r="C426" s="4"/>
      <c r="D426" s="4"/>
      <c r="E426" s="4"/>
      <c r="I426" s="135"/>
      <c r="J426" s="135"/>
      <c r="K426" s="135"/>
      <c r="L426" s="135"/>
    </row>
    <row r="427" spans="2:12" ht="12" customHeight="1" x14ac:dyDescent="0.15">
      <c r="B427" s="2"/>
      <c r="C427" s="4"/>
      <c r="D427" s="4"/>
      <c r="E427" s="4"/>
      <c r="I427" s="135"/>
      <c r="J427" s="135"/>
      <c r="K427" s="135"/>
      <c r="L427" s="135"/>
    </row>
    <row r="428" spans="2:12" ht="12" customHeight="1" x14ac:dyDescent="0.15">
      <c r="B428" s="2"/>
      <c r="C428" s="4"/>
      <c r="D428" s="4"/>
      <c r="E428" s="4"/>
      <c r="I428" s="135"/>
      <c r="J428" s="135"/>
      <c r="K428" s="135"/>
      <c r="L428" s="135"/>
    </row>
    <row r="429" spans="2:12" ht="12" customHeight="1" x14ac:dyDescent="0.15">
      <c r="B429" s="2"/>
      <c r="C429" s="4"/>
      <c r="D429" s="4"/>
      <c r="E429" s="4"/>
      <c r="I429" s="135"/>
      <c r="J429" s="135"/>
      <c r="K429" s="135"/>
      <c r="L429" s="135"/>
    </row>
    <row r="430" spans="2:12" ht="12" customHeight="1" x14ac:dyDescent="0.15">
      <c r="B430" s="2"/>
      <c r="C430" s="4"/>
      <c r="D430" s="4"/>
      <c r="E430" s="4"/>
      <c r="I430" s="135"/>
      <c r="J430" s="135"/>
      <c r="K430" s="135"/>
      <c r="L430" s="135"/>
    </row>
    <row r="431" spans="2:12" ht="12" customHeight="1" x14ac:dyDescent="0.15">
      <c r="B431" s="2"/>
      <c r="C431" s="4"/>
      <c r="D431" s="4"/>
      <c r="E431" s="4"/>
      <c r="I431" s="135"/>
      <c r="J431" s="135"/>
      <c r="K431" s="135"/>
      <c r="L431" s="135"/>
    </row>
    <row r="432" spans="2:12" ht="12" customHeight="1" x14ac:dyDescent="0.15">
      <c r="B432" s="2"/>
      <c r="C432" s="4"/>
      <c r="D432" s="4"/>
      <c r="E432" s="4"/>
      <c r="I432" s="135"/>
      <c r="J432" s="135"/>
      <c r="K432" s="135"/>
      <c r="L432" s="135"/>
    </row>
    <row r="433" spans="2:12" ht="12" customHeight="1" x14ac:dyDescent="0.15">
      <c r="B433" s="2"/>
      <c r="C433" s="4"/>
      <c r="D433" s="4"/>
      <c r="E433" s="4"/>
      <c r="I433" s="135"/>
      <c r="J433" s="135"/>
      <c r="K433" s="135"/>
      <c r="L433" s="135"/>
    </row>
    <row r="434" spans="2:12" ht="12" customHeight="1" x14ac:dyDescent="0.15">
      <c r="B434" s="2"/>
      <c r="C434" s="4"/>
      <c r="D434" s="4"/>
      <c r="E434" s="4"/>
      <c r="I434" s="135"/>
      <c r="J434" s="135"/>
      <c r="K434" s="135"/>
      <c r="L434" s="135"/>
    </row>
    <row r="435" spans="2:12" ht="12" customHeight="1" x14ac:dyDescent="0.15">
      <c r="B435" s="2"/>
      <c r="C435" s="4"/>
      <c r="D435" s="4"/>
      <c r="E435" s="4"/>
      <c r="I435" s="135"/>
      <c r="J435" s="135"/>
      <c r="K435" s="135"/>
      <c r="L435" s="135"/>
    </row>
    <row r="436" spans="2:12" ht="12" customHeight="1" x14ac:dyDescent="0.15">
      <c r="B436" s="2"/>
      <c r="C436" s="4"/>
      <c r="D436" s="4"/>
      <c r="E436" s="4"/>
      <c r="I436" s="135"/>
      <c r="J436" s="135"/>
      <c r="K436" s="135"/>
      <c r="L436" s="135"/>
    </row>
    <row r="437" spans="2:12" ht="12" customHeight="1" x14ac:dyDescent="0.15">
      <c r="B437" s="2"/>
      <c r="C437" s="4"/>
      <c r="D437" s="4"/>
      <c r="E437" s="4"/>
      <c r="I437" s="135"/>
      <c r="J437" s="135"/>
      <c r="K437" s="135"/>
      <c r="L437" s="135"/>
    </row>
    <row r="438" spans="2:12" ht="12" customHeight="1" x14ac:dyDescent="0.15">
      <c r="B438" s="2"/>
      <c r="C438" s="4"/>
      <c r="D438" s="4"/>
      <c r="E438" s="4"/>
      <c r="I438" s="135"/>
      <c r="J438" s="135"/>
      <c r="K438" s="135"/>
      <c r="L438" s="135"/>
    </row>
    <row r="439" spans="2:12" ht="12" customHeight="1" x14ac:dyDescent="0.15">
      <c r="B439" s="2"/>
      <c r="C439" s="4"/>
      <c r="D439" s="4"/>
      <c r="E439" s="4"/>
      <c r="I439" s="135"/>
      <c r="J439" s="135"/>
      <c r="K439" s="135"/>
      <c r="L439" s="135"/>
    </row>
    <row r="440" spans="2:12" ht="12" customHeight="1" x14ac:dyDescent="0.15">
      <c r="B440" s="2"/>
      <c r="C440" s="4"/>
      <c r="D440" s="4"/>
      <c r="E440" s="4"/>
      <c r="I440" s="135"/>
      <c r="J440" s="135"/>
      <c r="K440" s="135"/>
      <c r="L440" s="135"/>
    </row>
    <row r="441" spans="2:12" ht="12" customHeight="1" x14ac:dyDescent="0.15">
      <c r="B441" s="2"/>
      <c r="C441" s="4"/>
      <c r="D441" s="4"/>
      <c r="E441" s="4"/>
      <c r="I441" s="135"/>
      <c r="J441" s="135"/>
      <c r="K441" s="135"/>
      <c r="L441" s="135"/>
    </row>
    <row r="442" spans="2:12" ht="12" customHeight="1" x14ac:dyDescent="0.15">
      <c r="B442" s="2"/>
      <c r="C442" s="4"/>
      <c r="D442" s="4"/>
      <c r="E442" s="4"/>
      <c r="I442" s="135"/>
      <c r="J442" s="135"/>
      <c r="K442" s="135"/>
      <c r="L442" s="135"/>
    </row>
    <row r="443" spans="2:12" ht="12" customHeight="1" x14ac:dyDescent="0.15">
      <c r="B443" s="2"/>
      <c r="C443" s="4"/>
      <c r="D443" s="4"/>
      <c r="E443" s="4"/>
      <c r="I443" s="135"/>
      <c r="J443" s="135"/>
      <c r="K443" s="135"/>
      <c r="L443" s="135"/>
    </row>
    <row r="444" spans="2:12" ht="12" customHeight="1" x14ac:dyDescent="0.15">
      <c r="B444" s="2"/>
      <c r="C444" s="4"/>
      <c r="D444" s="4"/>
      <c r="E444" s="4"/>
      <c r="I444" s="135"/>
      <c r="J444" s="135"/>
      <c r="K444" s="135"/>
      <c r="L444" s="135"/>
    </row>
    <row r="445" spans="2:12" ht="12" customHeight="1" x14ac:dyDescent="0.15">
      <c r="B445" s="2"/>
      <c r="C445" s="4"/>
      <c r="D445" s="4"/>
      <c r="E445" s="4"/>
      <c r="I445" s="135"/>
      <c r="J445" s="135"/>
      <c r="K445" s="135"/>
      <c r="L445" s="135"/>
    </row>
    <row r="446" spans="2:12" ht="12" customHeight="1" x14ac:dyDescent="0.15">
      <c r="B446" s="2"/>
      <c r="C446" s="4"/>
      <c r="D446" s="4"/>
      <c r="E446" s="4"/>
      <c r="I446" s="135"/>
      <c r="J446" s="135"/>
      <c r="K446" s="135"/>
      <c r="L446" s="135"/>
    </row>
    <row r="447" spans="2:12" ht="12" customHeight="1" x14ac:dyDescent="0.15">
      <c r="B447" s="2"/>
      <c r="C447" s="4"/>
      <c r="D447" s="4"/>
      <c r="E447" s="4"/>
      <c r="I447" s="135"/>
      <c r="J447" s="135"/>
      <c r="K447" s="135"/>
      <c r="L447" s="135"/>
    </row>
    <row r="448" spans="2:12" ht="12" customHeight="1" x14ac:dyDescent="0.15">
      <c r="B448" s="2"/>
      <c r="C448" s="4"/>
      <c r="D448" s="4"/>
      <c r="E448" s="4"/>
      <c r="I448" s="135"/>
      <c r="J448" s="135"/>
      <c r="K448" s="135"/>
      <c r="L448" s="135"/>
    </row>
    <row r="449" spans="2:12" ht="12" customHeight="1" x14ac:dyDescent="0.15">
      <c r="B449" s="2"/>
      <c r="C449" s="4"/>
      <c r="D449" s="4"/>
      <c r="E449" s="4"/>
      <c r="I449" s="135"/>
      <c r="J449" s="135"/>
      <c r="K449" s="135"/>
      <c r="L449" s="135"/>
    </row>
    <row r="450" spans="2:12" ht="12" customHeight="1" x14ac:dyDescent="0.15">
      <c r="B450" s="2"/>
      <c r="C450" s="4"/>
      <c r="D450" s="4"/>
      <c r="E450" s="4"/>
      <c r="I450" s="135"/>
      <c r="J450" s="135"/>
      <c r="K450" s="135"/>
      <c r="L450" s="135"/>
    </row>
    <row r="451" spans="2:12" ht="12" customHeight="1" x14ac:dyDescent="0.15">
      <c r="B451" s="2"/>
      <c r="C451" s="4"/>
      <c r="D451" s="4"/>
      <c r="E451" s="4"/>
      <c r="I451" s="135"/>
      <c r="J451" s="135"/>
      <c r="K451" s="135"/>
      <c r="L451" s="135"/>
    </row>
    <row r="452" spans="2:12" ht="12" customHeight="1" x14ac:dyDescent="0.15">
      <c r="B452" s="2"/>
      <c r="C452" s="4"/>
      <c r="D452" s="4"/>
      <c r="E452" s="4"/>
      <c r="I452" s="135"/>
      <c r="J452" s="135"/>
      <c r="K452" s="135"/>
      <c r="L452" s="135"/>
    </row>
    <row r="453" spans="2:12" ht="12" customHeight="1" x14ac:dyDescent="0.15">
      <c r="B453" s="2"/>
      <c r="C453" s="4"/>
      <c r="D453" s="4"/>
      <c r="E453" s="4"/>
      <c r="I453" s="135"/>
      <c r="J453" s="135"/>
      <c r="K453" s="135"/>
      <c r="L453" s="135"/>
    </row>
    <row r="454" spans="2:12" ht="12" customHeight="1" x14ac:dyDescent="0.15">
      <c r="B454" s="2"/>
      <c r="C454" s="4"/>
      <c r="D454" s="4"/>
      <c r="E454" s="4"/>
      <c r="I454" s="135"/>
      <c r="J454" s="135"/>
      <c r="K454" s="135"/>
      <c r="L454" s="135"/>
    </row>
    <row r="455" spans="2:12" ht="12" customHeight="1" x14ac:dyDescent="0.15">
      <c r="B455" s="2"/>
      <c r="C455" s="4"/>
      <c r="D455" s="4"/>
      <c r="E455" s="4"/>
      <c r="I455" s="135"/>
      <c r="J455" s="135"/>
      <c r="K455" s="135"/>
      <c r="L455" s="135"/>
    </row>
    <row r="456" spans="2:12" ht="12" customHeight="1" x14ac:dyDescent="0.15">
      <c r="B456" s="2"/>
      <c r="C456" s="4"/>
      <c r="D456" s="4"/>
      <c r="E456" s="4"/>
      <c r="I456" s="135"/>
      <c r="J456" s="135"/>
      <c r="K456" s="135"/>
      <c r="L456" s="135"/>
    </row>
    <row r="457" spans="2:12" ht="12" customHeight="1" x14ac:dyDescent="0.15">
      <c r="B457" s="2"/>
      <c r="C457" s="4"/>
      <c r="D457" s="4"/>
      <c r="E457" s="4"/>
      <c r="I457" s="135"/>
      <c r="J457" s="135"/>
      <c r="K457" s="135"/>
      <c r="L457" s="135"/>
    </row>
    <row r="458" spans="2:12" ht="12" customHeight="1" x14ac:dyDescent="0.15">
      <c r="B458" s="2"/>
      <c r="C458" s="4"/>
      <c r="D458" s="4"/>
      <c r="E458" s="4"/>
      <c r="I458" s="135"/>
      <c r="J458" s="135"/>
      <c r="K458" s="135"/>
      <c r="L458" s="135"/>
    </row>
    <row r="459" spans="2:12" ht="12" customHeight="1" x14ac:dyDescent="0.15">
      <c r="B459" s="2"/>
      <c r="C459" s="4"/>
      <c r="D459" s="4"/>
      <c r="E459" s="4"/>
      <c r="I459" s="135"/>
      <c r="J459" s="135"/>
      <c r="K459" s="135"/>
      <c r="L459" s="135"/>
    </row>
    <row r="460" spans="2:12" ht="12" customHeight="1" x14ac:dyDescent="0.15">
      <c r="B460" s="2"/>
      <c r="C460" s="4"/>
      <c r="D460" s="4"/>
      <c r="E460" s="4"/>
      <c r="I460" s="135"/>
      <c r="J460" s="135"/>
      <c r="K460" s="135"/>
      <c r="L460" s="135"/>
    </row>
    <row r="461" spans="2:12" ht="12" customHeight="1" x14ac:dyDescent="0.15">
      <c r="B461" s="2"/>
      <c r="C461" s="4"/>
      <c r="D461" s="4"/>
      <c r="E461" s="4"/>
      <c r="I461" s="135"/>
      <c r="J461" s="135"/>
      <c r="K461" s="135"/>
      <c r="L461" s="135"/>
    </row>
    <row r="462" spans="2:12" ht="12" customHeight="1" x14ac:dyDescent="0.15">
      <c r="B462" s="2"/>
      <c r="C462" s="4"/>
      <c r="D462" s="4"/>
      <c r="E462" s="4"/>
      <c r="I462" s="135"/>
      <c r="J462" s="135"/>
      <c r="K462" s="135"/>
      <c r="L462" s="135"/>
    </row>
    <row r="463" spans="2:12" ht="12" customHeight="1" x14ac:dyDescent="0.15">
      <c r="B463" s="2"/>
      <c r="C463" s="4"/>
      <c r="D463" s="4"/>
      <c r="E463" s="4"/>
      <c r="I463" s="135"/>
      <c r="J463" s="135"/>
      <c r="K463" s="135"/>
      <c r="L463" s="135"/>
    </row>
    <row r="464" spans="2:12" ht="12" customHeight="1" x14ac:dyDescent="0.15">
      <c r="B464" s="2"/>
      <c r="C464" s="4"/>
      <c r="D464" s="4"/>
      <c r="E464" s="4"/>
      <c r="I464" s="135"/>
      <c r="J464" s="135"/>
      <c r="K464" s="135"/>
      <c r="L464" s="135"/>
    </row>
    <row r="465" spans="2:12" ht="12" customHeight="1" x14ac:dyDescent="0.15">
      <c r="B465" s="2"/>
      <c r="C465" s="4"/>
      <c r="D465" s="4"/>
      <c r="E465" s="4"/>
      <c r="I465" s="135"/>
      <c r="J465" s="135"/>
      <c r="K465" s="135"/>
      <c r="L465" s="135"/>
    </row>
    <row r="466" spans="2:12" ht="12" customHeight="1" x14ac:dyDescent="0.15">
      <c r="B466" s="2"/>
      <c r="C466" s="4"/>
      <c r="D466" s="4"/>
      <c r="E466" s="4"/>
      <c r="I466" s="135"/>
      <c r="J466" s="135"/>
      <c r="K466" s="135"/>
      <c r="L466" s="135"/>
    </row>
    <row r="467" spans="2:12" ht="12" customHeight="1" x14ac:dyDescent="0.15">
      <c r="B467" s="2"/>
      <c r="C467" s="4"/>
      <c r="D467" s="4"/>
      <c r="E467" s="4"/>
      <c r="I467" s="135"/>
      <c r="J467" s="135"/>
      <c r="K467" s="135"/>
      <c r="L467" s="135"/>
    </row>
    <row r="468" spans="2:12" ht="12" customHeight="1" x14ac:dyDescent="0.15">
      <c r="B468" s="2"/>
      <c r="C468" s="4"/>
      <c r="D468" s="4"/>
      <c r="E468" s="4"/>
      <c r="I468" s="135"/>
      <c r="J468" s="135"/>
      <c r="K468" s="135"/>
      <c r="L468" s="135"/>
    </row>
    <row r="469" spans="2:12" ht="12" customHeight="1" x14ac:dyDescent="0.15">
      <c r="B469" s="2"/>
      <c r="C469" s="4"/>
      <c r="D469" s="4"/>
      <c r="E469" s="4"/>
      <c r="I469" s="135"/>
      <c r="J469" s="135"/>
      <c r="K469" s="135"/>
      <c r="L469" s="135"/>
    </row>
    <row r="470" spans="2:12" ht="12" customHeight="1" x14ac:dyDescent="0.15">
      <c r="B470" s="2"/>
      <c r="C470" s="4"/>
      <c r="D470" s="4"/>
      <c r="E470" s="4"/>
      <c r="I470" s="135"/>
      <c r="J470" s="135"/>
      <c r="K470" s="135"/>
      <c r="L470" s="135"/>
    </row>
    <row r="471" spans="2:12" ht="12" customHeight="1" x14ac:dyDescent="0.15">
      <c r="B471" s="2"/>
      <c r="C471" s="4"/>
      <c r="D471" s="4"/>
      <c r="E471" s="4"/>
      <c r="I471" s="135"/>
      <c r="J471" s="135"/>
      <c r="K471" s="135"/>
      <c r="L471" s="135"/>
    </row>
    <row r="472" spans="2:12" ht="12" customHeight="1" x14ac:dyDescent="0.15">
      <c r="B472" s="2"/>
      <c r="C472" s="4"/>
      <c r="D472" s="4"/>
      <c r="E472" s="4"/>
      <c r="I472" s="135"/>
      <c r="J472" s="135"/>
      <c r="K472" s="135"/>
      <c r="L472" s="135"/>
    </row>
    <row r="473" spans="2:12" ht="12" customHeight="1" x14ac:dyDescent="0.15">
      <c r="B473" s="2"/>
      <c r="C473" s="4"/>
      <c r="D473" s="4"/>
      <c r="E473" s="4"/>
      <c r="I473" s="135"/>
      <c r="J473" s="135"/>
      <c r="K473" s="135"/>
      <c r="L473" s="135"/>
    </row>
    <row r="474" spans="2:12" ht="12" customHeight="1" x14ac:dyDescent="0.15">
      <c r="B474" s="2"/>
      <c r="C474" s="4"/>
      <c r="D474" s="4"/>
      <c r="E474" s="4"/>
      <c r="I474" s="135"/>
      <c r="J474" s="135"/>
      <c r="K474" s="135"/>
      <c r="L474" s="135"/>
    </row>
    <row r="475" spans="2:12" ht="12" customHeight="1" x14ac:dyDescent="0.15">
      <c r="B475" s="2"/>
      <c r="C475" s="4"/>
      <c r="D475" s="4"/>
      <c r="E475" s="4"/>
      <c r="I475" s="135"/>
      <c r="J475" s="135"/>
      <c r="K475" s="135"/>
      <c r="L475" s="135"/>
    </row>
    <row r="476" spans="2:12" ht="12" customHeight="1" x14ac:dyDescent="0.15">
      <c r="B476" s="2"/>
      <c r="C476" s="4"/>
      <c r="D476" s="4"/>
      <c r="E476" s="4"/>
      <c r="I476" s="135"/>
      <c r="J476" s="135"/>
      <c r="K476" s="135"/>
      <c r="L476" s="135"/>
    </row>
    <row r="477" spans="2:12" ht="12" customHeight="1" x14ac:dyDescent="0.15">
      <c r="B477" s="2"/>
      <c r="C477" s="4"/>
      <c r="D477" s="4"/>
      <c r="E477" s="4"/>
      <c r="I477" s="135"/>
      <c r="J477" s="135"/>
      <c r="K477" s="135"/>
      <c r="L477" s="135"/>
    </row>
    <row r="478" spans="2:12" ht="12" customHeight="1" x14ac:dyDescent="0.15">
      <c r="B478" s="2"/>
      <c r="C478" s="4"/>
      <c r="D478" s="4"/>
      <c r="E478" s="4"/>
      <c r="I478" s="135"/>
      <c r="J478" s="135"/>
      <c r="K478" s="135"/>
      <c r="L478" s="135"/>
    </row>
    <row r="479" spans="2:12" ht="12" customHeight="1" x14ac:dyDescent="0.15">
      <c r="B479" s="2"/>
      <c r="C479" s="4"/>
      <c r="D479" s="4"/>
      <c r="E479" s="4"/>
      <c r="I479" s="135"/>
      <c r="J479" s="135"/>
      <c r="K479" s="135"/>
      <c r="L479" s="135"/>
    </row>
    <row r="480" spans="2:12" ht="12" customHeight="1" x14ac:dyDescent="0.15">
      <c r="B480" s="2"/>
      <c r="C480" s="4"/>
      <c r="D480" s="4"/>
      <c r="E480" s="4"/>
      <c r="I480" s="135"/>
      <c r="J480" s="135"/>
      <c r="K480" s="135"/>
      <c r="L480" s="135"/>
    </row>
    <row r="481" spans="2:12" ht="12" customHeight="1" x14ac:dyDescent="0.15">
      <c r="B481" s="2"/>
      <c r="C481" s="4"/>
      <c r="D481" s="4"/>
      <c r="E481" s="4"/>
      <c r="I481" s="135"/>
      <c r="J481" s="135"/>
      <c r="K481" s="135"/>
      <c r="L481" s="135"/>
    </row>
    <row r="482" spans="2:12" ht="12" customHeight="1" x14ac:dyDescent="0.15">
      <c r="B482" s="2"/>
      <c r="C482" s="4"/>
      <c r="D482" s="4"/>
      <c r="E482" s="4"/>
      <c r="I482" s="135"/>
      <c r="J482" s="135"/>
      <c r="K482" s="135"/>
      <c r="L482" s="135"/>
    </row>
    <row r="483" spans="2:12" ht="12" customHeight="1" x14ac:dyDescent="0.15">
      <c r="B483" s="2"/>
      <c r="C483" s="4"/>
      <c r="D483" s="4"/>
      <c r="E483" s="4"/>
      <c r="I483" s="135"/>
      <c r="J483" s="135"/>
      <c r="K483" s="135"/>
      <c r="L483" s="135"/>
    </row>
    <row r="484" spans="2:12" ht="12" customHeight="1" x14ac:dyDescent="0.15">
      <c r="B484" s="2"/>
      <c r="C484" s="4"/>
      <c r="D484" s="4"/>
      <c r="E484" s="4"/>
      <c r="I484" s="135"/>
      <c r="J484" s="135"/>
      <c r="K484" s="135"/>
      <c r="L484" s="135"/>
    </row>
    <row r="485" spans="2:12" ht="12" customHeight="1" x14ac:dyDescent="0.15">
      <c r="B485" s="2"/>
      <c r="C485" s="4"/>
      <c r="D485" s="4"/>
      <c r="E485" s="4"/>
      <c r="I485" s="135"/>
      <c r="J485" s="135"/>
      <c r="K485" s="135"/>
      <c r="L485" s="135"/>
    </row>
    <row r="486" spans="2:12" ht="12" customHeight="1" x14ac:dyDescent="0.15">
      <c r="B486" s="2"/>
      <c r="C486" s="4"/>
      <c r="D486" s="4"/>
      <c r="E486" s="4"/>
      <c r="I486" s="135"/>
      <c r="J486" s="135"/>
      <c r="K486" s="135"/>
      <c r="L486" s="135"/>
    </row>
    <row r="487" spans="2:12" ht="12" customHeight="1" x14ac:dyDescent="0.15">
      <c r="B487" s="2"/>
      <c r="C487" s="4"/>
      <c r="D487" s="4"/>
      <c r="E487" s="4"/>
      <c r="I487" s="135"/>
      <c r="J487" s="135"/>
      <c r="K487" s="135"/>
      <c r="L487" s="135"/>
    </row>
    <row r="488" spans="2:12" ht="12" customHeight="1" x14ac:dyDescent="0.15">
      <c r="B488" s="2"/>
      <c r="C488" s="4"/>
      <c r="D488" s="4"/>
      <c r="E488" s="4"/>
      <c r="I488" s="135"/>
      <c r="J488" s="135"/>
      <c r="K488" s="135"/>
      <c r="L488" s="135"/>
    </row>
    <row r="489" spans="2:12" ht="12" customHeight="1" x14ac:dyDescent="0.15">
      <c r="B489" s="2"/>
      <c r="C489" s="4"/>
      <c r="D489" s="4"/>
      <c r="E489" s="4"/>
      <c r="I489" s="135"/>
      <c r="J489" s="135"/>
      <c r="K489" s="135"/>
      <c r="L489" s="135"/>
    </row>
    <row r="490" spans="2:12" ht="12" customHeight="1" x14ac:dyDescent="0.15">
      <c r="B490" s="2"/>
      <c r="C490" s="4"/>
      <c r="D490" s="4"/>
      <c r="E490" s="4"/>
      <c r="I490" s="135"/>
      <c r="J490" s="135"/>
      <c r="K490" s="135"/>
      <c r="L490" s="135"/>
    </row>
    <row r="491" spans="2:12" ht="12" customHeight="1" x14ac:dyDescent="0.15">
      <c r="B491" s="2"/>
      <c r="C491" s="4"/>
      <c r="D491" s="4"/>
      <c r="E491" s="4"/>
      <c r="I491" s="135"/>
      <c r="J491" s="135"/>
      <c r="K491" s="135"/>
      <c r="L491" s="135"/>
    </row>
    <row r="492" spans="2:12" ht="12" customHeight="1" x14ac:dyDescent="0.15">
      <c r="B492" s="2"/>
      <c r="C492" s="4"/>
      <c r="D492" s="4"/>
      <c r="E492" s="4"/>
      <c r="I492" s="135"/>
      <c r="J492" s="135"/>
      <c r="K492" s="135"/>
      <c r="L492" s="135"/>
    </row>
    <row r="493" spans="2:12" ht="12" customHeight="1" x14ac:dyDescent="0.15">
      <c r="B493" s="2"/>
      <c r="C493" s="4"/>
      <c r="D493" s="4"/>
      <c r="E493" s="4"/>
      <c r="I493" s="135"/>
      <c r="J493" s="135"/>
      <c r="K493" s="135"/>
      <c r="L493" s="135"/>
    </row>
    <row r="494" spans="2:12" ht="12" customHeight="1" x14ac:dyDescent="0.15">
      <c r="B494" s="2"/>
      <c r="C494" s="4"/>
      <c r="D494" s="4"/>
      <c r="E494" s="4"/>
      <c r="I494" s="135"/>
      <c r="J494" s="135"/>
      <c r="K494" s="135"/>
      <c r="L494" s="135"/>
    </row>
    <row r="495" spans="2:12" ht="12" customHeight="1" x14ac:dyDescent="0.15">
      <c r="B495" s="2"/>
      <c r="C495" s="4"/>
      <c r="D495" s="4"/>
      <c r="E495" s="4"/>
      <c r="I495" s="135"/>
      <c r="J495" s="135"/>
      <c r="K495" s="135"/>
      <c r="L495" s="135"/>
    </row>
    <row r="496" spans="2:12" ht="12" customHeight="1" x14ac:dyDescent="0.15">
      <c r="B496" s="2"/>
      <c r="C496" s="4"/>
      <c r="D496" s="4"/>
      <c r="E496" s="4"/>
      <c r="I496" s="135"/>
      <c r="J496" s="135"/>
      <c r="K496" s="135"/>
      <c r="L496" s="135"/>
    </row>
    <row r="497" spans="2:12" ht="12" customHeight="1" x14ac:dyDescent="0.15">
      <c r="B497" s="2"/>
      <c r="C497" s="4"/>
      <c r="D497" s="4"/>
      <c r="E497" s="4"/>
      <c r="I497" s="135"/>
      <c r="J497" s="135"/>
      <c r="K497" s="135"/>
      <c r="L497" s="135"/>
    </row>
    <row r="498" spans="2:12" ht="12" customHeight="1" x14ac:dyDescent="0.15">
      <c r="B498" s="2"/>
      <c r="C498" s="4"/>
      <c r="D498" s="4"/>
      <c r="E498" s="4"/>
      <c r="I498" s="135"/>
      <c r="J498" s="135"/>
      <c r="K498" s="135"/>
      <c r="L498" s="135"/>
    </row>
    <row r="499" spans="2:12" ht="12" customHeight="1" x14ac:dyDescent="0.15">
      <c r="B499" s="2"/>
      <c r="C499" s="4"/>
      <c r="D499" s="4"/>
      <c r="E499" s="4"/>
      <c r="I499" s="135"/>
      <c r="J499" s="135"/>
      <c r="K499" s="135"/>
      <c r="L499" s="135"/>
    </row>
    <row r="500" spans="2:12" ht="12" customHeight="1" x14ac:dyDescent="0.15">
      <c r="B500" s="2"/>
      <c r="C500" s="4"/>
      <c r="D500" s="4"/>
      <c r="E500" s="4"/>
      <c r="I500" s="135"/>
      <c r="J500" s="135"/>
      <c r="K500" s="135"/>
      <c r="L500" s="135"/>
    </row>
    <row r="501" spans="2:12" ht="12" customHeight="1" x14ac:dyDescent="0.15">
      <c r="B501" s="2"/>
      <c r="C501" s="4"/>
      <c r="D501" s="4"/>
      <c r="E501" s="4"/>
      <c r="I501" s="135"/>
      <c r="J501" s="135"/>
      <c r="K501" s="135"/>
      <c r="L501" s="135"/>
    </row>
    <row r="502" spans="2:12" ht="12" customHeight="1" x14ac:dyDescent="0.15">
      <c r="B502" s="2"/>
      <c r="C502" s="4"/>
      <c r="D502" s="4"/>
      <c r="E502" s="4"/>
      <c r="I502" s="135"/>
      <c r="J502" s="135"/>
      <c r="K502" s="135"/>
      <c r="L502" s="135"/>
    </row>
    <row r="503" spans="2:12" ht="12" customHeight="1" x14ac:dyDescent="0.15">
      <c r="B503" s="2"/>
      <c r="C503" s="4"/>
      <c r="D503" s="4"/>
      <c r="E503" s="4"/>
      <c r="I503" s="135"/>
      <c r="J503" s="135"/>
      <c r="K503" s="135"/>
      <c r="L503" s="135"/>
    </row>
    <row r="504" spans="2:12" ht="12" customHeight="1" x14ac:dyDescent="0.15">
      <c r="B504" s="2"/>
      <c r="C504" s="4"/>
      <c r="D504" s="4"/>
      <c r="E504" s="4"/>
      <c r="I504" s="135"/>
      <c r="J504" s="135"/>
      <c r="K504" s="135"/>
      <c r="L504" s="135"/>
    </row>
    <row r="505" spans="2:12" ht="12" customHeight="1" x14ac:dyDescent="0.15">
      <c r="B505" s="2"/>
      <c r="C505" s="4"/>
      <c r="D505" s="4"/>
      <c r="E505" s="4"/>
      <c r="I505" s="135"/>
      <c r="J505" s="135"/>
      <c r="K505" s="135"/>
      <c r="L505" s="135"/>
    </row>
    <row r="506" spans="2:12" ht="12" customHeight="1" x14ac:dyDescent="0.15">
      <c r="B506" s="2"/>
      <c r="C506" s="4"/>
      <c r="D506" s="4"/>
      <c r="E506" s="4"/>
      <c r="I506" s="135"/>
      <c r="J506" s="135"/>
      <c r="K506" s="135"/>
      <c r="L506" s="135"/>
    </row>
    <row r="507" spans="2:12" ht="12" customHeight="1" x14ac:dyDescent="0.15">
      <c r="B507" s="2"/>
      <c r="C507" s="4"/>
      <c r="D507" s="4"/>
      <c r="E507" s="4"/>
      <c r="I507" s="135"/>
      <c r="J507" s="135"/>
      <c r="K507" s="135"/>
      <c r="L507" s="135"/>
    </row>
    <row r="508" spans="2:12" ht="12" customHeight="1" x14ac:dyDescent="0.15">
      <c r="B508" s="2"/>
      <c r="C508" s="4"/>
      <c r="D508" s="4"/>
      <c r="E508" s="4"/>
      <c r="I508" s="135"/>
      <c r="J508" s="135"/>
      <c r="K508" s="135"/>
      <c r="L508" s="135"/>
    </row>
    <row r="509" spans="2:12" ht="12" customHeight="1" x14ac:dyDescent="0.15">
      <c r="B509" s="2"/>
      <c r="C509" s="4"/>
      <c r="D509" s="4"/>
      <c r="E509" s="4"/>
      <c r="I509" s="135"/>
      <c r="J509" s="135"/>
      <c r="K509" s="135"/>
      <c r="L509" s="135"/>
    </row>
    <row r="510" spans="2:12" ht="12" customHeight="1" x14ac:dyDescent="0.15">
      <c r="B510" s="2"/>
      <c r="C510" s="4"/>
      <c r="D510" s="4"/>
      <c r="E510" s="4"/>
      <c r="I510" s="135"/>
      <c r="J510" s="135"/>
      <c r="K510" s="135"/>
      <c r="L510" s="135"/>
    </row>
    <row r="511" spans="2:12" ht="12" customHeight="1" x14ac:dyDescent="0.15">
      <c r="B511" s="2"/>
      <c r="C511" s="4"/>
      <c r="D511" s="4"/>
      <c r="E511" s="4"/>
      <c r="I511" s="135"/>
      <c r="J511" s="135"/>
      <c r="K511" s="135"/>
      <c r="L511" s="135"/>
    </row>
    <row r="512" spans="2:12" ht="12" customHeight="1" x14ac:dyDescent="0.15">
      <c r="B512" s="2"/>
      <c r="C512" s="4"/>
      <c r="D512" s="4"/>
      <c r="E512" s="4"/>
      <c r="I512" s="135"/>
      <c r="J512" s="135"/>
      <c r="K512" s="135"/>
      <c r="L512" s="135"/>
    </row>
    <row r="513" spans="2:12" ht="12" customHeight="1" x14ac:dyDescent="0.15">
      <c r="B513" s="2"/>
      <c r="C513" s="4"/>
      <c r="D513" s="4"/>
      <c r="E513" s="4"/>
      <c r="I513" s="135"/>
      <c r="J513" s="135"/>
      <c r="K513" s="135"/>
      <c r="L513" s="135"/>
    </row>
    <row r="514" spans="2:12" ht="12" customHeight="1" x14ac:dyDescent="0.15">
      <c r="B514" s="2"/>
      <c r="C514" s="4"/>
      <c r="D514" s="4"/>
      <c r="E514" s="4"/>
      <c r="I514" s="135"/>
      <c r="J514" s="135"/>
      <c r="K514" s="135"/>
      <c r="L514" s="135"/>
    </row>
    <row r="515" spans="2:12" ht="12" customHeight="1" x14ac:dyDescent="0.15">
      <c r="B515" s="2"/>
      <c r="C515" s="4"/>
      <c r="D515" s="4"/>
      <c r="E515" s="4"/>
      <c r="I515" s="135"/>
      <c r="J515" s="135"/>
      <c r="K515" s="135"/>
      <c r="L515" s="135"/>
    </row>
    <row r="516" spans="2:12" ht="12" customHeight="1" x14ac:dyDescent="0.15">
      <c r="B516" s="2"/>
      <c r="C516" s="4"/>
      <c r="D516" s="4"/>
      <c r="E516" s="4"/>
      <c r="I516" s="135"/>
      <c r="J516" s="135"/>
      <c r="K516" s="135"/>
      <c r="L516" s="135"/>
    </row>
    <row r="517" spans="2:12" ht="12" customHeight="1" x14ac:dyDescent="0.15">
      <c r="B517" s="2"/>
      <c r="C517" s="4"/>
      <c r="D517" s="4"/>
      <c r="E517" s="4"/>
      <c r="I517" s="135"/>
      <c r="J517" s="135"/>
      <c r="K517" s="135"/>
      <c r="L517" s="135"/>
    </row>
    <row r="518" spans="2:12" ht="12" customHeight="1" x14ac:dyDescent="0.15">
      <c r="B518" s="2"/>
      <c r="C518" s="4"/>
      <c r="D518" s="4"/>
      <c r="E518" s="4"/>
      <c r="I518" s="135"/>
      <c r="J518" s="135"/>
      <c r="K518" s="135"/>
      <c r="L518" s="135"/>
    </row>
    <row r="519" spans="2:12" ht="12" customHeight="1" x14ac:dyDescent="0.15">
      <c r="B519" s="2"/>
      <c r="C519" s="4"/>
      <c r="D519" s="4"/>
      <c r="E519" s="4"/>
      <c r="I519" s="135"/>
      <c r="J519" s="135"/>
      <c r="K519" s="135"/>
      <c r="L519" s="135"/>
    </row>
    <row r="520" spans="2:12" ht="12" customHeight="1" x14ac:dyDescent="0.15">
      <c r="B520" s="2"/>
      <c r="C520" s="4"/>
      <c r="D520" s="4"/>
      <c r="E520" s="4"/>
      <c r="I520" s="135"/>
      <c r="J520" s="135"/>
      <c r="K520" s="135"/>
      <c r="L520" s="135"/>
    </row>
    <row r="521" spans="2:12" ht="12" customHeight="1" x14ac:dyDescent="0.15">
      <c r="B521" s="2"/>
      <c r="C521" s="4"/>
      <c r="D521" s="4"/>
      <c r="E521" s="4"/>
      <c r="I521" s="135"/>
      <c r="J521" s="135"/>
      <c r="K521" s="135"/>
      <c r="L521" s="135"/>
    </row>
    <row r="522" spans="2:12" ht="12" customHeight="1" x14ac:dyDescent="0.15">
      <c r="B522" s="2"/>
      <c r="C522" s="4"/>
      <c r="D522" s="4"/>
      <c r="E522" s="4"/>
      <c r="I522" s="135"/>
      <c r="J522" s="135"/>
      <c r="K522" s="135"/>
      <c r="L522" s="135"/>
    </row>
    <row r="523" spans="2:12" ht="12" customHeight="1" x14ac:dyDescent="0.15">
      <c r="B523" s="2"/>
      <c r="C523" s="4"/>
      <c r="D523" s="4"/>
      <c r="E523" s="4"/>
      <c r="I523" s="135"/>
      <c r="J523" s="135"/>
      <c r="K523" s="135"/>
      <c r="L523" s="135"/>
    </row>
    <row r="524" spans="2:12" ht="12" customHeight="1" x14ac:dyDescent="0.15">
      <c r="B524" s="2"/>
      <c r="C524" s="4"/>
      <c r="D524" s="4"/>
      <c r="E524" s="4"/>
      <c r="I524" s="135"/>
      <c r="J524" s="135"/>
      <c r="K524" s="135"/>
      <c r="L524" s="135"/>
    </row>
    <row r="525" spans="2:12" ht="12" customHeight="1" x14ac:dyDescent="0.15">
      <c r="B525" s="2"/>
      <c r="C525" s="4"/>
      <c r="D525" s="4"/>
      <c r="E525" s="4"/>
      <c r="I525" s="135"/>
      <c r="J525" s="135"/>
      <c r="K525" s="135"/>
      <c r="L525" s="135"/>
    </row>
    <row r="526" spans="2:12" ht="12" customHeight="1" x14ac:dyDescent="0.15">
      <c r="B526" s="2"/>
      <c r="C526" s="4"/>
      <c r="D526" s="4"/>
      <c r="E526" s="4"/>
      <c r="I526" s="135"/>
      <c r="J526" s="135"/>
      <c r="K526" s="135"/>
      <c r="L526" s="135"/>
    </row>
    <row r="527" spans="2:12" ht="12" customHeight="1" x14ac:dyDescent="0.15">
      <c r="B527" s="2"/>
      <c r="C527" s="4"/>
      <c r="D527" s="4"/>
      <c r="E527" s="4"/>
      <c r="I527" s="135"/>
      <c r="J527" s="135"/>
      <c r="K527" s="135"/>
      <c r="L527" s="135"/>
    </row>
    <row r="528" spans="2:12" ht="12" customHeight="1" x14ac:dyDescent="0.15">
      <c r="B528" s="2"/>
      <c r="C528" s="4"/>
      <c r="D528" s="4"/>
      <c r="E528" s="4"/>
      <c r="I528" s="135"/>
      <c r="J528" s="135"/>
      <c r="K528" s="135"/>
      <c r="L528" s="135"/>
    </row>
    <row r="529" spans="2:12" ht="12" customHeight="1" x14ac:dyDescent="0.15">
      <c r="B529" s="2"/>
      <c r="C529" s="4"/>
      <c r="D529" s="4"/>
      <c r="E529" s="4"/>
      <c r="I529" s="135"/>
      <c r="J529" s="135"/>
      <c r="K529" s="135"/>
      <c r="L529" s="135"/>
    </row>
    <row r="530" spans="2:12" ht="12" customHeight="1" x14ac:dyDescent="0.15">
      <c r="B530" s="2"/>
      <c r="C530" s="4"/>
      <c r="D530" s="4"/>
      <c r="E530" s="4"/>
      <c r="I530" s="135"/>
      <c r="J530" s="135"/>
      <c r="K530" s="135"/>
      <c r="L530" s="135"/>
    </row>
    <row r="531" spans="2:12" ht="12" customHeight="1" x14ac:dyDescent="0.15">
      <c r="B531" s="2"/>
      <c r="C531" s="4"/>
      <c r="D531" s="4"/>
      <c r="E531" s="4"/>
      <c r="I531" s="135"/>
      <c r="J531" s="135"/>
      <c r="K531" s="135"/>
      <c r="L531" s="135"/>
    </row>
    <row r="532" spans="2:12" ht="12" customHeight="1" x14ac:dyDescent="0.15">
      <c r="B532" s="2"/>
      <c r="C532" s="4"/>
      <c r="D532" s="4"/>
      <c r="E532" s="4"/>
      <c r="I532" s="135"/>
      <c r="J532" s="135"/>
      <c r="K532" s="135"/>
      <c r="L532" s="135"/>
    </row>
    <row r="533" spans="2:12" ht="12" customHeight="1" x14ac:dyDescent="0.15">
      <c r="B533" s="2"/>
      <c r="C533" s="4"/>
      <c r="D533" s="4"/>
      <c r="E533" s="4"/>
      <c r="I533" s="135"/>
      <c r="J533" s="135"/>
      <c r="K533" s="135"/>
      <c r="L533" s="135"/>
    </row>
    <row r="534" spans="2:12" ht="12" customHeight="1" x14ac:dyDescent="0.15">
      <c r="B534" s="2"/>
      <c r="C534" s="4"/>
      <c r="D534" s="4"/>
      <c r="E534" s="4"/>
      <c r="I534" s="135"/>
      <c r="J534" s="135"/>
      <c r="K534" s="135"/>
      <c r="L534" s="135"/>
    </row>
    <row r="535" spans="2:12" ht="12" customHeight="1" x14ac:dyDescent="0.15">
      <c r="B535" s="2"/>
      <c r="C535" s="4"/>
      <c r="D535" s="4"/>
      <c r="E535" s="4"/>
      <c r="I535" s="135"/>
      <c r="J535" s="135"/>
      <c r="K535" s="135"/>
      <c r="L535" s="135"/>
    </row>
    <row r="536" spans="2:12" ht="12" customHeight="1" x14ac:dyDescent="0.15">
      <c r="B536" s="2"/>
      <c r="C536" s="4"/>
      <c r="D536" s="4"/>
      <c r="E536" s="4"/>
      <c r="I536" s="135"/>
      <c r="J536" s="135"/>
      <c r="K536" s="135"/>
      <c r="L536" s="135"/>
    </row>
    <row r="537" spans="2:12" ht="12" customHeight="1" x14ac:dyDescent="0.15">
      <c r="B537" s="2"/>
      <c r="C537" s="4"/>
      <c r="D537" s="4"/>
      <c r="E537" s="4"/>
      <c r="I537" s="135"/>
      <c r="J537" s="135"/>
      <c r="K537" s="135"/>
      <c r="L537" s="135"/>
    </row>
    <row r="538" spans="2:12" ht="12" customHeight="1" x14ac:dyDescent="0.15">
      <c r="B538" s="2"/>
      <c r="C538" s="4"/>
      <c r="D538" s="4"/>
      <c r="E538" s="4"/>
      <c r="I538" s="135"/>
      <c r="J538" s="135"/>
      <c r="K538" s="135"/>
      <c r="L538" s="135"/>
    </row>
    <row r="539" spans="2:12" ht="12" customHeight="1" x14ac:dyDescent="0.15">
      <c r="B539" s="2"/>
      <c r="C539" s="4"/>
      <c r="D539" s="4"/>
      <c r="E539" s="4"/>
      <c r="I539" s="135"/>
      <c r="J539" s="135"/>
      <c r="K539" s="135"/>
      <c r="L539" s="135"/>
    </row>
    <row r="540" spans="2:12" ht="12" customHeight="1" x14ac:dyDescent="0.15">
      <c r="B540" s="2"/>
      <c r="C540" s="4"/>
      <c r="D540" s="4"/>
      <c r="E540" s="4"/>
      <c r="I540" s="135"/>
      <c r="J540" s="135"/>
      <c r="K540" s="135"/>
      <c r="L540" s="135"/>
    </row>
    <row r="541" spans="2:12" ht="12" customHeight="1" x14ac:dyDescent="0.15">
      <c r="B541" s="2"/>
      <c r="C541" s="4"/>
      <c r="D541" s="4"/>
      <c r="E541" s="4"/>
      <c r="I541" s="135"/>
      <c r="J541" s="135"/>
      <c r="K541" s="135"/>
      <c r="L541" s="135"/>
    </row>
    <row r="542" spans="2:12" ht="12" customHeight="1" x14ac:dyDescent="0.15">
      <c r="B542" s="2"/>
      <c r="C542" s="4"/>
      <c r="D542" s="4"/>
      <c r="E542" s="4"/>
      <c r="I542" s="135"/>
      <c r="J542" s="135"/>
      <c r="K542" s="135"/>
      <c r="L542" s="135"/>
    </row>
    <row r="543" spans="2:12" ht="12" customHeight="1" x14ac:dyDescent="0.15">
      <c r="B543" s="2"/>
      <c r="C543" s="4"/>
      <c r="D543" s="4"/>
      <c r="E543" s="4"/>
      <c r="I543" s="135"/>
      <c r="J543" s="135"/>
      <c r="K543" s="135"/>
      <c r="L543" s="135"/>
    </row>
    <row r="544" spans="2:12" ht="12" customHeight="1" x14ac:dyDescent="0.15">
      <c r="B544" s="2"/>
      <c r="C544" s="4"/>
      <c r="D544" s="4"/>
      <c r="E544" s="4"/>
      <c r="I544" s="135"/>
      <c r="J544" s="135"/>
      <c r="K544" s="135"/>
      <c r="L544" s="135"/>
    </row>
    <row r="545" spans="2:12" ht="12" customHeight="1" x14ac:dyDescent="0.15">
      <c r="B545" s="2"/>
      <c r="C545" s="4"/>
      <c r="D545" s="4"/>
      <c r="E545" s="4"/>
      <c r="I545" s="135"/>
      <c r="J545" s="135"/>
      <c r="K545" s="135"/>
      <c r="L545" s="135"/>
    </row>
    <row r="546" spans="2:12" ht="12" customHeight="1" x14ac:dyDescent="0.15">
      <c r="B546" s="2"/>
      <c r="C546" s="4"/>
      <c r="D546" s="4"/>
      <c r="E546" s="4"/>
      <c r="I546" s="135"/>
      <c r="J546" s="135"/>
      <c r="K546" s="135"/>
      <c r="L546" s="135"/>
    </row>
    <row r="547" spans="2:12" ht="12" customHeight="1" x14ac:dyDescent="0.15">
      <c r="B547" s="2"/>
      <c r="C547" s="4"/>
      <c r="D547" s="4"/>
      <c r="E547" s="4"/>
      <c r="I547" s="135"/>
      <c r="J547" s="135"/>
      <c r="K547" s="135"/>
      <c r="L547" s="135"/>
    </row>
    <row r="548" spans="2:12" ht="12" customHeight="1" x14ac:dyDescent="0.15">
      <c r="B548" s="2"/>
      <c r="C548" s="4"/>
      <c r="D548" s="4"/>
      <c r="E548" s="4"/>
      <c r="I548" s="135"/>
      <c r="J548" s="135"/>
      <c r="K548" s="135"/>
      <c r="L548" s="135"/>
    </row>
    <row r="549" spans="2:12" ht="12" customHeight="1" x14ac:dyDescent="0.15">
      <c r="B549" s="2"/>
      <c r="C549" s="4"/>
      <c r="D549" s="4"/>
      <c r="E549" s="4"/>
      <c r="I549" s="135"/>
      <c r="J549" s="135"/>
      <c r="K549" s="135"/>
      <c r="L549" s="135"/>
    </row>
    <row r="550" spans="2:12" ht="12" customHeight="1" x14ac:dyDescent="0.15">
      <c r="B550" s="2"/>
      <c r="C550" s="4"/>
      <c r="D550" s="4"/>
      <c r="E550" s="4"/>
      <c r="I550" s="135"/>
      <c r="J550" s="135"/>
      <c r="K550" s="135"/>
      <c r="L550" s="135"/>
    </row>
    <row r="551" spans="2:12" ht="12" customHeight="1" x14ac:dyDescent="0.15">
      <c r="B551" s="2"/>
      <c r="C551" s="4"/>
      <c r="D551" s="4"/>
      <c r="E551" s="4"/>
      <c r="I551" s="135"/>
      <c r="J551" s="135"/>
      <c r="K551" s="135"/>
      <c r="L551" s="135"/>
    </row>
    <row r="552" spans="2:12" ht="12" customHeight="1" x14ac:dyDescent="0.15">
      <c r="B552" s="2"/>
      <c r="C552" s="4"/>
      <c r="D552" s="4"/>
      <c r="E552" s="4"/>
      <c r="I552" s="135"/>
      <c r="J552" s="135"/>
      <c r="K552" s="135"/>
      <c r="L552" s="135"/>
    </row>
    <row r="553" spans="2:12" ht="12" customHeight="1" x14ac:dyDescent="0.15">
      <c r="B553" s="2"/>
      <c r="C553" s="4"/>
      <c r="D553" s="4"/>
      <c r="E553" s="4"/>
      <c r="I553" s="135"/>
      <c r="J553" s="135"/>
      <c r="K553" s="135"/>
      <c r="L553" s="135"/>
    </row>
    <row r="554" spans="2:12" ht="12" customHeight="1" x14ac:dyDescent="0.15">
      <c r="B554" s="2"/>
      <c r="C554" s="4"/>
      <c r="D554" s="4"/>
      <c r="E554" s="4"/>
      <c r="I554" s="135"/>
      <c r="J554" s="135"/>
      <c r="K554" s="135"/>
      <c r="L554" s="135"/>
    </row>
    <row r="555" spans="2:12" ht="12" customHeight="1" x14ac:dyDescent="0.15">
      <c r="B555" s="2"/>
      <c r="C555" s="4"/>
      <c r="D555" s="4"/>
      <c r="E555" s="4"/>
      <c r="I555" s="135"/>
      <c r="J555" s="135"/>
      <c r="K555" s="135"/>
      <c r="L555" s="135"/>
    </row>
    <row r="556" spans="2:12" ht="12" customHeight="1" x14ac:dyDescent="0.15">
      <c r="B556" s="2"/>
      <c r="C556" s="4"/>
      <c r="D556" s="4"/>
      <c r="E556" s="4"/>
      <c r="I556" s="135"/>
      <c r="J556" s="135"/>
      <c r="K556" s="135"/>
      <c r="L556" s="135"/>
    </row>
    <row r="557" spans="2:12" ht="12" customHeight="1" x14ac:dyDescent="0.15">
      <c r="B557" s="2"/>
      <c r="C557" s="4"/>
      <c r="D557" s="4"/>
      <c r="E557" s="4"/>
      <c r="I557" s="135"/>
      <c r="J557" s="135"/>
      <c r="K557" s="135"/>
      <c r="L557" s="135"/>
    </row>
    <row r="558" spans="2:12" ht="12" customHeight="1" x14ac:dyDescent="0.15">
      <c r="B558" s="2"/>
      <c r="C558" s="4"/>
      <c r="D558" s="4"/>
      <c r="E558" s="4"/>
      <c r="I558" s="135"/>
      <c r="J558" s="135"/>
      <c r="K558" s="135"/>
      <c r="L558" s="135"/>
    </row>
    <row r="559" spans="2:12" ht="12" customHeight="1" x14ac:dyDescent="0.15">
      <c r="B559" s="2"/>
      <c r="C559" s="4"/>
      <c r="D559" s="4"/>
      <c r="E559" s="4"/>
      <c r="I559" s="135"/>
      <c r="J559" s="135"/>
      <c r="K559" s="135"/>
      <c r="L559" s="135"/>
    </row>
    <row r="560" spans="2:12" ht="12" customHeight="1" x14ac:dyDescent="0.15">
      <c r="B560" s="2"/>
      <c r="C560" s="4"/>
      <c r="D560" s="4"/>
      <c r="E560" s="4"/>
      <c r="I560" s="135"/>
      <c r="J560" s="135"/>
      <c r="K560" s="135"/>
      <c r="L560" s="135"/>
    </row>
    <row r="561" spans="2:12" ht="12" customHeight="1" x14ac:dyDescent="0.15">
      <c r="B561" s="2"/>
      <c r="C561" s="4"/>
      <c r="D561" s="4"/>
      <c r="E561" s="4"/>
      <c r="I561" s="135"/>
      <c r="J561" s="135"/>
      <c r="K561" s="135"/>
      <c r="L561" s="135"/>
    </row>
    <row r="562" spans="2:12" ht="12" customHeight="1" x14ac:dyDescent="0.15">
      <c r="B562" s="2"/>
      <c r="C562" s="4"/>
      <c r="D562" s="4"/>
      <c r="E562" s="4"/>
      <c r="I562" s="135"/>
      <c r="J562" s="135"/>
      <c r="K562" s="135"/>
      <c r="L562" s="135"/>
    </row>
    <row r="563" spans="2:12" ht="12" customHeight="1" x14ac:dyDescent="0.15">
      <c r="B563" s="2"/>
      <c r="C563" s="4"/>
      <c r="D563" s="4"/>
      <c r="E563" s="4"/>
      <c r="I563" s="135"/>
      <c r="J563" s="135"/>
      <c r="K563" s="135"/>
      <c r="L563" s="135"/>
    </row>
    <row r="564" spans="2:12" ht="12" customHeight="1" x14ac:dyDescent="0.15">
      <c r="B564" s="2"/>
      <c r="C564" s="4"/>
      <c r="D564" s="4"/>
      <c r="E564" s="4"/>
      <c r="I564" s="135"/>
      <c r="J564" s="135"/>
      <c r="K564" s="135"/>
      <c r="L564" s="135"/>
    </row>
    <row r="565" spans="2:12" ht="12" customHeight="1" x14ac:dyDescent="0.15">
      <c r="B565" s="2"/>
      <c r="C565" s="4"/>
      <c r="D565" s="4"/>
      <c r="E565" s="4"/>
      <c r="I565" s="135"/>
      <c r="J565" s="135"/>
      <c r="K565" s="135"/>
      <c r="L565" s="135"/>
    </row>
    <row r="566" spans="2:12" ht="12" customHeight="1" x14ac:dyDescent="0.15">
      <c r="B566" s="2"/>
      <c r="C566" s="4"/>
      <c r="D566" s="4"/>
      <c r="E566" s="4"/>
      <c r="I566" s="135"/>
      <c r="J566" s="135"/>
      <c r="K566" s="135"/>
      <c r="L566" s="135"/>
    </row>
    <row r="567" spans="2:12" ht="12" customHeight="1" x14ac:dyDescent="0.15">
      <c r="B567" s="2"/>
      <c r="C567" s="4"/>
      <c r="D567" s="4"/>
      <c r="E567" s="4"/>
      <c r="I567" s="135"/>
      <c r="J567" s="135"/>
      <c r="K567" s="135"/>
      <c r="L567" s="135"/>
    </row>
    <row r="568" spans="2:12" ht="12" customHeight="1" x14ac:dyDescent="0.15">
      <c r="B568" s="2"/>
      <c r="C568" s="4"/>
      <c r="D568" s="4"/>
      <c r="E568" s="4"/>
      <c r="I568" s="135"/>
      <c r="J568" s="135"/>
      <c r="K568" s="135"/>
      <c r="L568" s="135"/>
    </row>
    <row r="569" spans="2:12" ht="12" customHeight="1" x14ac:dyDescent="0.15">
      <c r="B569" s="2"/>
      <c r="C569" s="4"/>
      <c r="D569" s="4"/>
      <c r="E569" s="4"/>
      <c r="I569" s="135"/>
      <c r="J569" s="135"/>
      <c r="K569" s="135"/>
      <c r="L569" s="135"/>
    </row>
    <row r="570" spans="2:12" ht="12" customHeight="1" x14ac:dyDescent="0.15">
      <c r="B570" s="2"/>
      <c r="C570" s="4"/>
      <c r="D570" s="4"/>
      <c r="E570" s="4"/>
      <c r="I570" s="135"/>
      <c r="J570" s="135"/>
      <c r="K570" s="135"/>
      <c r="L570" s="135"/>
    </row>
    <row r="571" spans="2:12" ht="12" customHeight="1" x14ac:dyDescent="0.15">
      <c r="B571" s="2"/>
      <c r="C571" s="4"/>
      <c r="D571" s="4"/>
      <c r="E571" s="4"/>
      <c r="I571" s="135"/>
      <c r="J571" s="135"/>
      <c r="K571" s="135"/>
      <c r="L571" s="135"/>
    </row>
    <row r="572" spans="2:12" ht="12" customHeight="1" x14ac:dyDescent="0.15">
      <c r="B572" s="2"/>
      <c r="C572" s="4"/>
      <c r="D572" s="4"/>
      <c r="E572" s="4"/>
      <c r="I572" s="135"/>
      <c r="J572" s="135"/>
      <c r="K572" s="135"/>
      <c r="L572" s="135"/>
    </row>
    <row r="573" spans="2:12" ht="12" customHeight="1" x14ac:dyDescent="0.15">
      <c r="B573" s="2"/>
      <c r="C573" s="4"/>
      <c r="D573" s="4"/>
      <c r="E573" s="4"/>
      <c r="I573" s="135"/>
      <c r="J573" s="135"/>
      <c r="K573" s="135"/>
      <c r="L573" s="135"/>
    </row>
    <row r="574" spans="2:12" ht="12" customHeight="1" x14ac:dyDescent="0.15">
      <c r="B574" s="2"/>
      <c r="C574" s="4"/>
      <c r="D574" s="4"/>
      <c r="E574" s="4"/>
      <c r="I574" s="135"/>
      <c r="J574" s="135"/>
      <c r="K574" s="135"/>
      <c r="L574" s="135"/>
    </row>
    <row r="575" spans="2:12" ht="12" customHeight="1" x14ac:dyDescent="0.15">
      <c r="B575" s="2"/>
      <c r="C575" s="4"/>
      <c r="D575" s="4"/>
      <c r="E575" s="4"/>
      <c r="I575" s="135"/>
      <c r="J575" s="135"/>
      <c r="K575" s="135"/>
      <c r="L575" s="135"/>
    </row>
    <row r="576" spans="2:12" ht="12" customHeight="1" x14ac:dyDescent="0.15">
      <c r="B576" s="2"/>
      <c r="C576" s="4"/>
      <c r="D576" s="4"/>
      <c r="E576" s="4"/>
      <c r="I576" s="135"/>
      <c r="J576" s="135"/>
      <c r="K576" s="135"/>
      <c r="L576" s="135"/>
    </row>
    <row r="577" spans="2:12" ht="12" customHeight="1" x14ac:dyDescent="0.15">
      <c r="B577" s="2"/>
      <c r="C577" s="4"/>
      <c r="D577" s="4"/>
      <c r="E577" s="4"/>
      <c r="I577" s="135"/>
      <c r="J577" s="135"/>
      <c r="K577" s="135"/>
      <c r="L577" s="135"/>
    </row>
    <row r="578" spans="2:12" ht="12" customHeight="1" x14ac:dyDescent="0.15">
      <c r="B578" s="2"/>
      <c r="C578" s="4"/>
      <c r="D578" s="4"/>
      <c r="E578" s="4"/>
      <c r="I578" s="135"/>
      <c r="J578" s="135"/>
      <c r="K578" s="135"/>
      <c r="L578" s="135"/>
    </row>
    <row r="579" spans="2:12" ht="12" customHeight="1" x14ac:dyDescent="0.15">
      <c r="B579" s="2"/>
      <c r="C579" s="4"/>
      <c r="D579" s="4"/>
      <c r="E579" s="4"/>
      <c r="I579" s="135"/>
      <c r="J579" s="135"/>
      <c r="K579" s="135"/>
      <c r="L579" s="135"/>
    </row>
    <row r="580" spans="2:12" ht="12" customHeight="1" x14ac:dyDescent="0.15">
      <c r="B580" s="2"/>
      <c r="C580" s="4"/>
      <c r="D580" s="4"/>
      <c r="E580" s="4"/>
      <c r="I580" s="135"/>
      <c r="J580" s="135"/>
      <c r="K580" s="135"/>
      <c r="L580" s="135"/>
    </row>
    <row r="581" spans="2:12" ht="12" customHeight="1" x14ac:dyDescent="0.15">
      <c r="B581" s="2"/>
      <c r="C581" s="4"/>
      <c r="D581" s="4"/>
      <c r="E581" s="4"/>
      <c r="I581" s="135"/>
      <c r="J581" s="135"/>
      <c r="K581" s="135"/>
      <c r="L581" s="135"/>
    </row>
    <row r="582" spans="2:12" ht="12" customHeight="1" x14ac:dyDescent="0.15">
      <c r="B582" s="2"/>
      <c r="C582" s="4"/>
      <c r="D582" s="4"/>
      <c r="E582" s="4"/>
      <c r="I582" s="135"/>
      <c r="J582" s="135"/>
      <c r="K582" s="135"/>
      <c r="L582" s="135"/>
    </row>
    <row r="583" spans="2:12" ht="12" customHeight="1" x14ac:dyDescent="0.15">
      <c r="B583" s="2"/>
      <c r="C583" s="4"/>
      <c r="D583" s="4"/>
      <c r="E583" s="4"/>
      <c r="I583" s="135"/>
      <c r="J583" s="135"/>
      <c r="K583" s="135"/>
      <c r="L583" s="135"/>
    </row>
    <row r="584" spans="2:12" ht="12" customHeight="1" x14ac:dyDescent="0.15">
      <c r="B584" s="2"/>
      <c r="C584" s="4"/>
      <c r="D584" s="4"/>
      <c r="E584" s="4"/>
      <c r="I584" s="135"/>
      <c r="J584" s="135"/>
      <c r="K584" s="135"/>
      <c r="L584" s="135"/>
    </row>
    <row r="585" spans="2:12" ht="12" customHeight="1" x14ac:dyDescent="0.15">
      <c r="B585" s="2"/>
      <c r="C585" s="4"/>
      <c r="D585" s="4"/>
      <c r="E585" s="4"/>
      <c r="I585" s="135"/>
      <c r="J585" s="135"/>
      <c r="K585" s="135"/>
      <c r="L585" s="135"/>
    </row>
    <row r="586" spans="2:12" ht="12" customHeight="1" x14ac:dyDescent="0.15">
      <c r="B586" s="2"/>
      <c r="C586" s="4"/>
      <c r="D586" s="4"/>
      <c r="E586" s="4"/>
      <c r="I586" s="135"/>
      <c r="J586" s="135"/>
      <c r="K586" s="135"/>
      <c r="L586" s="135"/>
    </row>
    <row r="587" spans="2:12" ht="12" customHeight="1" x14ac:dyDescent="0.15">
      <c r="B587" s="2"/>
      <c r="C587" s="4"/>
      <c r="D587" s="4"/>
      <c r="E587" s="4"/>
      <c r="I587" s="135"/>
      <c r="J587" s="135"/>
      <c r="K587" s="135"/>
      <c r="L587" s="135"/>
    </row>
    <row r="588" spans="2:12" ht="12" customHeight="1" x14ac:dyDescent="0.15">
      <c r="B588" s="2"/>
      <c r="C588" s="4"/>
      <c r="D588" s="4"/>
      <c r="E588" s="4"/>
      <c r="I588" s="135"/>
      <c r="J588" s="135"/>
      <c r="K588" s="135"/>
      <c r="L588" s="135"/>
    </row>
    <row r="589" spans="2:12" ht="12" customHeight="1" x14ac:dyDescent="0.15">
      <c r="B589" s="2"/>
      <c r="C589" s="4"/>
      <c r="D589" s="4"/>
      <c r="E589" s="4"/>
      <c r="I589" s="135"/>
      <c r="J589" s="135"/>
      <c r="K589" s="135"/>
      <c r="L589" s="135"/>
    </row>
    <row r="590" spans="2:12" ht="12" customHeight="1" x14ac:dyDescent="0.15">
      <c r="B590" s="2"/>
      <c r="C590" s="4"/>
      <c r="D590" s="4"/>
      <c r="E590" s="4"/>
      <c r="I590" s="135"/>
      <c r="J590" s="135"/>
      <c r="K590" s="135"/>
      <c r="L590" s="135"/>
    </row>
    <row r="591" spans="2:12" ht="12" customHeight="1" x14ac:dyDescent="0.15">
      <c r="B591" s="2"/>
      <c r="C591" s="4"/>
      <c r="D591" s="4"/>
      <c r="E591" s="4"/>
      <c r="I591" s="135"/>
      <c r="J591" s="135"/>
      <c r="K591" s="135"/>
      <c r="L591" s="135"/>
    </row>
    <row r="592" spans="2:12" ht="12" customHeight="1" x14ac:dyDescent="0.15">
      <c r="B592" s="2"/>
      <c r="C592" s="4"/>
      <c r="D592" s="4"/>
      <c r="E592" s="4"/>
      <c r="I592" s="135"/>
      <c r="J592" s="135"/>
      <c r="K592" s="135"/>
      <c r="L592" s="135"/>
    </row>
    <row r="593" spans="2:12" ht="12" customHeight="1" x14ac:dyDescent="0.15">
      <c r="B593" s="2"/>
      <c r="C593" s="4"/>
      <c r="D593" s="4"/>
      <c r="E593" s="4"/>
      <c r="I593" s="135"/>
      <c r="J593" s="135"/>
      <c r="K593" s="135"/>
      <c r="L593" s="135"/>
    </row>
    <row r="594" spans="2:12" ht="12" customHeight="1" x14ac:dyDescent="0.15">
      <c r="B594" s="2"/>
      <c r="C594" s="4"/>
      <c r="D594" s="4"/>
      <c r="E594" s="4"/>
      <c r="I594" s="135"/>
      <c r="J594" s="135"/>
      <c r="K594" s="135"/>
      <c r="L594" s="135"/>
    </row>
    <row r="595" spans="2:12" ht="12" customHeight="1" x14ac:dyDescent="0.15">
      <c r="B595" s="2"/>
      <c r="C595" s="4"/>
      <c r="D595" s="4"/>
      <c r="E595" s="4"/>
      <c r="I595" s="135"/>
      <c r="J595" s="135"/>
      <c r="K595" s="135"/>
      <c r="L595" s="135"/>
    </row>
    <row r="596" spans="2:12" ht="12" customHeight="1" x14ac:dyDescent="0.15">
      <c r="B596" s="2"/>
      <c r="C596" s="4"/>
      <c r="D596" s="4"/>
      <c r="E596" s="4"/>
      <c r="I596" s="135"/>
      <c r="J596" s="135"/>
      <c r="K596" s="135"/>
      <c r="L596" s="135"/>
    </row>
    <row r="597" spans="2:12" ht="12" customHeight="1" x14ac:dyDescent="0.15">
      <c r="B597" s="2"/>
      <c r="C597" s="4"/>
      <c r="D597" s="4"/>
      <c r="E597" s="4"/>
      <c r="I597" s="135"/>
      <c r="J597" s="135"/>
      <c r="K597" s="135"/>
      <c r="L597" s="135"/>
    </row>
    <row r="598" spans="2:12" ht="12" customHeight="1" x14ac:dyDescent="0.15">
      <c r="B598" s="2"/>
      <c r="C598" s="4"/>
      <c r="D598" s="4"/>
      <c r="E598" s="4"/>
      <c r="I598" s="135"/>
      <c r="J598" s="135"/>
      <c r="K598" s="135"/>
      <c r="L598" s="135"/>
    </row>
    <row r="599" spans="2:12" ht="12" customHeight="1" x14ac:dyDescent="0.15">
      <c r="B599" s="2"/>
      <c r="C599" s="4"/>
      <c r="D599" s="4"/>
      <c r="E599" s="4"/>
      <c r="I599" s="135"/>
      <c r="J599" s="135"/>
      <c r="K599" s="135"/>
      <c r="L599" s="135"/>
    </row>
    <row r="600" spans="2:12" ht="12" customHeight="1" x14ac:dyDescent="0.15">
      <c r="B600" s="2"/>
      <c r="C600" s="4"/>
      <c r="D600" s="4"/>
      <c r="E600" s="4"/>
      <c r="I600" s="135"/>
      <c r="J600" s="135"/>
      <c r="K600" s="135"/>
      <c r="L600" s="135"/>
    </row>
    <row r="601" spans="2:12" ht="12" customHeight="1" x14ac:dyDescent="0.15">
      <c r="B601" s="2"/>
      <c r="C601" s="4"/>
      <c r="D601" s="4"/>
      <c r="E601" s="4"/>
      <c r="I601" s="135"/>
      <c r="J601" s="135"/>
      <c r="K601" s="135"/>
      <c r="L601" s="135"/>
    </row>
    <row r="602" spans="2:12" ht="12" customHeight="1" x14ac:dyDescent="0.15">
      <c r="B602" s="2"/>
      <c r="C602" s="4"/>
      <c r="D602" s="4"/>
      <c r="E602" s="4"/>
      <c r="I602" s="135"/>
      <c r="J602" s="135"/>
      <c r="K602" s="135"/>
      <c r="L602" s="135"/>
    </row>
    <row r="603" spans="2:12" ht="12" customHeight="1" x14ac:dyDescent="0.15">
      <c r="B603" s="2"/>
      <c r="C603" s="4"/>
      <c r="D603" s="4"/>
      <c r="E603" s="4"/>
      <c r="I603" s="135"/>
      <c r="J603" s="135"/>
      <c r="K603" s="135"/>
      <c r="L603" s="135"/>
    </row>
    <row r="604" spans="2:12" ht="12" customHeight="1" x14ac:dyDescent="0.15">
      <c r="B604" s="2"/>
      <c r="C604" s="4"/>
      <c r="D604" s="4"/>
      <c r="E604" s="4"/>
      <c r="I604" s="135"/>
      <c r="J604" s="135"/>
      <c r="K604" s="135"/>
      <c r="L604" s="135"/>
    </row>
    <row r="605" spans="2:12" ht="12" customHeight="1" x14ac:dyDescent="0.15">
      <c r="B605" s="2"/>
      <c r="C605" s="4"/>
      <c r="D605" s="4"/>
      <c r="E605" s="4"/>
      <c r="I605" s="135"/>
      <c r="J605" s="135"/>
      <c r="K605" s="135"/>
      <c r="L605" s="135"/>
    </row>
    <row r="606" spans="2:12" ht="12" customHeight="1" x14ac:dyDescent="0.15">
      <c r="B606" s="2"/>
      <c r="C606" s="4"/>
      <c r="D606" s="4"/>
      <c r="E606" s="4"/>
      <c r="I606" s="135"/>
      <c r="J606" s="135"/>
      <c r="K606" s="135"/>
      <c r="L606" s="135"/>
    </row>
    <row r="607" spans="2:12" ht="12" customHeight="1" x14ac:dyDescent="0.15">
      <c r="B607" s="2"/>
      <c r="C607" s="4"/>
      <c r="D607" s="4"/>
      <c r="E607" s="4"/>
      <c r="I607" s="135"/>
      <c r="J607" s="135"/>
      <c r="K607" s="135"/>
      <c r="L607" s="135"/>
    </row>
    <row r="608" spans="2:12" ht="12" customHeight="1" x14ac:dyDescent="0.15">
      <c r="B608" s="2"/>
      <c r="C608" s="4"/>
      <c r="D608" s="4"/>
      <c r="E608" s="4"/>
      <c r="I608" s="135"/>
      <c r="J608" s="135"/>
      <c r="K608" s="135"/>
      <c r="L608" s="135"/>
    </row>
    <row r="609" spans="2:12" ht="12" customHeight="1" x14ac:dyDescent="0.15">
      <c r="B609" s="2"/>
      <c r="C609" s="4"/>
      <c r="D609" s="4"/>
      <c r="E609" s="4"/>
      <c r="I609" s="135"/>
      <c r="J609" s="135"/>
      <c r="K609" s="135"/>
      <c r="L609" s="135"/>
    </row>
    <row r="610" spans="2:12" ht="12" customHeight="1" x14ac:dyDescent="0.15">
      <c r="B610" s="2"/>
      <c r="C610" s="4"/>
      <c r="D610" s="4"/>
      <c r="E610" s="4"/>
      <c r="I610" s="135"/>
      <c r="J610" s="135"/>
      <c r="K610" s="135"/>
      <c r="L610" s="135"/>
    </row>
    <row r="611" spans="2:12" ht="12" customHeight="1" x14ac:dyDescent="0.15">
      <c r="B611" s="2"/>
      <c r="C611" s="4"/>
      <c r="D611" s="4"/>
      <c r="E611" s="4"/>
      <c r="I611" s="135"/>
      <c r="J611" s="135"/>
      <c r="K611" s="135"/>
      <c r="L611" s="135"/>
    </row>
    <row r="612" spans="2:12" ht="12" customHeight="1" x14ac:dyDescent="0.15">
      <c r="B612" s="2"/>
      <c r="C612" s="4"/>
      <c r="D612" s="4"/>
      <c r="E612" s="4"/>
      <c r="I612" s="135"/>
      <c r="J612" s="135"/>
      <c r="K612" s="135"/>
      <c r="L612" s="135"/>
    </row>
    <row r="613" spans="2:12" ht="12" customHeight="1" x14ac:dyDescent="0.15">
      <c r="B613" s="2"/>
      <c r="C613" s="4"/>
      <c r="D613" s="4"/>
      <c r="E613" s="4"/>
      <c r="I613" s="135"/>
      <c r="J613" s="135"/>
      <c r="K613" s="135"/>
      <c r="L613" s="135"/>
    </row>
    <row r="614" spans="2:12" ht="12" customHeight="1" x14ac:dyDescent="0.15">
      <c r="B614" s="2"/>
      <c r="C614" s="4"/>
      <c r="D614" s="4"/>
      <c r="E614" s="4"/>
      <c r="I614" s="135"/>
      <c r="J614" s="135"/>
      <c r="K614" s="135"/>
      <c r="L614" s="135"/>
    </row>
    <row r="615" spans="2:12" ht="12" customHeight="1" x14ac:dyDescent="0.15">
      <c r="B615" s="2"/>
      <c r="C615" s="4"/>
      <c r="D615" s="4"/>
      <c r="E615" s="4"/>
      <c r="I615" s="135"/>
      <c r="J615" s="135"/>
      <c r="K615" s="135"/>
      <c r="L615" s="135"/>
    </row>
    <row r="616" spans="2:12" ht="12" customHeight="1" x14ac:dyDescent="0.15">
      <c r="B616" s="2"/>
      <c r="C616" s="4"/>
      <c r="D616" s="4"/>
      <c r="E616" s="4"/>
      <c r="I616" s="135"/>
      <c r="J616" s="135"/>
      <c r="K616" s="135"/>
      <c r="L616" s="135"/>
    </row>
    <row r="617" spans="2:12" ht="12" customHeight="1" x14ac:dyDescent="0.15">
      <c r="B617" s="2"/>
      <c r="C617" s="4"/>
      <c r="D617" s="4"/>
      <c r="E617" s="4"/>
      <c r="I617" s="135"/>
      <c r="J617" s="135"/>
      <c r="K617" s="135"/>
      <c r="L617" s="135"/>
    </row>
    <row r="618" spans="2:12" ht="12" customHeight="1" x14ac:dyDescent="0.15">
      <c r="B618" s="2"/>
      <c r="C618" s="4"/>
      <c r="D618" s="4"/>
      <c r="E618" s="4"/>
      <c r="I618" s="135"/>
      <c r="J618" s="135"/>
      <c r="K618" s="135"/>
      <c r="L618" s="135"/>
    </row>
    <row r="619" spans="2:12" ht="12" customHeight="1" x14ac:dyDescent="0.15">
      <c r="B619" s="2"/>
      <c r="C619" s="4"/>
      <c r="D619" s="4"/>
      <c r="E619" s="4"/>
      <c r="I619" s="135"/>
      <c r="J619" s="135"/>
      <c r="K619" s="135"/>
      <c r="L619" s="135"/>
    </row>
    <row r="620" spans="2:12" ht="12" customHeight="1" x14ac:dyDescent="0.15">
      <c r="B620" s="2"/>
      <c r="C620" s="4"/>
      <c r="D620" s="4"/>
      <c r="E620" s="4"/>
      <c r="I620" s="135"/>
      <c r="J620" s="135"/>
      <c r="K620" s="135"/>
      <c r="L620" s="135"/>
    </row>
    <row r="621" spans="2:12" ht="12" customHeight="1" x14ac:dyDescent="0.15">
      <c r="B621" s="2"/>
      <c r="C621" s="4"/>
      <c r="D621" s="4"/>
      <c r="E621" s="4"/>
      <c r="I621" s="135"/>
      <c r="J621" s="135"/>
      <c r="K621" s="135"/>
      <c r="L621" s="135"/>
    </row>
    <row r="622" spans="2:12" ht="12" customHeight="1" x14ac:dyDescent="0.15">
      <c r="B622" s="2"/>
      <c r="C622" s="4"/>
      <c r="D622" s="4"/>
      <c r="E622" s="4"/>
      <c r="I622" s="135"/>
      <c r="J622" s="135"/>
      <c r="K622" s="135"/>
      <c r="L622" s="135"/>
    </row>
    <row r="623" spans="2:12" ht="12" customHeight="1" x14ac:dyDescent="0.15">
      <c r="B623" s="2"/>
      <c r="C623" s="4"/>
      <c r="D623" s="4"/>
      <c r="E623" s="4"/>
      <c r="I623" s="135"/>
      <c r="J623" s="135"/>
      <c r="K623" s="135"/>
      <c r="L623" s="135"/>
    </row>
    <row r="624" spans="2:12" ht="12" customHeight="1" x14ac:dyDescent="0.15">
      <c r="B624" s="2"/>
      <c r="C624" s="4"/>
      <c r="D624" s="4"/>
      <c r="E624" s="4"/>
      <c r="I624" s="135"/>
      <c r="J624" s="135"/>
      <c r="K624" s="135"/>
      <c r="L624" s="135"/>
    </row>
    <row r="625" spans="2:12" ht="12" customHeight="1" x14ac:dyDescent="0.15">
      <c r="B625" s="2"/>
      <c r="C625" s="4"/>
      <c r="D625" s="4"/>
      <c r="E625" s="4"/>
      <c r="I625" s="135"/>
      <c r="J625" s="135"/>
      <c r="K625" s="135"/>
      <c r="L625" s="135"/>
    </row>
    <row r="626" spans="2:12" ht="12" customHeight="1" x14ac:dyDescent="0.15">
      <c r="B626" s="2"/>
      <c r="C626" s="4"/>
      <c r="D626" s="4"/>
      <c r="E626" s="4"/>
      <c r="I626" s="135"/>
      <c r="J626" s="135"/>
      <c r="K626" s="135"/>
      <c r="L626" s="135"/>
    </row>
    <row r="627" spans="2:12" ht="12" customHeight="1" x14ac:dyDescent="0.15">
      <c r="B627" s="2"/>
      <c r="C627" s="4"/>
      <c r="D627" s="4"/>
      <c r="E627" s="4"/>
      <c r="I627" s="135"/>
      <c r="J627" s="135"/>
      <c r="K627" s="135"/>
      <c r="L627" s="135"/>
    </row>
    <row r="628" spans="2:12" ht="12" customHeight="1" x14ac:dyDescent="0.15">
      <c r="B628" s="2"/>
      <c r="C628" s="4"/>
      <c r="D628" s="4"/>
      <c r="E628" s="4"/>
      <c r="I628" s="135"/>
      <c r="J628" s="135"/>
      <c r="K628" s="135"/>
      <c r="L628" s="135"/>
    </row>
    <row r="629" spans="2:12" ht="12" customHeight="1" x14ac:dyDescent="0.15">
      <c r="B629" s="2"/>
      <c r="C629" s="4"/>
      <c r="D629" s="4"/>
      <c r="E629" s="4"/>
      <c r="I629" s="135"/>
      <c r="J629" s="135"/>
      <c r="K629" s="135"/>
      <c r="L629" s="135"/>
    </row>
    <row r="630" spans="2:12" ht="12" customHeight="1" x14ac:dyDescent="0.15">
      <c r="B630" s="2"/>
      <c r="C630" s="4"/>
      <c r="D630" s="4"/>
      <c r="E630" s="4"/>
      <c r="I630" s="135"/>
      <c r="J630" s="135"/>
      <c r="K630" s="135"/>
      <c r="L630" s="135"/>
    </row>
    <row r="631" spans="2:12" ht="12" customHeight="1" x14ac:dyDescent="0.15">
      <c r="B631" s="2"/>
      <c r="C631" s="4"/>
      <c r="D631" s="4"/>
      <c r="E631" s="4"/>
      <c r="I631" s="135"/>
      <c r="J631" s="135"/>
      <c r="K631" s="135"/>
      <c r="L631" s="135"/>
    </row>
    <row r="632" spans="2:12" ht="12" customHeight="1" x14ac:dyDescent="0.15">
      <c r="B632" s="2"/>
      <c r="C632" s="4"/>
      <c r="D632" s="4"/>
      <c r="E632" s="4"/>
      <c r="I632" s="135"/>
      <c r="J632" s="135"/>
      <c r="K632" s="135"/>
      <c r="L632" s="135"/>
    </row>
    <row r="633" spans="2:12" ht="12" customHeight="1" x14ac:dyDescent="0.15">
      <c r="B633" s="2"/>
      <c r="C633" s="4"/>
      <c r="D633" s="4"/>
      <c r="E633" s="4"/>
      <c r="I633" s="135"/>
      <c r="J633" s="135"/>
      <c r="K633" s="135"/>
      <c r="L633" s="135"/>
    </row>
    <row r="634" spans="2:12" ht="12" customHeight="1" x14ac:dyDescent="0.15">
      <c r="B634" s="2"/>
      <c r="C634" s="4"/>
      <c r="D634" s="4"/>
      <c r="E634" s="4"/>
      <c r="I634" s="135"/>
      <c r="J634" s="135"/>
      <c r="K634" s="135"/>
      <c r="L634" s="135"/>
    </row>
    <row r="635" spans="2:12" ht="12" customHeight="1" x14ac:dyDescent="0.15">
      <c r="B635" s="2"/>
      <c r="C635" s="4"/>
      <c r="D635" s="4"/>
      <c r="E635" s="4"/>
      <c r="I635" s="135"/>
      <c r="J635" s="135"/>
      <c r="K635" s="135"/>
      <c r="L635" s="135"/>
    </row>
    <row r="636" spans="2:12" ht="12" customHeight="1" x14ac:dyDescent="0.15">
      <c r="B636" s="2"/>
      <c r="C636" s="4"/>
      <c r="D636" s="4"/>
      <c r="E636" s="4"/>
      <c r="I636" s="135"/>
      <c r="J636" s="135"/>
      <c r="K636" s="135"/>
      <c r="L636" s="135"/>
    </row>
    <row r="637" spans="2:12" ht="12" customHeight="1" x14ac:dyDescent="0.15">
      <c r="B637" s="2"/>
      <c r="C637" s="4"/>
      <c r="D637" s="4"/>
      <c r="E637" s="4"/>
      <c r="I637" s="135"/>
      <c r="J637" s="135"/>
      <c r="K637" s="135"/>
      <c r="L637" s="135"/>
    </row>
    <row r="638" spans="2:12" ht="12" customHeight="1" x14ac:dyDescent="0.15">
      <c r="B638" s="2"/>
      <c r="C638" s="4"/>
      <c r="D638" s="4"/>
      <c r="E638" s="4"/>
      <c r="I638" s="135"/>
      <c r="J638" s="135"/>
      <c r="K638" s="135"/>
      <c r="L638" s="135"/>
    </row>
    <row r="639" spans="2:12" ht="12" customHeight="1" x14ac:dyDescent="0.15">
      <c r="B639" s="2"/>
      <c r="C639" s="4"/>
      <c r="D639" s="4"/>
      <c r="E639" s="4"/>
      <c r="I639" s="135"/>
      <c r="J639" s="135"/>
      <c r="K639" s="135"/>
      <c r="L639" s="135"/>
    </row>
    <row r="640" spans="2:12" ht="12" customHeight="1" x14ac:dyDescent="0.15">
      <c r="B640" s="2"/>
      <c r="C640" s="4"/>
      <c r="D640" s="4"/>
      <c r="E640" s="4"/>
      <c r="I640" s="135"/>
      <c r="J640" s="135"/>
      <c r="K640" s="135"/>
      <c r="L640" s="135"/>
    </row>
    <row r="641" spans="2:12" ht="12" customHeight="1" x14ac:dyDescent="0.15">
      <c r="B641" s="2"/>
      <c r="C641" s="4"/>
      <c r="D641" s="4"/>
      <c r="E641" s="4"/>
      <c r="I641" s="135"/>
      <c r="J641" s="135"/>
      <c r="K641" s="135"/>
      <c r="L641" s="135"/>
    </row>
    <row r="642" spans="2:12" ht="12" customHeight="1" x14ac:dyDescent="0.15">
      <c r="B642" s="2"/>
      <c r="C642" s="4"/>
      <c r="D642" s="4"/>
      <c r="E642" s="4"/>
      <c r="I642" s="135"/>
      <c r="J642" s="135"/>
      <c r="K642" s="135"/>
      <c r="L642" s="135"/>
    </row>
    <row r="643" spans="2:12" ht="12" customHeight="1" x14ac:dyDescent="0.15">
      <c r="B643" s="2"/>
      <c r="C643" s="4"/>
      <c r="D643" s="4"/>
      <c r="E643" s="4"/>
      <c r="I643" s="135"/>
      <c r="J643" s="135"/>
      <c r="K643" s="135"/>
      <c r="L643" s="135"/>
    </row>
    <row r="644" spans="2:12" ht="12" customHeight="1" x14ac:dyDescent="0.15">
      <c r="B644" s="2"/>
      <c r="C644" s="4"/>
      <c r="D644" s="4"/>
      <c r="E644" s="4"/>
      <c r="I644" s="135"/>
      <c r="J644" s="135"/>
      <c r="K644" s="135"/>
      <c r="L644" s="135"/>
    </row>
    <row r="645" spans="2:12" ht="12" customHeight="1" x14ac:dyDescent="0.15">
      <c r="B645" s="2"/>
      <c r="C645" s="4"/>
      <c r="D645" s="4"/>
      <c r="E645" s="4"/>
      <c r="I645" s="135"/>
      <c r="J645" s="135"/>
      <c r="K645" s="135"/>
      <c r="L645" s="135"/>
    </row>
    <row r="646" spans="2:12" ht="12" customHeight="1" x14ac:dyDescent="0.15">
      <c r="B646" s="2"/>
      <c r="C646" s="4"/>
      <c r="D646" s="4"/>
      <c r="E646" s="4"/>
      <c r="I646" s="135"/>
      <c r="J646" s="135"/>
      <c r="K646" s="135"/>
      <c r="L646" s="135"/>
    </row>
    <row r="647" spans="2:12" ht="12" customHeight="1" x14ac:dyDescent="0.15">
      <c r="B647" s="2"/>
      <c r="C647" s="4"/>
      <c r="D647" s="4"/>
      <c r="E647" s="4"/>
      <c r="I647" s="135"/>
      <c r="J647" s="135"/>
      <c r="K647" s="135"/>
      <c r="L647" s="135"/>
    </row>
    <row r="648" spans="2:12" ht="12" customHeight="1" x14ac:dyDescent="0.15">
      <c r="B648" s="2"/>
      <c r="C648" s="4"/>
      <c r="D648" s="4"/>
      <c r="E648" s="4"/>
      <c r="I648" s="135"/>
      <c r="J648" s="135"/>
      <c r="K648" s="135"/>
      <c r="L648" s="135"/>
    </row>
    <row r="649" spans="2:12" ht="12" customHeight="1" x14ac:dyDescent="0.15">
      <c r="B649" s="2"/>
      <c r="C649" s="4"/>
      <c r="D649" s="4"/>
      <c r="E649" s="4"/>
      <c r="I649" s="135"/>
      <c r="J649" s="135"/>
      <c r="K649" s="135"/>
      <c r="L649" s="135"/>
    </row>
    <row r="650" spans="2:12" ht="12" customHeight="1" x14ac:dyDescent="0.15">
      <c r="B650" s="2"/>
      <c r="C650" s="4"/>
      <c r="D650" s="4"/>
      <c r="E650" s="4"/>
      <c r="I650" s="135"/>
      <c r="J650" s="135"/>
      <c r="K650" s="135"/>
      <c r="L650" s="135"/>
    </row>
    <row r="651" spans="2:12" ht="12" customHeight="1" x14ac:dyDescent="0.15">
      <c r="B651" s="2"/>
      <c r="C651" s="4"/>
      <c r="D651" s="4"/>
      <c r="E651" s="4"/>
      <c r="I651" s="135"/>
      <c r="J651" s="135"/>
      <c r="K651" s="135"/>
      <c r="L651" s="135"/>
    </row>
    <row r="652" spans="2:12" ht="12" customHeight="1" x14ac:dyDescent="0.15">
      <c r="B652" s="2"/>
      <c r="C652" s="4"/>
      <c r="D652" s="4"/>
      <c r="E652" s="4"/>
      <c r="I652" s="135"/>
      <c r="J652" s="135"/>
      <c r="K652" s="135"/>
      <c r="L652" s="135"/>
    </row>
    <row r="653" spans="2:12" ht="12" customHeight="1" x14ac:dyDescent="0.15">
      <c r="B653" s="2"/>
      <c r="C653" s="4"/>
      <c r="D653" s="4"/>
      <c r="E653" s="4"/>
      <c r="I653" s="135"/>
      <c r="J653" s="135"/>
      <c r="K653" s="135"/>
      <c r="L653" s="135"/>
    </row>
    <row r="654" spans="2:12" ht="12" customHeight="1" x14ac:dyDescent="0.15">
      <c r="B654" s="2"/>
      <c r="C654" s="4"/>
      <c r="D654" s="4"/>
      <c r="E654" s="4"/>
      <c r="I654" s="135"/>
      <c r="J654" s="135"/>
      <c r="K654" s="135"/>
      <c r="L654" s="135"/>
    </row>
    <row r="655" spans="2:12" ht="12" customHeight="1" x14ac:dyDescent="0.15">
      <c r="B655" s="2"/>
      <c r="C655" s="4"/>
      <c r="D655" s="4"/>
      <c r="E655" s="4"/>
      <c r="I655" s="135"/>
      <c r="J655" s="135"/>
      <c r="K655" s="135"/>
      <c r="L655" s="135"/>
    </row>
    <row r="656" spans="2:12" ht="12" customHeight="1" x14ac:dyDescent="0.15">
      <c r="B656" s="2"/>
      <c r="C656" s="4"/>
      <c r="D656" s="4"/>
      <c r="E656" s="4"/>
      <c r="I656" s="135"/>
      <c r="J656" s="135"/>
      <c r="K656" s="135"/>
      <c r="L656" s="135"/>
    </row>
    <row r="657" spans="2:12" ht="12" customHeight="1" x14ac:dyDescent="0.15">
      <c r="B657" s="2"/>
      <c r="C657" s="4"/>
      <c r="D657" s="4"/>
      <c r="E657" s="4"/>
      <c r="I657" s="135"/>
      <c r="J657" s="135"/>
      <c r="K657" s="135"/>
      <c r="L657" s="135"/>
    </row>
    <row r="658" spans="2:12" ht="12" customHeight="1" x14ac:dyDescent="0.15">
      <c r="B658" s="2"/>
      <c r="C658" s="4"/>
      <c r="D658" s="4"/>
      <c r="E658" s="4"/>
      <c r="I658" s="135"/>
      <c r="J658" s="135"/>
      <c r="K658" s="135"/>
      <c r="L658" s="135"/>
    </row>
    <row r="659" spans="2:12" ht="12" customHeight="1" x14ac:dyDescent="0.15">
      <c r="B659" s="2"/>
      <c r="C659" s="4"/>
      <c r="D659" s="4"/>
      <c r="E659" s="4"/>
      <c r="I659" s="135"/>
      <c r="J659" s="135"/>
      <c r="K659" s="135"/>
      <c r="L659" s="135"/>
    </row>
    <row r="660" spans="2:12" ht="12" customHeight="1" x14ac:dyDescent="0.15">
      <c r="B660" s="2"/>
      <c r="C660" s="4"/>
      <c r="D660" s="4"/>
      <c r="E660" s="4"/>
      <c r="I660" s="135"/>
      <c r="J660" s="135"/>
      <c r="K660" s="135"/>
      <c r="L660" s="135"/>
    </row>
    <row r="661" spans="2:12" ht="12" customHeight="1" x14ac:dyDescent="0.15">
      <c r="B661" s="2"/>
      <c r="C661" s="4"/>
      <c r="D661" s="4"/>
      <c r="E661" s="4"/>
      <c r="I661" s="135"/>
      <c r="J661" s="135"/>
      <c r="K661" s="135"/>
      <c r="L661" s="135"/>
    </row>
    <row r="662" spans="2:12" ht="12" customHeight="1" x14ac:dyDescent="0.15">
      <c r="B662" s="2"/>
      <c r="C662" s="4"/>
      <c r="D662" s="4"/>
      <c r="E662" s="4"/>
      <c r="I662" s="135"/>
      <c r="J662" s="135"/>
      <c r="K662" s="135"/>
      <c r="L662" s="135"/>
    </row>
    <row r="663" spans="2:12" ht="12" customHeight="1" x14ac:dyDescent="0.15">
      <c r="B663" s="2"/>
      <c r="C663" s="4"/>
      <c r="D663" s="4"/>
      <c r="E663" s="4"/>
      <c r="I663" s="135"/>
      <c r="J663" s="135"/>
      <c r="K663" s="135"/>
      <c r="L663" s="135"/>
    </row>
    <row r="664" spans="2:12" ht="12" customHeight="1" x14ac:dyDescent="0.15">
      <c r="B664" s="2"/>
      <c r="C664" s="4"/>
      <c r="D664" s="4"/>
      <c r="E664" s="4"/>
      <c r="I664" s="135"/>
      <c r="J664" s="135"/>
      <c r="K664" s="135"/>
      <c r="L664" s="135"/>
    </row>
    <row r="665" spans="2:12" ht="12" customHeight="1" x14ac:dyDescent="0.15">
      <c r="B665" s="2"/>
      <c r="C665" s="4"/>
      <c r="D665" s="4"/>
      <c r="E665" s="4"/>
      <c r="I665" s="135"/>
      <c r="J665" s="135"/>
      <c r="K665" s="135"/>
      <c r="L665" s="135"/>
    </row>
    <row r="666" spans="2:12" ht="12" customHeight="1" x14ac:dyDescent="0.15">
      <c r="B666" s="2"/>
      <c r="C666" s="4"/>
      <c r="D666" s="4"/>
      <c r="E666" s="4"/>
      <c r="I666" s="135"/>
      <c r="J666" s="135"/>
      <c r="K666" s="135"/>
      <c r="L666" s="135"/>
    </row>
    <row r="667" spans="2:12" ht="12" customHeight="1" x14ac:dyDescent="0.15">
      <c r="B667" s="2"/>
      <c r="C667" s="4"/>
      <c r="D667" s="4"/>
      <c r="E667" s="4"/>
      <c r="I667" s="135"/>
      <c r="J667" s="135"/>
      <c r="K667" s="135"/>
      <c r="L667" s="135"/>
    </row>
    <row r="668" spans="2:12" ht="12" customHeight="1" x14ac:dyDescent="0.15">
      <c r="B668" s="2"/>
      <c r="C668" s="4"/>
      <c r="D668" s="4"/>
      <c r="E668" s="4"/>
      <c r="I668" s="135"/>
      <c r="J668" s="135"/>
      <c r="K668" s="135"/>
      <c r="L668" s="135"/>
    </row>
    <row r="669" spans="2:12" ht="12" customHeight="1" x14ac:dyDescent="0.15">
      <c r="B669" s="2"/>
      <c r="C669" s="4"/>
      <c r="D669" s="4"/>
      <c r="E669" s="4"/>
      <c r="I669" s="135"/>
      <c r="J669" s="135"/>
      <c r="K669" s="135"/>
      <c r="L669" s="135"/>
    </row>
    <row r="670" spans="2:12" ht="12" customHeight="1" x14ac:dyDescent="0.15">
      <c r="B670" s="2"/>
      <c r="C670" s="4"/>
      <c r="D670" s="4"/>
      <c r="E670" s="4"/>
      <c r="I670" s="135"/>
      <c r="J670" s="135"/>
      <c r="K670" s="135"/>
      <c r="L670" s="135"/>
    </row>
    <row r="671" spans="2:12" ht="12" customHeight="1" x14ac:dyDescent="0.15">
      <c r="B671" s="2"/>
      <c r="C671" s="4"/>
      <c r="D671" s="4"/>
      <c r="E671" s="4"/>
      <c r="I671" s="135"/>
      <c r="J671" s="135"/>
      <c r="K671" s="135"/>
      <c r="L671" s="135"/>
    </row>
    <row r="672" spans="2:12" ht="12" customHeight="1" x14ac:dyDescent="0.15">
      <c r="B672" s="2"/>
      <c r="C672" s="4"/>
      <c r="D672" s="4"/>
      <c r="E672" s="4"/>
      <c r="I672" s="135"/>
      <c r="J672" s="135"/>
      <c r="K672" s="135"/>
      <c r="L672" s="135"/>
    </row>
    <row r="673" spans="2:12" ht="12" customHeight="1" x14ac:dyDescent="0.15">
      <c r="B673" s="2"/>
      <c r="C673" s="4"/>
      <c r="D673" s="4"/>
      <c r="E673" s="4"/>
      <c r="I673" s="135"/>
      <c r="J673" s="135"/>
      <c r="K673" s="135"/>
      <c r="L673" s="135"/>
    </row>
    <row r="674" spans="2:12" ht="12" customHeight="1" x14ac:dyDescent="0.15">
      <c r="B674" s="2"/>
      <c r="C674" s="4"/>
      <c r="D674" s="4"/>
      <c r="E674" s="4"/>
      <c r="I674" s="135"/>
      <c r="J674" s="135"/>
      <c r="K674" s="135"/>
      <c r="L674" s="135"/>
    </row>
    <row r="675" spans="2:12" ht="12" customHeight="1" x14ac:dyDescent="0.15">
      <c r="B675" s="2"/>
      <c r="C675" s="4"/>
      <c r="D675" s="4"/>
      <c r="E675" s="4"/>
      <c r="I675" s="135"/>
      <c r="J675" s="135"/>
      <c r="K675" s="135"/>
      <c r="L675" s="135"/>
    </row>
    <row r="676" spans="2:12" ht="12" customHeight="1" x14ac:dyDescent="0.15">
      <c r="B676" s="2"/>
      <c r="C676" s="4"/>
      <c r="D676" s="4"/>
      <c r="E676" s="4"/>
      <c r="I676" s="135"/>
      <c r="J676" s="135"/>
      <c r="K676" s="135"/>
      <c r="L676" s="135"/>
    </row>
    <row r="677" spans="2:12" ht="12" customHeight="1" x14ac:dyDescent="0.15">
      <c r="B677" s="2"/>
      <c r="C677" s="4"/>
      <c r="D677" s="4"/>
      <c r="E677" s="4"/>
      <c r="I677" s="135"/>
      <c r="J677" s="135"/>
      <c r="K677" s="135"/>
      <c r="L677" s="135"/>
    </row>
    <row r="678" spans="2:12" ht="12" customHeight="1" x14ac:dyDescent="0.15">
      <c r="B678" s="2"/>
      <c r="C678" s="4"/>
      <c r="D678" s="4"/>
      <c r="E678" s="4"/>
      <c r="I678" s="135"/>
      <c r="J678" s="135"/>
      <c r="K678" s="135"/>
      <c r="L678" s="135"/>
    </row>
    <row r="679" spans="2:12" ht="12" customHeight="1" x14ac:dyDescent="0.15">
      <c r="B679" s="2"/>
      <c r="C679" s="4"/>
      <c r="D679" s="4"/>
      <c r="E679" s="4"/>
      <c r="I679" s="135"/>
      <c r="J679" s="135"/>
      <c r="K679" s="135"/>
      <c r="L679" s="135"/>
    </row>
    <row r="680" spans="2:12" ht="12" customHeight="1" x14ac:dyDescent="0.15">
      <c r="B680" s="2"/>
      <c r="C680" s="4"/>
      <c r="D680" s="4"/>
      <c r="E680" s="4"/>
      <c r="I680" s="135"/>
      <c r="J680" s="135"/>
      <c r="K680" s="135"/>
      <c r="L680" s="135"/>
    </row>
    <row r="681" spans="2:12" ht="12" customHeight="1" x14ac:dyDescent="0.15">
      <c r="B681" s="2"/>
      <c r="C681" s="4"/>
      <c r="D681" s="4"/>
      <c r="E681" s="4"/>
      <c r="I681" s="135"/>
      <c r="J681" s="135"/>
      <c r="K681" s="135"/>
      <c r="L681" s="135"/>
    </row>
    <row r="682" spans="2:12" ht="12" customHeight="1" x14ac:dyDescent="0.15">
      <c r="B682" s="2"/>
      <c r="C682" s="4"/>
      <c r="D682" s="4"/>
      <c r="E682" s="4"/>
      <c r="I682" s="135"/>
      <c r="J682" s="135"/>
      <c r="K682" s="135"/>
      <c r="L682" s="135"/>
    </row>
    <row r="683" spans="2:12" ht="12" customHeight="1" x14ac:dyDescent="0.15">
      <c r="B683" s="2"/>
      <c r="C683" s="4"/>
      <c r="D683" s="4"/>
      <c r="E683" s="4"/>
      <c r="I683" s="135"/>
      <c r="J683" s="135"/>
      <c r="K683" s="135"/>
      <c r="L683" s="135"/>
    </row>
    <row r="684" spans="2:12" ht="12" customHeight="1" x14ac:dyDescent="0.15">
      <c r="B684" s="2"/>
      <c r="C684" s="4"/>
      <c r="D684" s="4"/>
      <c r="E684" s="4"/>
      <c r="I684" s="135"/>
      <c r="J684" s="135"/>
      <c r="K684" s="135"/>
      <c r="L684" s="135"/>
    </row>
    <row r="685" spans="2:12" ht="12" customHeight="1" x14ac:dyDescent="0.15">
      <c r="B685" s="2"/>
      <c r="C685" s="4"/>
      <c r="D685" s="4"/>
      <c r="E685" s="4"/>
      <c r="I685" s="135"/>
      <c r="J685" s="135"/>
      <c r="K685" s="135"/>
      <c r="L685" s="135"/>
    </row>
    <row r="686" spans="2:12" ht="12" customHeight="1" x14ac:dyDescent="0.15">
      <c r="B686" s="2"/>
      <c r="C686" s="4"/>
      <c r="D686" s="4"/>
      <c r="E686" s="4"/>
      <c r="I686" s="135"/>
      <c r="J686" s="135"/>
      <c r="K686" s="135"/>
      <c r="L686" s="135"/>
    </row>
    <row r="687" spans="2:12" ht="12" customHeight="1" x14ac:dyDescent="0.15">
      <c r="B687" s="2"/>
      <c r="C687" s="4"/>
      <c r="D687" s="4"/>
      <c r="E687" s="4"/>
      <c r="I687" s="135"/>
      <c r="J687" s="135"/>
      <c r="K687" s="135"/>
      <c r="L687" s="135"/>
    </row>
    <row r="688" spans="2:12" ht="12" customHeight="1" x14ac:dyDescent="0.15">
      <c r="B688" s="2"/>
      <c r="C688" s="4"/>
      <c r="D688" s="4"/>
      <c r="E688" s="4"/>
      <c r="I688" s="135"/>
      <c r="J688" s="135"/>
      <c r="K688" s="135"/>
      <c r="L688" s="135"/>
    </row>
    <row r="689" spans="2:12" ht="12" customHeight="1" x14ac:dyDescent="0.15">
      <c r="B689" s="2"/>
      <c r="C689" s="4"/>
      <c r="D689" s="4"/>
      <c r="E689" s="4"/>
      <c r="I689" s="135"/>
      <c r="J689" s="135"/>
      <c r="K689" s="135"/>
      <c r="L689" s="135"/>
    </row>
    <row r="690" spans="2:12" ht="12" customHeight="1" x14ac:dyDescent="0.15">
      <c r="B690" s="2"/>
      <c r="C690" s="4"/>
      <c r="D690" s="4"/>
      <c r="E690" s="4"/>
      <c r="I690" s="135"/>
      <c r="J690" s="135"/>
      <c r="K690" s="135"/>
      <c r="L690" s="135"/>
    </row>
    <row r="691" spans="2:12" ht="12" customHeight="1" x14ac:dyDescent="0.15">
      <c r="B691" s="2"/>
      <c r="C691" s="4"/>
      <c r="D691" s="4"/>
      <c r="E691" s="4"/>
      <c r="I691" s="135"/>
      <c r="J691" s="135"/>
      <c r="K691" s="135"/>
      <c r="L691" s="135"/>
    </row>
    <row r="692" spans="2:12" ht="12" customHeight="1" x14ac:dyDescent="0.15">
      <c r="B692" s="2"/>
      <c r="C692" s="4"/>
      <c r="D692" s="4"/>
      <c r="E692" s="4"/>
      <c r="I692" s="135"/>
      <c r="J692" s="135"/>
      <c r="K692" s="135"/>
      <c r="L692" s="135"/>
    </row>
    <row r="693" spans="2:12" ht="12" customHeight="1" x14ac:dyDescent="0.15">
      <c r="B693" s="2"/>
      <c r="C693" s="4"/>
      <c r="D693" s="4"/>
      <c r="E693" s="4"/>
      <c r="I693" s="135"/>
      <c r="J693" s="135"/>
      <c r="K693" s="135"/>
      <c r="L693" s="135"/>
    </row>
    <row r="694" spans="2:12" ht="12" customHeight="1" x14ac:dyDescent="0.15">
      <c r="B694" s="2"/>
      <c r="C694" s="4"/>
      <c r="D694" s="4"/>
      <c r="E694" s="4"/>
      <c r="I694" s="135"/>
      <c r="J694" s="135"/>
      <c r="K694" s="135"/>
      <c r="L694" s="135"/>
    </row>
    <row r="695" spans="2:12" ht="12" customHeight="1" x14ac:dyDescent="0.15">
      <c r="B695" s="2"/>
      <c r="C695" s="4"/>
      <c r="D695" s="4"/>
      <c r="E695" s="4"/>
      <c r="I695" s="135"/>
      <c r="J695" s="135"/>
      <c r="K695" s="135"/>
      <c r="L695" s="135"/>
    </row>
    <row r="696" spans="2:12" ht="12" customHeight="1" x14ac:dyDescent="0.15">
      <c r="B696" s="2"/>
      <c r="C696" s="4"/>
      <c r="D696" s="4"/>
      <c r="E696" s="4"/>
      <c r="I696" s="135"/>
      <c r="J696" s="135"/>
      <c r="K696" s="135"/>
      <c r="L696" s="135"/>
    </row>
    <row r="697" spans="2:12" ht="12" customHeight="1" x14ac:dyDescent="0.15">
      <c r="B697" s="2"/>
      <c r="C697" s="4"/>
      <c r="D697" s="4"/>
      <c r="E697" s="4"/>
      <c r="I697" s="135"/>
      <c r="J697" s="135"/>
      <c r="K697" s="135"/>
      <c r="L697" s="135"/>
    </row>
    <row r="698" spans="2:12" ht="12" customHeight="1" x14ac:dyDescent="0.15">
      <c r="B698" s="2"/>
      <c r="C698" s="4"/>
      <c r="D698" s="4"/>
      <c r="E698" s="4"/>
      <c r="I698" s="135"/>
      <c r="J698" s="135"/>
      <c r="K698" s="135"/>
      <c r="L698" s="135"/>
    </row>
    <row r="699" spans="2:12" ht="12" customHeight="1" x14ac:dyDescent="0.15">
      <c r="B699" s="2"/>
      <c r="C699" s="4"/>
      <c r="D699" s="4"/>
      <c r="E699" s="4"/>
      <c r="I699" s="135"/>
      <c r="J699" s="135"/>
      <c r="K699" s="135"/>
      <c r="L699" s="135"/>
    </row>
    <row r="700" spans="2:12" ht="12" customHeight="1" x14ac:dyDescent="0.15">
      <c r="B700" s="2"/>
      <c r="C700" s="4"/>
      <c r="D700" s="4"/>
      <c r="E700" s="4"/>
      <c r="I700" s="135"/>
      <c r="J700" s="135"/>
      <c r="K700" s="135"/>
      <c r="L700" s="135"/>
    </row>
    <row r="701" spans="2:12" ht="12" customHeight="1" x14ac:dyDescent="0.15">
      <c r="B701" s="2"/>
      <c r="C701" s="4"/>
      <c r="D701" s="4"/>
      <c r="E701" s="4"/>
      <c r="I701" s="135"/>
      <c r="J701" s="135"/>
      <c r="K701" s="135"/>
      <c r="L701" s="135"/>
    </row>
    <row r="702" spans="2:12" ht="12" customHeight="1" x14ac:dyDescent="0.15">
      <c r="B702" s="2"/>
      <c r="C702" s="4"/>
      <c r="D702" s="4"/>
      <c r="E702" s="4"/>
      <c r="I702" s="135"/>
      <c r="J702" s="135"/>
      <c r="K702" s="135"/>
      <c r="L702" s="135"/>
    </row>
    <row r="703" spans="2:12" ht="12" customHeight="1" x14ac:dyDescent="0.15">
      <c r="B703" s="2"/>
      <c r="C703" s="4"/>
      <c r="D703" s="4"/>
      <c r="E703" s="4"/>
      <c r="I703" s="135"/>
      <c r="J703" s="135"/>
      <c r="K703" s="135"/>
      <c r="L703" s="135"/>
    </row>
    <row r="704" spans="2:12" ht="12" customHeight="1" x14ac:dyDescent="0.15">
      <c r="B704" s="2"/>
      <c r="C704" s="4"/>
      <c r="D704" s="4"/>
      <c r="E704" s="4"/>
      <c r="I704" s="135"/>
      <c r="J704" s="135"/>
      <c r="K704" s="135"/>
      <c r="L704" s="135"/>
    </row>
    <row r="705" spans="2:12" ht="12" customHeight="1" x14ac:dyDescent="0.15">
      <c r="B705" s="2"/>
      <c r="C705" s="4"/>
      <c r="D705" s="4"/>
      <c r="E705" s="4"/>
      <c r="I705" s="135"/>
      <c r="J705" s="135"/>
      <c r="K705" s="135"/>
      <c r="L705" s="135"/>
    </row>
    <row r="706" spans="2:12" ht="12" customHeight="1" x14ac:dyDescent="0.15">
      <c r="B706" s="2"/>
      <c r="C706" s="4"/>
      <c r="D706" s="4"/>
      <c r="E706" s="4"/>
      <c r="I706" s="135"/>
      <c r="J706" s="135"/>
      <c r="K706" s="135"/>
      <c r="L706" s="135"/>
    </row>
    <row r="707" spans="2:12" ht="12" customHeight="1" x14ac:dyDescent="0.15">
      <c r="B707" s="2"/>
      <c r="C707" s="4"/>
      <c r="D707" s="4"/>
      <c r="E707" s="4"/>
      <c r="I707" s="135"/>
      <c r="J707" s="135"/>
      <c r="K707" s="135"/>
      <c r="L707" s="135"/>
    </row>
    <row r="708" spans="2:12" ht="12" customHeight="1" x14ac:dyDescent="0.15">
      <c r="B708" s="2"/>
      <c r="C708" s="4"/>
      <c r="D708" s="4"/>
      <c r="E708" s="4"/>
      <c r="I708" s="135"/>
      <c r="J708" s="135"/>
      <c r="K708" s="135"/>
      <c r="L708" s="135"/>
    </row>
    <row r="709" spans="2:12" ht="12" customHeight="1" x14ac:dyDescent="0.15">
      <c r="B709" s="2"/>
      <c r="C709" s="4"/>
      <c r="D709" s="4"/>
      <c r="E709" s="4"/>
      <c r="I709" s="135"/>
      <c r="J709" s="135"/>
      <c r="K709" s="135"/>
      <c r="L709" s="135"/>
    </row>
    <row r="710" spans="2:12" ht="12" customHeight="1" x14ac:dyDescent="0.15">
      <c r="B710" s="2"/>
      <c r="C710" s="4"/>
      <c r="D710" s="4"/>
      <c r="E710" s="4"/>
      <c r="I710" s="135"/>
      <c r="J710" s="135"/>
      <c r="K710" s="135"/>
      <c r="L710" s="135"/>
    </row>
    <row r="711" spans="2:12" ht="12" customHeight="1" x14ac:dyDescent="0.15">
      <c r="B711" s="2"/>
      <c r="C711" s="4"/>
      <c r="D711" s="4"/>
      <c r="E711" s="4"/>
      <c r="I711" s="135"/>
      <c r="J711" s="135"/>
      <c r="K711" s="135"/>
      <c r="L711" s="135"/>
    </row>
    <row r="712" spans="2:12" ht="12" customHeight="1" x14ac:dyDescent="0.15">
      <c r="B712" s="2"/>
      <c r="C712" s="4"/>
      <c r="D712" s="4"/>
      <c r="E712" s="4"/>
      <c r="I712" s="135"/>
      <c r="J712" s="135"/>
      <c r="K712" s="135"/>
      <c r="L712" s="135"/>
    </row>
    <row r="713" spans="2:12" ht="12" customHeight="1" x14ac:dyDescent="0.15">
      <c r="B713" s="2"/>
      <c r="C713" s="4"/>
      <c r="D713" s="4"/>
      <c r="E713" s="4"/>
      <c r="I713" s="135"/>
      <c r="J713" s="135"/>
      <c r="K713" s="135"/>
      <c r="L713" s="135"/>
    </row>
    <row r="714" spans="2:12" ht="12" customHeight="1" x14ac:dyDescent="0.15">
      <c r="B714" s="2"/>
      <c r="C714" s="4"/>
      <c r="D714" s="4"/>
      <c r="E714" s="4"/>
      <c r="I714" s="135"/>
      <c r="J714" s="135"/>
      <c r="K714" s="135"/>
      <c r="L714" s="135"/>
    </row>
    <row r="715" spans="2:12" ht="12" customHeight="1" x14ac:dyDescent="0.15">
      <c r="B715" s="2"/>
      <c r="C715" s="4"/>
      <c r="D715" s="4"/>
      <c r="E715" s="4"/>
      <c r="I715" s="135"/>
      <c r="J715" s="135"/>
      <c r="K715" s="135"/>
      <c r="L715" s="135"/>
    </row>
    <row r="716" spans="2:12" ht="12" customHeight="1" x14ac:dyDescent="0.15">
      <c r="B716" s="2"/>
      <c r="C716" s="4"/>
      <c r="D716" s="4"/>
      <c r="E716" s="4"/>
      <c r="I716" s="135"/>
      <c r="J716" s="135"/>
      <c r="K716" s="135"/>
      <c r="L716" s="135"/>
    </row>
    <row r="717" spans="2:12" ht="12" customHeight="1" x14ac:dyDescent="0.15">
      <c r="B717" s="2"/>
      <c r="C717" s="4"/>
      <c r="D717" s="4"/>
      <c r="E717" s="4"/>
      <c r="I717" s="135"/>
      <c r="J717" s="135"/>
      <c r="K717" s="135"/>
      <c r="L717" s="135"/>
    </row>
    <row r="718" spans="2:12" ht="12" customHeight="1" x14ac:dyDescent="0.15">
      <c r="B718" s="2"/>
      <c r="C718" s="4"/>
      <c r="D718" s="4"/>
      <c r="E718" s="4"/>
      <c r="I718" s="135"/>
      <c r="J718" s="135"/>
      <c r="K718" s="135"/>
      <c r="L718" s="135"/>
    </row>
    <row r="719" spans="2:12" ht="12" customHeight="1" x14ac:dyDescent="0.15">
      <c r="B719" s="2"/>
      <c r="C719" s="4"/>
      <c r="D719" s="4"/>
      <c r="E719" s="4"/>
      <c r="I719" s="135"/>
      <c r="J719" s="135"/>
      <c r="K719" s="135"/>
      <c r="L719" s="135"/>
    </row>
    <row r="720" spans="2:12" ht="12" customHeight="1" x14ac:dyDescent="0.15">
      <c r="B720" s="2"/>
      <c r="C720" s="4"/>
      <c r="D720" s="4"/>
      <c r="E720" s="4"/>
      <c r="I720" s="135"/>
      <c r="J720" s="135"/>
      <c r="K720" s="135"/>
      <c r="L720" s="135"/>
    </row>
    <row r="721" spans="2:12" ht="12" customHeight="1" x14ac:dyDescent="0.15">
      <c r="B721" s="2"/>
      <c r="C721" s="4"/>
      <c r="D721" s="4"/>
      <c r="E721" s="4"/>
      <c r="I721" s="135"/>
      <c r="J721" s="135"/>
      <c r="K721" s="135"/>
      <c r="L721" s="135"/>
    </row>
    <row r="722" spans="2:12" ht="12" customHeight="1" x14ac:dyDescent="0.15">
      <c r="B722" s="2"/>
      <c r="C722" s="4"/>
      <c r="D722" s="4"/>
      <c r="E722" s="4"/>
      <c r="I722" s="135"/>
      <c r="J722" s="135"/>
      <c r="K722" s="135"/>
      <c r="L722" s="135"/>
    </row>
    <row r="723" spans="2:12" ht="12" customHeight="1" x14ac:dyDescent="0.15">
      <c r="B723" s="2"/>
      <c r="C723" s="4"/>
      <c r="D723" s="4"/>
      <c r="E723" s="4"/>
      <c r="I723" s="135"/>
      <c r="J723" s="135"/>
      <c r="K723" s="135"/>
      <c r="L723" s="135"/>
    </row>
    <row r="724" spans="2:12" ht="12" customHeight="1" x14ac:dyDescent="0.15">
      <c r="B724" s="2"/>
      <c r="C724" s="4"/>
      <c r="D724" s="4"/>
      <c r="E724" s="4"/>
      <c r="I724" s="135"/>
      <c r="J724" s="135"/>
      <c r="K724" s="135"/>
      <c r="L724" s="135"/>
    </row>
    <row r="725" spans="2:12" ht="12" customHeight="1" x14ac:dyDescent="0.15">
      <c r="B725" s="2"/>
      <c r="C725" s="4"/>
      <c r="D725" s="4"/>
      <c r="E725" s="4"/>
      <c r="I725" s="135"/>
      <c r="J725" s="135"/>
      <c r="K725" s="135"/>
      <c r="L725" s="135"/>
    </row>
    <row r="726" spans="2:12" ht="12" customHeight="1" x14ac:dyDescent="0.15">
      <c r="B726" s="2"/>
      <c r="C726" s="4"/>
      <c r="D726" s="4"/>
      <c r="E726" s="4"/>
      <c r="I726" s="135"/>
      <c r="J726" s="135"/>
      <c r="K726" s="135"/>
      <c r="L726" s="135"/>
    </row>
    <row r="727" spans="2:12" ht="12" customHeight="1" x14ac:dyDescent="0.15">
      <c r="B727" s="2"/>
      <c r="C727" s="4"/>
      <c r="D727" s="4"/>
      <c r="E727" s="4"/>
      <c r="I727" s="135"/>
      <c r="J727" s="135"/>
      <c r="K727" s="135"/>
      <c r="L727" s="135"/>
    </row>
    <row r="728" spans="2:12" ht="12" customHeight="1" x14ac:dyDescent="0.15">
      <c r="B728" s="2"/>
      <c r="C728" s="4"/>
      <c r="D728" s="4"/>
      <c r="E728" s="4"/>
      <c r="I728" s="135"/>
      <c r="J728" s="135"/>
      <c r="K728" s="135"/>
      <c r="L728" s="135"/>
    </row>
    <row r="729" spans="2:12" ht="12" customHeight="1" x14ac:dyDescent="0.15">
      <c r="B729" s="2"/>
      <c r="C729" s="4"/>
      <c r="D729" s="4"/>
      <c r="E729" s="4"/>
      <c r="I729" s="135"/>
      <c r="J729" s="135"/>
      <c r="K729" s="135"/>
      <c r="L729" s="135"/>
    </row>
    <row r="730" spans="2:12" ht="12" customHeight="1" x14ac:dyDescent="0.15">
      <c r="B730" s="2"/>
      <c r="C730" s="4"/>
      <c r="D730" s="4"/>
      <c r="E730" s="4"/>
      <c r="I730" s="135"/>
      <c r="J730" s="135"/>
      <c r="K730" s="135"/>
      <c r="L730" s="135"/>
    </row>
    <row r="731" spans="2:12" ht="12" customHeight="1" x14ac:dyDescent="0.15">
      <c r="B731" s="2"/>
      <c r="C731" s="4"/>
      <c r="D731" s="4"/>
      <c r="E731" s="4"/>
      <c r="I731" s="135"/>
      <c r="J731" s="135"/>
      <c r="K731" s="135"/>
      <c r="L731" s="135"/>
    </row>
    <row r="732" spans="2:12" ht="12" customHeight="1" x14ac:dyDescent="0.15">
      <c r="B732" s="2"/>
      <c r="C732" s="4"/>
      <c r="D732" s="4"/>
      <c r="E732" s="4"/>
      <c r="I732" s="135"/>
      <c r="J732" s="135"/>
      <c r="K732" s="135"/>
      <c r="L732" s="135"/>
    </row>
    <row r="733" spans="2:12" ht="12" customHeight="1" x14ac:dyDescent="0.15">
      <c r="B733" s="2"/>
      <c r="C733" s="4"/>
      <c r="D733" s="4"/>
      <c r="E733" s="4"/>
      <c r="I733" s="135"/>
      <c r="J733" s="135"/>
      <c r="K733" s="135"/>
      <c r="L733" s="135"/>
    </row>
    <row r="734" spans="2:12" ht="12" customHeight="1" x14ac:dyDescent="0.15">
      <c r="B734" s="2"/>
      <c r="C734" s="4"/>
      <c r="D734" s="4"/>
      <c r="E734" s="4"/>
      <c r="I734" s="135"/>
      <c r="J734" s="135"/>
      <c r="K734" s="135"/>
      <c r="L734" s="135"/>
    </row>
    <row r="735" spans="2:12" ht="12" customHeight="1" x14ac:dyDescent="0.15">
      <c r="B735" s="2"/>
      <c r="C735" s="4"/>
      <c r="D735" s="4"/>
      <c r="E735" s="4"/>
      <c r="I735" s="135"/>
      <c r="J735" s="135"/>
      <c r="K735" s="135"/>
      <c r="L735" s="135"/>
    </row>
    <row r="736" spans="2:12" ht="12" customHeight="1" x14ac:dyDescent="0.15">
      <c r="B736" s="2"/>
      <c r="C736" s="4"/>
      <c r="D736" s="4"/>
      <c r="E736" s="4"/>
      <c r="I736" s="135"/>
      <c r="J736" s="135"/>
      <c r="K736" s="135"/>
      <c r="L736" s="135"/>
    </row>
    <row r="737" spans="2:12" ht="12" customHeight="1" x14ac:dyDescent="0.15">
      <c r="B737" s="2"/>
      <c r="C737" s="4"/>
      <c r="D737" s="4"/>
      <c r="E737" s="4"/>
      <c r="I737" s="135"/>
      <c r="J737" s="135"/>
      <c r="K737" s="135"/>
      <c r="L737" s="135"/>
    </row>
    <row r="738" spans="2:12" ht="12" customHeight="1" x14ac:dyDescent="0.15">
      <c r="B738" s="2"/>
      <c r="C738" s="4"/>
      <c r="D738" s="4"/>
      <c r="E738" s="4"/>
      <c r="I738" s="135"/>
      <c r="J738" s="135"/>
      <c r="K738" s="135"/>
      <c r="L738" s="135"/>
    </row>
    <row r="739" spans="2:12" ht="12" customHeight="1" x14ac:dyDescent="0.15">
      <c r="B739" s="2"/>
      <c r="C739" s="4"/>
      <c r="D739" s="4"/>
      <c r="E739" s="4"/>
      <c r="I739" s="135"/>
      <c r="J739" s="135"/>
      <c r="K739" s="135"/>
      <c r="L739" s="135"/>
    </row>
    <row r="740" spans="2:12" ht="12" customHeight="1" x14ac:dyDescent="0.15">
      <c r="B740" s="2"/>
      <c r="C740" s="4"/>
      <c r="D740" s="4"/>
      <c r="E740" s="4"/>
      <c r="I740" s="135"/>
      <c r="J740" s="135"/>
      <c r="K740" s="135"/>
      <c r="L740" s="135"/>
    </row>
    <row r="741" spans="2:12" ht="12" customHeight="1" x14ac:dyDescent="0.15">
      <c r="B741" s="2"/>
      <c r="C741" s="4"/>
      <c r="D741" s="4"/>
      <c r="E741" s="4"/>
      <c r="I741" s="135"/>
      <c r="J741" s="135"/>
      <c r="K741" s="135"/>
      <c r="L741" s="135"/>
    </row>
    <row r="742" spans="2:12" ht="12" customHeight="1" x14ac:dyDescent="0.15">
      <c r="B742" s="2"/>
      <c r="C742" s="4"/>
      <c r="D742" s="4"/>
      <c r="E742" s="4"/>
      <c r="I742" s="135"/>
      <c r="J742" s="135"/>
      <c r="K742" s="135"/>
      <c r="L742" s="135"/>
    </row>
    <row r="743" spans="2:12" ht="12" customHeight="1" x14ac:dyDescent="0.15">
      <c r="B743" s="2"/>
      <c r="C743" s="4"/>
      <c r="D743" s="4"/>
      <c r="E743" s="4"/>
      <c r="I743" s="135"/>
      <c r="J743" s="135"/>
      <c r="K743" s="135"/>
      <c r="L743" s="135"/>
    </row>
    <row r="744" spans="2:12" ht="12" customHeight="1" x14ac:dyDescent="0.15">
      <c r="B744" s="2"/>
      <c r="C744" s="4"/>
      <c r="D744" s="4"/>
      <c r="E744" s="4"/>
      <c r="I744" s="135"/>
      <c r="J744" s="135"/>
      <c r="K744" s="135"/>
      <c r="L744" s="135"/>
    </row>
    <row r="745" spans="2:12" ht="12" customHeight="1" x14ac:dyDescent="0.15">
      <c r="B745" s="2"/>
      <c r="C745" s="4"/>
      <c r="D745" s="4"/>
      <c r="E745" s="4"/>
      <c r="I745" s="135"/>
      <c r="J745" s="135"/>
      <c r="K745" s="135"/>
      <c r="L745" s="135"/>
    </row>
    <row r="746" spans="2:12" ht="12" customHeight="1" x14ac:dyDescent="0.15">
      <c r="B746" s="2"/>
      <c r="C746" s="4"/>
      <c r="D746" s="4"/>
      <c r="E746" s="4"/>
      <c r="I746" s="135"/>
      <c r="J746" s="135"/>
      <c r="K746" s="135"/>
      <c r="L746" s="135"/>
    </row>
    <row r="747" spans="2:12" ht="12" customHeight="1" x14ac:dyDescent="0.15">
      <c r="B747" s="2"/>
      <c r="C747" s="4"/>
      <c r="D747" s="4"/>
      <c r="E747" s="4"/>
      <c r="I747" s="135"/>
      <c r="J747" s="135"/>
      <c r="K747" s="135"/>
      <c r="L747" s="135"/>
    </row>
    <row r="748" spans="2:12" ht="12" customHeight="1" x14ac:dyDescent="0.15">
      <c r="B748" s="2"/>
      <c r="C748" s="4"/>
      <c r="D748" s="4"/>
      <c r="E748" s="4"/>
      <c r="I748" s="135"/>
      <c r="J748" s="135"/>
      <c r="K748" s="135"/>
      <c r="L748" s="135"/>
    </row>
    <row r="749" spans="2:12" ht="12" customHeight="1" x14ac:dyDescent="0.15">
      <c r="B749" s="2"/>
      <c r="C749" s="4"/>
      <c r="D749" s="4"/>
      <c r="E749" s="4"/>
      <c r="I749" s="135"/>
      <c r="J749" s="135"/>
      <c r="K749" s="135"/>
      <c r="L749" s="135"/>
    </row>
    <row r="750" spans="2:12" ht="12" customHeight="1" x14ac:dyDescent="0.15">
      <c r="B750" s="2"/>
      <c r="C750" s="4"/>
      <c r="D750" s="4"/>
      <c r="E750" s="4"/>
      <c r="I750" s="135"/>
      <c r="J750" s="135"/>
      <c r="K750" s="135"/>
      <c r="L750" s="135"/>
    </row>
    <row r="751" spans="2:12" ht="12" customHeight="1" x14ac:dyDescent="0.15">
      <c r="B751" s="2"/>
      <c r="C751" s="4"/>
      <c r="D751" s="4"/>
      <c r="E751" s="4"/>
      <c r="I751" s="135"/>
      <c r="J751" s="135"/>
      <c r="K751" s="135"/>
      <c r="L751" s="135"/>
    </row>
    <row r="752" spans="2:12" ht="12" customHeight="1" x14ac:dyDescent="0.15">
      <c r="B752" s="2"/>
      <c r="C752" s="4"/>
      <c r="D752" s="4"/>
      <c r="E752" s="4"/>
      <c r="I752" s="135"/>
      <c r="J752" s="135"/>
      <c r="K752" s="135"/>
      <c r="L752" s="135"/>
    </row>
    <row r="753" spans="2:12" ht="12" customHeight="1" x14ac:dyDescent="0.15">
      <c r="B753" s="2"/>
      <c r="C753" s="4"/>
      <c r="D753" s="4"/>
      <c r="E753" s="4"/>
      <c r="I753" s="135"/>
      <c r="J753" s="135"/>
      <c r="K753" s="135"/>
      <c r="L753" s="135"/>
    </row>
    <row r="754" spans="2:12" ht="12" customHeight="1" x14ac:dyDescent="0.15">
      <c r="B754" s="2"/>
      <c r="C754" s="4"/>
      <c r="D754" s="4"/>
      <c r="E754" s="4"/>
      <c r="I754" s="135"/>
      <c r="J754" s="135"/>
      <c r="K754" s="135"/>
      <c r="L754" s="135"/>
    </row>
    <row r="755" spans="2:12" ht="12" customHeight="1" x14ac:dyDescent="0.15">
      <c r="B755" s="2"/>
      <c r="C755" s="4"/>
      <c r="D755" s="4"/>
      <c r="E755" s="4"/>
      <c r="I755" s="135"/>
      <c r="J755" s="135"/>
      <c r="K755" s="135"/>
      <c r="L755" s="135"/>
    </row>
    <row r="756" spans="2:12" ht="12" customHeight="1" x14ac:dyDescent="0.15">
      <c r="B756" s="2"/>
      <c r="C756" s="4"/>
      <c r="D756" s="4"/>
      <c r="E756" s="4"/>
      <c r="I756" s="135"/>
      <c r="J756" s="135"/>
      <c r="K756" s="135"/>
      <c r="L756" s="135"/>
    </row>
    <row r="757" spans="2:12" ht="12" customHeight="1" x14ac:dyDescent="0.15">
      <c r="B757" s="2"/>
      <c r="C757" s="4"/>
      <c r="D757" s="4"/>
      <c r="E757" s="4"/>
      <c r="I757" s="135"/>
      <c r="J757" s="135"/>
      <c r="K757" s="135"/>
      <c r="L757" s="135"/>
    </row>
    <row r="758" spans="2:12" ht="12" customHeight="1" x14ac:dyDescent="0.15">
      <c r="B758" s="2"/>
      <c r="C758" s="4"/>
      <c r="D758" s="4"/>
      <c r="E758" s="4"/>
      <c r="I758" s="135"/>
      <c r="J758" s="135"/>
      <c r="K758" s="135"/>
      <c r="L758" s="135"/>
    </row>
    <row r="759" spans="2:12" ht="12" customHeight="1" x14ac:dyDescent="0.15">
      <c r="B759" s="2"/>
      <c r="C759" s="4"/>
      <c r="D759" s="4"/>
      <c r="E759" s="4"/>
      <c r="I759" s="135"/>
      <c r="J759" s="135"/>
      <c r="K759" s="135"/>
      <c r="L759" s="135"/>
    </row>
    <row r="760" spans="2:12" ht="12" customHeight="1" x14ac:dyDescent="0.15">
      <c r="B760" s="2"/>
      <c r="C760" s="4"/>
      <c r="D760" s="4"/>
      <c r="E760" s="4"/>
      <c r="I760" s="135"/>
      <c r="J760" s="135"/>
      <c r="K760" s="135"/>
      <c r="L760" s="135"/>
    </row>
    <row r="761" spans="2:12" ht="12" customHeight="1" x14ac:dyDescent="0.15">
      <c r="B761" s="2"/>
      <c r="C761" s="4"/>
      <c r="D761" s="4"/>
      <c r="E761" s="4"/>
      <c r="I761" s="135"/>
      <c r="J761" s="135"/>
      <c r="K761" s="135"/>
      <c r="L761" s="135"/>
    </row>
    <row r="762" spans="2:12" ht="12" customHeight="1" x14ac:dyDescent="0.15">
      <c r="B762" s="2"/>
      <c r="C762" s="4"/>
      <c r="D762" s="4"/>
      <c r="E762" s="4"/>
      <c r="I762" s="135"/>
      <c r="J762" s="135"/>
      <c r="K762" s="135"/>
      <c r="L762" s="135"/>
    </row>
    <row r="763" spans="2:12" ht="12" customHeight="1" x14ac:dyDescent="0.15">
      <c r="B763" s="2"/>
      <c r="C763" s="4"/>
      <c r="D763" s="4"/>
      <c r="E763" s="4"/>
      <c r="I763" s="135"/>
      <c r="J763" s="135"/>
      <c r="K763" s="135"/>
      <c r="L763" s="135"/>
    </row>
    <row r="764" spans="2:12" ht="12" customHeight="1" x14ac:dyDescent="0.15">
      <c r="B764" s="2"/>
      <c r="C764" s="4"/>
      <c r="D764" s="4"/>
      <c r="E764" s="4"/>
      <c r="I764" s="135"/>
      <c r="J764" s="135"/>
      <c r="K764" s="135"/>
      <c r="L764" s="135"/>
    </row>
    <row r="765" spans="2:12" ht="12" customHeight="1" x14ac:dyDescent="0.15">
      <c r="B765" s="2"/>
      <c r="C765" s="4"/>
      <c r="D765" s="4"/>
      <c r="E765" s="4"/>
      <c r="I765" s="135"/>
      <c r="J765" s="135"/>
      <c r="K765" s="135"/>
      <c r="L765" s="135"/>
    </row>
    <row r="766" spans="2:12" ht="12" customHeight="1" x14ac:dyDescent="0.15">
      <c r="B766" s="2"/>
      <c r="C766" s="4"/>
      <c r="D766" s="4"/>
      <c r="E766" s="4"/>
      <c r="I766" s="135"/>
      <c r="J766" s="135"/>
      <c r="K766" s="135"/>
      <c r="L766" s="135"/>
    </row>
    <row r="767" spans="2:12" ht="12" customHeight="1" x14ac:dyDescent="0.15">
      <c r="B767" s="2"/>
      <c r="C767" s="4"/>
      <c r="D767" s="4"/>
      <c r="E767" s="4"/>
      <c r="I767" s="135"/>
      <c r="J767" s="135"/>
      <c r="K767" s="135"/>
      <c r="L767" s="135"/>
    </row>
    <row r="768" spans="2:12" ht="12" customHeight="1" x14ac:dyDescent="0.15">
      <c r="B768" s="2"/>
      <c r="C768" s="4"/>
      <c r="D768" s="4"/>
      <c r="E768" s="4"/>
      <c r="I768" s="135"/>
      <c r="J768" s="135"/>
      <c r="K768" s="135"/>
      <c r="L768" s="135"/>
    </row>
    <row r="769" spans="2:12" ht="12" customHeight="1" x14ac:dyDescent="0.15">
      <c r="B769" s="2"/>
      <c r="C769" s="4"/>
      <c r="D769" s="4"/>
      <c r="E769" s="4"/>
      <c r="I769" s="135"/>
      <c r="J769" s="135"/>
      <c r="K769" s="135"/>
      <c r="L769" s="135"/>
    </row>
    <row r="770" spans="2:12" ht="12" customHeight="1" x14ac:dyDescent="0.15">
      <c r="B770" s="2"/>
      <c r="C770" s="4"/>
      <c r="D770" s="4"/>
      <c r="E770" s="4"/>
      <c r="I770" s="135"/>
      <c r="J770" s="135"/>
      <c r="K770" s="135"/>
      <c r="L770" s="135"/>
    </row>
    <row r="771" spans="2:12" ht="12" customHeight="1" x14ac:dyDescent="0.15">
      <c r="B771" s="2"/>
      <c r="C771" s="4"/>
      <c r="D771" s="4"/>
      <c r="E771" s="4"/>
      <c r="I771" s="135"/>
      <c r="J771" s="135"/>
      <c r="K771" s="135"/>
      <c r="L771" s="135"/>
    </row>
    <row r="772" spans="2:12" ht="12" customHeight="1" x14ac:dyDescent="0.15">
      <c r="B772" s="2"/>
      <c r="C772" s="4"/>
      <c r="D772" s="4"/>
      <c r="E772" s="4"/>
      <c r="I772" s="135"/>
      <c r="J772" s="135"/>
      <c r="K772" s="135"/>
      <c r="L772" s="135"/>
    </row>
    <row r="773" spans="2:12" ht="12" customHeight="1" x14ac:dyDescent="0.15">
      <c r="B773" s="2"/>
      <c r="C773" s="4"/>
      <c r="D773" s="4"/>
      <c r="E773" s="4"/>
      <c r="I773" s="135"/>
      <c r="J773" s="135"/>
      <c r="K773" s="135"/>
      <c r="L773" s="135"/>
    </row>
    <row r="774" spans="2:12" ht="12" customHeight="1" x14ac:dyDescent="0.15">
      <c r="B774" s="2"/>
      <c r="C774" s="4"/>
      <c r="D774" s="4"/>
      <c r="E774" s="4"/>
      <c r="I774" s="135"/>
      <c r="J774" s="135"/>
      <c r="K774" s="135"/>
      <c r="L774" s="135"/>
    </row>
    <row r="775" spans="2:12" ht="12" customHeight="1" x14ac:dyDescent="0.15">
      <c r="B775" s="2"/>
      <c r="C775" s="4"/>
      <c r="D775" s="4"/>
      <c r="E775" s="4"/>
      <c r="I775" s="135"/>
      <c r="J775" s="135"/>
      <c r="K775" s="135"/>
      <c r="L775" s="135"/>
    </row>
    <row r="776" spans="2:12" ht="12" customHeight="1" x14ac:dyDescent="0.15">
      <c r="B776" s="2"/>
      <c r="C776" s="4"/>
      <c r="D776" s="4"/>
      <c r="E776" s="4"/>
      <c r="I776" s="135"/>
      <c r="J776" s="135"/>
      <c r="K776" s="135"/>
      <c r="L776" s="135"/>
    </row>
    <row r="777" spans="2:12" ht="12" customHeight="1" x14ac:dyDescent="0.15">
      <c r="B777" s="2"/>
      <c r="C777" s="4"/>
      <c r="D777" s="4"/>
      <c r="E777" s="4"/>
      <c r="I777" s="135"/>
      <c r="J777" s="135"/>
      <c r="K777" s="135"/>
      <c r="L777" s="135"/>
    </row>
    <row r="778" spans="2:12" ht="12" customHeight="1" x14ac:dyDescent="0.15">
      <c r="B778" s="2"/>
      <c r="C778" s="4"/>
      <c r="D778" s="4"/>
      <c r="E778" s="4"/>
      <c r="I778" s="135"/>
      <c r="J778" s="135"/>
      <c r="K778" s="135"/>
      <c r="L778" s="135"/>
    </row>
    <row r="779" spans="2:12" ht="12" customHeight="1" x14ac:dyDescent="0.15">
      <c r="B779" s="2"/>
      <c r="C779" s="4"/>
      <c r="D779" s="4"/>
      <c r="E779" s="4"/>
      <c r="I779" s="135"/>
      <c r="J779" s="135"/>
      <c r="K779" s="135"/>
      <c r="L779" s="135"/>
    </row>
    <row r="780" spans="2:12" ht="12" customHeight="1" x14ac:dyDescent="0.15">
      <c r="B780" s="2"/>
      <c r="C780" s="4"/>
      <c r="D780" s="4"/>
      <c r="E780" s="4"/>
      <c r="I780" s="135"/>
      <c r="J780" s="135"/>
      <c r="K780" s="135"/>
      <c r="L780" s="135"/>
    </row>
    <row r="781" spans="2:12" ht="12" customHeight="1" x14ac:dyDescent="0.15">
      <c r="B781" s="2"/>
      <c r="C781" s="4"/>
      <c r="D781" s="4"/>
      <c r="E781" s="4"/>
      <c r="I781" s="135"/>
      <c r="J781" s="135"/>
      <c r="K781" s="135"/>
      <c r="L781" s="135"/>
    </row>
    <row r="782" spans="2:12" ht="12" customHeight="1" x14ac:dyDescent="0.15">
      <c r="B782" s="2"/>
      <c r="C782" s="4"/>
      <c r="D782" s="4"/>
      <c r="E782" s="4"/>
      <c r="I782" s="135"/>
      <c r="J782" s="135"/>
      <c r="K782" s="135"/>
      <c r="L782" s="135"/>
    </row>
    <row r="783" spans="2:12" ht="12" customHeight="1" x14ac:dyDescent="0.15">
      <c r="B783" s="2"/>
      <c r="C783" s="4"/>
      <c r="D783" s="4"/>
      <c r="E783" s="4"/>
      <c r="I783" s="135"/>
      <c r="J783" s="135"/>
      <c r="K783" s="135"/>
      <c r="L783" s="135"/>
    </row>
    <row r="784" spans="2:12" ht="12" customHeight="1" x14ac:dyDescent="0.15">
      <c r="B784" s="2"/>
      <c r="C784" s="4"/>
      <c r="D784" s="4"/>
      <c r="E784" s="4"/>
      <c r="I784" s="135"/>
      <c r="J784" s="135"/>
      <c r="K784" s="135"/>
      <c r="L784" s="135"/>
    </row>
    <row r="785" spans="2:12" ht="12" customHeight="1" x14ac:dyDescent="0.15">
      <c r="B785" s="2"/>
      <c r="C785" s="4"/>
      <c r="D785" s="4"/>
      <c r="E785" s="4"/>
      <c r="I785" s="135"/>
      <c r="J785" s="135"/>
      <c r="K785" s="135"/>
      <c r="L785" s="135"/>
    </row>
    <row r="786" spans="2:12" ht="12" customHeight="1" x14ac:dyDescent="0.15">
      <c r="B786" s="2"/>
      <c r="C786" s="4"/>
      <c r="D786" s="4"/>
      <c r="E786" s="4"/>
      <c r="I786" s="135"/>
      <c r="J786" s="135"/>
      <c r="K786" s="135"/>
      <c r="L786" s="135"/>
    </row>
    <row r="787" spans="2:12" ht="12" customHeight="1" x14ac:dyDescent="0.15">
      <c r="B787" s="2"/>
      <c r="C787" s="4"/>
      <c r="D787" s="4"/>
      <c r="E787" s="4"/>
      <c r="I787" s="135"/>
      <c r="J787" s="135"/>
      <c r="K787" s="135"/>
      <c r="L787" s="135"/>
    </row>
    <row r="788" spans="2:12" ht="12" customHeight="1" x14ac:dyDescent="0.15">
      <c r="B788" s="2"/>
      <c r="C788" s="4"/>
      <c r="D788" s="4"/>
      <c r="E788" s="4"/>
      <c r="I788" s="135"/>
      <c r="J788" s="135"/>
      <c r="K788" s="135"/>
      <c r="L788" s="135"/>
    </row>
    <row r="789" spans="2:12" ht="12" customHeight="1" x14ac:dyDescent="0.15">
      <c r="B789" s="2"/>
      <c r="C789" s="4"/>
      <c r="D789" s="4"/>
      <c r="E789" s="4"/>
      <c r="I789" s="135"/>
      <c r="J789" s="135"/>
      <c r="K789" s="135"/>
      <c r="L789" s="135"/>
    </row>
    <row r="790" spans="2:12" ht="12" customHeight="1" x14ac:dyDescent="0.15">
      <c r="B790" s="2"/>
      <c r="C790" s="4"/>
      <c r="D790" s="4"/>
      <c r="E790" s="4"/>
      <c r="I790" s="135"/>
      <c r="J790" s="135"/>
      <c r="K790" s="135"/>
      <c r="L790" s="135"/>
    </row>
    <row r="791" spans="2:12" ht="12" customHeight="1" x14ac:dyDescent="0.15">
      <c r="B791" s="2"/>
      <c r="C791" s="4"/>
      <c r="D791" s="4"/>
      <c r="E791" s="4"/>
      <c r="I791" s="135"/>
      <c r="J791" s="135"/>
      <c r="K791" s="135"/>
      <c r="L791" s="135"/>
    </row>
    <row r="792" spans="2:12" ht="12" customHeight="1" x14ac:dyDescent="0.15">
      <c r="B792" s="2"/>
      <c r="C792" s="4"/>
      <c r="D792" s="4"/>
      <c r="E792" s="4"/>
      <c r="I792" s="135"/>
      <c r="J792" s="135"/>
      <c r="K792" s="135"/>
      <c r="L792" s="135"/>
    </row>
    <row r="793" spans="2:12" ht="12" customHeight="1" x14ac:dyDescent="0.15">
      <c r="B793" s="2"/>
      <c r="C793" s="4"/>
      <c r="D793" s="4"/>
      <c r="E793" s="4"/>
      <c r="I793" s="135"/>
      <c r="J793" s="135"/>
      <c r="K793" s="135"/>
      <c r="L793" s="135"/>
    </row>
    <row r="794" spans="2:12" ht="12" customHeight="1" x14ac:dyDescent="0.15">
      <c r="B794" s="2"/>
      <c r="C794" s="4"/>
      <c r="D794" s="4"/>
      <c r="E794" s="4"/>
      <c r="I794" s="135"/>
      <c r="J794" s="135"/>
      <c r="K794" s="135"/>
      <c r="L794" s="135"/>
    </row>
    <row r="795" spans="2:12" ht="12" customHeight="1" x14ac:dyDescent="0.15">
      <c r="B795" s="2"/>
      <c r="C795" s="4"/>
      <c r="D795" s="4"/>
      <c r="E795" s="4"/>
      <c r="I795" s="135"/>
      <c r="J795" s="135"/>
      <c r="K795" s="135"/>
      <c r="L795" s="135"/>
    </row>
    <row r="796" spans="2:12" ht="12" customHeight="1" x14ac:dyDescent="0.15">
      <c r="B796" s="2"/>
      <c r="C796" s="4"/>
      <c r="D796" s="4"/>
      <c r="E796" s="4"/>
      <c r="I796" s="135"/>
      <c r="J796" s="135"/>
      <c r="K796" s="135"/>
      <c r="L796" s="135"/>
    </row>
    <row r="797" spans="2:12" ht="12" customHeight="1" x14ac:dyDescent="0.15">
      <c r="B797" s="2"/>
      <c r="C797" s="4"/>
      <c r="D797" s="4"/>
      <c r="E797" s="4"/>
      <c r="I797" s="135"/>
      <c r="J797" s="135"/>
      <c r="K797" s="135"/>
      <c r="L797" s="135"/>
    </row>
    <row r="798" spans="2:12" ht="12" customHeight="1" x14ac:dyDescent="0.15">
      <c r="B798" s="2"/>
      <c r="C798" s="4"/>
      <c r="D798" s="4"/>
      <c r="E798" s="4"/>
      <c r="I798" s="135"/>
      <c r="J798" s="135"/>
      <c r="K798" s="135"/>
      <c r="L798" s="135"/>
    </row>
    <row r="799" spans="2:12" ht="12" customHeight="1" x14ac:dyDescent="0.15">
      <c r="B799" s="2"/>
      <c r="C799" s="4"/>
      <c r="D799" s="4"/>
      <c r="E799" s="4"/>
      <c r="I799" s="135"/>
      <c r="J799" s="135"/>
      <c r="K799" s="135"/>
      <c r="L799" s="135"/>
    </row>
    <row r="800" spans="2:12" ht="12" customHeight="1" x14ac:dyDescent="0.15">
      <c r="B800" s="2"/>
      <c r="C800" s="4"/>
      <c r="D800" s="4"/>
      <c r="E800" s="4"/>
      <c r="I800" s="135"/>
      <c r="J800" s="135"/>
      <c r="K800" s="135"/>
      <c r="L800" s="135"/>
    </row>
    <row r="801" spans="2:12" ht="12" customHeight="1" x14ac:dyDescent="0.15">
      <c r="B801" s="2"/>
      <c r="C801" s="4"/>
      <c r="D801" s="4"/>
      <c r="E801" s="4"/>
      <c r="I801" s="135"/>
      <c r="J801" s="135"/>
      <c r="K801" s="135"/>
      <c r="L801" s="135"/>
    </row>
    <row r="802" spans="2:12" ht="12" customHeight="1" x14ac:dyDescent="0.15">
      <c r="B802" s="2"/>
      <c r="C802" s="4"/>
      <c r="D802" s="4"/>
      <c r="E802" s="4"/>
      <c r="I802" s="135"/>
      <c r="J802" s="135"/>
      <c r="K802" s="135"/>
      <c r="L802" s="135"/>
    </row>
    <row r="803" spans="2:12" ht="12" customHeight="1" x14ac:dyDescent="0.15">
      <c r="B803" s="2"/>
      <c r="C803" s="4"/>
      <c r="D803" s="4"/>
      <c r="E803" s="4"/>
      <c r="I803" s="135"/>
      <c r="J803" s="135"/>
      <c r="K803" s="135"/>
      <c r="L803" s="135"/>
    </row>
    <row r="804" spans="2:12" ht="12" customHeight="1" x14ac:dyDescent="0.15">
      <c r="B804" s="2"/>
      <c r="C804" s="4"/>
      <c r="D804" s="4"/>
      <c r="E804" s="4"/>
      <c r="I804" s="135"/>
      <c r="J804" s="135"/>
      <c r="K804" s="135"/>
      <c r="L804" s="135"/>
    </row>
    <row r="805" spans="2:12" ht="12" customHeight="1" x14ac:dyDescent="0.15">
      <c r="B805" s="2"/>
      <c r="C805" s="4"/>
      <c r="D805" s="4"/>
      <c r="E805" s="4"/>
      <c r="I805" s="135"/>
      <c r="J805" s="135"/>
      <c r="K805" s="135"/>
      <c r="L805" s="135"/>
    </row>
    <row r="806" spans="2:12" ht="12" customHeight="1" x14ac:dyDescent="0.15">
      <c r="B806" s="2"/>
      <c r="C806" s="4"/>
      <c r="D806" s="4"/>
      <c r="E806" s="4"/>
      <c r="I806" s="135"/>
      <c r="J806" s="135"/>
      <c r="K806" s="135"/>
      <c r="L806" s="135"/>
    </row>
    <row r="807" spans="2:12" ht="12" customHeight="1" x14ac:dyDescent="0.15">
      <c r="B807" s="2"/>
      <c r="C807" s="4"/>
      <c r="D807" s="4"/>
      <c r="E807" s="4"/>
      <c r="I807" s="135"/>
      <c r="J807" s="135"/>
      <c r="K807" s="135"/>
      <c r="L807" s="135"/>
    </row>
    <row r="808" spans="2:12" ht="12" customHeight="1" x14ac:dyDescent="0.15">
      <c r="B808" s="2"/>
      <c r="C808" s="4"/>
      <c r="D808" s="4"/>
      <c r="E808" s="4"/>
      <c r="I808" s="135"/>
      <c r="J808" s="135"/>
      <c r="K808" s="135"/>
      <c r="L808" s="135"/>
    </row>
    <row r="809" spans="2:12" ht="12" customHeight="1" x14ac:dyDescent="0.15">
      <c r="B809" s="2"/>
      <c r="C809" s="4"/>
      <c r="D809" s="4"/>
      <c r="E809" s="4"/>
      <c r="I809" s="135"/>
      <c r="J809" s="135"/>
      <c r="K809" s="135"/>
      <c r="L809" s="135"/>
    </row>
    <row r="810" spans="2:12" ht="12" customHeight="1" x14ac:dyDescent="0.15">
      <c r="B810" s="2"/>
      <c r="C810" s="4"/>
      <c r="D810" s="4"/>
      <c r="E810" s="4"/>
      <c r="I810" s="135"/>
      <c r="J810" s="135"/>
      <c r="K810" s="135"/>
      <c r="L810" s="135"/>
    </row>
    <row r="811" spans="2:12" ht="12" customHeight="1" x14ac:dyDescent="0.15">
      <c r="B811" s="2"/>
      <c r="C811" s="4"/>
      <c r="D811" s="4"/>
      <c r="E811" s="4"/>
      <c r="I811" s="135"/>
      <c r="J811" s="135"/>
      <c r="K811" s="135"/>
      <c r="L811" s="135"/>
    </row>
    <row r="812" spans="2:12" ht="12" customHeight="1" x14ac:dyDescent="0.15">
      <c r="B812" s="2"/>
      <c r="C812" s="4"/>
      <c r="D812" s="4"/>
      <c r="E812" s="4"/>
      <c r="I812" s="135"/>
      <c r="J812" s="135"/>
      <c r="K812" s="135"/>
      <c r="L812" s="135"/>
    </row>
    <row r="813" spans="2:12" ht="12" customHeight="1" x14ac:dyDescent="0.15">
      <c r="B813" s="2"/>
      <c r="C813" s="4"/>
      <c r="D813" s="4"/>
      <c r="E813" s="4"/>
      <c r="I813" s="135"/>
      <c r="J813" s="135"/>
      <c r="K813" s="135"/>
      <c r="L813" s="135"/>
    </row>
    <row r="814" spans="2:12" ht="12" customHeight="1" x14ac:dyDescent="0.15">
      <c r="B814" s="2"/>
      <c r="C814" s="4"/>
      <c r="D814" s="4"/>
      <c r="E814" s="4"/>
      <c r="I814" s="135"/>
      <c r="J814" s="135"/>
      <c r="K814" s="135"/>
      <c r="L814" s="135"/>
    </row>
    <row r="815" spans="2:12" ht="12" customHeight="1" x14ac:dyDescent="0.15">
      <c r="B815" s="2"/>
      <c r="C815" s="4"/>
      <c r="D815" s="4"/>
      <c r="E815" s="4"/>
      <c r="I815" s="135"/>
      <c r="J815" s="135"/>
      <c r="K815" s="135"/>
      <c r="L815" s="135"/>
    </row>
    <row r="816" spans="2:12" ht="12" customHeight="1" x14ac:dyDescent="0.15">
      <c r="B816" s="2"/>
      <c r="C816" s="4"/>
      <c r="D816" s="4"/>
      <c r="E816" s="4"/>
      <c r="I816" s="135"/>
      <c r="J816" s="135"/>
      <c r="K816" s="135"/>
      <c r="L816" s="135"/>
    </row>
    <row r="817" spans="2:12" ht="12" customHeight="1" x14ac:dyDescent="0.15">
      <c r="B817" s="2"/>
      <c r="C817" s="4"/>
      <c r="D817" s="4"/>
      <c r="E817" s="4"/>
      <c r="I817" s="135"/>
      <c r="J817" s="135"/>
      <c r="K817" s="135"/>
      <c r="L817" s="135"/>
    </row>
    <row r="818" spans="2:12" ht="12" customHeight="1" x14ac:dyDescent="0.15">
      <c r="B818" s="2"/>
      <c r="C818" s="4"/>
      <c r="D818" s="4"/>
      <c r="E818" s="4"/>
      <c r="I818" s="135"/>
      <c r="J818" s="135"/>
      <c r="K818" s="135"/>
      <c r="L818" s="135"/>
    </row>
    <row r="819" spans="2:12" ht="12" customHeight="1" x14ac:dyDescent="0.15">
      <c r="B819" s="2"/>
      <c r="C819" s="4"/>
      <c r="D819" s="4"/>
      <c r="E819" s="4"/>
      <c r="I819" s="135"/>
      <c r="J819" s="135"/>
      <c r="K819" s="135"/>
      <c r="L819" s="135"/>
    </row>
    <row r="820" spans="2:12" ht="12" customHeight="1" x14ac:dyDescent="0.15">
      <c r="B820" s="2"/>
      <c r="C820" s="4"/>
      <c r="D820" s="4"/>
      <c r="E820" s="4"/>
      <c r="I820" s="135"/>
      <c r="J820" s="135"/>
      <c r="K820" s="135"/>
      <c r="L820" s="135"/>
    </row>
    <row r="821" spans="2:12" ht="12" customHeight="1" x14ac:dyDescent="0.15">
      <c r="B821" s="2"/>
      <c r="C821" s="4"/>
      <c r="D821" s="4"/>
      <c r="E821" s="4"/>
      <c r="I821" s="135"/>
      <c r="J821" s="135"/>
      <c r="K821" s="135"/>
      <c r="L821" s="135"/>
    </row>
    <row r="822" spans="2:12" ht="12" customHeight="1" x14ac:dyDescent="0.15">
      <c r="B822" s="2"/>
      <c r="C822" s="4"/>
      <c r="D822" s="4"/>
      <c r="E822" s="4"/>
      <c r="I822" s="135"/>
      <c r="J822" s="135"/>
      <c r="K822" s="135"/>
      <c r="L822" s="135"/>
    </row>
    <row r="823" spans="2:12" ht="12" customHeight="1" x14ac:dyDescent="0.15">
      <c r="B823" s="2"/>
      <c r="C823" s="4"/>
      <c r="D823" s="4"/>
      <c r="E823" s="4"/>
      <c r="I823" s="135"/>
      <c r="J823" s="135"/>
      <c r="K823" s="135"/>
      <c r="L823" s="135"/>
    </row>
    <row r="824" spans="2:12" ht="12" customHeight="1" x14ac:dyDescent="0.15">
      <c r="B824" s="2"/>
      <c r="C824" s="4"/>
      <c r="D824" s="4"/>
      <c r="E824" s="4"/>
      <c r="I824" s="135"/>
      <c r="J824" s="135"/>
      <c r="K824" s="135"/>
      <c r="L824" s="135"/>
    </row>
    <row r="825" spans="2:12" ht="12" customHeight="1" x14ac:dyDescent="0.15">
      <c r="B825" s="2"/>
      <c r="C825" s="4"/>
      <c r="D825" s="4"/>
      <c r="E825" s="4"/>
      <c r="I825" s="135"/>
      <c r="J825" s="135"/>
      <c r="K825" s="135"/>
      <c r="L825" s="135"/>
    </row>
    <row r="826" spans="2:12" ht="12" customHeight="1" x14ac:dyDescent="0.15">
      <c r="B826" s="2"/>
      <c r="C826" s="4"/>
      <c r="D826" s="4"/>
      <c r="E826" s="4"/>
      <c r="I826" s="135"/>
      <c r="J826" s="135"/>
      <c r="K826" s="135"/>
      <c r="L826" s="135"/>
    </row>
    <row r="827" spans="2:12" ht="12" customHeight="1" x14ac:dyDescent="0.15">
      <c r="B827" s="2"/>
      <c r="C827" s="4"/>
      <c r="D827" s="4"/>
      <c r="E827" s="4"/>
      <c r="I827" s="135"/>
      <c r="J827" s="135"/>
      <c r="K827" s="135"/>
      <c r="L827" s="135"/>
    </row>
    <row r="828" spans="2:12" ht="12" customHeight="1" x14ac:dyDescent="0.15">
      <c r="B828" s="2"/>
      <c r="C828" s="4"/>
      <c r="D828" s="4"/>
      <c r="E828" s="4"/>
      <c r="I828" s="135"/>
      <c r="J828" s="135"/>
      <c r="K828" s="135"/>
      <c r="L828" s="135"/>
    </row>
    <row r="829" spans="2:12" ht="12" customHeight="1" x14ac:dyDescent="0.15">
      <c r="B829" s="2"/>
      <c r="C829" s="4"/>
      <c r="D829" s="4"/>
      <c r="E829" s="4"/>
      <c r="I829" s="135"/>
      <c r="J829" s="135"/>
      <c r="K829" s="135"/>
      <c r="L829" s="135"/>
    </row>
    <row r="830" spans="2:12" ht="12" customHeight="1" x14ac:dyDescent="0.15">
      <c r="B830" s="2"/>
      <c r="C830" s="4"/>
      <c r="D830" s="4"/>
      <c r="E830" s="4"/>
      <c r="I830" s="135"/>
      <c r="J830" s="135"/>
      <c r="K830" s="135"/>
      <c r="L830" s="135"/>
    </row>
    <row r="831" spans="2:12" ht="12" customHeight="1" x14ac:dyDescent="0.15">
      <c r="B831" s="2"/>
      <c r="C831" s="4"/>
      <c r="D831" s="4"/>
      <c r="E831" s="4"/>
      <c r="I831" s="135"/>
      <c r="J831" s="135"/>
      <c r="K831" s="135"/>
      <c r="L831" s="135"/>
    </row>
    <row r="832" spans="2:12" ht="12" customHeight="1" x14ac:dyDescent="0.15">
      <c r="B832" s="2"/>
      <c r="C832" s="4"/>
      <c r="D832" s="4"/>
      <c r="E832" s="4"/>
      <c r="I832" s="135"/>
      <c r="J832" s="135"/>
      <c r="K832" s="135"/>
      <c r="L832" s="135"/>
    </row>
    <row r="833" spans="2:12" ht="12" customHeight="1" x14ac:dyDescent="0.15">
      <c r="B833" s="2"/>
      <c r="C833" s="4"/>
      <c r="D833" s="4"/>
      <c r="E833" s="4"/>
      <c r="I833" s="135"/>
      <c r="J833" s="135"/>
      <c r="K833" s="135"/>
      <c r="L833" s="135"/>
    </row>
    <row r="834" spans="2:12" ht="12" customHeight="1" x14ac:dyDescent="0.15">
      <c r="B834" s="2"/>
      <c r="C834" s="4"/>
      <c r="D834" s="4"/>
      <c r="E834" s="4"/>
      <c r="I834" s="135"/>
      <c r="J834" s="135"/>
      <c r="K834" s="135"/>
      <c r="L834" s="135"/>
    </row>
    <row r="835" spans="2:12" ht="12" customHeight="1" x14ac:dyDescent="0.15">
      <c r="B835" s="2"/>
      <c r="C835" s="4"/>
      <c r="D835" s="4"/>
      <c r="E835" s="4"/>
      <c r="I835" s="135"/>
      <c r="J835" s="135"/>
      <c r="K835" s="135"/>
      <c r="L835" s="135"/>
    </row>
    <row r="836" spans="2:12" ht="12" customHeight="1" x14ac:dyDescent="0.15">
      <c r="B836" s="2"/>
      <c r="C836" s="4"/>
      <c r="D836" s="4"/>
      <c r="E836" s="4"/>
      <c r="I836" s="135"/>
      <c r="J836" s="135"/>
      <c r="K836" s="135"/>
      <c r="L836" s="135"/>
    </row>
    <row r="837" spans="2:12" ht="12" customHeight="1" x14ac:dyDescent="0.15">
      <c r="B837" s="2"/>
      <c r="C837" s="4"/>
      <c r="D837" s="4"/>
      <c r="E837" s="4"/>
      <c r="I837" s="135"/>
      <c r="J837" s="135"/>
      <c r="K837" s="135"/>
      <c r="L837" s="135"/>
    </row>
    <row r="838" spans="2:12" ht="12" customHeight="1" x14ac:dyDescent="0.15">
      <c r="B838" s="2"/>
      <c r="C838" s="4"/>
      <c r="D838" s="4"/>
      <c r="E838" s="4"/>
      <c r="I838" s="135"/>
      <c r="J838" s="135"/>
      <c r="K838" s="135"/>
      <c r="L838" s="135"/>
    </row>
    <row r="839" spans="2:12" ht="12" customHeight="1" x14ac:dyDescent="0.15">
      <c r="B839" s="2"/>
      <c r="C839" s="4"/>
      <c r="D839" s="4"/>
      <c r="E839" s="4"/>
      <c r="I839" s="135"/>
      <c r="J839" s="135"/>
      <c r="K839" s="135"/>
      <c r="L839" s="135"/>
    </row>
    <row r="840" spans="2:12" ht="12" customHeight="1" x14ac:dyDescent="0.15">
      <c r="B840" s="2"/>
      <c r="C840" s="4"/>
      <c r="D840" s="4"/>
      <c r="E840" s="4"/>
      <c r="I840" s="135"/>
      <c r="J840" s="135"/>
      <c r="K840" s="135"/>
      <c r="L840" s="135"/>
    </row>
    <row r="841" spans="2:12" ht="12" customHeight="1" x14ac:dyDescent="0.15">
      <c r="B841" s="2"/>
      <c r="C841" s="4"/>
      <c r="D841" s="4"/>
      <c r="E841" s="4"/>
      <c r="I841" s="135"/>
      <c r="J841" s="135"/>
      <c r="K841" s="135"/>
      <c r="L841" s="135"/>
    </row>
    <row r="842" spans="2:12" ht="12" customHeight="1" x14ac:dyDescent="0.15">
      <c r="B842" s="2"/>
      <c r="C842" s="4"/>
      <c r="D842" s="4"/>
      <c r="E842" s="4"/>
      <c r="I842" s="135"/>
      <c r="J842" s="135"/>
      <c r="K842" s="135"/>
      <c r="L842" s="135"/>
    </row>
    <row r="843" spans="2:12" ht="12" customHeight="1" x14ac:dyDescent="0.15">
      <c r="B843" s="2"/>
      <c r="C843" s="4"/>
      <c r="D843" s="4"/>
      <c r="E843" s="4"/>
      <c r="I843" s="135"/>
      <c r="J843" s="135"/>
      <c r="K843" s="135"/>
      <c r="L843" s="135"/>
    </row>
    <row r="844" spans="2:12" ht="12" customHeight="1" x14ac:dyDescent="0.15">
      <c r="B844" s="2"/>
      <c r="C844" s="4"/>
      <c r="D844" s="4"/>
      <c r="E844" s="4"/>
      <c r="I844" s="135"/>
      <c r="J844" s="135"/>
      <c r="K844" s="135"/>
      <c r="L844" s="135"/>
    </row>
    <row r="845" spans="2:12" ht="12" customHeight="1" x14ac:dyDescent="0.15">
      <c r="B845" s="2"/>
      <c r="C845" s="4"/>
      <c r="D845" s="4"/>
      <c r="E845" s="4"/>
      <c r="I845" s="135"/>
      <c r="J845" s="135"/>
      <c r="K845" s="135"/>
      <c r="L845" s="135"/>
    </row>
    <row r="846" spans="2:12" ht="12" customHeight="1" x14ac:dyDescent="0.15">
      <c r="B846" s="2"/>
      <c r="C846" s="4"/>
      <c r="D846" s="4"/>
      <c r="E846" s="4"/>
      <c r="I846" s="135"/>
      <c r="J846" s="135"/>
      <c r="K846" s="135"/>
      <c r="L846" s="135"/>
    </row>
    <row r="847" spans="2:12" ht="12" customHeight="1" x14ac:dyDescent="0.15">
      <c r="B847" s="2"/>
      <c r="C847" s="4"/>
      <c r="D847" s="4"/>
      <c r="E847" s="4"/>
      <c r="I847" s="135"/>
      <c r="J847" s="135"/>
      <c r="K847" s="135"/>
      <c r="L847" s="135"/>
    </row>
    <row r="848" spans="2:12" ht="12" customHeight="1" x14ac:dyDescent="0.15">
      <c r="B848" s="2"/>
      <c r="C848" s="4"/>
      <c r="D848" s="4"/>
      <c r="E848" s="4"/>
      <c r="I848" s="135"/>
      <c r="J848" s="135"/>
      <c r="K848" s="135"/>
      <c r="L848" s="135"/>
    </row>
    <row r="849" spans="2:12" ht="12" customHeight="1" x14ac:dyDescent="0.15">
      <c r="B849" s="2"/>
      <c r="C849" s="4"/>
      <c r="D849" s="4"/>
      <c r="E849" s="4"/>
      <c r="I849" s="135"/>
      <c r="J849" s="135"/>
      <c r="K849" s="135"/>
      <c r="L849" s="135"/>
    </row>
    <row r="850" spans="2:12" ht="12" customHeight="1" x14ac:dyDescent="0.15">
      <c r="B850" s="2"/>
      <c r="C850" s="4"/>
      <c r="D850" s="4"/>
      <c r="E850" s="4"/>
      <c r="I850" s="135"/>
      <c r="J850" s="135"/>
      <c r="K850" s="135"/>
      <c r="L850" s="135"/>
    </row>
    <row r="851" spans="2:12" ht="12" customHeight="1" x14ac:dyDescent="0.15">
      <c r="B851" s="2"/>
      <c r="C851" s="4"/>
      <c r="D851" s="4"/>
      <c r="E851" s="4"/>
      <c r="I851" s="135"/>
      <c r="J851" s="135"/>
      <c r="K851" s="135"/>
      <c r="L851" s="135"/>
    </row>
    <row r="852" spans="2:12" ht="12" customHeight="1" x14ac:dyDescent="0.15">
      <c r="B852" s="2"/>
      <c r="C852" s="4"/>
      <c r="D852" s="4"/>
      <c r="E852" s="4"/>
      <c r="I852" s="135"/>
      <c r="J852" s="135"/>
      <c r="K852" s="135"/>
      <c r="L852" s="135"/>
    </row>
    <row r="853" spans="2:12" ht="12" customHeight="1" x14ac:dyDescent="0.15">
      <c r="B853" s="2"/>
      <c r="C853" s="4"/>
      <c r="D853" s="4"/>
      <c r="E853" s="4"/>
      <c r="I853" s="135"/>
      <c r="J853" s="135"/>
      <c r="K853" s="135"/>
      <c r="L853" s="135"/>
    </row>
    <row r="854" spans="2:12" ht="12" customHeight="1" x14ac:dyDescent="0.15">
      <c r="B854" s="2"/>
      <c r="C854" s="4"/>
      <c r="D854" s="4"/>
      <c r="E854" s="4"/>
      <c r="I854" s="135"/>
      <c r="J854" s="135"/>
      <c r="K854" s="135"/>
      <c r="L854" s="135"/>
    </row>
    <row r="855" spans="2:12" ht="12" customHeight="1" x14ac:dyDescent="0.15">
      <c r="B855" s="2"/>
      <c r="C855" s="4"/>
      <c r="D855" s="4"/>
      <c r="E855" s="4"/>
      <c r="I855" s="135"/>
      <c r="J855" s="135"/>
      <c r="K855" s="135"/>
      <c r="L855" s="135"/>
    </row>
    <row r="856" spans="2:12" ht="12" customHeight="1" x14ac:dyDescent="0.15">
      <c r="B856" s="2"/>
      <c r="C856" s="4"/>
      <c r="D856" s="4"/>
      <c r="E856" s="4"/>
      <c r="I856" s="135"/>
      <c r="J856" s="135"/>
      <c r="K856" s="135"/>
      <c r="L856" s="135"/>
    </row>
    <row r="857" spans="2:12" ht="12" customHeight="1" x14ac:dyDescent="0.15">
      <c r="B857" s="2"/>
      <c r="C857" s="4"/>
      <c r="D857" s="4"/>
      <c r="E857" s="4"/>
      <c r="I857" s="135"/>
      <c r="J857" s="135"/>
      <c r="K857" s="135"/>
      <c r="L857" s="135"/>
    </row>
    <row r="858" spans="2:12" ht="12" customHeight="1" x14ac:dyDescent="0.15">
      <c r="B858" s="2"/>
      <c r="C858" s="4"/>
      <c r="D858" s="4"/>
      <c r="E858" s="4"/>
      <c r="I858" s="135"/>
      <c r="J858" s="135"/>
      <c r="K858" s="135"/>
      <c r="L858" s="135"/>
    </row>
    <row r="859" spans="2:12" ht="12" customHeight="1" x14ac:dyDescent="0.15">
      <c r="B859" s="2"/>
      <c r="C859" s="4"/>
      <c r="D859" s="4"/>
      <c r="E859" s="4"/>
      <c r="I859" s="135"/>
      <c r="J859" s="135"/>
      <c r="K859" s="135"/>
      <c r="L859" s="135"/>
    </row>
    <row r="860" spans="2:12" ht="12" customHeight="1" x14ac:dyDescent="0.15">
      <c r="B860" s="2"/>
      <c r="C860" s="4"/>
      <c r="D860" s="4"/>
      <c r="E860" s="4"/>
      <c r="I860" s="135"/>
      <c r="J860" s="135"/>
      <c r="K860" s="135"/>
      <c r="L860" s="135"/>
    </row>
    <row r="861" spans="2:12" ht="12" customHeight="1" x14ac:dyDescent="0.15">
      <c r="B861" s="2"/>
      <c r="C861" s="4"/>
      <c r="D861" s="4"/>
      <c r="E861" s="4"/>
      <c r="I861" s="135"/>
      <c r="J861" s="135"/>
      <c r="K861" s="135"/>
      <c r="L861" s="135"/>
    </row>
    <row r="862" spans="2:12" ht="12" customHeight="1" x14ac:dyDescent="0.15">
      <c r="B862" s="2"/>
      <c r="C862" s="4"/>
      <c r="D862" s="4"/>
      <c r="E862" s="4"/>
      <c r="I862" s="135"/>
      <c r="J862" s="135"/>
      <c r="K862" s="135"/>
      <c r="L862" s="135"/>
    </row>
    <row r="863" spans="2:12" ht="12" customHeight="1" x14ac:dyDescent="0.15">
      <c r="B863" s="2"/>
      <c r="C863" s="4"/>
      <c r="D863" s="4"/>
      <c r="E863" s="4"/>
      <c r="I863" s="135"/>
      <c r="J863" s="135"/>
      <c r="K863" s="135"/>
      <c r="L863" s="135"/>
    </row>
    <row r="864" spans="2:12" ht="12" customHeight="1" x14ac:dyDescent="0.15">
      <c r="B864" s="2"/>
      <c r="C864" s="4"/>
      <c r="D864" s="4"/>
      <c r="E864" s="4"/>
      <c r="I864" s="135"/>
      <c r="J864" s="135"/>
      <c r="K864" s="135"/>
      <c r="L864" s="135"/>
    </row>
    <row r="865" spans="2:12" ht="12" customHeight="1" x14ac:dyDescent="0.15">
      <c r="B865" s="2"/>
      <c r="C865" s="4"/>
      <c r="D865" s="4"/>
      <c r="E865" s="4"/>
      <c r="I865" s="135"/>
      <c r="J865" s="135"/>
      <c r="K865" s="135"/>
      <c r="L865" s="135"/>
    </row>
    <row r="866" spans="2:12" ht="12" customHeight="1" x14ac:dyDescent="0.15">
      <c r="B866" s="2"/>
      <c r="C866" s="4"/>
      <c r="D866" s="4"/>
      <c r="E866" s="4"/>
      <c r="I866" s="135"/>
      <c r="J866" s="135"/>
      <c r="K866" s="135"/>
      <c r="L866" s="135"/>
    </row>
    <row r="867" spans="2:12" ht="12" customHeight="1" x14ac:dyDescent="0.15">
      <c r="B867" s="2"/>
      <c r="C867" s="4"/>
      <c r="D867" s="4"/>
      <c r="E867" s="4"/>
      <c r="I867" s="135"/>
      <c r="J867" s="135"/>
      <c r="K867" s="135"/>
      <c r="L867" s="135"/>
    </row>
    <row r="868" spans="2:12" ht="12" customHeight="1" x14ac:dyDescent="0.15">
      <c r="B868" s="2"/>
      <c r="C868" s="4"/>
      <c r="D868" s="4"/>
      <c r="E868" s="4"/>
      <c r="I868" s="135"/>
      <c r="J868" s="135"/>
      <c r="K868" s="135"/>
      <c r="L868" s="135"/>
    </row>
    <row r="869" spans="2:12" ht="12" customHeight="1" x14ac:dyDescent="0.15">
      <c r="B869" s="2"/>
      <c r="C869" s="4"/>
      <c r="D869" s="4"/>
      <c r="E869" s="4"/>
      <c r="I869" s="135"/>
      <c r="J869" s="135"/>
      <c r="K869" s="135"/>
      <c r="L869" s="135"/>
    </row>
    <row r="870" spans="2:12" ht="12" customHeight="1" x14ac:dyDescent="0.15">
      <c r="B870" s="2"/>
      <c r="C870" s="4"/>
      <c r="D870" s="4"/>
      <c r="E870" s="4"/>
      <c r="I870" s="135"/>
      <c r="J870" s="135"/>
      <c r="K870" s="135"/>
      <c r="L870" s="135"/>
    </row>
    <row r="871" spans="2:12" ht="12" customHeight="1" x14ac:dyDescent="0.15">
      <c r="B871" s="2"/>
      <c r="C871" s="4"/>
      <c r="D871" s="4"/>
      <c r="E871" s="4"/>
      <c r="I871" s="135"/>
      <c r="J871" s="135"/>
      <c r="K871" s="135"/>
      <c r="L871" s="135"/>
    </row>
    <row r="872" spans="2:12" ht="12" customHeight="1" x14ac:dyDescent="0.15">
      <c r="B872" s="2"/>
      <c r="C872" s="4"/>
      <c r="D872" s="4"/>
      <c r="E872" s="4"/>
      <c r="I872" s="135"/>
      <c r="J872" s="135"/>
      <c r="K872" s="135"/>
      <c r="L872" s="135"/>
    </row>
    <row r="873" spans="2:12" ht="12" customHeight="1" x14ac:dyDescent="0.15">
      <c r="B873" s="2"/>
      <c r="C873" s="4"/>
      <c r="D873" s="4"/>
      <c r="E873" s="4"/>
      <c r="I873" s="135"/>
      <c r="J873" s="135"/>
      <c r="K873" s="135"/>
      <c r="L873" s="135"/>
    </row>
    <row r="874" spans="2:12" ht="12" customHeight="1" x14ac:dyDescent="0.15">
      <c r="B874" s="2"/>
      <c r="C874" s="4"/>
      <c r="D874" s="4"/>
      <c r="E874" s="4"/>
      <c r="I874" s="135"/>
      <c r="J874" s="135"/>
      <c r="K874" s="135"/>
      <c r="L874" s="135"/>
    </row>
    <row r="875" spans="2:12" ht="12" customHeight="1" x14ac:dyDescent="0.15">
      <c r="B875" s="2"/>
      <c r="C875" s="4"/>
      <c r="D875" s="4"/>
      <c r="E875" s="4"/>
      <c r="I875" s="135"/>
      <c r="J875" s="135"/>
      <c r="K875" s="135"/>
      <c r="L875" s="135"/>
    </row>
    <row r="876" spans="2:12" ht="12" customHeight="1" x14ac:dyDescent="0.15">
      <c r="B876" s="2"/>
      <c r="C876" s="4"/>
      <c r="D876" s="4"/>
      <c r="E876" s="4"/>
      <c r="I876" s="135"/>
      <c r="J876" s="135"/>
      <c r="K876" s="135"/>
      <c r="L876" s="135"/>
    </row>
    <row r="877" spans="2:12" ht="12" customHeight="1" x14ac:dyDescent="0.15">
      <c r="B877" s="2"/>
      <c r="C877" s="4"/>
      <c r="D877" s="4"/>
      <c r="E877" s="4"/>
      <c r="I877" s="135"/>
      <c r="J877" s="135"/>
      <c r="K877" s="135"/>
      <c r="L877" s="135"/>
    </row>
    <row r="878" spans="2:12" ht="12" customHeight="1" x14ac:dyDescent="0.15">
      <c r="B878" s="2"/>
      <c r="C878" s="4"/>
      <c r="D878" s="4"/>
      <c r="E878" s="4"/>
      <c r="I878" s="135"/>
      <c r="J878" s="135"/>
      <c r="K878" s="135"/>
      <c r="L878" s="135"/>
    </row>
    <row r="879" spans="2:12" ht="12" customHeight="1" x14ac:dyDescent="0.15">
      <c r="B879" s="2"/>
      <c r="C879" s="4"/>
      <c r="D879" s="4"/>
      <c r="E879" s="4"/>
      <c r="I879" s="135"/>
      <c r="J879" s="135"/>
      <c r="K879" s="135"/>
      <c r="L879" s="135"/>
    </row>
    <row r="880" spans="2:12" ht="12" customHeight="1" x14ac:dyDescent="0.15">
      <c r="B880" s="2"/>
      <c r="C880" s="4"/>
      <c r="D880" s="4"/>
      <c r="E880" s="4"/>
      <c r="I880" s="135"/>
      <c r="J880" s="135"/>
      <c r="K880" s="135"/>
      <c r="L880" s="135"/>
    </row>
    <row r="881" spans="2:12" ht="12" customHeight="1" x14ac:dyDescent="0.15">
      <c r="B881" s="2"/>
      <c r="C881" s="4"/>
      <c r="D881" s="4"/>
      <c r="E881" s="4"/>
      <c r="I881" s="135"/>
      <c r="J881" s="135"/>
      <c r="K881" s="135"/>
      <c r="L881" s="135"/>
    </row>
    <row r="882" spans="2:12" ht="12" customHeight="1" x14ac:dyDescent="0.15">
      <c r="B882" s="2"/>
      <c r="C882" s="4"/>
      <c r="D882" s="4"/>
      <c r="E882" s="4"/>
      <c r="I882" s="135"/>
      <c r="J882" s="135"/>
      <c r="K882" s="135"/>
      <c r="L882" s="135"/>
    </row>
    <row r="883" spans="2:12" ht="12" customHeight="1" x14ac:dyDescent="0.15">
      <c r="B883" s="2"/>
      <c r="C883" s="4"/>
      <c r="D883" s="4"/>
      <c r="E883" s="4"/>
      <c r="I883" s="135"/>
      <c r="J883" s="135"/>
      <c r="K883" s="135"/>
      <c r="L883" s="135"/>
    </row>
    <row r="884" spans="2:12" ht="12" customHeight="1" x14ac:dyDescent="0.15">
      <c r="B884" s="2"/>
      <c r="C884" s="4"/>
      <c r="D884" s="4"/>
      <c r="E884" s="4"/>
      <c r="I884" s="135"/>
      <c r="J884" s="135"/>
      <c r="K884" s="135"/>
      <c r="L884" s="135"/>
    </row>
    <row r="885" spans="2:12" ht="12" customHeight="1" x14ac:dyDescent="0.15">
      <c r="B885" s="2"/>
      <c r="C885" s="4"/>
      <c r="D885" s="4"/>
      <c r="E885" s="4"/>
      <c r="I885" s="135"/>
      <c r="J885" s="135"/>
      <c r="K885" s="135"/>
      <c r="L885" s="135"/>
    </row>
    <row r="886" spans="2:12" ht="12" customHeight="1" x14ac:dyDescent="0.15">
      <c r="B886" s="2"/>
      <c r="C886" s="4"/>
      <c r="D886" s="4"/>
      <c r="E886" s="4"/>
      <c r="I886" s="135"/>
      <c r="J886" s="135"/>
      <c r="K886" s="135"/>
      <c r="L886" s="135"/>
    </row>
    <row r="887" spans="2:12" ht="12" customHeight="1" x14ac:dyDescent="0.15">
      <c r="B887" s="2"/>
      <c r="C887" s="4"/>
      <c r="D887" s="4"/>
      <c r="E887" s="4"/>
      <c r="I887" s="135"/>
      <c r="J887" s="135"/>
      <c r="K887" s="135"/>
      <c r="L887" s="135"/>
    </row>
    <row r="888" spans="2:12" ht="12" customHeight="1" x14ac:dyDescent="0.15">
      <c r="B888" s="2"/>
      <c r="C888" s="4"/>
      <c r="D888" s="4"/>
      <c r="E888" s="4"/>
      <c r="I888" s="135"/>
      <c r="J888" s="135"/>
      <c r="K888" s="135"/>
      <c r="L888" s="135"/>
    </row>
    <row r="889" spans="2:12" ht="12" customHeight="1" x14ac:dyDescent="0.15">
      <c r="B889" s="2"/>
      <c r="C889" s="4"/>
      <c r="D889" s="4"/>
      <c r="E889" s="4"/>
      <c r="I889" s="135"/>
      <c r="J889" s="135"/>
      <c r="K889" s="135"/>
      <c r="L889" s="135"/>
    </row>
    <row r="890" spans="2:12" ht="12" customHeight="1" x14ac:dyDescent="0.15">
      <c r="B890" s="2"/>
      <c r="C890" s="4"/>
      <c r="D890" s="4"/>
      <c r="E890" s="4"/>
      <c r="I890" s="135"/>
      <c r="J890" s="135"/>
      <c r="K890" s="135"/>
      <c r="L890" s="135"/>
    </row>
    <row r="891" spans="2:12" ht="12" customHeight="1" x14ac:dyDescent="0.15">
      <c r="B891" s="2"/>
      <c r="C891" s="4"/>
      <c r="D891" s="4"/>
      <c r="E891" s="4"/>
      <c r="I891" s="135"/>
      <c r="J891" s="135"/>
      <c r="K891" s="135"/>
      <c r="L891" s="135"/>
    </row>
    <row r="892" spans="2:12" ht="12" customHeight="1" x14ac:dyDescent="0.15">
      <c r="B892" s="2"/>
      <c r="C892" s="4"/>
      <c r="D892" s="4"/>
      <c r="E892" s="4"/>
      <c r="I892" s="135"/>
      <c r="J892" s="135"/>
      <c r="K892" s="135"/>
      <c r="L892" s="135"/>
    </row>
    <row r="893" spans="2:12" ht="12" customHeight="1" x14ac:dyDescent="0.15">
      <c r="B893" s="2"/>
      <c r="C893" s="4"/>
      <c r="D893" s="4"/>
      <c r="E893" s="4"/>
      <c r="I893" s="135"/>
      <c r="J893" s="135"/>
      <c r="K893" s="135"/>
      <c r="L893" s="135"/>
    </row>
    <row r="894" spans="2:12" ht="12" customHeight="1" x14ac:dyDescent="0.15">
      <c r="B894" s="2"/>
      <c r="C894" s="4"/>
      <c r="D894" s="4"/>
      <c r="E894" s="4"/>
      <c r="I894" s="135"/>
      <c r="J894" s="135"/>
      <c r="K894" s="135"/>
      <c r="L894" s="135"/>
    </row>
    <row r="895" spans="2:12" ht="12" customHeight="1" x14ac:dyDescent="0.15">
      <c r="B895" s="2"/>
      <c r="C895" s="4"/>
      <c r="D895" s="4"/>
      <c r="E895" s="4"/>
      <c r="I895" s="135"/>
      <c r="J895" s="135"/>
      <c r="K895" s="135"/>
      <c r="L895" s="135"/>
    </row>
    <row r="896" spans="2:12" ht="12" customHeight="1" x14ac:dyDescent="0.15">
      <c r="B896" s="2"/>
      <c r="C896" s="4"/>
      <c r="D896" s="4"/>
      <c r="E896" s="4"/>
      <c r="I896" s="135"/>
      <c r="J896" s="135"/>
      <c r="K896" s="135"/>
      <c r="L896" s="135"/>
    </row>
    <row r="897" spans="2:12" ht="12" customHeight="1" x14ac:dyDescent="0.15">
      <c r="B897" s="2"/>
      <c r="C897" s="4"/>
      <c r="D897" s="4"/>
      <c r="E897" s="4"/>
      <c r="I897" s="135"/>
      <c r="J897" s="135"/>
      <c r="K897" s="135"/>
      <c r="L897" s="135"/>
    </row>
    <row r="898" spans="2:12" ht="12" customHeight="1" x14ac:dyDescent="0.15">
      <c r="B898" s="2"/>
      <c r="C898" s="4"/>
      <c r="D898" s="4"/>
      <c r="E898" s="4"/>
      <c r="I898" s="135"/>
      <c r="J898" s="135"/>
      <c r="K898" s="135"/>
      <c r="L898" s="135"/>
    </row>
    <row r="899" spans="2:12" ht="12" customHeight="1" x14ac:dyDescent="0.15">
      <c r="B899" s="2"/>
      <c r="C899" s="4"/>
      <c r="D899" s="4"/>
      <c r="E899" s="4"/>
      <c r="I899" s="135"/>
      <c r="J899" s="135"/>
      <c r="K899" s="135"/>
      <c r="L899" s="135"/>
    </row>
    <row r="900" spans="2:12" ht="12" customHeight="1" x14ac:dyDescent="0.15">
      <c r="B900" s="2"/>
      <c r="C900" s="4"/>
      <c r="D900" s="4"/>
      <c r="E900" s="4"/>
      <c r="I900" s="135"/>
      <c r="J900" s="135"/>
      <c r="K900" s="135"/>
      <c r="L900" s="135"/>
    </row>
    <row r="901" spans="2:12" ht="12" customHeight="1" x14ac:dyDescent="0.15">
      <c r="B901" s="2"/>
      <c r="C901" s="4"/>
      <c r="D901" s="4"/>
      <c r="E901" s="4"/>
      <c r="I901" s="135"/>
      <c r="J901" s="135"/>
      <c r="K901" s="135"/>
      <c r="L901" s="135"/>
    </row>
    <row r="902" spans="2:12" ht="12" customHeight="1" x14ac:dyDescent="0.15">
      <c r="B902" s="2"/>
      <c r="C902" s="4"/>
      <c r="D902" s="4"/>
      <c r="E902" s="4"/>
      <c r="I902" s="135"/>
      <c r="J902" s="135"/>
      <c r="K902" s="135"/>
      <c r="L902" s="135"/>
    </row>
    <row r="903" spans="2:12" ht="12" customHeight="1" x14ac:dyDescent="0.15">
      <c r="B903" s="2"/>
      <c r="C903" s="4"/>
      <c r="D903" s="4"/>
      <c r="E903" s="4"/>
      <c r="I903" s="135"/>
      <c r="J903" s="135"/>
      <c r="K903" s="135"/>
      <c r="L903" s="135"/>
    </row>
    <row r="904" spans="2:12" ht="12" customHeight="1" x14ac:dyDescent="0.15">
      <c r="B904" s="2"/>
      <c r="C904" s="4"/>
      <c r="D904" s="4"/>
      <c r="E904" s="4"/>
      <c r="I904" s="135"/>
      <c r="J904" s="135"/>
      <c r="K904" s="135"/>
      <c r="L904" s="135"/>
    </row>
    <row r="905" spans="2:12" ht="12" customHeight="1" x14ac:dyDescent="0.15">
      <c r="B905" s="2"/>
      <c r="C905" s="4"/>
      <c r="D905" s="4"/>
      <c r="E905" s="4"/>
      <c r="I905" s="135"/>
      <c r="J905" s="135"/>
      <c r="K905" s="135"/>
      <c r="L905" s="135"/>
    </row>
    <row r="906" spans="2:12" ht="12" customHeight="1" x14ac:dyDescent="0.15">
      <c r="B906" s="2"/>
      <c r="C906" s="4"/>
      <c r="D906" s="4"/>
      <c r="E906" s="4"/>
      <c r="I906" s="135"/>
      <c r="J906" s="135"/>
      <c r="K906" s="135"/>
      <c r="L906" s="135"/>
    </row>
    <row r="907" spans="2:12" ht="12" customHeight="1" x14ac:dyDescent="0.15">
      <c r="B907" s="2"/>
      <c r="C907" s="4"/>
      <c r="D907" s="4"/>
      <c r="E907" s="4"/>
      <c r="I907" s="135"/>
      <c r="J907" s="135"/>
      <c r="K907" s="135"/>
      <c r="L907" s="135"/>
    </row>
    <row r="908" spans="2:12" ht="12" customHeight="1" x14ac:dyDescent="0.15">
      <c r="B908" s="2"/>
      <c r="C908" s="4"/>
      <c r="D908" s="4"/>
      <c r="E908" s="4"/>
      <c r="I908" s="135"/>
      <c r="J908" s="135"/>
      <c r="K908" s="135"/>
      <c r="L908" s="135"/>
    </row>
    <row r="909" spans="2:12" ht="12" customHeight="1" x14ac:dyDescent="0.15">
      <c r="B909" s="2"/>
      <c r="C909" s="4"/>
      <c r="D909" s="4"/>
      <c r="E909" s="4"/>
      <c r="I909" s="135"/>
      <c r="J909" s="135"/>
      <c r="K909" s="135"/>
      <c r="L909" s="135"/>
    </row>
    <row r="910" spans="2:12" ht="12" customHeight="1" x14ac:dyDescent="0.15">
      <c r="B910" s="2"/>
      <c r="C910" s="4"/>
      <c r="D910" s="4"/>
      <c r="E910" s="4"/>
      <c r="I910" s="135"/>
      <c r="J910" s="135"/>
      <c r="K910" s="135"/>
      <c r="L910" s="135"/>
    </row>
    <row r="911" spans="2:12" ht="12" customHeight="1" x14ac:dyDescent="0.15">
      <c r="B911" s="2"/>
      <c r="C911" s="4"/>
      <c r="D911" s="4"/>
      <c r="E911" s="4"/>
      <c r="I911" s="135"/>
      <c r="J911" s="135"/>
      <c r="K911" s="135"/>
      <c r="L911" s="135"/>
    </row>
    <row r="912" spans="2:12" ht="12" customHeight="1" x14ac:dyDescent="0.15">
      <c r="B912" s="2"/>
      <c r="C912" s="4"/>
      <c r="D912" s="4"/>
      <c r="E912" s="4"/>
      <c r="I912" s="135"/>
      <c r="J912" s="135"/>
      <c r="K912" s="135"/>
      <c r="L912" s="135"/>
    </row>
    <row r="913" spans="2:12" ht="12" customHeight="1" x14ac:dyDescent="0.15">
      <c r="B913" s="2"/>
      <c r="C913" s="4"/>
      <c r="D913" s="4"/>
      <c r="E913" s="4"/>
      <c r="I913" s="135"/>
      <c r="J913" s="135"/>
      <c r="K913" s="135"/>
      <c r="L913" s="135"/>
    </row>
    <row r="914" spans="2:12" ht="12" customHeight="1" x14ac:dyDescent="0.15">
      <c r="B914" s="2"/>
      <c r="C914" s="4"/>
      <c r="D914" s="4"/>
      <c r="E914" s="4"/>
      <c r="I914" s="135"/>
      <c r="J914" s="135"/>
      <c r="K914" s="135"/>
      <c r="L914" s="135"/>
    </row>
    <row r="915" spans="2:12" ht="12" customHeight="1" x14ac:dyDescent="0.15">
      <c r="B915" s="2"/>
      <c r="C915" s="4"/>
      <c r="D915" s="4"/>
      <c r="E915" s="4"/>
      <c r="I915" s="135"/>
      <c r="J915" s="135"/>
      <c r="K915" s="135"/>
      <c r="L915" s="135"/>
    </row>
    <row r="916" spans="2:12" ht="12" customHeight="1" x14ac:dyDescent="0.15">
      <c r="B916" s="2"/>
      <c r="C916" s="4"/>
      <c r="D916" s="4"/>
      <c r="E916" s="4"/>
      <c r="I916" s="135"/>
      <c r="J916" s="135"/>
      <c r="K916" s="135"/>
      <c r="L916" s="135"/>
    </row>
    <row r="917" spans="2:12" ht="12" customHeight="1" x14ac:dyDescent="0.15">
      <c r="B917" s="2"/>
      <c r="C917" s="4"/>
      <c r="D917" s="4"/>
      <c r="E917" s="4"/>
      <c r="I917" s="135"/>
      <c r="J917" s="135"/>
      <c r="K917" s="135"/>
      <c r="L917" s="135"/>
    </row>
    <row r="918" spans="2:12" ht="12" customHeight="1" x14ac:dyDescent="0.15">
      <c r="B918" s="2"/>
      <c r="C918" s="4"/>
      <c r="D918" s="4"/>
      <c r="E918" s="4"/>
      <c r="I918" s="135"/>
      <c r="J918" s="135"/>
      <c r="K918" s="135"/>
      <c r="L918" s="135"/>
    </row>
    <row r="919" spans="2:12" ht="12" customHeight="1" x14ac:dyDescent="0.15">
      <c r="B919" s="2"/>
      <c r="C919" s="4"/>
      <c r="D919" s="4"/>
      <c r="E919" s="4"/>
      <c r="I919" s="135"/>
      <c r="J919" s="135"/>
      <c r="K919" s="135"/>
      <c r="L919" s="135"/>
    </row>
    <row r="920" spans="2:12" ht="12" customHeight="1" x14ac:dyDescent="0.15">
      <c r="B920" s="2"/>
      <c r="C920" s="4"/>
      <c r="D920" s="4"/>
      <c r="E920" s="4"/>
      <c r="I920" s="135"/>
      <c r="J920" s="135"/>
      <c r="K920" s="135"/>
      <c r="L920" s="135"/>
    </row>
    <row r="921" spans="2:12" ht="12" customHeight="1" x14ac:dyDescent="0.15">
      <c r="B921" s="2"/>
      <c r="C921" s="4"/>
      <c r="D921" s="4"/>
      <c r="E921" s="4"/>
      <c r="I921" s="135"/>
      <c r="J921" s="135"/>
      <c r="K921" s="135"/>
      <c r="L921" s="135"/>
    </row>
    <row r="922" spans="2:12" ht="12" customHeight="1" x14ac:dyDescent="0.15">
      <c r="B922" s="2"/>
      <c r="C922" s="4"/>
      <c r="D922" s="4"/>
      <c r="E922" s="4"/>
      <c r="I922" s="135"/>
      <c r="J922" s="135"/>
      <c r="K922" s="135"/>
      <c r="L922" s="135"/>
    </row>
    <row r="923" spans="2:12" ht="12" customHeight="1" x14ac:dyDescent="0.15">
      <c r="B923" s="2"/>
      <c r="C923" s="4"/>
      <c r="D923" s="4"/>
      <c r="E923" s="4"/>
      <c r="I923" s="135"/>
      <c r="J923" s="135"/>
      <c r="K923" s="135"/>
      <c r="L923" s="135"/>
    </row>
    <row r="924" spans="2:12" ht="12" customHeight="1" x14ac:dyDescent="0.15">
      <c r="B924" s="2"/>
      <c r="C924" s="4"/>
      <c r="D924" s="4"/>
      <c r="E924" s="4"/>
      <c r="I924" s="135"/>
      <c r="J924" s="135"/>
      <c r="K924" s="135"/>
      <c r="L924" s="135"/>
    </row>
    <row r="925" spans="2:12" ht="12" customHeight="1" x14ac:dyDescent="0.15">
      <c r="B925" s="2"/>
      <c r="C925" s="4"/>
      <c r="D925" s="4"/>
      <c r="E925" s="4"/>
      <c r="I925" s="135"/>
      <c r="J925" s="135"/>
      <c r="K925" s="135"/>
      <c r="L925" s="135"/>
    </row>
    <row r="926" spans="2:12" ht="12" customHeight="1" x14ac:dyDescent="0.15">
      <c r="B926" s="2"/>
      <c r="C926" s="4"/>
      <c r="D926" s="4"/>
      <c r="E926" s="4"/>
      <c r="I926" s="135"/>
      <c r="J926" s="135"/>
      <c r="K926" s="135"/>
      <c r="L926" s="135"/>
    </row>
    <row r="927" spans="2:12" ht="12" customHeight="1" x14ac:dyDescent="0.15">
      <c r="B927" s="2"/>
      <c r="C927" s="4"/>
      <c r="D927" s="4"/>
      <c r="E927" s="4"/>
      <c r="I927" s="135"/>
      <c r="J927" s="135"/>
      <c r="K927" s="135"/>
      <c r="L927" s="135"/>
    </row>
    <row r="928" spans="2:12" ht="12" customHeight="1" x14ac:dyDescent="0.15">
      <c r="B928" s="2"/>
      <c r="C928" s="4"/>
      <c r="D928" s="4"/>
      <c r="E928" s="4"/>
      <c r="I928" s="135"/>
      <c r="J928" s="135"/>
      <c r="K928" s="135"/>
      <c r="L928" s="135"/>
    </row>
    <row r="929" spans="2:12" ht="12" customHeight="1" x14ac:dyDescent="0.15">
      <c r="B929" s="2"/>
      <c r="C929" s="4"/>
      <c r="D929" s="4"/>
      <c r="E929" s="4"/>
      <c r="I929" s="135"/>
      <c r="J929" s="135"/>
      <c r="K929" s="135"/>
      <c r="L929" s="135"/>
    </row>
    <row r="930" spans="2:12" ht="12" customHeight="1" x14ac:dyDescent="0.15">
      <c r="B930" s="2"/>
      <c r="C930" s="4"/>
      <c r="D930" s="4"/>
      <c r="E930" s="4"/>
      <c r="I930" s="135"/>
      <c r="J930" s="135"/>
      <c r="K930" s="135"/>
      <c r="L930" s="135"/>
    </row>
    <row r="931" spans="2:12" ht="12" customHeight="1" x14ac:dyDescent="0.15">
      <c r="B931" s="2"/>
      <c r="C931" s="4"/>
      <c r="D931" s="4"/>
      <c r="E931" s="4"/>
      <c r="I931" s="135"/>
      <c r="J931" s="135"/>
      <c r="K931" s="135"/>
      <c r="L931" s="135"/>
    </row>
    <row r="932" spans="2:12" ht="12" customHeight="1" x14ac:dyDescent="0.15">
      <c r="B932" s="2"/>
      <c r="C932" s="4"/>
      <c r="D932" s="4"/>
      <c r="E932" s="4"/>
      <c r="I932" s="135"/>
      <c r="J932" s="135"/>
      <c r="K932" s="135"/>
      <c r="L932" s="135"/>
    </row>
    <row r="933" spans="2:12" ht="12" customHeight="1" x14ac:dyDescent="0.15">
      <c r="B933" s="2"/>
      <c r="C933" s="4"/>
      <c r="D933" s="4"/>
      <c r="E933" s="4"/>
      <c r="I933" s="135"/>
      <c r="J933" s="135"/>
      <c r="K933" s="135"/>
      <c r="L933" s="135"/>
    </row>
    <row r="934" spans="2:12" ht="12" customHeight="1" x14ac:dyDescent="0.15">
      <c r="B934" s="2"/>
      <c r="C934" s="4"/>
      <c r="D934" s="4"/>
      <c r="E934" s="4"/>
      <c r="I934" s="135"/>
      <c r="J934" s="135"/>
      <c r="K934" s="135"/>
      <c r="L934" s="135"/>
    </row>
    <row r="935" spans="2:12" ht="12" customHeight="1" x14ac:dyDescent="0.15">
      <c r="B935" s="2"/>
      <c r="C935" s="4"/>
      <c r="D935" s="4"/>
      <c r="E935" s="4"/>
      <c r="I935" s="135"/>
      <c r="J935" s="135"/>
      <c r="K935" s="135"/>
      <c r="L935" s="135"/>
    </row>
    <row r="936" spans="2:12" ht="12" customHeight="1" x14ac:dyDescent="0.15">
      <c r="B936" s="2"/>
      <c r="C936" s="4"/>
      <c r="D936" s="4"/>
      <c r="E936" s="4"/>
      <c r="I936" s="135"/>
      <c r="J936" s="135"/>
      <c r="K936" s="135"/>
      <c r="L936" s="135"/>
    </row>
    <row r="937" spans="2:12" ht="12" customHeight="1" x14ac:dyDescent="0.15">
      <c r="B937" s="2"/>
      <c r="C937" s="4"/>
      <c r="D937" s="4"/>
      <c r="E937" s="4"/>
      <c r="I937" s="135"/>
      <c r="J937" s="135"/>
      <c r="K937" s="135"/>
      <c r="L937" s="135"/>
    </row>
    <row r="938" spans="2:12" ht="12" customHeight="1" x14ac:dyDescent="0.15">
      <c r="B938" s="2"/>
      <c r="C938" s="4"/>
      <c r="D938" s="4"/>
      <c r="E938" s="4"/>
      <c r="I938" s="135"/>
      <c r="J938" s="135"/>
      <c r="K938" s="135"/>
      <c r="L938" s="135"/>
    </row>
    <row r="939" spans="2:12" ht="12" customHeight="1" x14ac:dyDescent="0.15">
      <c r="B939" s="2"/>
      <c r="C939" s="4"/>
      <c r="D939" s="4"/>
      <c r="E939" s="4"/>
      <c r="I939" s="135"/>
      <c r="J939" s="135"/>
      <c r="K939" s="135"/>
      <c r="L939" s="135"/>
    </row>
    <row r="940" spans="2:12" ht="12" customHeight="1" x14ac:dyDescent="0.15">
      <c r="B940" s="2"/>
      <c r="C940" s="4"/>
      <c r="D940" s="4"/>
      <c r="E940" s="4"/>
      <c r="I940" s="135"/>
      <c r="J940" s="135"/>
      <c r="K940" s="135"/>
      <c r="L940" s="135"/>
    </row>
    <row r="941" spans="2:12" ht="12" customHeight="1" x14ac:dyDescent="0.15">
      <c r="B941" s="2"/>
      <c r="C941" s="4"/>
      <c r="D941" s="4"/>
      <c r="E941" s="4"/>
      <c r="I941" s="135"/>
      <c r="J941" s="135"/>
      <c r="K941" s="135"/>
      <c r="L941" s="135"/>
    </row>
    <row r="942" spans="2:12" ht="12" customHeight="1" x14ac:dyDescent="0.15">
      <c r="B942" s="2"/>
      <c r="C942" s="4"/>
      <c r="D942" s="4"/>
      <c r="E942" s="4"/>
      <c r="I942" s="135"/>
      <c r="J942" s="135"/>
      <c r="K942" s="135"/>
      <c r="L942" s="135"/>
    </row>
    <row r="943" spans="2:12" ht="12" customHeight="1" x14ac:dyDescent="0.15">
      <c r="B943" s="2"/>
      <c r="C943" s="4"/>
      <c r="D943" s="4"/>
      <c r="E943" s="4"/>
      <c r="I943" s="135"/>
      <c r="J943" s="135"/>
      <c r="K943" s="135"/>
      <c r="L943" s="135"/>
    </row>
    <row r="944" spans="2:12" ht="12" customHeight="1" x14ac:dyDescent="0.15">
      <c r="B944" s="2"/>
      <c r="C944" s="4"/>
      <c r="D944" s="4"/>
      <c r="E944" s="4"/>
      <c r="I944" s="135"/>
      <c r="J944" s="135"/>
      <c r="K944" s="135"/>
      <c r="L944" s="135"/>
    </row>
    <row r="945" spans="2:12" ht="12" customHeight="1" x14ac:dyDescent="0.15">
      <c r="B945" s="2"/>
      <c r="C945" s="4"/>
      <c r="D945" s="4"/>
      <c r="E945" s="4"/>
      <c r="I945" s="135"/>
      <c r="J945" s="135"/>
      <c r="K945" s="135"/>
      <c r="L945" s="135"/>
    </row>
    <row r="946" spans="2:12" ht="12" customHeight="1" x14ac:dyDescent="0.15">
      <c r="B946" s="2"/>
      <c r="C946" s="4"/>
      <c r="D946" s="4"/>
      <c r="E946" s="4"/>
      <c r="I946" s="135"/>
      <c r="J946" s="135"/>
      <c r="K946" s="135"/>
      <c r="L946" s="135"/>
    </row>
    <row r="947" spans="2:12" ht="12" customHeight="1" x14ac:dyDescent="0.15">
      <c r="B947" s="2"/>
      <c r="C947" s="4"/>
      <c r="D947" s="4"/>
      <c r="E947" s="4"/>
      <c r="I947" s="135"/>
      <c r="J947" s="135"/>
      <c r="K947" s="135"/>
      <c r="L947" s="135"/>
    </row>
    <row r="948" spans="2:12" ht="12" customHeight="1" x14ac:dyDescent="0.15">
      <c r="B948" s="2"/>
      <c r="C948" s="4"/>
      <c r="D948" s="4"/>
      <c r="E948" s="4"/>
      <c r="I948" s="135"/>
      <c r="J948" s="135"/>
      <c r="K948" s="135"/>
      <c r="L948" s="135"/>
    </row>
    <row r="949" spans="2:12" ht="12" customHeight="1" x14ac:dyDescent="0.15">
      <c r="B949" s="2"/>
      <c r="C949" s="4"/>
      <c r="D949" s="4"/>
      <c r="E949" s="4"/>
      <c r="I949" s="135"/>
      <c r="J949" s="135"/>
      <c r="K949" s="135"/>
      <c r="L949" s="135"/>
    </row>
    <row r="950" spans="2:12" ht="12" customHeight="1" x14ac:dyDescent="0.15">
      <c r="B950" s="2"/>
      <c r="C950" s="4"/>
      <c r="D950" s="4"/>
      <c r="E950" s="4"/>
      <c r="I950" s="135"/>
      <c r="J950" s="135"/>
      <c r="K950" s="135"/>
      <c r="L950" s="135"/>
    </row>
    <row r="951" spans="2:12" ht="12" customHeight="1" x14ac:dyDescent="0.15">
      <c r="B951" s="2"/>
      <c r="C951" s="4"/>
      <c r="D951" s="4"/>
      <c r="E951" s="4"/>
      <c r="I951" s="135"/>
      <c r="J951" s="135"/>
      <c r="K951" s="135"/>
      <c r="L951" s="135"/>
    </row>
    <row r="952" spans="2:12" ht="12" customHeight="1" x14ac:dyDescent="0.15">
      <c r="B952" s="2"/>
      <c r="C952" s="4"/>
      <c r="D952" s="4"/>
      <c r="E952" s="4"/>
      <c r="I952" s="135"/>
      <c r="J952" s="135"/>
      <c r="K952" s="135"/>
      <c r="L952" s="135"/>
    </row>
    <row r="953" spans="2:12" ht="12" customHeight="1" x14ac:dyDescent="0.15">
      <c r="B953" s="2"/>
      <c r="C953" s="4"/>
      <c r="D953" s="4"/>
      <c r="E953" s="4"/>
      <c r="I953" s="135"/>
      <c r="J953" s="135"/>
      <c r="K953" s="135"/>
      <c r="L953" s="135"/>
    </row>
    <row r="954" spans="2:12" ht="12" customHeight="1" x14ac:dyDescent="0.15">
      <c r="B954" s="2"/>
      <c r="C954" s="4"/>
      <c r="D954" s="4"/>
      <c r="E954" s="4"/>
      <c r="I954" s="135"/>
      <c r="J954" s="135"/>
      <c r="K954" s="135"/>
      <c r="L954" s="135"/>
    </row>
    <row r="955" spans="2:12" ht="12" customHeight="1" x14ac:dyDescent="0.15">
      <c r="B955" s="2"/>
      <c r="C955" s="4"/>
      <c r="D955" s="4"/>
      <c r="E955" s="4"/>
      <c r="I955" s="135"/>
      <c r="J955" s="135"/>
      <c r="K955" s="135"/>
      <c r="L955" s="135"/>
    </row>
    <row r="956" spans="2:12" ht="12" customHeight="1" x14ac:dyDescent="0.15">
      <c r="B956" s="2"/>
      <c r="C956" s="4"/>
      <c r="D956" s="4"/>
      <c r="E956" s="4"/>
      <c r="I956" s="135"/>
      <c r="J956" s="135"/>
      <c r="K956" s="135"/>
      <c r="L956" s="135"/>
    </row>
    <row r="957" spans="2:12" ht="12" customHeight="1" x14ac:dyDescent="0.15">
      <c r="B957" s="2"/>
      <c r="C957" s="4"/>
      <c r="D957" s="4"/>
      <c r="E957" s="4"/>
      <c r="I957" s="135"/>
      <c r="J957" s="135"/>
      <c r="K957" s="135"/>
      <c r="L957" s="135"/>
    </row>
    <row r="958" spans="2:12" ht="12" customHeight="1" x14ac:dyDescent="0.15">
      <c r="B958" s="2"/>
      <c r="C958" s="4"/>
      <c r="D958" s="4"/>
      <c r="E958" s="4"/>
      <c r="I958" s="135"/>
      <c r="J958" s="135"/>
      <c r="K958" s="135"/>
      <c r="L958" s="135"/>
    </row>
    <row r="959" spans="2:12" ht="12" customHeight="1" x14ac:dyDescent="0.15">
      <c r="B959" s="2"/>
      <c r="C959" s="4"/>
      <c r="D959" s="4"/>
      <c r="E959" s="4"/>
      <c r="I959" s="135"/>
      <c r="J959" s="135"/>
      <c r="K959" s="135"/>
      <c r="L959" s="135"/>
    </row>
    <row r="960" spans="2:12" ht="12" customHeight="1" x14ac:dyDescent="0.15">
      <c r="B960" s="2"/>
      <c r="C960" s="4"/>
      <c r="D960" s="4"/>
      <c r="E960" s="4"/>
      <c r="I960" s="135"/>
      <c r="J960" s="135"/>
      <c r="K960" s="135"/>
      <c r="L960" s="135"/>
    </row>
    <row r="961" spans="2:12" ht="12" customHeight="1" x14ac:dyDescent="0.15">
      <c r="B961" s="2"/>
      <c r="C961" s="4"/>
      <c r="D961" s="4"/>
      <c r="E961" s="4"/>
      <c r="I961" s="135"/>
      <c r="J961" s="135"/>
      <c r="K961" s="135"/>
      <c r="L961" s="135"/>
    </row>
    <row r="962" spans="2:12" ht="12" customHeight="1" x14ac:dyDescent="0.15">
      <c r="B962" s="2"/>
      <c r="C962" s="4"/>
      <c r="D962" s="4"/>
      <c r="E962" s="4"/>
      <c r="I962" s="135"/>
      <c r="J962" s="135"/>
      <c r="K962" s="135"/>
      <c r="L962" s="135"/>
    </row>
    <row r="963" spans="2:12" ht="12" customHeight="1" x14ac:dyDescent="0.15">
      <c r="B963" s="2"/>
      <c r="C963" s="4"/>
      <c r="D963" s="4"/>
      <c r="E963" s="4"/>
      <c r="I963" s="135"/>
      <c r="J963" s="135"/>
      <c r="K963" s="135"/>
      <c r="L963" s="135"/>
    </row>
    <row r="964" spans="2:12" ht="12" customHeight="1" x14ac:dyDescent="0.15">
      <c r="B964" s="2"/>
      <c r="C964" s="4"/>
      <c r="D964" s="4"/>
      <c r="E964" s="4"/>
      <c r="I964" s="135"/>
      <c r="J964" s="135"/>
      <c r="K964" s="135"/>
      <c r="L964" s="135"/>
    </row>
    <row r="965" spans="2:12" ht="12" customHeight="1" x14ac:dyDescent="0.15">
      <c r="B965" s="2"/>
      <c r="C965" s="4"/>
      <c r="D965" s="4"/>
      <c r="E965" s="4"/>
      <c r="I965" s="135"/>
      <c r="J965" s="135"/>
      <c r="K965" s="135"/>
      <c r="L965" s="135"/>
    </row>
    <row r="966" spans="2:12" ht="12" customHeight="1" x14ac:dyDescent="0.15">
      <c r="B966" s="2"/>
      <c r="C966" s="4"/>
      <c r="D966" s="4"/>
      <c r="E966" s="4"/>
      <c r="I966" s="135"/>
      <c r="J966" s="135"/>
      <c r="K966" s="135"/>
      <c r="L966" s="135"/>
    </row>
    <row r="967" spans="2:12" ht="12" customHeight="1" x14ac:dyDescent="0.15">
      <c r="B967" s="2"/>
      <c r="C967" s="4"/>
      <c r="D967" s="4"/>
      <c r="E967" s="4"/>
      <c r="I967" s="135"/>
      <c r="J967" s="135"/>
      <c r="K967" s="135"/>
      <c r="L967" s="135"/>
    </row>
    <row r="968" spans="2:12" ht="12" customHeight="1" x14ac:dyDescent="0.15">
      <c r="B968" s="2"/>
      <c r="C968" s="4"/>
      <c r="D968" s="4"/>
      <c r="E968" s="4"/>
      <c r="I968" s="135"/>
      <c r="J968" s="135"/>
      <c r="K968" s="135"/>
      <c r="L968" s="135"/>
    </row>
    <row r="969" spans="2:12" ht="12" customHeight="1" x14ac:dyDescent="0.15">
      <c r="B969" s="2"/>
      <c r="C969" s="4"/>
      <c r="D969" s="4"/>
      <c r="E969" s="4"/>
      <c r="I969" s="135"/>
      <c r="J969" s="135"/>
      <c r="K969" s="135"/>
      <c r="L969" s="135"/>
    </row>
    <row r="970" spans="2:12" ht="12" customHeight="1" x14ac:dyDescent="0.15">
      <c r="B970" s="2"/>
      <c r="C970" s="4"/>
      <c r="D970" s="4"/>
      <c r="E970" s="4"/>
      <c r="I970" s="135"/>
      <c r="J970" s="135"/>
      <c r="K970" s="135"/>
      <c r="L970" s="135"/>
    </row>
    <row r="971" spans="2:12" ht="12" customHeight="1" x14ac:dyDescent="0.15">
      <c r="B971" s="2"/>
      <c r="C971" s="4"/>
      <c r="D971" s="4"/>
      <c r="E971" s="4"/>
      <c r="I971" s="135"/>
      <c r="J971" s="135"/>
      <c r="K971" s="135"/>
      <c r="L971" s="135"/>
    </row>
    <row r="972" spans="2:12" ht="12" customHeight="1" x14ac:dyDescent="0.15">
      <c r="B972" s="2"/>
      <c r="C972" s="4"/>
      <c r="D972" s="4"/>
      <c r="E972" s="4"/>
      <c r="I972" s="135"/>
      <c r="J972" s="135"/>
      <c r="K972" s="135"/>
      <c r="L972" s="135"/>
    </row>
    <row r="973" spans="2:12" ht="12" customHeight="1" x14ac:dyDescent="0.15">
      <c r="B973" s="2"/>
      <c r="C973" s="4"/>
      <c r="D973" s="4"/>
      <c r="E973" s="4"/>
      <c r="I973" s="135"/>
      <c r="J973" s="135"/>
      <c r="K973" s="135"/>
      <c r="L973" s="135"/>
    </row>
    <row r="974" spans="2:12" ht="12" customHeight="1" x14ac:dyDescent="0.15">
      <c r="B974" s="2"/>
      <c r="C974" s="4"/>
      <c r="D974" s="4"/>
      <c r="E974" s="4"/>
      <c r="I974" s="135"/>
      <c r="J974" s="135"/>
      <c r="K974" s="135"/>
      <c r="L974" s="135"/>
    </row>
    <row r="975" spans="2:12" ht="12" customHeight="1" x14ac:dyDescent="0.15">
      <c r="B975" s="2"/>
      <c r="C975" s="4"/>
      <c r="D975" s="4"/>
      <c r="E975" s="4"/>
      <c r="I975" s="135"/>
      <c r="J975" s="135"/>
      <c r="K975" s="135"/>
      <c r="L975" s="135"/>
    </row>
    <row r="976" spans="2:12" ht="12" customHeight="1" x14ac:dyDescent="0.15">
      <c r="B976" s="2"/>
      <c r="C976" s="4"/>
      <c r="D976" s="4"/>
      <c r="E976" s="4"/>
      <c r="I976" s="135"/>
      <c r="J976" s="135"/>
      <c r="K976" s="135"/>
      <c r="L976" s="135"/>
    </row>
    <row r="977" spans="2:12" ht="12" customHeight="1" x14ac:dyDescent="0.15">
      <c r="B977" s="2"/>
      <c r="C977" s="4"/>
      <c r="D977" s="4"/>
      <c r="E977" s="4"/>
      <c r="I977" s="135"/>
      <c r="J977" s="135"/>
      <c r="K977" s="135"/>
      <c r="L977" s="135"/>
    </row>
    <row r="978" spans="2:12" ht="12" customHeight="1" x14ac:dyDescent="0.15">
      <c r="B978" s="2"/>
      <c r="C978" s="4"/>
      <c r="D978" s="4"/>
      <c r="E978" s="4"/>
      <c r="I978" s="135"/>
      <c r="J978" s="135"/>
      <c r="K978" s="135"/>
      <c r="L978" s="135"/>
    </row>
    <row r="979" spans="2:12" ht="12" customHeight="1" x14ac:dyDescent="0.15">
      <c r="B979" s="2"/>
      <c r="C979" s="4"/>
      <c r="D979" s="4"/>
      <c r="E979" s="4"/>
      <c r="I979" s="135"/>
      <c r="J979" s="135"/>
      <c r="K979" s="135"/>
      <c r="L979" s="135"/>
    </row>
    <row r="980" spans="2:12" ht="12" customHeight="1" x14ac:dyDescent="0.15">
      <c r="B980" s="2"/>
      <c r="C980" s="4"/>
      <c r="D980" s="4"/>
      <c r="E980" s="4"/>
      <c r="I980" s="135"/>
      <c r="J980" s="135"/>
      <c r="K980" s="135"/>
      <c r="L980" s="135"/>
    </row>
    <row r="981" spans="2:12" ht="12" customHeight="1" x14ac:dyDescent="0.15">
      <c r="B981" s="2"/>
      <c r="C981" s="4"/>
      <c r="D981" s="4"/>
      <c r="E981" s="4"/>
      <c r="I981" s="135"/>
      <c r="J981" s="135"/>
      <c r="K981" s="135"/>
      <c r="L981" s="135"/>
    </row>
    <row r="982" spans="2:12" ht="12" customHeight="1" x14ac:dyDescent="0.15">
      <c r="B982" s="2"/>
      <c r="C982" s="4"/>
      <c r="D982" s="4"/>
      <c r="E982" s="4"/>
      <c r="I982" s="135"/>
      <c r="J982" s="135"/>
      <c r="K982" s="135"/>
      <c r="L982" s="135"/>
    </row>
    <row r="983" spans="2:12" ht="12" customHeight="1" x14ac:dyDescent="0.15">
      <c r="B983" s="2"/>
      <c r="C983" s="4"/>
      <c r="D983" s="4"/>
      <c r="E983" s="4"/>
      <c r="I983" s="135"/>
      <c r="J983" s="135"/>
      <c r="K983" s="135"/>
      <c r="L983" s="135"/>
    </row>
    <row r="984" spans="2:12" ht="12" customHeight="1" x14ac:dyDescent="0.15">
      <c r="B984" s="2"/>
      <c r="C984" s="4"/>
      <c r="D984" s="4"/>
      <c r="E984" s="4"/>
      <c r="I984" s="135"/>
      <c r="J984" s="135"/>
      <c r="K984" s="135"/>
      <c r="L984" s="135"/>
    </row>
    <row r="985" spans="2:12" ht="12" customHeight="1" x14ac:dyDescent="0.15">
      <c r="B985" s="2"/>
      <c r="C985" s="4"/>
      <c r="D985" s="4"/>
      <c r="E985" s="4"/>
      <c r="I985" s="135"/>
      <c r="J985" s="135"/>
      <c r="K985" s="135"/>
      <c r="L985" s="135"/>
    </row>
    <row r="986" spans="2:12" ht="12" customHeight="1" x14ac:dyDescent="0.15">
      <c r="B986" s="2"/>
      <c r="C986" s="4"/>
      <c r="D986" s="4"/>
      <c r="E986" s="4"/>
      <c r="I986" s="135"/>
      <c r="J986" s="135"/>
      <c r="K986" s="135"/>
      <c r="L986" s="135"/>
    </row>
    <row r="987" spans="2:12" ht="12" customHeight="1" x14ac:dyDescent="0.15">
      <c r="B987" s="2"/>
      <c r="C987" s="4"/>
      <c r="D987" s="4"/>
      <c r="E987" s="4"/>
      <c r="I987" s="135"/>
      <c r="J987" s="135"/>
      <c r="K987" s="135"/>
      <c r="L987" s="135"/>
    </row>
    <row r="988" spans="2:12" ht="12" customHeight="1" x14ac:dyDescent="0.15">
      <c r="B988" s="2"/>
      <c r="C988" s="4"/>
      <c r="D988" s="4"/>
      <c r="E988" s="4"/>
      <c r="I988" s="135"/>
      <c r="J988" s="135"/>
      <c r="K988" s="135"/>
      <c r="L988" s="135"/>
    </row>
    <row r="989" spans="2:12" ht="12" customHeight="1" x14ac:dyDescent="0.15">
      <c r="B989" s="2"/>
      <c r="C989" s="4"/>
      <c r="D989" s="4"/>
      <c r="E989" s="4"/>
      <c r="I989" s="135"/>
      <c r="J989" s="135"/>
      <c r="K989" s="135"/>
      <c r="L989" s="135"/>
    </row>
    <row r="990" spans="2:12" ht="12" customHeight="1" x14ac:dyDescent="0.15">
      <c r="B990" s="2"/>
      <c r="C990" s="4"/>
      <c r="D990" s="4"/>
      <c r="E990" s="4"/>
      <c r="I990" s="135"/>
      <c r="J990" s="135"/>
      <c r="K990" s="135"/>
      <c r="L990" s="135"/>
    </row>
    <row r="991" spans="2:12" ht="12" customHeight="1" x14ac:dyDescent="0.15">
      <c r="B991" s="2"/>
      <c r="C991" s="4"/>
      <c r="D991" s="4"/>
      <c r="E991" s="4"/>
      <c r="I991" s="135"/>
      <c r="J991" s="135"/>
      <c r="K991" s="135"/>
      <c r="L991" s="135"/>
    </row>
    <row r="992" spans="2:12" ht="12" customHeight="1" x14ac:dyDescent="0.15">
      <c r="B992" s="2"/>
      <c r="C992" s="4"/>
      <c r="D992" s="4"/>
      <c r="E992" s="4"/>
      <c r="I992" s="135"/>
      <c r="J992" s="135"/>
      <c r="K992" s="135"/>
      <c r="L992" s="135"/>
    </row>
    <row r="993" spans="2:12" ht="12" customHeight="1" x14ac:dyDescent="0.15">
      <c r="B993" s="2"/>
      <c r="C993" s="4"/>
      <c r="D993" s="4"/>
      <c r="E993" s="4"/>
      <c r="I993" s="135"/>
      <c r="J993" s="135"/>
      <c r="K993" s="135"/>
      <c r="L993" s="135"/>
    </row>
    <row r="994" spans="2:12" ht="12" customHeight="1" x14ac:dyDescent="0.15">
      <c r="B994" s="2"/>
      <c r="C994" s="4"/>
      <c r="D994" s="4"/>
      <c r="E994" s="4"/>
      <c r="I994" s="135"/>
      <c r="J994" s="135"/>
      <c r="K994" s="135"/>
      <c r="L994" s="135"/>
    </row>
    <row r="995" spans="2:12" ht="12" customHeight="1" x14ac:dyDescent="0.15">
      <c r="B995" s="2"/>
      <c r="C995" s="4"/>
      <c r="D995" s="4"/>
      <c r="E995" s="4"/>
      <c r="I995" s="135"/>
      <c r="J995" s="135"/>
      <c r="K995" s="135"/>
      <c r="L995" s="135"/>
    </row>
    <row r="996" spans="2:12" ht="12" customHeight="1" x14ac:dyDescent="0.15">
      <c r="B996" s="2"/>
      <c r="C996" s="4"/>
      <c r="D996" s="4"/>
      <c r="E996" s="4"/>
      <c r="I996" s="135"/>
      <c r="J996" s="135"/>
      <c r="K996" s="135"/>
      <c r="L996" s="135"/>
    </row>
    <row r="997" spans="2:12" ht="12" customHeight="1" x14ac:dyDescent="0.15">
      <c r="B997" s="2"/>
      <c r="C997" s="4"/>
      <c r="D997" s="4"/>
      <c r="E997" s="4"/>
      <c r="I997" s="135"/>
      <c r="J997" s="135"/>
      <c r="K997" s="135"/>
      <c r="L997" s="135"/>
    </row>
    <row r="998" spans="2:12" ht="12" customHeight="1" x14ac:dyDescent="0.15">
      <c r="B998" s="2"/>
      <c r="C998" s="4"/>
      <c r="D998" s="4"/>
      <c r="E998" s="4"/>
      <c r="I998" s="135"/>
      <c r="J998" s="135"/>
      <c r="K998" s="135"/>
      <c r="L998" s="135"/>
    </row>
    <row r="999" spans="2:12" ht="12" customHeight="1" x14ac:dyDescent="0.15">
      <c r="B999" s="2"/>
      <c r="C999" s="4"/>
      <c r="D999" s="4"/>
      <c r="E999" s="4"/>
      <c r="I999" s="135"/>
      <c r="J999" s="135"/>
      <c r="K999" s="135"/>
      <c r="L999" s="135"/>
    </row>
    <row r="1000" spans="2:12" ht="12" customHeight="1" x14ac:dyDescent="0.15">
      <c r="B1000" s="2"/>
      <c r="C1000" s="4"/>
      <c r="D1000" s="4"/>
      <c r="E1000" s="4"/>
      <c r="I1000" s="135"/>
      <c r="J1000" s="135"/>
      <c r="K1000" s="135"/>
      <c r="L1000" s="135"/>
    </row>
  </sheetData>
  <pageMargins left="0.78749999999999998" right="0.78749999999999998" top="0.78749999999999998" bottom="0.78749999999999998" header="0" footer="0"/>
  <pageSetup paperSize="9" orientation="portrait" r:id="rId1"/>
  <colBreaks count="1" manualBreakCount="1">
    <brk id="6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Z993"/>
  <sheetViews>
    <sheetView workbookViewId="0">
      <selection activeCell="H9" sqref="H9"/>
    </sheetView>
  </sheetViews>
  <sheetFormatPr baseColWidth="10" defaultColWidth="12.6640625" defaultRowHeight="15" customHeight="1" x14ac:dyDescent="0.15"/>
  <cols>
    <col min="1" max="1" width="4.5" style="391" customWidth="1"/>
    <col min="2" max="2" width="59.33203125" style="391" customWidth="1"/>
    <col min="3" max="3" width="13" style="391" customWidth="1"/>
    <col min="4" max="4" width="53.83203125" style="391" customWidth="1"/>
    <col min="5" max="5" width="14.33203125" style="391" customWidth="1"/>
    <col min="6" max="6" width="4.5" style="391" customWidth="1"/>
    <col min="7" max="8" width="6.6640625" style="391" customWidth="1"/>
    <col min="9" max="9" width="11.5" style="391" customWidth="1"/>
    <col min="10" max="10" width="14.5" style="391" customWidth="1"/>
    <col min="11" max="11" width="15.1640625" style="391" customWidth="1"/>
    <col min="12" max="12" width="11.5" style="391" customWidth="1"/>
    <col min="13" max="16384" width="12.6640625" style="391"/>
  </cols>
  <sheetData>
    <row r="1" spans="1:26" ht="54" customHeight="1" x14ac:dyDescent="0.15">
      <c r="A1" s="390"/>
      <c r="B1" s="390"/>
      <c r="C1" s="390"/>
      <c r="D1" s="390"/>
      <c r="E1" s="390"/>
      <c r="F1" s="390"/>
      <c r="G1" s="390"/>
      <c r="I1" s="135"/>
      <c r="J1" s="135"/>
      <c r="K1" s="135"/>
      <c r="L1" s="135"/>
    </row>
    <row r="2" spans="1:26" ht="12" customHeight="1" x14ac:dyDescent="0.15">
      <c r="B2" s="2"/>
      <c r="C2" s="4"/>
      <c r="D2" s="4"/>
      <c r="E2" s="4"/>
      <c r="I2" s="135"/>
      <c r="J2" s="135"/>
      <c r="K2" s="135"/>
      <c r="L2" s="135"/>
    </row>
    <row r="3" spans="1:26" ht="18.75" customHeight="1" x14ac:dyDescent="0.2">
      <c r="A3" s="5" t="s">
        <v>0</v>
      </c>
      <c r="C3" s="4"/>
      <c r="D3" s="4"/>
      <c r="E3" s="4"/>
      <c r="F3" s="5"/>
      <c r="G3" s="5"/>
      <c r="I3" s="135"/>
      <c r="J3" s="135"/>
      <c r="K3" s="135"/>
      <c r="L3" s="135"/>
    </row>
    <row r="4" spans="1:26" ht="12" customHeight="1" x14ac:dyDescent="0.15">
      <c r="A4" s="2" t="s">
        <v>1</v>
      </c>
      <c r="C4" s="4"/>
      <c r="D4" s="4"/>
      <c r="E4" s="4"/>
      <c r="F4" s="2"/>
      <c r="G4" s="2"/>
      <c r="I4" s="135"/>
      <c r="J4" s="135"/>
      <c r="K4" s="135"/>
      <c r="L4" s="135"/>
    </row>
    <row r="5" spans="1:26" ht="12" customHeight="1" x14ac:dyDescent="0.15">
      <c r="B5" s="2"/>
      <c r="C5" s="4"/>
      <c r="D5" s="4"/>
      <c r="E5" s="4"/>
      <c r="I5" s="135"/>
      <c r="J5" s="135"/>
      <c r="K5" s="135"/>
      <c r="L5" s="135"/>
    </row>
    <row r="6" spans="1:26" ht="18" customHeight="1" x14ac:dyDescent="0.15">
      <c r="B6" s="6"/>
      <c r="C6" s="4"/>
      <c r="D6" s="4"/>
      <c r="E6" s="4"/>
      <c r="F6" s="159" t="s">
        <v>507</v>
      </c>
      <c r="G6" s="160"/>
      <c r="I6" s="135"/>
      <c r="J6" s="135"/>
      <c r="K6" s="135"/>
      <c r="L6" s="135"/>
    </row>
    <row r="7" spans="1:26" ht="17.25" customHeight="1" x14ac:dyDescent="0.15">
      <c r="A7" s="8"/>
      <c r="B7" s="425" t="s">
        <v>517</v>
      </c>
      <c r="C7" s="162"/>
      <c r="D7" s="162"/>
      <c r="E7" s="163"/>
      <c r="F7" s="8"/>
      <c r="G7" s="8"/>
      <c r="H7" s="8"/>
      <c r="I7" s="164"/>
      <c r="J7" s="164"/>
      <c r="K7" s="164"/>
      <c r="L7" s="16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" customHeight="1" x14ac:dyDescent="0.15">
      <c r="B8" s="2"/>
      <c r="C8" s="4"/>
      <c r="D8" s="4"/>
      <c r="E8" s="4"/>
      <c r="I8" s="135"/>
      <c r="J8" s="135"/>
      <c r="K8" s="135"/>
      <c r="L8" s="135"/>
    </row>
    <row r="9" spans="1:26" ht="16.5" customHeight="1" x14ac:dyDescent="0.15">
      <c r="B9" s="165"/>
      <c r="C9" s="166"/>
      <c r="D9" s="167"/>
      <c r="E9" s="168" t="s">
        <v>225</v>
      </c>
      <c r="I9" s="135"/>
      <c r="J9" s="135"/>
      <c r="K9" s="135"/>
      <c r="L9" s="135"/>
    </row>
    <row r="10" spans="1:26" ht="13.5" customHeight="1" x14ac:dyDescent="0.15">
      <c r="B10" s="428" t="s">
        <v>505</v>
      </c>
      <c r="C10" s="170"/>
      <c r="D10" s="141"/>
      <c r="E10" s="134">
        <v>36205.11</v>
      </c>
      <c r="I10" s="135"/>
      <c r="J10" s="135"/>
      <c r="K10" s="135"/>
      <c r="L10" s="135"/>
    </row>
    <row r="11" spans="1:26" ht="7.5" customHeight="1" x14ac:dyDescent="0.15">
      <c r="A11" s="7"/>
      <c r="B11" s="64"/>
      <c r="C11" s="4"/>
      <c r="D11" s="134"/>
      <c r="E11" s="134"/>
      <c r="I11" s="135"/>
      <c r="J11" s="135"/>
      <c r="K11" s="135"/>
      <c r="L11" s="135"/>
    </row>
    <row r="12" spans="1:26" ht="15" customHeight="1" x14ac:dyDescent="0.15">
      <c r="A12" s="7"/>
      <c r="B12" s="428" t="s">
        <v>506</v>
      </c>
      <c r="C12" s="4"/>
      <c r="D12" s="134"/>
      <c r="E12" s="134">
        <v>6000</v>
      </c>
      <c r="I12" s="135"/>
      <c r="J12" s="135"/>
      <c r="K12" s="135"/>
      <c r="L12" s="135"/>
    </row>
    <row r="13" spans="1:26" ht="7.5" customHeight="1" x14ac:dyDescent="0.15">
      <c r="B13" s="177"/>
      <c r="C13" s="178"/>
      <c r="D13" s="179"/>
      <c r="E13" s="134"/>
      <c r="I13" s="135"/>
      <c r="J13" s="135"/>
      <c r="K13" s="135"/>
      <c r="L13" s="135"/>
    </row>
    <row r="14" spans="1:26" ht="15" customHeight="1" x14ac:dyDescent="0.15">
      <c r="B14" s="180"/>
      <c r="C14" s="181"/>
      <c r="D14" s="182" t="s">
        <v>292</v>
      </c>
      <c r="E14" s="183">
        <f>SUM(E10:E13)</f>
        <v>42205.11</v>
      </c>
      <c r="I14" s="135"/>
      <c r="J14" s="135"/>
      <c r="K14" s="135"/>
      <c r="L14" s="135"/>
    </row>
    <row r="15" spans="1:26" ht="15" customHeight="1" x14ac:dyDescent="0.15">
      <c r="B15" s="184" t="s">
        <v>293</v>
      </c>
      <c r="C15" s="185"/>
      <c r="D15" s="185"/>
      <c r="E15" s="185"/>
      <c r="I15" s="135"/>
      <c r="J15" s="135"/>
      <c r="K15" s="135"/>
      <c r="L15" s="135"/>
    </row>
    <row r="16" spans="1:26" ht="15" customHeight="1" x14ac:dyDescent="0.15">
      <c r="B16" s="184" t="s">
        <v>294</v>
      </c>
      <c r="C16" s="185"/>
      <c r="D16" s="185"/>
      <c r="E16" s="185"/>
      <c r="I16" s="135"/>
      <c r="J16" s="135"/>
      <c r="K16" s="135"/>
      <c r="L16" s="135"/>
    </row>
    <row r="17" spans="2:15" ht="15" customHeight="1" x14ac:dyDescent="0.15">
      <c r="B17" s="186" t="s">
        <v>295</v>
      </c>
      <c r="C17" s="4"/>
      <c r="D17" s="4"/>
      <c r="E17" s="4"/>
      <c r="I17" s="135"/>
      <c r="J17" s="135"/>
      <c r="K17" s="135"/>
      <c r="L17" s="135"/>
    </row>
    <row r="18" spans="2:15" ht="15" customHeight="1" x14ac:dyDescent="0.15">
      <c r="B18" s="186" t="s">
        <v>296</v>
      </c>
      <c r="C18" s="4"/>
      <c r="D18" s="4"/>
      <c r="E18" s="4"/>
      <c r="I18" s="135"/>
      <c r="J18" s="135"/>
      <c r="K18" s="135"/>
      <c r="L18" s="135"/>
    </row>
    <row r="19" spans="2:15" ht="15" customHeight="1" x14ac:dyDescent="0.15">
      <c r="B19" s="187"/>
      <c r="C19" s="4"/>
      <c r="D19" s="4"/>
      <c r="E19" s="4"/>
      <c r="I19" s="135"/>
      <c r="J19" s="135"/>
      <c r="K19" s="135"/>
      <c r="L19" s="135"/>
    </row>
    <row r="20" spans="2:15" ht="15" customHeight="1" x14ac:dyDescent="0.15">
      <c r="B20" s="187" t="s">
        <v>297</v>
      </c>
      <c r="C20" s="4"/>
      <c r="D20" s="4"/>
      <c r="E20" s="4"/>
      <c r="I20" s="135"/>
      <c r="J20" s="135"/>
      <c r="K20" s="135"/>
      <c r="L20" s="135"/>
    </row>
    <row r="21" spans="2:15" ht="15" customHeight="1" x14ac:dyDescent="0.15">
      <c r="B21" s="187" t="s">
        <v>298</v>
      </c>
      <c r="C21" s="4"/>
      <c r="D21" s="4"/>
      <c r="E21" s="4"/>
      <c r="I21" s="135"/>
      <c r="J21" s="135"/>
      <c r="K21" s="135"/>
      <c r="L21" s="135"/>
    </row>
    <row r="22" spans="2:15" ht="15" customHeight="1" x14ac:dyDescent="0.15">
      <c r="B22" s="187"/>
      <c r="C22" s="4"/>
      <c r="D22" s="4"/>
      <c r="E22" s="4"/>
      <c r="I22" s="135"/>
      <c r="J22" s="135"/>
      <c r="K22" s="135"/>
      <c r="L22" s="135"/>
    </row>
    <row r="23" spans="2:15" ht="15" customHeight="1" x14ac:dyDescent="0.2">
      <c r="B23" s="188" t="s">
        <v>328</v>
      </c>
      <c r="C23" s="189"/>
      <c r="D23" s="190"/>
      <c r="E23" s="191">
        <f>E14</f>
        <v>42205.11</v>
      </c>
      <c r="H23" s="192" t="s">
        <v>300</v>
      </c>
      <c r="I23" s="193" t="s">
        <v>301</v>
      </c>
      <c r="J23" s="194" t="s">
        <v>302</v>
      </c>
      <c r="K23" s="194" t="s">
        <v>303</v>
      </c>
      <c r="L23" s="195" t="s">
        <v>304</v>
      </c>
      <c r="M23" s="196" t="s">
        <v>305</v>
      </c>
      <c r="N23" s="197"/>
      <c r="O23" s="198"/>
    </row>
    <row r="24" spans="2:15" ht="15" customHeight="1" x14ac:dyDescent="0.15">
      <c r="B24" s="199" t="s">
        <v>306</v>
      </c>
      <c r="C24" s="200" t="s">
        <v>307</v>
      </c>
      <c r="D24" s="201" t="s">
        <v>308</v>
      </c>
      <c r="E24" s="200" t="s">
        <v>309</v>
      </c>
      <c r="H24" s="202">
        <v>1</v>
      </c>
      <c r="I24" s="135">
        <f>E23</f>
        <v>42205.11</v>
      </c>
      <c r="J24" s="135">
        <v>3385038.8048100215</v>
      </c>
      <c r="K24" s="135">
        <v>26236200</v>
      </c>
      <c r="L24" s="224">
        <f>J24/J31*100</f>
        <v>12.902168777528845</v>
      </c>
      <c r="M24" s="135">
        <f t="shared" ref="M24:M30" si="0">(I24*J24/K24)</f>
        <v>5445.3745249417016</v>
      </c>
      <c r="N24" s="203">
        <f t="shared" ref="N24:N30" si="1">M24</f>
        <v>5445.3745249417016</v>
      </c>
    </row>
    <row r="25" spans="2:15" ht="15" customHeight="1" x14ac:dyDescent="0.15">
      <c r="B25" s="204" t="s">
        <v>184</v>
      </c>
      <c r="C25" s="205" t="s">
        <v>185</v>
      </c>
      <c r="D25" s="206">
        <v>0.129</v>
      </c>
      <c r="E25" s="207">
        <f t="shared" ref="E25:E31" si="2">M24</f>
        <v>5445.3745249417016</v>
      </c>
      <c r="H25" s="202">
        <v>2</v>
      </c>
      <c r="I25" s="135">
        <f>E23</f>
        <v>42205.11</v>
      </c>
      <c r="J25" s="135">
        <v>3452215.7605962222</v>
      </c>
      <c r="K25" s="135">
        <v>26236200</v>
      </c>
      <c r="L25" s="225">
        <f>J25/J31*100</f>
        <v>13.158215597518785</v>
      </c>
      <c r="M25" s="135">
        <f t="shared" si="0"/>
        <v>5553.4393669699584</v>
      </c>
      <c r="N25" s="203">
        <f t="shared" si="1"/>
        <v>5553.4393669699584</v>
      </c>
    </row>
    <row r="26" spans="2:15" ht="12" customHeight="1" x14ac:dyDescent="0.15">
      <c r="B26" s="208" t="s">
        <v>187</v>
      </c>
      <c r="C26" s="209" t="s">
        <v>188</v>
      </c>
      <c r="D26" s="210">
        <v>0.13159999999999999</v>
      </c>
      <c r="E26" s="211">
        <f t="shared" si="2"/>
        <v>5553.4393669699584</v>
      </c>
      <c r="H26" s="202">
        <v>3</v>
      </c>
      <c r="I26" s="135">
        <f>E23</f>
        <v>42205.11</v>
      </c>
      <c r="J26" s="135">
        <v>4062206.5109048504</v>
      </c>
      <c r="K26" s="135">
        <v>26236200</v>
      </c>
      <c r="L26" s="225">
        <f>J26/J31*100</f>
        <v>15.483212168320303</v>
      </c>
      <c r="M26" s="135">
        <f t="shared" si="0"/>
        <v>6534.7067271729675</v>
      </c>
      <c r="N26" s="203">
        <f t="shared" si="1"/>
        <v>6534.7067271729675</v>
      </c>
    </row>
    <row r="27" spans="2:15" ht="12" customHeight="1" x14ac:dyDescent="0.15">
      <c r="B27" s="208" t="s">
        <v>189</v>
      </c>
      <c r="C27" s="209" t="s">
        <v>190</v>
      </c>
      <c r="D27" s="210">
        <v>0.15479999999999999</v>
      </c>
      <c r="E27" s="211">
        <f t="shared" si="2"/>
        <v>6534.7067271729675</v>
      </c>
      <c r="H27" s="202">
        <v>4</v>
      </c>
      <c r="I27" s="135">
        <f>E23</f>
        <v>42205.11</v>
      </c>
      <c r="J27" s="135">
        <v>2069290.155914224</v>
      </c>
      <c r="K27" s="135">
        <v>26236200</v>
      </c>
      <c r="L27" s="225">
        <f>J27/J31*100</f>
        <v>7.8871565086187196</v>
      </c>
      <c r="M27" s="135">
        <f t="shared" si="0"/>
        <v>3328.7830803346892</v>
      </c>
      <c r="N27" s="203">
        <f t="shared" si="1"/>
        <v>3328.7830803346892</v>
      </c>
    </row>
    <row r="28" spans="2:15" ht="12" customHeight="1" x14ac:dyDescent="0.15">
      <c r="B28" s="208" t="s">
        <v>191</v>
      </c>
      <c r="C28" s="209" t="s">
        <v>192</v>
      </c>
      <c r="D28" s="210">
        <v>7.8899999999999998E-2</v>
      </c>
      <c r="E28" s="211">
        <f t="shared" si="2"/>
        <v>3328.7830803346892</v>
      </c>
      <c r="H28" s="202">
        <v>5</v>
      </c>
      <c r="I28" s="135">
        <f>E23</f>
        <v>42205.11</v>
      </c>
      <c r="J28" s="135">
        <v>2539128.9835855695</v>
      </c>
      <c r="K28" s="135">
        <v>26236200</v>
      </c>
      <c r="L28" s="225">
        <f>J28/J31*100</f>
        <v>9.6779601603340808</v>
      </c>
      <c r="M28" s="135">
        <f t="shared" si="0"/>
        <v>4084.5937314251742</v>
      </c>
      <c r="N28" s="203">
        <f t="shared" si="1"/>
        <v>4084.5937314251742</v>
      </c>
    </row>
    <row r="29" spans="2:15" ht="12" customHeight="1" x14ac:dyDescent="0.15">
      <c r="B29" s="208" t="s">
        <v>310</v>
      </c>
      <c r="C29" s="209" t="s">
        <v>194</v>
      </c>
      <c r="D29" s="210">
        <v>9.6799999999999997E-2</v>
      </c>
      <c r="E29" s="211">
        <f t="shared" si="2"/>
        <v>4084.5937314251742</v>
      </c>
      <c r="H29" s="202">
        <v>6</v>
      </c>
      <c r="I29" s="135">
        <f>E23</f>
        <v>42205.11</v>
      </c>
      <c r="J29" s="135">
        <v>4172168.7897215486</v>
      </c>
      <c r="K29" s="135">
        <v>26236200</v>
      </c>
      <c r="L29" s="225">
        <f>J29/J31*100</f>
        <v>15.902336427232411</v>
      </c>
      <c r="M29" s="135">
        <f t="shared" si="0"/>
        <v>6711.5985816835073</v>
      </c>
      <c r="N29" s="203">
        <f t="shared" si="1"/>
        <v>6711.5985816835073</v>
      </c>
    </row>
    <row r="30" spans="2:15" ht="12" customHeight="1" x14ac:dyDescent="0.15">
      <c r="B30" s="208" t="s">
        <v>195</v>
      </c>
      <c r="C30" s="209" t="s">
        <v>196</v>
      </c>
      <c r="D30" s="210">
        <v>0.159</v>
      </c>
      <c r="E30" s="211">
        <f t="shared" si="2"/>
        <v>6711.5985816835073</v>
      </c>
      <c r="H30" s="202">
        <v>7</v>
      </c>
      <c r="I30" s="135">
        <f>E23</f>
        <v>42205.11</v>
      </c>
      <c r="J30" s="135">
        <v>6556150.9944675583</v>
      </c>
      <c r="K30" s="135">
        <v>26236200</v>
      </c>
      <c r="L30" s="225">
        <f>J30/J31*100</f>
        <v>24.988950360446864</v>
      </c>
      <c r="M30" s="135">
        <f t="shared" si="0"/>
        <v>10546.613987471992</v>
      </c>
      <c r="N30" s="203">
        <f t="shared" si="1"/>
        <v>10546.613987471992</v>
      </c>
    </row>
    <row r="31" spans="2:15" ht="12" customHeight="1" x14ac:dyDescent="0.15">
      <c r="B31" s="208" t="s">
        <v>197</v>
      </c>
      <c r="C31" s="209" t="s">
        <v>198</v>
      </c>
      <c r="D31" s="210">
        <v>0.24990000000000001</v>
      </c>
      <c r="E31" s="211">
        <f t="shared" si="2"/>
        <v>10546.613987471992</v>
      </c>
      <c r="H31" s="212"/>
      <c r="I31" s="213"/>
      <c r="J31" s="214">
        <f>SUM(J24:J30)</f>
        <v>26236199.999999993</v>
      </c>
      <c r="K31" s="214"/>
      <c r="L31" s="214">
        <f t="shared" ref="L31:N31" si="3">SUM(L24:L30)</f>
        <v>100.00000000000001</v>
      </c>
      <c r="M31" s="214">
        <f t="shared" si="3"/>
        <v>42205.109999999986</v>
      </c>
      <c r="N31" s="215">
        <f t="shared" si="3"/>
        <v>42205.109999999986</v>
      </c>
    </row>
    <row r="32" spans="2:15" ht="12" customHeight="1" x14ac:dyDescent="0.15">
      <c r="B32" s="216" t="s">
        <v>225</v>
      </c>
      <c r="C32" s="217"/>
      <c r="D32" s="218">
        <f t="shared" ref="D32:E32" si="4">SUM(D25:D31)</f>
        <v>1</v>
      </c>
      <c r="E32" s="219">
        <f t="shared" si="4"/>
        <v>42205.109999999986</v>
      </c>
      <c r="I32" s="135"/>
      <c r="J32" s="135"/>
      <c r="K32" s="135"/>
      <c r="L32" s="135"/>
    </row>
    <row r="33" spans="2:13" ht="12" customHeight="1" x14ac:dyDescent="0.15">
      <c r="B33" s="220"/>
      <c r="C33" s="75"/>
      <c r="D33" s="221"/>
      <c r="E33" s="185"/>
      <c r="I33" s="135"/>
      <c r="J33" s="135"/>
      <c r="K33" s="135"/>
      <c r="L33" s="135"/>
    </row>
    <row r="34" spans="2:13" ht="12" customHeight="1" x14ac:dyDescent="0.15">
      <c r="B34" s="2"/>
      <c r="C34" s="4"/>
      <c r="D34" s="4"/>
      <c r="E34" s="4"/>
      <c r="I34" s="135"/>
      <c r="J34" s="135"/>
      <c r="K34" s="135"/>
      <c r="L34" s="135"/>
    </row>
    <row r="35" spans="2:13" ht="12" customHeight="1" x14ac:dyDescent="0.15">
      <c r="B35" s="2"/>
      <c r="C35" s="4"/>
      <c r="D35" s="4"/>
      <c r="E35" s="4"/>
      <c r="I35" s="135"/>
      <c r="J35" s="135"/>
      <c r="K35" s="135"/>
      <c r="L35" s="135"/>
    </row>
    <row r="36" spans="2:13" ht="12" customHeight="1" x14ac:dyDescent="0.15">
      <c r="B36" s="226"/>
      <c r="C36" s="135"/>
      <c r="D36" s="4"/>
      <c r="E36" s="206"/>
      <c r="I36" s="135"/>
      <c r="J36" s="135"/>
      <c r="K36" s="135"/>
      <c r="L36" s="135"/>
      <c r="M36" s="135"/>
    </row>
    <row r="37" spans="2:13" ht="12" customHeight="1" x14ac:dyDescent="0.15">
      <c r="B37" s="226"/>
      <c r="C37" s="135"/>
      <c r="D37" s="4"/>
      <c r="E37" s="210"/>
      <c r="I37" s="135"/>
      <c r="J37" s="135"/>
      <c r="K37" s="135"/>
      <c r="L37" s="135"/>
    </row>
    <row r="38" spans="2:13" ht="12" customHeight="1" x14ac:dyDescent="0.15">
      <c r="B38" s="226"/>
      <c r="C38" s="135"/>
      <c r="D38" s="4"/>
      <c r="E38" s="210"/>
      <c r="I38" s="135"/>
      <c r="J38" s="135"/>
      <c r="K38" s="135"/>
      <c r="L38" s="135"/>
    </row>
    <row r="39" spans="2:13" ht="12" customHeight="1" x14ac:dyDescent="0.15">
      <c r="B39" s="226"/>
      <c r="C39" s="135"/>
      <c r="D39" s="4"/>
      <c r="E39" s="210"/>
      <c r="I39" s="135"/>
      <c r="J39" s="135"/>
      <c r="K39" s="135"/>
      <c r="L39" s="135"/>
    </row>
    <row r="40" spans="2:13" ht="12" customHeight="1" x14ac:dyDescent="0.15">
      <c r="B40" s="226"/>
      <c r="C40" s="135"/>
      <c r="D40" s="4"/>
      <c r="E40" s="210"/>
      <c r="I40" s="135"/>
      <c r="J40" s="135"/>
      <c r="K40" s="135"/>
      <c r="L40" s="135"/>
    </row>
    <row r="41" spans="2:13" ht="12" customHeight="1" x14ac:dyDescent="0.15">
      <c r="B41" s="226"/>
      <c r="C41" s="135"/>
      <c r="D41" s="4"/>
      <c r="E41" s="210"/>
      <c r="I41" s="135"/>
      <c r="J41" s="135"/>
      <c r="K41" s="135"/>
      <c r="L41" s="135"/>
    </row>
    <row r="42" spans="2:13" ht="12" customHeight="1" x14ac:dyDescent="0.15">
      <c r="B42" s="226"/>
      <c r="C42" s="135"/>
      <c r="D42" s="4"/>
      <c r="E42" s="210"/>
      <c r="I42" s="135"/>
      <c r="J42" s="135"/>
      <c r="K42" s="135"/>
      <c r="L42" s="135"/>
    </row>
    <row r="43" spans="2:13" ht="12" customHeight="1" x14ac:dyDescent="0.15">
      <c r="B43" s="2"/>
      <c r="C43" s="147"/>
      <c r="D43" s="4"/>
      <c r="E43" s="4"/>
      <c r="I43" s="135"/>
      <c r="J43" s="135"/>
      <c r="K43" s="135"/>
      <c r="L43" s="135"/>
    </row>
    <row r="44" spans="2:13" ht="12" customHeight="1" x14ac:dyDescent="0.15">
      <c r="B44" s="2"/>
      <c r="C44" s="4"/>
      <c r="D44" s="4"/>
      <c r="E44" s="4"/>
      <c r="I44" s="135"/>
      <c r="J44" s="135"/>
      <c r="K44" s="135"/>
      <c r="L44" s="135"/>
    </row>
    <row r="45" spans="2:13" ht="12" customHeight="1" x14ac:dyDescent="0.15">
      <c r="B45" s="2"/>
      <c r="C45" s="4"/>
      <c r="D45" s="4"/>
      <c r="E45" s="4"/>
      <c r="I45" s="135"/>
      <c r="J45" s="135"/>
      <c r="K45" s="135"/>
      <c r="L45" s="135"/>
    </row>
    <row r="46" spans="2:13" ht="12" customHeight="1" x14ac:dyDescent="0.15">
      <c r="B46" s="2"/>
      <c r="C46" s="4"/>
      <c r="D46" s="4"/>
      <c r="E46" s="4"/>
      <c r="I46" s="135"/>
      <c r="J46" s="135"/>
      <c r="K46" s="135"/>
      <c r="L46" s="135"/>
    </row>
    <row r="47" spans="2:13" ht="12" customHeight="1" x14ac:dyDescent="0.15">
      <c r="B47" s="2"/>
      <c r="C47" s="4"/>
      <c r="D47" s="4"/>
      <c r="E47" s="4"/>
      <c r="I47" s="135"/>
      <c r="J47" s="135"/>
      <c r="K47" s="135"/>
      <c r="L47" s="135"/>
    </row>
    <row r="48" spans="2:13" ht="12" customHeight="1" x14ac:dyDescent="0.15">
      <c r="B48" s="2"/>
      <c r="C48" s="4"/>
      <c r="D48" s="4"/>
      <c r="E48" s="4"/>
      <c r="I48" s="135"/>
      <c r="J48" s="135"/>
      <c r="K48" s="135"/>
      <c r="L48" s="135"/>
    </row>
    <row r="49" spans="2:12" ht="12" customHeight="1" x14ac:dyDescent="0.15">
      <c r="B49" s="2"/>
      <c r="C49" s="4"/>
      <c r="D49" s="4"/>
      <c r="E49" s="4"/>
      <c r="I49" s="135"/>
      <c r="J49" s="135"/>
      <c r="K49" s="135"/>
      <c r="L49" s="135"/>
    </row>
    <row r="50" spans="2:12" ht="12" customHeight="1" x14ac:dyDescent="0.15">
      <c r="B50" s="2"/>
      <c r="C50" s="4"/>
      <c r="D50" s="4"/>
      <c r="E50" s="4"/>
      <c r="I50" s="135"/>
      <c r="J50" s="135"/>
      <c r="K50" s="135"/>
      <c r="L50" s="135"/>
    </row>
    <row r="51" spans="2:12" ht="12" customHeight="1" x14ac:dyDescent="0.15">
      <c r="B51" s="2"/>
      <c r="C51" s="4"/>
      <c r="D51" s="4"/>
      <c r="E51" s="4"/>
      <c r="I51" s="135"/>
      <c r="J51" s="135"/>
      <c r="K51" s="135"/>
      <c r="L51" s="135"/>
    </row>
    <row r="52" spans="2:12" ht="12" customHeight="1" x14ac:dyDescent="0.15">
      <c r="B52" s="2"/>
      <c r="C52" s="4"/>
      <c r="D52" s="4"/>
      <c r="E52" s="4"/>
      <c r="I52" s="135"/>
      <c r="J52" s="135"/>
      <c r="K52" s="135"/>
      <c r="L52" s="135"/>
    </row>
    <row r="53" spans="2:12" ht="12" customHeight="1" x14ac:dyDescent="0.15">
      <c r="B53" s="2"/>
      <c r="C53" s="4"/>
      <c r="D53" s="4"/>
      <c r="E53" s="4"/>
      <c r="I53" s="135"/>
      <c r="J53" s="135"/>
      <c r="K53" s="135"/>
      <c r="L53" s="135"/>
    </row>
    <row r="54" spans="2:12" ht="12" customHeight="1" x14ac:dyDescent="0.15">
      <c r="B54" s="2"/>
      <c r="C54" s="4"/>
      <c r="D54" s="4"/>
      <c r="E54" s="4"/>
      <c r="I54" s="135"/>
      <c r="J54" s="135"/>
      <c r="K54" s="135"/>
      <c r="L54" s="135"/>
    </row>
    <row r="55" spans="2:12" ht="12" customHeight="1" x14ac:dyDescent="0.15">
      <c r="B55" s="2"/>
      <c r="C55" s="4"/>
      <c r="D55" s="4"/>
      <c r="E55" s="4"/>
      <c r="I55" s="135"/>
      <c r="J55" s="135"/>
      <c r="K55" s="135"/>
      <c r="L55" s="135"/>
    </row>
    <row r="56" spans="2:12" ht="12" customHeight="1" x14ac:dyDescent="0.15">
      <c r="B56" s="2"/>
      <c r="C56" s="4"/>
      <c r="D56" s="4"/>
      <c r="E56" s="4"/>
      <c r="I56" s="135"/>
      <c r="J56" s="135"/>
      <c r="K56" s="135"/>
      <c r="L56" s="135"/>
    </row>
    <row r="57" spans="2:12" ht="12" customHeight="1" x14ac:dyDescent="0.15">
      <c r="B57" s="2"/>
      <c r="C57" s="4"/>
      <c r="D57" s="4"/>
      <c r="E57" s="4"/>
      <c r="I57" s="135"/>
      <c r="J57" s="135"/>
      <c r="K57" s="135"/>
      <c r="L57" s="135"/>
    </row>
    <row r="58" spans="2:12" ht="12" customHeight="1" x14ac:dyDescent="0.15">
      <c r="B58" s="2"/>
      <c r="C58" s="4"/>
      <c r="D58" s="4"/>
      <c r="E58" s="4"/>
      <c r="I58" s="135"/>
      <c r="J58" s="135"/>
      <c r="K58" s="135"/>
      <c r="L58" s="135"/>
    </row>
    <row r="59" spans="2:12" ht="12" customHeight="1" x14ac:dyDescent="0.15">
      <c r="B59" s="2"/>
      <c r="C59" s="4"/>
      <c r="D59" s="4"/>
      <c r="E59" s="4"/>
      <c r="I59" s="135"/>
      <c r="J59" s="135"/>
      <c r="K59" s="135"/>
      <c r="L59" s="135"/>
    </row>
    <row r="60" spans="2:12" ht="12" customHeight="1" x14ac:dyDescent="0.15">
      <c r="B60" s="2"/>
      <c r="C60" s="4"/>
      <c r="D60" s="4"/>
      <c r="E60" s="4"/>
      <c r="I60" s="135"/>
      <c r="J60" s="135"/>
      <c r="K60" s="135"/>
      <c r="L60" s="135"/>
    </row>
    <row r="61" spans="2:12" ht="12" customHeight="1" x14ac:dyDescent="0.15">
      <c r="B61" s="2"/>
      <c r="C61" s="4"/>
      <c r="D61" s="4"/>
      <c r="E61" s="4"/>
      <c r="I61" s="135"/>
      <c r="J61" s="135"/>
      <c r="K61" s="135"/>
      <c r="L61" s="135"/>
    </row>
    <row r="62" spans="2:12" ht="12" customHeight="1" x14ac:dyDescent="0.15">
      <c r="B62" s="2"/>
      <c r="C62" s="4"/>
      <c r="D62" s="4"/>
      <c r="E62" s="4"/>
      <c r="I62" s="135"/>
      <c r="J62" s="135"/>
      <c r="K62" s="135"/>
      <c r="L62" s="135"/>
    </row>
    <row r="63" spans="2:12" ht="12" customHeight="1" x14ac:dyDescent="0.15">
      <c r="B63" s="2"/>
      <c r="C63" s="4"/>
      <c r="D63" s="4"/>
      <c r="E63" s="4"/>
      <c r="I63" s="135"/>
      <c r="J63" s="135"/>
      <c r="K63" s="135"/>
      <c r="L63" s="135"/>
    </row>
    <row r="64" spans="2:12" ht="12" customHeight="1" x14ac:dyDescent="0.15">
      <c r="B64" s="2"/>
      <c r="C64" s="4"/>
      <c r="D64" s="4"/>
      <c r="E64" s="4"/>
      <c r="I64" s="135"/>
      <c r="J64" s="135"/>
      <c r="K64" s="135"/>
      <c r="L64" s="135"/>
    </row>
    <row r="65" spans="2:12" ht="12" customHeight="1" x14ac:dyDescent="0.15">
      <c r="B65" s="2"/>
      <c r="C65" s="4"/>
      <c r="D65" s="4"/>
      <c r="E65" s="4"/>
      <c r="I65" s="135"/>
      <c r="J65" s="135"/>
      <c r="K65" s="135"/>
      <c r="L65" s="135"/>
    </row>
    <row r="66" spans="2:12" ht="12" customHeight="1" x14ac:dyDescent="0.15">
      <c r="B66" s="2"/>
      <c r="C66" s="4"/>
      <c r="D66" s="4"/>
      <c r="E66" s="4"/>
      <c r="I66" s="135"/>
      <c r="J66" s="135"/>
      <c r="K66" s="135"/>
      <c r="L66" s="135"/>
    </row>
    <row r="67" spans="2:12" ht="12" customHeight="1" x14ac:dyDescent="0.15">
      <c r="B67" s="2"/>
      <c r="C67" s="4"/>
      <c r="D67" s="4"/>
      <c r="E67" s="4"/>
      <c r="I67" s="135"/>
      <c r="J67" s="135"/>
      <c r="K67" s="135"/>
      <c r="L67" s="135"/>
    </row>
    <row r="68" spans="2:12" ht="12" customHeight="1" x14ac:dyDescent="0.15">
      <c r="B68" s="2"/>
      <c r="C68" s="4"/>
      <c r="D68" s="4"/>
      <c r="E68" s="4"/>
      <c r="I68" s="135"/>
      <c r="J68" s="135"/>
      <c r="K68" s="135"/>
      <c r="L68" s="135"/>
    </row>
    <row r="69" spans="2:12" ht="12" customHeight="1" x14ac:dyDescent="0.15">
      <c r="B69" s="2"/>
      <c r="C69" s="4"/>
      <c r="D69" s="4"/>
      <c r="E69" s="4"/>
      <c r="I69" s="135"/>
      <c r="J69" s="135"/>
      <c r="K69" s="135"/>
      <c r="L69" s="135"/>
    </row>
    <row r="70" spans="2:12" ht="12" customHeight="1" x14ac:dyDescent="0.15">
      <c r="B70" s="2"/>
      <c r="C70" s="4"/>
      <c r="D70" s="4"/>
      <c r="E70" s="4"/>
      <c r="I70" s="135"/>
      <c r="J70" s="135"/>
      <c r="K70" s="135"/>
      <c r="L70" s="135"/>
    </row>
    <row r="71" spans="2:12" ht="12" customHeight="1" x14ac:dyDescent="0.15">
      <c r="B71" s="2"/>
      <c r="C71" s="4"/>
      <c r="D71" s="4"/>
      <c r="E71" s="4"/>
      <c r="I71" s="135"/>
      <c r="J71" s="135"/>
      <c r="K71" s="135"/>
      <c r="L71" s="135"/>
    </row>
    <row r="72" spans="2:12" ht="12" customHeight="1" x14ac:dyDescent="0.15">
      <c r="B72" s="2"/>
      <c r="C72" s="4"/>
      <c r="D72" s="4"/>
      <c r="E72" s="4"/>
      <c r="I72" s="135"/>
      <c r="J72" s="135"/>
      <c r="K72" s="135"/>
      <c r="L72" s="135"/>
    </row>
    <row r="73" spans="2:12" ht="12" customHeight="1" x14ac:dyDescent="0.15">
      <c r="B73" s="2"/>
      <c r="C73" s="4"/>
      <c r="D73" s="4"/>
      <c r="E73" s="4"/>
      <c r="I73" s="135"/>
      <c r="J73" s="135"/>
      <c r="K73" s="135"/>
      <c r="L73" s="135"/>
    </row>
    <row r="74" spans="2:12" ht="12" customHeight="1" x14ac:dyDescent="0.15">
      <c r="B74" s="2"/>
      <c r="C74" s="4"/>
      <c r="D74" s="4"/>
      <c r="E74" s="4"/>
      <c r="I74" s="135"/>
      <c r="J74" s="135"/>
      <c r="K74" s="135"/>
      <c r="L74" s="135"/>
    </row>
    <row r="75" spans="2:12" ht="12" customHeight="1" x14ac:dyDescent="0.15">
      <c r="B75" s="2"/>
      <c r="C75" s="4"/>
      <c r="D75" s="4"/>
      <c r="E75" s="4"/>
      <c r="I75" s="135"/>
      <c r="J75" s="135"/>
      <c r="K75" s="135"/>
      <c r="L75" s="135"/>
    </row>
    <row r="76" spans="2:12" ht="12" customHeight="1" x14ac:dyDescent="0.15">
      <c r="B76" s="2"/>
      <c r="C76" s="4"/>
      <c r="D76" s="4"/>
      <c r="E76" s="4"/>
      <c r="I76" s="135"/>
      <c r="J76" s="135"/>
      <c r="K76" s="135"/>
      <c r="L76" s="135"/>
    </row>
    <row r="77" spans="2:12" ht="12" customHeight="1" x14ac:dyDescent="0.15">
      <c r="B77" s="2"/>
      <c r="C77" s="4"/>
      <c r="D77" s="4"/>
      <c r="E77" s="4"/>
      <c r="I77" s="135"/>
      <c r="J77" s="135"/>
      <c r="K77" s="135"/>
      <c r="L77" s="135"/>
    </row>
    <row r="78" spans="2:12" ht="12" customHeight="1" x14ac:dyDescent="0.15">
      <c r="B78" s="2"/>
      <c r="C78" s="4"/>
      <c r="D78" s="4"/>
      <c r="E78" s="4"/>
      <c r="I78" s="135"/>
      <c r="J78" s="135"/>
      <c r="K78" s="135"/>
      <c r="L78" s="135"/>
    </row>
    <row r="79" spans="2:12" ht="12" customHeight="1" x14ac:dyDescent="0.15">
      <c r="B79" s="2"/>
      <c r="C79" s="4"/>
      <c r="D79" s="4"/>
      <c r="E79" s="4"/>
      <c r="I79" s="135"/>
      <c r="J79" s="135"/>
      <c r="K79" s="135"/>
      <c r="L79" s="135"/>
    </row>
    <row r="80" spans="2:12" ht="12" customHeight="1" x14ac:dyDescent="0.15">
      <c r="B80" s="2"/>
      <c r="C80" s="4"/>
      <c r="D80" s="4"/>
      <c r="E80" s="4"/>
      <c r="I80" s="135"/>
      <c r="J80" s="135"/>
      <c r="K80" s="135"/>
      <c r="L80" s="135"/>
    </row>
    <row r="81" spans="2:12" ht="12" customHeight="1" x14ac:dyDescent="0.15">
      <c r="B81" s="2"/>
      <c r="C81" s="4"/>
      <c r="D81" s="4"/>
      <c r="E81" s="4"/>
      <c r="I81" s="135"/>
      <c r="J81" s="135"/>
      <c r="K81" s="135"/>
      <c r="L81" s="135"/>
    </row>
    <row r="82" spans="2:12" ht="12" customHeight="1" x14ac:dyDescent="0.15">
      <c r="B82" s="2"/>
      <c r="C82" s="4"/>
      <c r="D82" s="4"/>
      <c r="E82" s="4"/>
      <c r="I82" s="135"/>
      <c r="J82" s="135"/>
      <c r="K82" s="135"/>
      <c r="L82" s="135"/>
    </row>
    <row r="83" spans="2:12" ht="12" customHeight="1" x14ac:dyDescent="0.15">
      <c r="B83" s="2"/>
      <c r="C83" s="4"/>
      <c r="D83" s="4"/>
      <c r="E83" s="4"/>
      <c r="I83" s="135"/>
      <c r="J83" s="135"/>
      <c r="K83" s="135"/>
      <c r="L83" s="135"/>
    </row>
    <row r="84" spans="2:12" ht="12" customHeight="1" x14ac:dyDescent="0.15">
      <c r="B84" s="2"/>
      <c r="C84" s="4"/>
      <c r="D84" s="4"/>
      <c r="E84" s="4"/>
      <c r="I84" s="135"/>
      <c r="J84" s="135"/>
      <c r="K84" s="135"/>
      <c r="L84" s="135"/>
    </row>
    <row r="85" spans="2:12" ht="12" customHeight="1" x14ac:dyDescent="0.15">
      <c r="B85" s="2"/>
      <c r="C85" s="4"/>
      <c r="D85" s="4"/>
      <c r="E85" s="4"/>
      <c r="I85" s="135"/>
      <c r="J85" s="135"/>
      <c r="K85" s="135"/>
      <c r="L85" s="135"/>
    </row>
    <row r="86" spans="2:12" ht="12" customHeight="1" x14ac:dyDescent="0.15">
      <c r="B86" s="2"/>
      <c r="C86" s="4"/>
      <c r="D86" s="4"/>
      <c r="E86" s="4"/>
      <c r="I86" s="135"/>
      <c r="J86" s="135"/>
      <c r="K86" s="135"/>
      <c r="L86" s="135"/>
    </row>
    <row r="87" spans="2:12" ht="12" customHeight="1" x14ac:dyDescent="0.15">
      <c r="B87" s="2"/>
      <c r="C87" s="4"/>
      <c r="D87" s="4"/>
      <c r="E87" s="4"/>
      <c r="I87" s="135"/>
      <c r="J87" s="135"/>
      <c r="K87" s="135"/>
      <c r="L87" s="135"/>
    </row>
    <row r="88" spans="2:12" ht="12" customHeight="1" x14ac:dyDescent="0.15">
      <c r="B88" s="2"/>
      <c r="C88" s="4"/>
      <c r="D88" s="4"/>
      <c r="E88" s="4"/>
      <c r="I88" s="135"/>
      <c r="J88" s="135"/>
      <c r="K88" s="135"/>
      <c r="L88" s="135"/>
    </row>
    <row r="89" spans="2:12" ht="12" customHeight="1" x14ac:dyDescent="0.15">
      <c r="B89" s="2"/>
      <c r="C89" s="4"/>
      <c r="D89" s="4"/>
      <c r="E89" s="4"/>
      <c r="I89" s="135"/>
      <c r="J89" s="135"/>
      <c r="K89" s="135"/>
      <c r="L89" s="135"/>
    </row>
    <row r="90" spans="2:12" ht="12" customHeight="1" x14ac:dyDescent="0.15">
      <c r="B90" s="2"/>
      <c r="C90" s="4"/>
      <c r="D90" s="4"/>
      <c r="E90" s="4"/>
      <c r="I90" s="135"/>
      <c r="J90" s="135"/>
      <c r="K90" s="135"/>
      <c r="L90" s="135"/>
    </row>
    <row r="91" spans="2:12" ht="12" customHeight="1" x14ac:dyDescent="0.15">
      <c r="B91" s="2"/>
      <c r="C91" s="4"/>
      <c r="D91" s="4"/>
      <c r="E91" s="4"/>
      <c r="I91" s="135"/>
      <c r="J91" s="135"/>
      <c r="K91" s="135"/>
      <c r="L91" s="135"/>
    </row>
    <row r="92" spans="2:12" ht="12" customHeight="1" x14ac:dyDescent="0.15">
      <c r="B92" s="2"/>
      <c r="C92" s="4"/>
      <c r="D92" s="4"/>
      <c r="E92" s="4"/>
      <c r="I92" s="135"/>
      <c r="J92" s="135"/>
      <c r="K92" s="135"/>
      <c r="L92" s="135"/>
    </row>
    <row r="93" spans="2:12" ht="12" customHeight="1" x14ac:dyDescent="0.15">
      <c r="B93" s="2"/>
      <c r="C93" s="4"/>
      <c r="D93" s="4"/>
      <c r="E93" s="4"/>
      <c r="I93" s="135"/>
      <c r="J93" s="135"/>
      <c r="K93" s="135"/>
      <c r="L93" s="135"/>
    </row>
    <row r="94" spans="2:12" ht="12" customHeight="1" x14ac:dyDescent="0.15">
      <c r="B94" s="2"/>
      <c r="C94" s="4"/>
      <c r="D94" s="4"/>
      <c r="E94" s="4"/>
      <c r="I94" s="135"/>
      <c r="J94" s="135"/>
      <c r="K94" s="135"/>
      <c r="L94" s="135"/>
    </row>
    <row r="95" spans="2:12" ht="12" customHeight="1" x14ac:dyDescent="0.15">
      <c r="B95" s="2"/>
      <c r="C95" s="4"/>
      <c r="D95" s="4"/>
      <c r="E95" s="4"/>
      <c r="I95" s="135"/>
      <c r="J95" s="135"/>
      <c r="K95" s="135"/>
      <c r="L95" s="135"/>
    </row>
    <row r="96" spans="2:12" ht="12" customHeight="1" x14ac:dyDescent="0.15">
      <c r="B96" s="2"/>
      <c r="C96" s="4"/>
      <c r="D96" s="4"/>
      <c r="E96" s="4"/>
      <c r="I96" s="135"/>
      <c r="J96" s="135"/>
      <c r="K96" s="135"/>
      <c r="L96" s="135"/>
    </row>
    <row r="97" spans="2:12" ht="12" customHeight="1" x14ac:dyDescent="0.15">
      <c r="B97" s="2"/>
      <c r="C97" s="4"/>
      <c r="D97" s="4"/>
      <c r="E97" s="4"/>
      <c r="I97" s="135"/>
      <c r="J97" s="135"/>
      <c r="K97" s="135"/>
      <c r="L97" s="135"/>
    </row>
    <row r="98" spans="2:12" ht="12" customHeight="1" x14ac:dyDescent="0.15">
      <c r="B98" s="2"/>
      <c r="C98" s="4"/>
      <c r="D98" s="4"/>
      <c r="E98" s="4"/>
      <c r="I98" s="135"/>
      <c r="J98" s="135"/>
      <c r="K98" s="135"/>
      <c r="L98" s="135"/>
    </row>
    <row r="99" spans="2:12" ht="12" customHeight="1" x14ac:dyDescent="0.15">
      <c r="B99" s="2"/>
      <c r="C99" s="4"/>
      <c r="D99" s="4"/>
      <c r="E99" s="4"/>
      <c r="I99" s="135"/>
      <c r="J99" s="135"/>
      <c r="K99" s="135"/>
      <c r="L99" s="135"/>
    </row>
    <row r="100" spans="2:12" ht="12" customHeight="1" x14ac:dyDescent="0.15">
      <c r="B100" s="2"/>
      <c r="C100" s="4"/>
      <c r="D100" s="4"/>
      <c r="E100" s="4"/>
      <c r="I100" s="135"/>
      <c r="J100" s="135"/>
      <c r="K100" s="135"/>
      <c r="L100" s="135"/>
    </row>
    <row r="101" spans="2:12" ht="12" customHeight="1" x14ac:dyDescent="0.15">
      <c r="B101" s="2"/>
      <c r="C101" s="4"/>
      <c r="D101" s="4"/>
      <c r="E101" s="4"/>
      <c r="I101" s="135"/>
      <c r="J101" s="135"/>
      <c r="K101" s="135"/>
      <c r="L101" s="135"/>
    </row>
    <row r="102" spans="2:12" ht="12" customHeight="1" x14ac:dyDescent="0.15">
      <c r="B102" s="2"/>
      <c r="C102" s="4"/>
      <c r="D102" s="4"/>
      <c r="E102" s="4"/>
      <c r="I102" s="135"/>
      <c r="J102" s="135"/>
      <c r="K102" s="135"/>
      <c r="L102" s="135"/>
    </row>
    <row r="103" spans="2:12" ht="12" customHeight="1" x14ac:dyDescent="0.15">
      <c r="B103" s="2"/>
      <c r="C103" s="4"/>
      <c r="D103" s="4"/>
      <c r="E103" s="4"/>
      <c r="I103" s="135"/>
      <c r="J103" s="135"/>
      <c r="K103" s="135"/>
      <c r="L103" s="135"/>
    </row>
    <row r="104" spans="2:12" ht="12" customHeight="1" x14ac:dyDescent="0.15">
      <c r="B104" s="2"/>
      <c r="C104" s="4"/>
      <c r="D104" s="4"/>
      <c r="E104" s="4"/>
      <c r="I104" s="135"/>
      <c r="J104" s="135"/>
      <c r="K104" s="135"/>
      <c r="L104" s="135"/>
    </row>
    <row r="105" spans="2:12" ht="12" customHeight="1" x14ac:dyDescent="0.15">
      <c r="B105" s="2"/>
      <c r="C105" s="4"/>
      <c r="D105" s="4"/>
      <c r="E105" s="4"/>
      <c r="I105" s="135"/>
      <c r="J105" s="135"/>
      <c r="K105" s="135"/>
      <c r="L105" s="135"/>
    </row>
    <row r="106" spans="2:12" ht="12" customHeight="1" x14ac:dyDescent="0.15">
      <c r="B106" s="2"/>
      <c r="C106" s="4"/>
      <c r="D106" s="4"/>
      <c r="E106" s="4"/>
      <c r="I106" s="135"/>
      <c r="J106" s="135"/>
      <c r="K106" s="135"/>
      <c r="L106" s="135"/>
    </row>
    <row r="107" spans="2:12" ht="12" customHeight="1" x14ac:dyDescent="0.15">
      <c r="B107" s="2"/>
      <c r="C107" s="4"/>
      <c r="D107" s="4"/>
      <c r="E107" s="4"/>
      <c r="I107" s="135"/>
      <c r="J107" s="135"/>
      <c r="K107" s="135"/>
      <c r="L107" s="135"/>
    </row>
    <row r="108" spans="2:12" ht="12" customHeight="1" x14ac:dyDescent="0.15">
      <c r="B108" s="2"/>
      <c r="C108" s="4"/>
      <c r="D108" s="4"/>
      <c r="E108" s="4"/>
      <c r="I108" s="135"/>
      <c r="J108" s="135"/>
      <c r="K108" s="135"/>
      <c r="L108" s="135"/>
    </row>
    <row r="109" spans="2:12" ht="12" customHeight="1" x14ac:dyDescent="0.15">
      <c r="B109" s="2"/>
      <c r="C109" s="4"/>
      <c r="D109" s="4"/>
      <c r="E109" s="4"/>
      <c r="I109" s="135"/>
      <c r="J109" s="135"/>
      <c r="K109" s="135"/>
      <c r="L109" s="135"/>
    </row>
    <row r="110" spans="2:12" ht="12" customHeight="1" x14ac:dyDescent="0.15">
      <c r="B110" s="2"/>
      <c r="C110" s="4"/>
      <c r="D110" s="4"/>
      <c r="E110" s="4"/>
      <c r="I110" s="135"/>
      <c r="J110" s="135"/>
      <c r="K110" s="135"/>
      <c r="L110" s="135"/>
    </row>
    <row r="111" spans="2:12" ht="12" customHeight="1" x14ac:dyDescent="0.15">
      <c r="B111" s="2"/>
      <c r="C111" s="4"/>
      <c r="D111" s="4"/>
      <c r="E111" s="4"/>
      <c r="I111" s="135"/>
      <c r="J111" s="135"/>
      <c r="K111" s="135"/>
      <c r="L111" s="135"/>
    </row>
    <row r="112" spans="2:12" ht="12" customHeight="1" x14ac:dyDescent="0.15">
      <c r="B112" s="2"/>
      <c r="C112" s="4"/>
      <c r="D112" s="4"/>
      <c r="E112" s="4"/>
      <c r="I112" s="135"/>
      <c r="J112" s="135"/>
      <c r="K112" s="135"/>
      <c r="L112" s="135"/>
    </row>
    <row r="113" spans="2:12" ht="12" customHeight="1" x14ac:dyDescent="0.15">
      <c r="B113" s="2"/>
      <c r="C113" s="4"/>
      <c r="D113" s="4"/>
      <c r="E113" s="4"/>
      <c r="I113" s="135"/>
      <c r="J113" s="135"/>
      <c r="K113" s="135"/>
      <c r="L113" s="135"/>
    </row>
    <row r="114" spans="2:12" ht="12" customHeight="1" x14ac:dyDescent="0.15">
      <c r="B114" s="2"/>
      <c r="C114" s="4"/>
      <c r="D114" s="4"/>
      <c r="E114" s="4"/>
      <c r="I114" s="135"/>
      <c r="J114" s="135"/>
      <c r="K114" s="135"/>
      <c r="L114" s="135"/>
    </row>
    <row r="115" spans="2:12" ht="12" customHeight="1" x14ac:dyDescent="0.15">
      <c r="B115" s="2"/>
      <c r="C115" s="4"/>
      <c r="D115" s="4"/>
      <c r="E115" s="4"/>
      <c r="I115" s="135"/>
      <c r="J115" s="135"/>
      <c r="K115" s="135"/>
      <c r="L115" s="135"/>
    </row>
    <row r="116" spans="2:12" ht="12" customHeight="1" x14ac:dyDescent="0.15">
      <c r="B116" s="2"/>
      <c r="C116" s="4"/>
      <c r="D116" s="4"/>
      <c r="E116" s="4"/>
      <c r="I116" s="135"/>
      <c r="J116" s="135"/>
      <c r="K116" s="135"/>
      <c r="L116" s="135"/>
    </row>
    <row r="117" spans="2:12" ht="12" customHeight="1" x14ac:dyDescent="0.15">
      <c r="B117" s="2"/>
      <c r="C117" s="4"/>
      <c r="D117" s="4"/>
      <c r="E117" s="4"/>
      <c r="I117" s="135"/>
      <c r="J117" s="135"/>
      <c r="K117" s="135"/>
      <c r="L117" s="135"/>
    </row>
    <row r="118" spans="2:12" ht="12" customHeight="1" x14ac:dyDescent="0.15">
      <c r="B118" s="2"/>
      <c r="C118" s="4"/>
      <c r="D118" s="4"/>
      <c r="E118" s="4"/>
      <c r="I118" s="135"/>
      <c r="J118" s="135"/>
      <c r="K118" s="135"/>
      <c r="L118" s="135"/>
    </row>
    <row r="119" spans="2:12" ht="12" customHeight="1" x14ac:dyDescent="0.15">
      <c r="B119" s="2"/>
      <c r="C119" s="4"/>
      <c r="D119" s="4"/>
      <c r="E119" s="4"/>
      <c r="I119" s="135"/>
      <c r="J119" s="135"/>
      <c r="K119" s="135"/>
      <c r="L119" s="135"/>
    </row>
    <row r="120" spans="2:12" ht="12" customHeight="1" x14ac:dyDescent="0.15">
      <c r="B120" s="2"/>
      <c r="C120" s="4"/>
      <c r="D120" s="4"/>
      <c r="E120" s="4"/>
      <c r="I120" s="135"/>
      <c r="J120" s="135"/>
      <c r="K120" s="135"/>
      <c r="L120" s="135"/>
    </row>
    <row r="121" spans="2:12" ht="12" customHeight="1" x14ac:dyDescent="0.15">
      <c r="B121" s="2"/>
      <c r="C121" s="4"/>
      <c r="D121" s="4"/>
      <c r="E121" s="4"/>
      <c r="I121" s="135"/>
      <c r="J121" s="135"/>
      <c r="K121" s="135"/>
      <c r="L121" s="135"/>
    </row>
    <row r="122" spans="2:12" ht="12" customHeight="1" x14ac:dyDescent="0.15">
      <c r="B122" s="2"/>
      <c r="C122" s="4"/>
      <c r="D122" s="4"/>
      <c r="E122" s="4"/>
      <c r="I122" s="135"/>
      <c r="J122" s="135"/>
      <c r="K122" s="135"/>
      <c r="L122" s="135"/>
    </row>
    <row r="123" spans="2:12" ht="12" customHeight="1" x14ac:dyDescent="0.15">
      <c r="B123" s="2"/>
      <c r="C123" s="4"/>
      <c r="D123" s="4"/>
      <c r="E123" s="4"/>
      <c r="I123" s="135"/>
      <c r="J123" s="135"/>
      <c r="K123" s="135"/>
      <c r="L123" s="135"/>
    </row>
    <row r="124" spans="2:12" ht="12" customHeight="1" x14ac:dyDescent="0.15">
      <c r="B124" s="2"/>
      <c r="C124" s="4"/>
      <c r="D124" s="4"/>
      <c r="E124" s="4"/>
      <c r="I124" s="135"/>
      <c r="J124" s="135"/>
      <c r="K124" s="135"/>
      <c r="L124" s="135"/>
    </row>
    <row r="125" spans="2:12" ht="12" customHeight="1" x14ac:dyDescent="0.15">
      <c r="B125" s="2"/>
      <c r="C125" s="4"/>
      <c r="D125" s="4"/>
      <c r="E125" s="4"/>
      <c r="I125" s="135"/>
      <c r="J125" s="135"/>
      <c r="K125" s="135"/>
      <c r="L125" s="135"/>
    </row>
    <row r="126" spans="2:12" ht="12" customHeight="1" x14ac:dyDescent="0.15">
      <c r="B126" s="2"/>
      <c r="C126" s="4"/>
      <c r="D126" s="4"/>
      <c r="E126" s="4"/>
      <c r="I126" s="135"/>
      <c r="J126" s="135"/>
      <c r="K126" s="135"/>
      <c r="L126" s="135"/>
    </row>
    <row r="127" spans="2:12" ht="12" customHeight="1" x14ac:dyDescent="0.15">
      <c r="B127" s="2"/>
      <c r="C127" s="4"/>
      <c r="D127" s="4"/>
      <c r="E127" s="4"/>
      <c r="I127" s="135"/>
      <c r="J127" s="135"/>
      <c r="K127" s="135"/>
      <c r="L127" s="135"/>
    </row>
    <row r="128" spans="2:12" ht="12" customHeight="1" x14ac:dyDescent="0.15">
      <c r="B128" s="2"/>
      <c r="C128" s="4"/>
      <c r="D128" s="4"/>
      <c r="E128" s="4"/>
      <c r="I128" s="135"/>
      <c r="J128" s="135"/>
      <c r="K128" s="135"/>
      <c r="L128" s="135"/>
    </row>
    <row r="129" spans="2:12" ht="12" customHeight="1" x14ac:dyDescent="0.15">
      <c r="B129" s="2"/>
      <c r="C129" s="4"/>
      <c r="D129" s="4"/>
      <c r="E129" s="4"/>
      <c r="I129" s="135"/>
      <c r="J129" s="135"/>
      <c r="K129" s="135"/>
      <c r="L129" s="135"/>
    </row>
    <row r="130" spans="2:12" ht="12" customHeight="1" x14ac:dyDescent="0.15">
      <c r="B130" s="2"/>
      <c r="C130" s="4"/>
      <c r="D130" s="4"/>
      <c r="E130" s="4"/>
      <c r="I130" s="135"/>
      <c r="J130" s="135"/>
      <c r="K130" s="135"/>
      <c r="L130" s="135"/>
    </row>
    <row r="131" spans="2:12" ht="12" customHeight="1" x14ac:dyDescent="0.15">
      <c r="B131" s="2"/>
      <c r="C131" s="4"/>
      <c r="D131" s="4"/>
      <c r="E131" s="4"/>
      <c r="I131" s="135"/>
      <c r="J131" s="135"/>
      <c r="K131" s="135"/>
      <c r="L131" s="135"/>
    </row>
    <row r="132" spans="2:12" ht="12" customHeight="1" x14ac:dyDescent="0.15">
      <c r="B132" s="2"/>
      <c r="C132" s="4"/>
      <c r="D132" s="4"/>
      <c r="E132" s="4"/>
      <c r="I132" s="135"/>
      <c r="J132" s="135"/>
      <c r="K132" s="135"/>
      <c r="L132" s="135"/>
    </row>
    <row r="133" spans="2:12" ht="12" customHeight="1" x14ac:dyDescent="0.15">
      <c r="B133" s="2"/>
      <c r="C133" s="4"/>
      <c r="D133" s="4"/>
      <c r="E133" s="4"/>
      <c r="I133" s="135"/>
      <c r="J133" s="135"/>
      <c r="K133" s="135"/>
      <c r="L133" s="135"/>
    </row>
    <row r="134" spans="2:12" ht="12" customHeight="1" x14ac:dyDescent="0.15">
      <c r="B134" s="2"/>
      <c r="C134" s="4"/>
      <c r="D134" s="4"/>
      <c r="E134" s="4"/>
      <c r="I134" s="135"/>
      <c r="J134" s="135"/>
      <c r="K134" s="135"/>
      <c r="L134" s="135"/>
    </row>
    <row r="135" spans="2:12" ht="12" customHeight="1" x14ac:dyDescent="0.15">
      <c r="B135" s="2"/>
      <c r="C135" s="4"/>
      <c r="D135" s="4"/>
      <c r="E135" s="4"/>
      <c r="I135" s="135"/>
      <c r="J135" s="135"/>
      <c r="K135" s="135"/>
      <c r="L135" s="135"/>
    </row>
    <row r="136" spans="2:12" ht="12" customHeight="1" x14ac:dyDescent="0.15">
      <c r="B136" s="2"/>
      <c r="C136" s="4"/>
      <c r="D136" s="4"/>
      <c r="E136" s="4"/>
      <c r="I136" s="135"/>
      <c r="J136" s="135"/>
      <c r="K136" s="135"/>
      <c r="L136" s="135"/>
    </row>
    <row r="137" spans="2:12" ht="12" customHeight="1" x14ac:dyDescent="0.15">
      <c r="B137" s="2"/>
      <c r="C137" s="4"/>
      <c r="D137" s="4"/>
      <c r="E137" s="4"/>
      <c r="I137" s="135"/>
      <c r="J137" s="135"/>
      <c r="K137" s="135"/>
      <c r="L137" s="135"/>
    </row>
    <row r="138" spans="2:12" ht="12" customHeight="1" x14ac:dyDescent="0.15">
      <c r="B138" s="2"/>
      <c r="C138" s="4"/>
      <c r="D138" s="4"/>
      <c r="E138" s="4"/>
      <c r="I138" s="135"/>
      <c r="J138" s="135"/>
      <c r="K138" s="135"/>
      <c r="L138" s="135"/>
    </row>
    <row r="139" spans="2:12" ht="12" customHeight="1" x14ac:dyDescent="0.15">
      <c r="B139" s="2"/>
      <c r="C139" s="4"/>
      <c r="D139" s="4"/>
      <c r="E139" s="4"/>
      <c r="I139" s="135"/>
      <c r="J139" s="135"/>
      <c r="K139" s="135"/>
      <c r="L139" s="135"/>
    </row>
    <row r="140" spans="2:12" ht="12" customHeight="1" x14ac:dyDescent="0.15">
      <c r="B140" s="2"/>
      <c r="C140" s="4"/>
      <c r="D140" s="4"/>
      <c r="E140" s="4"/>
      <c r="I140" s="135"/>
      <c r="J140" s="135"/>
      <c r="K140" s="135"/>
      <c r="L140" s="135"/>
    </row>
    <row r="141" spans="2:12" ht="12" customHeight="1" x14ac:dyDescent="0.15">
      <c r="B141" s="2"/>
      <c r="C141" s="4"/>
      <c r="D141" s="4"/>
      <c r="E141" s="4"/>
      <c r="I141" s="135"/>
      <c r="J141" s="135"/>
      <c r="K141" s="135"/>
      <c r="L141" s="135"/>
    </row>
    <row r="142" spans="2:12" ht="12" customHeight="1" x14ac:dyDescent="0.15">
      <c r="B142" s="2"/>
      <c r="C142" s="4"/>
      <c r="D142" s="4"/>
      <c r="E142" s="4"/>
      <c r="I142" s="135"/>
      <c r="J142" s="135"/>
      <c r="K142" s="135"/>
      <c r="L142" s="135"/>
    </row>
    <row r="143" spans="2:12" ht="12" customHeight="1" x14ac:dyDescent="0.15">
      <c r="B143" s="2"/>
      <c r="C143" s="4"/>
      <c r="D143" s="4"/>
      <c r="E143" s="4"/>
      <c r="I143" s="135"/>
      <c r="J143" s="135"/>
      <c r="K143" s="135"/>
      <c r="L143" s="135"/>
    </row>
    <row r="144" spans="2:12" ht="12" customHeight="1" x14ac:dyDescent="0.15">
      <c r="B144" s="2"/>
      <c r="C144" s="4"/>
      <c r="D144" s="4"/>
      <c r="E144" s="4"/>
      <c r="I144" s="135"/>
      <c r="J144" s="135"/>
      <c r="K144" s="135"/>
      <c r="L144" s="135"/>
    </row>
    <row r="145" spans="2:12" ht="12" customHeight="1" x14ac:dyDescent="0.15">
      <c r="B145" s="2"/>
      <c r="C145" s="4"/>
      <c r="D145" s="4"/>
      <c r="E145" s="4"/>
      <c r="I145" s="135"/>
      <c r="J145" s="135"/>
      <c r="K145" s="135"/>
      <c r="L145" s="135"/>
    </row>
    <row r="146" spans="2:12" ht="12" customHeight="1" x14ac:dyDescent="0.15">
      <c r="B146" s="2"/>
      <c r="C146" s="4"/>
      <c r="D146" s="4"/>
      <c r="E146" s="4"/>
      <c r="I146" s="135"/>
      <c r="J146" s="135"/>
      <c r="K146" s="135"/>
      <c r="L146" s="135"/>
    </row>
    <row r="147" spans="2:12" ht="12" customHeight="1" x14ac:dyDescent="0.15">
      <c r="B147" s="2"/>
      <c r="C147" s="4"/>
      <c r="D147" s="4"/>
      <c r="E147" s="4"/>
      <c r="I147" s="135"/>
      <c r="J147" s="135"/>
      <c r="K147" s="135"/>
      <c r="L147" s="135"/>
    </row>
    <row r="148" spans="2:12" ht="12" customHeight="1" x14ac:dyDescent="0.15">
      <c r="B148" s="2"/>
      <c r="C148" s="4"/>
      <c r="D148" s="4"/>
      <c r="E148" s="4"/>
      <c r="I148" s="135"/>
      <c r="J148" s="135"/>
      <c r="K148" s="135"/>
      <c r="L148" s="135"/>
    </row>
    <row r="149" spans="2:12" ht="12" customHeight="1" x14ac:dyDescent="0.15">
      <c r="B149" s="2"/>
      <c r="C149" s="4"/>
      <c r="D149" s="4"/>
      <c r="E149" s="4"/>
      <c r="I149" s="135"/>
      <c r="J149" s="135"/>
      <c r="K149" s="135"/>
      <c r="L149" s="135"/>
    </row>
    <row r="150" spans="2:12" ht="12" customHeight="1" x14ac:dyDescent="0.15">
      <c r="B150" s="2"/>
      <c r="C150" s="4"/>
      <c r="D150" s="4"/>
      <c r="E150" s="4"/>
      <c r="I150" s="135"/>
      <c r="J150" s="135"/>
      <c r="K150" s="135"/>
      <c r="L150" s="135"/>
    </row>
    <row r="151" spans="2:12" ht="12" customHeight="1" x14ac:dyDescent="0.15">
      <c r="B151" s="2"/>
      <c r="C151" s="4"/>
      <c r="D151" s="4"/>
      <c r="E151" s="4"/>
      <c r="I151" s="135"/>
      <c r="J151" s="135"/>
      <c r="K151" s="135"/>
      <c r="L151" s="135"/>
    </row>
    <row r="152" spans="2:12" ht="12" customHeight="1" x14ac:dyDescent="0.15">
      <c r="B152" s="2"/>
      <c r="C152" s="4"/>
      <c r="D152" s="4"/>
      <c r="E152" s="4"/>
      <c r="I152" s="135"/>
      <c r="J152" s="135"/>
      <c r="K152" s="135"/>
      <c r="L152" s="135"/>
    </row>
    <row r="153" spans="2:12" ht="12" customHeight="1" x14ac:dyDescent="0.15">
      <c r="B153" s="2"/>
      <c r="C153" s="4"/>
      <c r="D153" s="4"/>
      <c r="E153" s="4"/>
      <c r="I153" s="135"/>
      <c r="J153" s="135"/>
      <c r="K153" s="135"/>
      <c r="L153" s="135"/>
    </row>
    <row r="154" spans="2:12" ht="12" customHeight="1" x14ac:dyDescent="0.15">
      <c r="B154" s="2"/>
      <c r="C154" s="4"/>
      <c r="D154" s="4"/>
      <c r="E154" s="4"/>
      <c r="I154" s="135"/>
      <c r="J154" s="135"/>
      <c r="K154" s="135"/>
      <c r="L154" s="135"/>
    </row>
    <row r="155" spans="2:12" ht="12" customHeight="1" x14ac:dyDescent="0.15">
      <c r="B155" s="2"/>
      <c r="C155" s="4"/>
      <c r="D155" s="4"/>
      <c r="E155" s="4"/>
      <c r="I155" s="135"/>
      <c r="J155" s="135"/>
      <c r="K155" s="135"/>
      <c r="L155" s="135"/>
    </row>
    <row r="156" spans="2:12" ht="12" customHeight="1" x14ac:dyDescent="0.15">
      <c r="B156" s="2"/>
      <c r="C156" s="4"/>
      <c r="D156" s="4"/>
      <c r="E156" s="4"/>
      <c r="I156" s="135"/>
      <c r="J156" s="135"/>
      <c r="K156" s="135"/>
      <c r="L156" s="135"/>
    </row>
    <row r="157" spans="2:12" ht="12" customHeight="1" x14ac:dyDescent="0.15">
      <c r="B157" s="2"/>
      <c r="C157" s="4"/>
      <c r="D157" s="4"/>
      <c r="E157" s="4"/>
      <c r="I157" s="135"/>
      <c r="J157" s="135"/>
      <c r="K157" s="135"/>
      <c r="L157" s="135"/>
    </row>
    <row r="158" spans="2:12" ht="12" customHeight="1" x14ac:dyDescent="0.15">
      <c r="B158" s="2"/>
      <c r="C158" s="4"/>
      <c r="D158" s="4"/>
      <c r="E158" s="4"/>
      <c r="I158" s="135"/>
      <c r="J158" s="135"/>
      <c r="K158" s="135"/>
      <c r="L158" s="135"/>
    </row>
    <row r="159" spans="2:12" ht="12" customHeight="1" x14ac:dyDescent="0.15">
      <c r="B159" s="2"/>
      <c r="C159" s="4"/>
      <c r="D159" s="4"/>
      <c r="E159" s="4"/>
      <c r="I159" s="135"/>
      <c r="J159" s="135"/>
      <c r="K159" s="135"/>
      <c r="L159" s="135"/>
    </row>
    <row r="160" spans="2:12" ht="12" customHeight="1" x14ac:dyDescent="0.15">
      <c r="B160" s="2"/>
      <c r="C160" s="4"/>
      <c r="D160" s="4"/>
      <c r="E160" s="4"/>
      <c r="I160" s="135"/>
      <c r="J160" s="135"/>
      <c r="K160" s="135"/>
      <c r="L160" s="135"/>
    </row>
    <row r="161" spans="2:12" ht="12" customHeight="1" x14ac:dyDescent="0.15">
      <c r="B161" s="2"/>
      <c r="C161" s="4"/>
      <c r="D161" s="4"/>
      <c r="E161" s="4"/>
      <c r="I161" s="135"/>
      <c r="J161" s="135"/>
      <c r="K161" s="135"/>
      <c r="L161" s="135"/>
    </row>
    <row r="162" spans="2:12" ht="12" customHeight="1" x14ac:dyDescent="0.15">
      <c r="B162" s="2"/>
      <c r="C162" s="4"/>
      <c r="D162" s="4"/>
      <c r="E162" s="4"/>
      <c r="I162" s="135"/>
      <c r="J162" s="135"/>
      <c r="K162" s="135"/>
      <c r="L162" s="135"/>
    </row>
    <row r="163" spans="2:12" ht="12" customHeight="1" x14ac:dyDescent="0.15">
      <c r="B163" s="2"/>
      <c r="C163" s="4"/>
      <c r="D163" s="4"/>
      <c r="E163" s="4"/>
      <c r="I163" s="135"/>
      <c r="J163" s="135"/>
      <c r="K163" s="135"/>
      <c r="L163" s="135"/>
    </row>
    <row r="164" spans="2:12" ht="12" customHeight="1" x14ac:dyDescent="0.15">
      <c r="B164" s="2"/>
      <c r="C164" s="4"/>
      <c r="D164" s="4"/>
      <c r="E164" s="4"/>
      <c r="I164" s="135"/>
      <c r="J164" s="135"/>
      <c r="K164" s="135"/>
      <c r="L164" s="135"/>
    </row>
    <row r="165" spans="2:12" ht="12" customHeight="1" x14ac:dyDescent="0.15">
      <c r="B165" s="2"/>
      <c r="C165" s="4"/>
      <c r="D165" s="4"/>
      <c r="E165" s="4"/>
      <c r="I165" s="135"/>
      <c r="J165" s="135"/>
      <c r="K165" s="135"/>
      <c r="L165" s="135"/>
    </row>
    <row r="166" spans="2:12" ht="12" customHeight="1" x14ac:dyDescent="0.15">
      <c r="B166" s="2"/>
      <c r="C166" s="4"/>
      <c r="D166" s="4"/>
      <c r="E166" s="4"/>
      <c r="I166" s="135"/>
      <c r="J166" s="135"/>
      <c r="K166" s="135"/>
      <c r="L166" s="135"/>
    </row>
    <row r="167" spans="2:12" ht="12" customHeight="1" x14ac:dyDescent="0.15">
      <c r="B167" s="2"/>
      <c r="C167" s="4"/>
      <c r="D167" s="4"/>
      <c r="E167" s="4"/>
      <c r="I167" s="135"/>
      <c r="J167" s="135"/>
      <c r="K167" s="135"/>
      <c r="L167" s="135"/>
    </row>
    <row r="168" spans="2:12" ht="12" customHeight="1" x14ac:dyDescent="0.15">
      <c r="B168" s="2"/>
      <c r="C168" s="4"/>
      <c r="D168" s="4"/>
      <c r="E168" s="4"/>
      <c r="I168" s="135"/>
      <c r="J168" s="135"/>
      <c r="K168" s="135"/>
      <c r="L168" s="135"/>
    </row>
    <row r="169" spans="2:12" ht="12" customHeight="1" x14ac:dyDescent="0.15">
      <c r="B169" s="2"/>
      <c r="C169" s="4"/>
      <c r="D169" s="4"/>
      <c r="E169" s="4"/>
      <c r="I169" s="135"/>
      <c r="J169" s="135"/>
      <c r="K169" s="135"/>
      <c r="L169" s="135"/>
    </row>
    <row r="170" spans="2:12" ht="12" customHeight="1" x14ac:dyDescent="0.15">
      <c r="B170" s="2"/>
      <c r="C170" s="4"/>
      <c r="D170" s="4"/>
      <c r="E170" s="4"/>
      <c r="I170" s="135"/>
      <c r="J170" s="135"/>
      <c r="K170" s="135"/>
      <c r="L170" s="135"/>
    </row>
    <row r="171" spans="2:12" ht="12" customHeight="1" x14ac:dyDescent="0.15">
      <c r="B171" s="2"/>
      <c r="C171" s="4"/>
      <c r="D171" s="4"/>
      <c r="E171" s="4"/>
      <c r="I171" s="135"/>
      <c r="J171" s="135"/>
      <c r="K171" s="135"/>
      <c r="L171" s="135"/>
    </row>
    <row r="172" spans="2:12" ht="12" customHeight="1" x14ac:dyDescent="0.15">
      <c r="B172" s="2"/>
      <c r="C172" s="4"/>
      <c r="D172" s="4"/>
      <c r="E172" s="4"/>
      <c r="I172" s="135"/>
      <c r="J172" s="135"/>
      <c r="K172" s="135"/>
      <c r="L172" s="135"/>
    </row>
    <row r="173" spans="2:12" ht="12" customHeight="1" x14ac:dyDescent="0.15">
      <c r="B173" s="2"/>
      <c r="C173" s="4"/>
      <c r="D173" s="4"/>
      <c r="E173" s="4"/>
      <c r="I173" s="135"/>
      <c r="J173" s="135"/>
      <c r="K173" s="135"/>
      <c r="L173" s="135"/>
    </row>
    <row r="174" spans="2:12" ht="12" customHeight="1" x14ac:dyDescent="0.15">
      <c r="B174" s="2"/>
      <c r="C174" s="4"/>
      <c r="D174" s="4"/>
      <c r="E174" s="4"/>
      <c r="I174" s="135"/>
      <c r="J174" s="135"/>
      <c r="K174" s="135"/>
      <c r="L174" s="135"/>
    </row>
    <row r="175" spans="2:12" ht="12" customHeight="1" x14ac:dyDescent="0.15">
      <c r="B175" s="2"/>
      <c r="C175" s="4"/>
      <c r="D175" s="4"/>
      <c r="E175" s="4"/>
      <c r="I175" s="135"/>
      <c r="J175" s="135"/>
      <c r="K175" s="135"/>
      <c r="L175" s="135"/>
    </row>
    <row r="176" spans="2:12" ht="12" customHeight="1" x14ac:dyDescent="0.15">
      <c r="B176" s="2"/>
      <c r="C176" s="4"/>
      <c r="D176" s="4"/>
      <c r="E176" s="4"/>
      <c r="I176" s="135"/>
      <c r="J176" s="135"/>
      <c r="K176" s="135"/>
      <c r="L176" s="135"/>
    </row>
    <row r="177" spans="2:12" ht="12" customHeight="1" x14ac:dyDescent="0.15">
      <c r="B177" s="2"/>
      <c r="C177" s="4"/>
      <c r="D177" s="4"/>
      <c r="E177" s="4"/>
      <c r="I177" s="135"/>
      <c r="J177" s="135"/>
      <c r="K177" s="135"/>
      <c r="L177" s="135"/>
    </row>
    <row r="178" spans="2:12" ht="12" customHeight="1" x14ac:dyDescent="0.15">
      <c r="B178" s="2"/>
      <c r="C178" s="4"/>
      <c r="D178" s="4"/>
      <c r="E178" s="4"/>
      <c r="I178" s="135"/>
      <c r="J178" s="135"/>
      <c r="K178" s="135"/>
      <c r="L178" s="135"/>
    </row>
    <row r="179" spans="2:12" ht="12" customHeight="1" x14ac:dyDescent="0.15">
      <c r="B179" s="2"/>
      <c r="C179" s="4"/>
      <c r="D179" s="4"/>
      <c r="E179" s="4"/>
      <c r="I179" s="135"/>
      <c r="J179" s="135"/>
      <c r="K179" s="135"/>
      <c r="L179" s="135"/>
    </row>
    <row r="180" spans="2:12" ht="12" customHeight="1" x14ac:dyDescent="0.15">
      <c r="B180" s="2"/>
      <c r="C180" s="4"/>
      <c r="D180" s="4"/>
      <c r="E180" s="4"/>
      <c r="I180" s="135"/>
      <c r="J180" s="135"/>
      <c r="K180" s="135"/>
      <c r="L180" s="135"/>
    </row>
    <row r="181" spans="2:12" ht="12" customHeight="1" x14ac:dyDescent="0.15">
      <c r="B181" s="2"/>
      <c r="C181" s="4"/>
      <c r="D181" s="4"/>
      <c r="E181" s="4"/>
      <c r="I181" s="135"/>
      <c r="J181" s="135"/>
      <c r="K181" s="135"/>
      <c r="L181" s="135"/>
    </row>
    <row r="182" spans="2:12" ht="12" customHeight="1" x14ac:dyDescent="0.15">
      <c r="B182" s="2"/>
      <c r="C182" s="4"/>
      <c r="D182" s="4"/>
      <c r="E182" s="4"/>
      <c r="I182" s="135"/>
      <c r="J182" s="135"/>
      <c r="K182" s="135"/>
      <c r="L182" s="135"/>
    </row>
    <row r="183" spans="2:12" ht="12" customHeight="1" x14ac:dyDescent="0.15">
      <c r="B183" s="2"/>
      <c r="C183" s="4"/>
      <c r="D183" s="4"/>
      <c r="E183" s="4"/>
      <c r="I183" s="135"/>
      <c r="J183" s="135"/>
      <c r="K183" s="135"/>
      <c r="L183" s="135"/>
    </row>
    <row r="184" spans="2:12" ht="12" customHeight="1" x14ac:dyDescent="0.15">
      <c r="B184" s="2"/>
      <c r="C184" s="4"/>
      <c r="D184" s="4"/>
      <c r="E184" s="4"/>
      <c r="I184" s="135"/>
      <c r="J184" s="135"/>
      <c r="K184" s="135"/>
      <c r="L184" s="135"/>
    </row>
    <row r="185" spans="2:12" ht="12" customHeight="1" x14ac:dyDescent="0.15">
      <c r="B185" s="2"/>
      <c r="C185" s="4"/>
      <c r="D185" s="4"/>
      <c r="E185" s="4"/>
      <c r="I185" s="135"/>
      <c r="J185" s="135"/>
      <c r="K185" s="135"/>
      <c r="L185" s="135"/>
    </row>
    <row r="186" spans="2:12" ht="12" customHeight="1" x14ac:dyDescent="0.15">
      <c r="B186" s="2"/>
      <c r="C186" s="4"/>
      <c r="D186" s="4"/>
      <c r="E186" s="4"/>
      <c r="I186" s="135"/>
      <c r="J186" s="135"/>
      <c r="K186" s="135"/>
      <c r="L186" s="135"/>
    </row>
    <row r="187" spans="2:12" ht="12" customHeight="1" x14ac:dyDescent="0.15">
      <c r="B187" s="2"/>
      <c r="C187" s="4"/>
      <c r="D187" s="4"/>
      <c r="E187" s="4"/>
      <c r="I187" s="135"/>
      <c r="J187" s="135"/>
      <c r="K187" s="135"/>
      <c r="L187" s="135"/>
    </row>
    <row r="188" spans="2:12" ht="12" customHeight="1" x14ac:dyDescent="0.15">
      <c r="B188" s="2"/>
      <c r="C188" s="4"/>
      <c r="D188" s="4"/>
      <c r="E188" s="4"/>
      <c r="I188" s="135"/>
      <c r="J188" s="135"/>
      <c r="K188" s="135"/>
      <c r="L188" s="135"/>
    </row>
    <row r="189" spans="2:12" ht="12" customHeight="1" x14ac:dyDescent="0.15">
      <c r="B189" s="2"/>
      <c r="C189" s="4"/>
      <c r="D189" s="4"/>
      <c r="E189" s="4"/>
      <c r="I189" s="135"/>
      <c r="J189" s="135"/>
      <c r="K189" s="135"/>
      <c r="L189" s="135"/>
    </row>
    <row r="190" spans="2:12" ht="12" customHeight="1" x14ac:dyDescent="0.15">
      <c r="B190" s="2"/>
      <c r="C190" s="4"/>
      <c r="D190" s="4"/>
      <c r="E190" s="4"/>
      <c r="I190" s="135"/>
      <c r="J190" s="135"/>
      <c r="K190" s="135"/>
      <c r="L190" s="135"/>
    </row>
    <row r="191" spans="2:12" ht="12" customHeight="1" x14ac:dyDescent="0.15">
      <c r="B191" s="2"/>
      <c r="C191" s="4"/>
      <c r="D191" s="4"/>
      <c r="E191" s="4"/>
      <c r="I191" s="135"/>
      <c r="J191" s="135"/>
      <c r="K191" s="135"/>
      <c r="L191" s="135"/>
    </row>
    <row r="192" spans="2:12" ht="12" customHeight="1" x14ac:dyDescent="0.15">
      <c r="B192" s="2"/>
      <c r="C192" s="4"/>
      <c r="D192" s="4"/>
      <c r="E192" s="4"/>
      <c r="I192" s="135"/>
      <c r="J192" s="135"/>
      <c r="K192" s="135"/>
      <c r="L192" s="135"/>
    </row>
    <row r="193" spans="2:12" ht="12" customHeight="1" x14ac:dyDescent="0.15">
      <c r="B193" s="2"/>
      <c r="C193" s="4"/>
      <c r="D193" s="4"/>
      <c r="E193" s="4"/>
      <c r="I193" s="135"/>
      <c r="J193" s="135"/>
      <c r="K193" s="135"/>
      <c r="L193" s="135"/>
    </row>
    <row r="194" spans="2:12" ht="12" customHeight="1" x14ac:dyDescent="0.15">
      <c r="B194" s="2"/>
      <c r="C194" s="4"/>
      <c r="D194" s="4"/>
      <c r="E194" s="4"/>
      <c r="I194" s="135"/>
      <c r="J194" s="135"/>
      <c r="K194" s="135"/>
      <c r="L194" s="135"/>
    </row>
    <row r="195" spans="2:12" ht="12" customHeight="1" x14ac:dyDescent="0.15">
      <c r="B195" s="2"/>
      <c r="C195" s="4"/>
      <c r="D195" s="4"/>
      <c r="E195" s="4"/>
      <c r="I195" s="135"/>
      <c r="J195" s="135"/>
      <c r="K195" s="135"/>
      <c r="L195" s="135"/>
    </row>
    <row r="196" spans="2:12" ht="12" customHeight="1" x14ac:dyDescent="0.15">
      <c r="B196" s="2"/>
      <c r="C196" s="4"/>
      <c r="D196" s="4"/>
      <c r="E196" s="4"/>
      <c r="I196" s="135"/>
      <c r="J196" s="135"/>
      <c r="K196" s="135"/>
      <c r="L196" s="135"/>
    </row>
    <row r="197" spans="2:12" ht="12" customHeight="1" x14ac:dyDescent="0.15">
      <c r="B197" s="2"/>
      <c r="C197" s="4"/>
      <c r="D197" s="4"/>
      <c r="E197" s="4"/>
      <c r="I197" s="135"/>
      <c r="J197" s="135"/>
      <c r="K197" s="135"/>
      <c r="L197" s="135"/>
    </row>
    <row r="198" spans="2:12" ht="12" customHeight="1" x14ac:dyDescent="0.15">
      <c r="B198" s="2"/>
      <c r="C198" s="4"/>
      <c r="D198" s="4"/>
      <c r="E198" s="4"/>
      <c r="I198" s="135"/>
      <c r="J198" s="135"/>
      <c r="K198" s="135"/>
      <c r="L198" s="135"/>
    </row>
    <row r="199" spans="2:12" ht="12" customHeight="1" x14ac:dyDescent="0.15">
      <c r="B199" s="2"/>
      <c r="C199" s="4"/>
      <c r="D199" s="4"/>
      <c r="E199" s="4"/>
      <c r="I199" s="135"/>
      <c r="J199" s="135"/>
      <c r="K199" s="135"/>
      <c r="L199" s="135"/>
    </row>
    <row r="200" spans="2:12" ht="12" customHeight="1" x14ac:dyDescent="0.15">
      <c r="B200" s="2"/>
      <c r="C200" s="4"/>
      <c r="D200" s="4"/>
      <c r="E200" s="4"/>
      <c r="I200" s="135"/>
      <c r="J200" s="135"/>
      <c r="K200" s="135"/>
      <c r="L200" s="135"/>
    </row>
    <row r="201" spans="2:12" ht="12" customHeight="1" x14ac:dyDescent="0.15">
      <c r="B201" s="2"/>
      <c r="C201" s="4"/>
      <c r="D201" s="4"/>
      <c r="E201" s="4"/>
      <c r="I201" s="135"/>
      <c r="J201" s="135"/>
      <c r="K201" s="135"/>
      <c r="L201" s="135"/>
    </row>
    <row r="202" spans="2:12" ht="12" customHeight="1" x14ac:dyDescent="0.15">
      <c r="B202" s="2"/>
      <c r="C202" s="4"/>
      <c r="D202" s="4"/>
      <c r="E202" s="4"/>
      <c r="I202" s="135"/>
      <c r="J202" s="135"/>
      <c r="K202" s="135"/>
      <c r="L202" s="135"/>
    </row>
    <row r="203" spans="2:12" ht="12" customHeight="1" x14ac:dyDescent="0.15">
      <c r="B203" s="2"/>
      <c r="C203" s="4"/>
      <c r="D203" s="4"/>
      <c r="E203" s="4"/>
      <c r="I203" s="135"/>
      <c r="J203" s="135"/>
      <c r="K203" s="135"/>
      <c r="L203" s="135"/>
    </row>
    <row r="204" spans="2:12" ht="12" customHeight="1" x14ac:dyDescent="0.15">
      <c r="B204" s="2"/>
      <c r="C204" s="4"/>
      <c r="D204" s="4"/>
      <c r="E204" s="4"/>
      <c r="I204" s="135"/>
      <c r="J204" s="135"/>
      <c r="K204" s="135"/>
      <c r="L204" s="135"/>
    </row>
    <row r="205" spans="2:12" ht="12" customHeight="1" x14ac:dyDescent="0.15">
      <c r="B205" s="2"/>
      <c r="C205" s="4"/>
      <c r="D205" s="4"/>
      <c r="E205" s="4"/>
      <c r="I205" s="135"/>
      <c r="J205" s="135"/>
      <c r="K205" s="135"/>
      <c r="L205" s="135"/>
    </row>
    <row r="206" spans="2:12" ht="12" customHeight="1" x14ac:dyDescent="0.15">
      <c r="B206" s="2"/>
      <c r="C206" s="4"/>
      <c r="D206" s="4"/>
      <c r="E206" s="4"/>
      <c r="I206" s="135"/>
      <c r="J206" s="135"/>
      <c r="K206" s="135"/>
      <c r="L206" s="135"/>
    </row>
    <row r="207" spans="2:12" ht="12" customHeight="1" x14ac:dyDescent="0.15">
      <c r="B207" s="2"/>
      <c r="C207" s="4"/>
      <c r="D207" s="4"/>
      <c r="E207" s="4"/>
      <c r="I207" s="135"/>
      <c r="J207" s="135"/>
      <c r="K207" s="135"/>
      <c r="L207" s="135"/>
    </row>
    <row r="208" spans="2:12" ht="12" customHeight="1" x14ac:dyDescent="0.15">
      <c r="B208" s="2"/>
      <c r="C208" s="4"/>
      <c r="D208" s="4"/>
      <c r="E208" s="4"/>
      <c r="I208" s="135"/>
      <c r="J208" s="135"/>
      <c r="K208" s="135"/>
      <c r="L208" s="135"/>
    </row>
    <row r="209" spans="2:12" ht="12" customHeight="1" x14ac:dyDescent="0.15">
      <c r="B209" s="2"/>
      <c r="C209" s="4"/>
      <c r="D209" s="4"/>
      <c r="E209" s="4"/>
      <c r="I209" s="135"/>
      <c r="J209" s="135"/>
      <c r="K209" s="135"/>
      <c r="L209" s="135"/>
    </row>
    <row r="210" spans="2:12" ht="12" customHeight="1" x14ac:dyDescent="0.15">
      <c r="B210" s="2"/>
      <c r="C210" s="4"/>
      <c r="D210" s="4"/>
      <c r="E210" s="4"/>
      <c r="I210" s="135"/>
      <c r="J210" s="135"/>
      <c r="K210" s="135"/>
      <c r="L210" s="135"/>
    </row>
    <row r="211" spans="2:12" ht="12" customHeight="1" x14ac:dyDescent="0.15">
      <c r="B211" s="2"/>
      <c r="C211" s="4"/>
      <c r="D211" s="4"/>
      <c r="E211" s="4"/>
      <c r="I211" s="135"/>
      <c r="J211" s="135"/>
      <c r="K211" s="135"/>
      <c r="L211" s="135"/>
    </row>
    <row r="212" spans="2:12" ht="12" customHeight="1" x14ac:dyDescent="0.15">
      <c r="B212" s="2"/>
      <c r="C212" s="4"/>
      <c r="D212" s="4"/>
      <c r="E212" s="4"/>
      <c r="I212" s="135"/>
      <c r="J212" s="135"/>
      <c r="K212" s="135"/>
      <c r="L212" s="135"/>
    </row>
    <row r="213" spans="2:12" ht="12" customHeight="1" x14ac:dyDescent="0.15">
      <c r="B213" s="2"/>
      <c r="C213" s="4"/>
      <c r="D213" s="4"/>
      <c r="E213" s="4"/>
      <c r="I213" s="135"/>
      <c r="J213" s="135"/>
      <c r="K213" s="135"/>
      <c r="L213" s="135"/>
    </row>
    <row r="214" spans="2:12" ht="12" customHeight="1" x14ac:dyDescent="0.15">
      <c r="B214" s="2"/>
      <c r="C214" s="4"/>
      <c r="D214" s="4"/>
      <c r="E214" s="4"/>
      <c r="I214" s="135"/>
      <c r="J214" s="135"/>
      <c r="K214" s="135"/>
      <c r="L214" s="135"/>
    </row>
    <row r="215" spans="2:12" ht="12" customHeight="1" x14ac:dyDescent="0.15">
      <c r="B215" s="2"/>
      <c r="C215" s="4"/>
      <c r="D215" s="4"/>
      <c r="E215" s="4"/>
      <c r="I215" s="135"/>
      <c r="J215" s="135"/>
      <c r="K215" s="135"/>
      <c r="L215" s="135"/>
    </row>
    <row r="216" spans="2:12" ht="12" customHeight="1" x14ac:dyDescent="0.15">
      <c r="B216" s="2"/>
      <c r="C216" s="4"/>
      <c r="D216" s="4"/>
      <c r="E216" s="4"/>
      <c r="I216" s="135"/>
      <c r="J216" s="135"/>
      <c r="K216" s="135"/>
      <c r="L216" s="135"/>
    </row>
    <row r="217" spans="2:12" ht="12" customHeight="1" x14ac:dyDescent="0.15">
      <c r="B217" s="2"/>
      <c r="C217" s="4"/>
      <c r="D217" s="4"/>
      <c r="E217" s="4"/>
      <c r="I217" s="135"/>
      <c r="J217" s="135"/>
      <c r="K217" s="135"/>
      <c r="L217" s="135"/>
    </row>
    <row r="218" spans="2:12" ht="12" customHeight="1" x14ac:dyDescent="0.15">
      <c r="B218" s="2"/>
      <c r="C218" s="4"/>
      <c r="D218" s="4"/>
      <c r="E218" s="4"/>
      <c r="I218" s="135"/>
      <c r="J218" s="135"/>
      <c r="K218" s="135"/>
      <c r="L218" s="135"/>
    </row>
    <row r="219" spans="2:12" ht="12" customHeight="1" x14ac:dyDescent="0.15">
      <c r="B219" s="2"/>
      <c r="C219" s="4"/>
      <c r="D219" s="4"/>
      <c r="E219" s="4"/>
      <c r="I219" s="135"/>
      <c r="J219" s="135"/>
      <c r="K219" s="135"/>
      <c r="L219" s="135"/>
    </row>
    <row r="220" spans="2:12" ht="12" customHeight="1" x14ac:dyDescent="0.15">
      <c r="B220" s="2"/>
      <c r="C220" s="4"/>
      <c r="D220" s="4"/>
      <c r="E220" s="4"/>
      <c r="I220" s="135"/>
      <c r="J220" s="135"/>
      <c r="K220" s="135"/>
      <c r="L220" s="135"/>
    </row>
    <row r="221" spans="2:12" ht="12" customHeight="1" x14ac:dyDescent="0.15">
      <c r="B221" s="2"/>
      <c r="C221" s="4"/>
      <c r="D221" s="4"/>
      <c r="E221" s="4"/>
      <c r="I221" s="135"/>
      <c r="J221" s="135"/>
      <c r="K221" s="135"/>
      <c r="L221" s="135"/>
    </row>
    <row r="222" spans="2:12" ht="12" customHeight="1" x14ac:dyDescent="0.15">
      <c r="B222" s="2"/>
      <c r="C222" s="4"/>
      <c r="D222" s="4"/>
      <c r="E222" s="4"/>
      <c r="I222" s="135"/>
      <c r="J222" s="135"/>
      <c r="K222" s="135"/>
      <c r="L222" s="135"/>
    </row>
    <row r="223" spans="2:12" ht="12" customHeight="1" x14ac:dyDescent="0.15">
      <c r="B223" s="2"/>
      <c r="C223" s="4"/>
      <c r="D223" s="4"/>
      <c r="E223" s="4"/>
      <c r="I223" s="135"/>
      <c r="J223" s="135"/>
      <c r="K223" s="135"/>
      <c r="L223" s="135"/>
    </row>
    <row r="224" spans="2:12" ht="12" customHeight="1" x14ac:dyDescent="0.15">
      <c r="B224" s="2"/>
      <c r="C224" s="4"/>
      <c r="D224" s="4"/>
      <c r="E224" s="4"/>
      <c r="I224" s="135"/>
      <c r="J224" s="135"/>
      <c r="K224" s="135"/>
      <c r="L224" s="135"/>
    </row>
    <row r="225" spans="2:12" ht="12" customHeight="1" x14ac:dyDescent="0.15">
      <c r="B225" s="2"/>
      <c r="C225" s="4"/>
      <c r="D225" s="4"/>
      <c r="E225" s="4"/>
      <c r="I225" s="135"/>
      <c r="J225" s="135"/>
      <c r="K225" s="135"/>
      <c r="L225" s="135"/>
    </row>
    <row r="226" spans="2:12" ht="12" customHeight="1" x14ac:dyDescent="0.15">
      <c r="B226" s="2"/>
      <c r="C226" s="4"/>
      <c r="D226" s="4"/>
      <c r="E226" s="4"/>
      <c r="I226" s="135"/>
      <c r="J226" s="135"/>
      <c r="K226" s="135"/>
      <c r="L226" s="135"/>
    </row>
    <row r="227" spans="2:12" ht="12" customHeight="1" x14ac:dyDescent="0.15">
      <c r="B227" s="2"/>
      <c r="C227" s="4"/>
      <c r="D227" s="4"/>
      <c r="E227" s="4"/>
      <c r="I227" s="135"/>
      <c r="J227" s="135"/>
      <c r="K227" s="135"/>
      <c r="L227" s="135"/>
    </row>
    <row r="228" spans="2:12" ht="12" customHeight="1" x14ac:dyDescent="0.15">
      <c r="B228" s="2"/>
      <c r="C228" s="4"/>
      <c r="D228" s="4"/>
      <c r="E228" s="4"/>
      <c r="I228" s="135"/>
      <c r="J228" s="135"/>
      <c r="K228" s="135"/>
      <c r="L228" s="135"/>
    </row>
    <row r="229" spans="2:12" ht="12" customHeight="1" x14ac:dyDescent="0.15">
      <c r="B229" s="2"/>
      <c r="C229" s="4"/>
      <c r="D229" s="4"/>
      <c r="E229" s="4"/>
      <c r="I229" s="135"/>
      <c r="J229" s="135"/>
      <c r="K229" s="135"/>
      <c r="L229" s="135"/>
    </row>
    <row r="230" spans="2:12" ht="12" customHeight="1" x14ac:dyDescent="0.15">
      <c r="B230" s="2"/>
      <c r="C230" s="4"/>
      <c r="D230" s="4"/>
      <c r="E230" s="4"/>
      <c r="I230" s="135"/>
      <c r="J230" s="135"/>
      <c r="K230" s="135"/>
      <c r="L230" s="135"/>
    </row>
    <row r="231" spans="2:12" ht="12" customHeight="1" x14ac:dyDescent="0.15">
      <c r="B231" s="2"/>
      <c r="C231" s="4"/>
      <c r="D231" s="4"/>
      <c r="E231" s="4"/>
      <c r="I231" s="135"/>
      <c r="J231" s="135"/>
      <c r="K231" s="135"/>
      <c r="L231" s="135"/>
    </row>
    <row r="232" spans="2:12" ht="12" customHeight="1" x14ac:dyDescent="0.15">
      <c r="B232" s="2"/>
      <c r="C232" s="4"/>
      <c r="D232" s="4"/>
      <c r="E232" s="4"/>
      <c r="I232" s="135"/>
      <c r="J232" s="135"/>
      <c r="K232" s="135"/>
      <c r="L232" s="135"/>
    </row>
    <row r="233" spans="2:12" ht="12" customHeight="1" x14ac:dyDescent="0.15">
      <c r="B233" s="2"/>
      <c r="C233" s="4"/>
      <c r="D233" s="4"/>
      <c r="E233" s="4"/>
      <c r="I233" s="135"/>
      <c r="J233" s="135"/>
      <c r="K233" s="135"/>
      <c r="L233" s="135"/>
    </row>
    <row r="234" spans="2:12" ht="12" customHeight="1" x14ac:dyDescent="0.15">
      <c r="B234" s="2"/>
      <c r="C234" s="4"/>
      <c r="D234" s="4"/>
      <c r="E234" s="4"/>
      <c r="I234" s="135"/>
      <c r="J234" s="135"/>
      <c r="K234" s="135"/>
      <c r="L234" s="135"/>
    </row>
    <row r="235" spans="2:12" ht="12" customHeight="1" x14ac:dyDescent="0.15">
      <c r="B235" s="2"/>
      <c r="C235" s="4"/>
      <c r="D235" s="4"/>
      <c r="E235" s="4"/>
      <c r="I235" s="135"/>
      <c r="J235" s="135"/>
      <c r="K235" s="135"/>
      <c r="L235" s="135"/>
    </row>
    <row r="236" spans="2:12" ht="12" customHeight="1" x14ac:dyDescent="0.15">
      <c r="B236" s="2"/>
      <c r="C236" s="4"/>
      <c r="D236" s="4"/>
      <c r="E236" s="4"/>
      <c r="I236" s="135"/>
      <c r="J236" s="135"/>
      <c r="K236" s="135"/>
      <c r="L236" s="135"/>
    </row>
    <row r="237" spans="2:12" ht="12" customHeight="1" x14ac:dyDescent="0.15">
      <c r="B237" s="2"/>
      <c r="C237" s="4"/>
      <c r="D237" s="4"/>
      <c r="E237" s="4"/>
      <c r="I237" s="135"/>
      <c r="J237" s="135"/>
      <c r="K237" s="135"/>
      <c r="L237" s="135"/>
    </row>
    <row r="238" spans="2:12" ht="12" customHeight="1" x14ac:dyDescent="0.15">
      <c r="B238" s="2"/>
      <c r="C238" s="4"/>
      <c r="D238" s="4"/>
      <c r="E238" s="4"/>
      <c r="I238" s="135"/>
      <c r="J238" s="135"/>
      <c r="K238" s="135"/>
      <c r="L238" s="135"/>
    </row>
    <row r="239" spans="2:12" ht="12" customHeight="1" x14ac:dyDescent="0.15">
      <c r="B239" s="2"/>
      <c r="C239" s="4"/>
      <c r="D239" s="4"/>
      <c r="E239" s="4"/>
      <c r="I239" s="135"/>
      <c r="J239" s="135"/>
      <c r="K239" s="135"/>
      <c r="L239" s="135"/>
    </row>
    <row r="240" spans="2:12" ht="12" customHeight="1" x14ac:dyDescent="0.15">
      <c r="B240" s="2"/>
      <c r="C240" s="4"/>
      <c r="D240" s="4"/>
      <c r="E240" s="4"/>
      <c r="I240" s="135"/>
      <c r="J240" s="135"/>
      <c r="K240" s="135"/>
      <c r="L240" s="135"/>
    </row>
    <row r="241" spans="2:12" ht="12" customHeight="1" x14ac:dyDescent="0.15">
      <c r="B241" s="2"/>
      <c r="C241" s="4"/>
      <c r="D241" s="4"/>
      <c r="E241" s="4"/>
      <c r="I241" s="135"/>
      <c r="J241" s="135"/>
      <c r="K241" s="135"/>
      <c r="L241" s="135"/>
    </row>
    <row r="242" spans="2:12" ht="12" customHeight="1" x14ac:dyDescent="0.15">
      <c r="B242" s="2"/>
      <c r="C242" s="4"/>
      <c r="D242" s="4"/>
      <c r="E242" s="4"/>
      <c r="I242" s="135"/>
      <c r="J242" s="135"/>
      <c r="K242" s="135"/>
      <c r="L242" s="135"/>
    </row>
    <row r="243" spans="2:12" ht="12" customHeight="1" x14ac:dyDescent="0.15">
      <c r="B243" s="2"/>
      <c r="C243" s="4"/>
      <c r="D243" s="4"/>
      <c r="E243" s="4"/>
      <c r="I243" s="135"/>
      <c r="J243" s="135"/>
      <c r="K243" s="135"/>
      <c r="L243" s="135"/>
    </row>
    <row r="244" spans="2:12" ht="12" customHeight="1" x14ac:dyDescent="0.15">
      <c r="B244" s="2"/>
      <c r="C244" s="4"/>
      <c r="D244" s="4"/>
      <c r="E244" s="4"/>
      <c r="I244" s="135"/>
      <c r="J244" s="135"/>
      <c r="K244" s="135"/>
      <c r="L244" s="135"/>
    </row>
    <row r="245" spans="2:12" ht="12" customHeight="1" x14ac:dyDescent="0.15">
      <c r="B245" s="2"/>
      <c r="C245" s="4"/>
      <c r="D245" s="4"/>
      <c r="E245" s="4"/>
      <c r="I245" s="135"/>
      <c r="J245" s="135"/>
      <c r="K245" s="135"/>
      <c r="L245" s="135"/>
    </row>
    <row r="246" spans="2:12" ht="12" customHeight="1" x14ac:dyDescent="0.15">
      <c r="B246" s="2"/>
      <c r="C246" s="4"/>
      <c r="D246" s="4"/>
      <c r="E246" s="4"/>
      <c r="I246" s="135"/>
      <c r="J246" s="135"/>
      <c r="K246" s="135"/>
      <c r="L246" s="135"/>
    </row>
    <row r="247" spans="2:12" ht="12" customHeight="1" x14ac:dyDescent="0.15">
      <c r="B247" s="2"/>
      <c r="C247" s="4"/>
      <c r="D247" s="4"/>
      <c r="E247" s="4"/>
      <c r="I247" s="135"/>
      <c r="J247" s="135"/>
      <c r="K247" s="135"/>
      <c r="L247" s="135"/>
    </row>
    <row r="248" spans="2:12" ht="12" customHeight="1" x14ac:dyDescent="0.15">
      <c r="B248" s="2"/>
      <c r="C248" s="4"/>
      <c r="D248" s="4"/>
      <c r="E248" s="4"/>
      <c r="I248" s="135"/>
      <c r="J248" s="135"/>
      <c r="K248" s="135"/>
      <c r="L248" s="135"/>
    </row>
    <row r="249" spans="2:12" ht="12" customHeight="1" x14ac:dyDescent="0.15">
      <c r="B249" s="2"/>
      <c r="C249" s="4"/>
      <c r="D249" s="4"/>
      <c r="E249" s="4"/>
      <c r="I249" s="135"/>
      <c r="J249" s="135"/>
      <c r="K249" s="135"/>
      <c r="L249" s="135"/>
    </row>
    <row r="250" spans="2:12" ht="12" customHeight="1" x14ac:dyDescent="0.15">
      <c r="B250" s="2"/>
      <c r="C250" s="4"/>
      <c r="D250" s="4"/>
      <c r="E250" s="4"/>
      <c r="I250" s="135"/>
      <c r="J250" s="135"/>
      <c r="K250" s="135"/>
      <c r="L250" s="135"/>
    </row>
    <row r="251" spans="2:12" ht="12" customHeight="1" x14ac:dyDescent="0.15">
      <c r="B251" s="2"/>
      <c r="C251" s="4"/>
      <c r="D251" s="4"/>
      <c r="E251" s="4"/>
      <c r="I251" s="135"/>
      <c r="J251" s="135"/>
      <c r="K251" s="135"/>
      <c r="L251" s="135"/>
    </row>
    <row r="252" spans="2:12" ht="12" customHeight="1" x14ac:dyDescent="0.15">
      <c r="B252" s="2"/>
      <c r="C252" s="4"/>
      <c r="D252" s="4"/>
      <c r="E252" s="4"/>
      <c r="I252" s="135"/>
      <c r="J252" s="135"/>
      <c r="K252" s="135"/>
      <c r="L252" s="135"/>
    </row>
    <row r="253" spans="2:12" ht="12" customHeight="1" x14ac:dyDescent="0.15">
      <c r="B253" s="2"/>
      <c r="C253" s="4"/>
      <c r="D253" s="4"/>
      <c r="E253" s="4"/>
      <c r="I253" s="135"/>
      <c r="J253" s="135"/>
      <c r="K253" s="135"/>
      <c r="L253" s="135"/>
    </row>
    <row r="254" spans="2:12" ht="12" customHeight="1" x14ac:dyDescent="0.15">
      <c r="B254" s="2"/>
      <c r="C254" s="4"/>
      <c r="D254" s="4"/>
      <c r="E254" s="4"/>
      <c r="I254" s="135"/>
      <c r="J254" s="135"/>
      <c r="K254" s="135"/>
      <c r="L254" s="135"/>
    </row>
    <row r="255" spans="2:12" ht="12" customHeight="1" x14ac:dyDescent="0.15">
      <c r="B255" s="2"/>
      <c r="C255" s="4"/>
      <c r="D255" s="4"/>
      <c r="E255" s="4"/>
      <c r="I255" s="135"/>
      <c r="J255" s="135"/>
      <c r="K255" s="135"/>
      <c r="L255" s="135"/>
    </row>
    <row r="256" spans="2:12" ht="12" customHeight="1" x14ac:dyDescent="0.15">
      <c r="B256" s="2"/>
      <c r="C256" s="4"/>
      <c r="D256" s="4"/>
      <c r="E256" s="4"/>
      <c r="I256" s="135"/>
      <c r="J256" s="135"/>
      <c r="K256" s="135"/>
      <c r="L256" s="135"/>
    </row>
    <row r="257" spans="2:12" ht="12" customHeight="1" x14ac:dyDescent="0.15">
      <c r="B257" s="2"/>
      <c r="C257" s="4"/>
      <c r="D257" s="4"/>
      <c r="E257" s="4"/>
      <c r="I257" s="135"/>
      <c r="J257" s="135"/>
      <c r="K257" s="135"/>
      <c r="L257" s="135"/>
    </row>
    <row r="258" spans="2:12" ht="12" customHeight="1" x14ac:dyDescent="0.15">
      <c r="B258" s="2"/>
      <c r="C258" s="4"/>
      <c r="D258" s="4"/>
      <c r="E258" s="4"/>
      <c r="I258" s="135"/>
      <c r="J258" s="135"/>
      <c r="K258" s="135"/>
      <c r="L258" s="135"/>
    </row>
    <row r="259" spans="2:12" ht="12" customHeight="1" x14ac:dyDescent="0.15">
      <c r="B259" s="2"/>
      <c r="C259" s="4"/>
      <c r="D259" s="4"/>
      <c r="E259" s="4"/>
      <c r="I259" s="135"/>
      <c r="J259" s="135"/>
      <c r="K259" s="135"/>
      <c r="L259" s="135"/>
    </row>
    <row r="260" spans="2:12" ht="12" customHeight="1" x14ac:dyDescent="0.15">
      <c r="B260" s="2"/>
      <c r="C260" s="4"/>
      <c r="D260" s="4"/>
      <c r="E260" s="4"/>
      <c r="I260" s="135"/>
      <c r="J260" s="135"/>
      <c r="K260" s="135"/>
      <c r="L260" s="135"/>
    </row>
    <row r="261" spans="2:12" ht="12" customHeight="1" x14ac:dyDescent="0.15">
      <c r="B261" s="2"/>
      <c r="C261" s="4"/>
      <c r="D261" s="4"/>
      <c r="E261" s="4"/>
      <c r="I261" s="135"/>
      <c r="J261" s="135"/>
      <c r="K261" s="135"/>
      <c r="L261" s="135"/>
    </row>
    <row r="262" spans="2:12" ht="12" customHeight="1" x14ac:dyDescent="0.15">
      <c r="B262" s="2"/>
      <c r="C262" s="4"/>
      <c r="D262" s="4"/>
      <c r="E262" s="4"/>
      <c r="I262" s="135"/>
      <c r="J262" s="135"/>
      <c r="K262" s="135"/>
      <c r="L262" s="135"/>
    </row>
    <row r="263" spans="2:12" ht="12" customHeight="1" x14ac:dyDescent="0.15">
      <c r="B263" s="2"/>
      <c r="C263" s="4"/>
      <c r="D263" s="4"/>
      <c r="E263" s="4"/>
      <c r="I263" s="135"/>
      <c r="J263" s="135"/>
      <c r="K263" s="135"/>
      <c r="L263" s="135"/>
    </row>
    <row r="264" spans="2:12" ht="12" customHeight="1" x14ac:dyDescent="0.15">
      <c r="B264" s="2"/>
      <c r="C264" s="4"/>
      <c r="D264" s="4"/>
      <c r="E264" s="4"/>
      <c r="I264" s="135"/>
      <c r="J264" s="135"/>
      <c r="K264" s="135"/>
      <c r="L264" s="135"/>
    </row>
    <row r="265" spans="2:12" ht="12" customHeight="1" x14ac:dyDescent="0.15">
      <c r="B265" s="2"/>
      <c r="C265" s="4"/>
      <c r="D265" s="4"/>
      <c r="E265" s="4"/>
      <c r="I265" s="135"/>
      <c r="J265" s="135"/>
      <c r="K265" s="135"/>
      <c r="L265" s="135"/>
    </row>
    <row r="266" spans="2:12" ht="12" customHeight="1" x14ac:dyDescent="0.15">
      <c r="B266" s="2"/>
      <c r="C266" s="4"/>
      <c r="D266" s="4"/>
      <c r="E266" s="4"/>
      <c r="I266" s="135"/>
      <c r="J266" s="135"/>
      <c r="K266" s="135"/>
      <c r="L266" s="135"/>
    </row>
    <row r="267" spans="2:12" ht="12" customHeight="1" x14ac:dyDescent="0.15">
      <c r="B267" s="2"/>
      <c r="C267" s="4"/>
      <c r="D267" s="4"/>
      <c r="E267" s="4"/>
      <c r="I267" s="135"/>
      <c r="J267" s="135"/>
      <c r="K267" s="135"/>
      <c r="L267" s="135"/>
    </row>
    <row r="268" spans="2:12" ht="12" customHeight="1" x14ac:dyDescent="0.15">
      <c r="B268" s="2"/>
      <c r="C268" s="4"/>
      <c r="D268" s="4"/>
      <c r="E268" s="4"/>
      <c r="I268" s="135"/>
      <c r="J268" s="135"/>
      <c r="K268" s="135"/>
      <c r="L268" s="135"/>
    </row>
    <row r="269" spans="2:12" ht="12" customHeight="1" x14ac:dyDescent="0.15">
      <c r="B269" s="2"/>
      <c r="C269" s="4"/>
      <c r="D269" s="4"/>
      <c r="E269" s="4"/>
      <c r="I269" s="135"/>
      <c r="J269" s="135"/>
      <c r="K269" s="135"/>
      <c r="L269" s="135"/>
    </row>
    <row r="270" spans="2:12" ht="12" customHeight="1" x14ac:dyDescent="0.15">
      <c r="B270" s="2"/>
      <c r="C270" s="4"/>
      <c r="D270" s="4"/>
      <c r="E270" s="4"/>
      <c r="I270" s="135"/>
      <c r="J270" s="135"/>
      <c r="K270" s="135"/>
      <c r="L270" s="135"/>
    </row>
    <row r="271" spans="2:12" ht="12" customHeight="1" x14ac:dyDescent="0.15">
      <c r="B271" s="2"/>
      <c r="C271" s="4"/>
      <c r="D271" s="4"/>
      <c r="E271" s="4"/>
      <c r="I271" s="135"/>
      <c r="J271" s="135"/>
      <c r="K271" s="135"/>
      <c r="L271" s="135"/>
    </row>
    <row r="272" spans="2:12" ht="12" customHeight="1" x14ac:dyDescent="0.15">
      <c r="B272" s="2"/>
      <c r="C272" s="4"/>
      <c r="D272" s="4"/>
      <c r="E272" s="4"/>
      <c r="I272" s="135"/>
      <c r="J272" s="135"/>
      <c r="K272" s="135"/>
      <c r="L272" s="135"/>
    </row>
    <row r="273" spans="2:12" ht="12" customHeight="1" x14ac:dyDescent="0.15">
      <c r="B273" s="2"/>
      <c r="C273" s="4"/>
      <c r="D273" s="4"/>
      <c r="E273" s="4"/>
      <c r="I273" s="135"/>
      <c r="J273" s="135"/>
      <c r="K273" s="135"/>
      <c r="L273" s="135"/>
    </row>
    <row r="274" spans="2:12" ht="12" customHeight="1" x14ac:dyDescent="0.15">
      <c r="B274" s="2"/>
      <c r="C274" s="4"/>
      <c r="D274" s="4"/>
      <c r="E274" s="4"/>
      <c r="I274" s="135"/>
      <c r="J274" s="135"/>
      <c r="K274" s="135"/>
      <c r="L274" s="135"/>
    </row>
    <row r="275" spans="2:12" ht="12" customHeight="1" x14ac:dyDescent="0.15">
      <c r="B275" s="2"/>
      <c r="C275" s="4"/>
      <c r="D275" s="4"/>
      <c r="E275" s="4"/>
      <c r="I275" s="135"/>
      <c r="J275" s="135"/>
      <c r="K275" s="135"/>
      <c r="L275" s="135"/>
    </row>
    <row r="276" spans="2:12" ht="12" customHeight="1" x14ac:dyDescent="0.15">
      <c r="B276" s="2"/>
      <c r="C276" s="4"/>
      <c r="D276" s="4"/>
      <c r="E276" s="4"/>
      <c r="I276" s="135"/>
      <c r="J276" s="135"/>
      <c r="K276" s="135"/>
      <c r="L276" s="135"/>
    </row>
    <row r="277" spans="2:12" ht="12" customHeight="1" x14ac:dyDescent="0.15">
      <c r="B277" s="2"/>
      <c r="C277" s="4"/>
      <c r="D277" s="4"/>
      <c r="E277" s="4"/>
      <c r="I277" s="135"/>
      <c r="J277" s="135"/>
      <c r="K277" s="135"/>
      <c r="L277" s="135"/>
    </row>
    <row r="278" spans="2:12" ht="12" customHeight="1" x14ac:dyDescent="0.15">
      <c r="B278" s="2"/>
      <c r="C278" s="4"/>
      <c r="D278" s="4"/>
      <c r="E278" s="4"/>
      <c r="I278" s="135"/>
      <c r="J278" s="135"/>
      <c r="K278" s="135"/>
      <c r="L278" s="135"/>
    </row>
    <row r="279" spans="2:12" ht="12" customHeight="1" x14ac:dyDescent="0.15">
      <c r="B279" s="2"/>
      <c r="C279" s="4"/>
      <c r="D279" s="4"/>
      <c r="E279" s="4"/>
      <c r="I279" s="135"/>
      <c r="J279" s="135"/>
      <c r="K279" s="135"/>
      <c r="L279" s="135"/>
    </row>
    <row r="280" spans="2:12" ht="12" customHeight="1" x14ac:dyDescent="0.15">
      <c r="B280" s="2"/>
      <c r="C280" s="4"/>
      <c r="D280" s="4"/>
      <c r="E280" s="4"/>
      <c r="I280" s="135"/>
      <c r="J280" s="135"/>
      <c r="K280" s="135"/>
      <c r="L280" s="135"/>
    </row>
    <row r="281" spans="2:12" ht="12" customHeight="1" x14ac:dyDescent="0.15">
      <c r="B281" s="2"/>
      <c r="C281" s="4"/>
      <c r="D281" s="4"/>
      <c r="E281" s="4"/>
      <c r="I281" s="135"/>
      <c r="J281" s="135"/>
      <c r="K281" s="135"/>
      <c r="L281" s="135"/>
    </row>
    <row r="282" spans="2:12" ht="12" customHeight="1" x14ac:dyDescent="0.15">
      <c r="B282" s="2"/>
      <c r="C282" s="4"/>
      <c r="D282" s="4"/>
      <c r="E282" s="4"/>
      <c r="I282" s="135"/>
      <c r="J282" s="135"/>
      <c r="K282" s="135"/>
      <c r="L282" s="135"/>
    </row>
    <row r="283" spans="2:12" ht="12" customHeight="1" x14ac:dyDescent="0.15">
      <c r="B283" s="2"/>
      <c r="C283" s="4"/>
      <c r="D283" s="4"/>
      <c r="E283" s="4"/>
      <c r="I283" s="135"/>
      <c r="J283" s="135"/>
      <c r="K283" s="135"/>
      <c r="L283" s="135"/>
    </row>
    <row r="284" spans="2:12" ht="12" customHeight="1" x14ac:dyDescent="0.15">
      <c r="B284" s="2"/>
      <c r="C284" s="4"/>
      <c r="D284" s="4"/>
      <c r="E284" s="4"/>
      <c r="I284" s="135"/>
      <c r="J284" s="135"/>
      <c r="K284" s="135"/>
      <c r="L284" s="135"/>
    </row>
    <row r="285" spans="2:12" ht="12" customHeight="1" x14ac:dyDescent="0.15">
      <c r="B285" s="2"/>
      <c r="C285" s="4"/>
      <c r="D285" s="4"/>
      <c r="E285" s="4"/>
      <c r="I285" s="135"/>
      <c r="J285" s="135"/>
      <c r="K285" s="135"/>
      <c r="L285" s="135"/>
    </row>
    <row r="286" spans="2:12" ht="12" customHeight="1" x14ac:dyDescent="0.15">
      <c r="B286" s="2"/>
      <c r="C286" s="4"/>
      <c r="D286" s="4"/>
      <c r="E286" s="4"/>
      <c r="I286" s="135"/>
      <c r="J286" s="135"/>
      <c r="K286" s="135"/>
      <c r="L286" s="135"/>
    </row>
    <row r="287" spans="2:12" ht="12" customHeight="1" x14ac:dyDescent="0.15">
      <c r="B287" s="2"/>
      <c r="C287" s="4"/>
      <c r="D287" s="4"/>
      <c r="E287" s="4"/>
      <c r="I287" s="135"/>
      <c r="J287" s="135"/>
      <c r="K287" s="135"/>
      <c r="L287" s="135"/>
    </row>
    <row r="288" spans="2:12" ht="12" customHeight="1" x14ac:dyDescent="0.15">
      <c r="B288" s="2"/>
      <c r="C288" s="4"/>
      <c r="D288" s="4"/>
      <c r="E288" s="4"/>
      <c r="I288" s="135"/>
      <c r="J288" s="135"/>
      <c r="K288" s="135"/>
      <c r="L288" s="135"/>
    </row>
    <row r="289" spans="2:12" ht="12" customHeight="1" x14ac:dyDescent="0.15">
      <c r="B289" s="2"/>
      <c r="C289" s="4"/>
      <c r="D289" s="4"/>
      <c r="E289" s="4"/>
      <c r="I289" s="135"/>
      <c r="J289" s="135"/>
      <c r="K289" s="135"/>
      <c r="L289" s="135"/>
    </row>
    <row r="290" spans="2:12" ht="12" customHeight="1" x14ac:dyDescent="0.15">
      <c r="B290" s="2"/>
      <c r="C290" s="4"/>
      <c r="D290" s="4"/>
      <c r="E290" s="4"/>
      <c r="I290" s="135"/>
      <c r="J290" s="135"/>
      <c r="K290" s="135"/>
      <c r="L290" s="135"/>
    </row>
    <row r="291" spans="2:12" ht="12" customHeight="1" x14ac:dyDescent="0.15">
      <c r="B291" s="2"/>
      <c r="C291" s="4"/>
      <c r="D291" s="4"/>
      <c r="E291" s="4"/>
      <c r="I291" s="135"/>
      <c r="J291" s="135"/>
      <c r="K291" s="135"/>
      <c r="L291" s="135"/>
    </row>
    <row r="292" spans="2:12" ht="12" customHeight="1" x14ac:dyDescent="0.15">
      <c r="B292" s="2"/>
      <c r="C292" s="4"/>
      <c r="D292" s="4"/>
      <c r="E292" s="4"/>
      <c r="I292" s="135"/>
      <c r="J292" s="135"/>
      <c r="K292" s="135"/>
      <c r="L292" s="135"/>
    </row>
    <row r="293" spans="2:12" ht="12" customHeight="1" x14ac:dyDescent="0.15">
      <c r="B293" s="2"/>
      <c r="C293" s="4"/>
      <c r="D293" s="4"/>
      <c r="E293" s="4"/>
      <c r="I293" s="135"/>
      <c r="J293" s="135"/>
      <c r="K293" s="135"/>
      <c r="L293" s="135"/>
    </row>
    <row r="294" spans="2:12" ht="12" customHeight="1" x14ac:dyDescent="0.15">
      <c r="B294" s="2"/>
      <c r="C294" s="4"/>
      <c r="D294" s="4"/>
      <c r="E294" s="4"/>
      <c r="I294" s="135"/>
      <c r="J294" s="135"/>
      <c r="K294" s="135"/>
      <c r="L294" s="135"/>
    </row>
    <row r="295" spans="2:12" ht="12" customHeight="1" x14ac:dyDescent="0.15">
      <c r="B295" s="2"/>
      <c r="C295" s="4"/>
      <c r="D295" s="4"/>
      <c r="E295" s="4"/>
      <c r="I295" s="135"/>
      <c r="J295" s="135"/>
      <c r="K295" s="135"/>
      <c r="L295" s="135"/>
    </row>
    <row r="296" spans="2:12" ht="12" customHeight="1" x14ac:dyDescent="0.15">
      <c r="B296" s="2"/>
      <c r="C296" s="4"/>
      <c r="D296" s="4"/>
      <c r="E296" s="4"/>
      <c r="I296" s="135"/>
      <c r="J296" s="135"/>
      <c r="K296" s="135"/>
      <c r="L296" s="135"/>
    </row>
    <row r="297" spans="2:12" ht="12" customHeight="1" x14ac:dyDescent="0.15">
      <c r="B297" s="2"/>
      <c r="C297" s="4"/>
      <c r="D297" s="4"/>
      <c r="E297" s="4"/>
      <c r="I297" s="135"/>
      <c r="J297" s="135"/>
      <c r="K297" s="135"/>
      <c r="L297" s="135"/>
    </row>
    <row r="298" spans="2:12" ht="12" customHeight="1" x14ac:dyDescent="0.15">
      <c r="B298" s="2"/>
      <c r="C298" s="4"/>
      <c r="D298" s="4"/>
      <c r="E298" s="4"/>
      <c r="I298" s="135"/>
      <c r="J298" s="135"/>
      <c r="K298" s="135"/>
      <c r="L298" s="135"/>
    </row>
    <row r="299" spans="2:12" ht="12" customHeight="1" x14ac:dyDescent="0.15">
      <c r="B299" s="2"/>
      <c r="C299" s="4"/>
      <c r="D299" s="4"/>
      <c r="E299" s="4"/>
      <c r="I299" s="135"/>
      <c r="J299" s="135"/>
      <c r="K299" s="135"/>
      <c r="L299" s="135"/>
    </row>
    <row r="300" spans="2:12" ht="12" customHeight="1" x14ac:dyDescent="0.15">
      <c r="B300" s="2"/>
      <c r="C300" s="4"/>
      <c r="D300" s="4"/>
      <c r="E300" s="4"/>
      <c r="I300" s="135"/>
      <c r="J300" s="135"/>
      <c r="K300" s="135"/>
      <c r="L300" s="135"/>
    </row>
    <row r="301" spans="2:12" ht="12" customHeight="1" x14ac:dyDescent="0.15">
      <c r="B301" s="2"/>
      <c r="C301" s="4"/>
      <c r="D301" s="4"/>
      <c r="E301" s="4"/>
      <c r="I301" s="135"/>
      <c r="J301" s="135"/>
      <c r="K301" s="135"/>
      <c r="L301" s="135"/>
    </row>
    <row r="302" spans="2:12" ht="12" customHeight="1" x14ac:dyDescent="0.15">
      <c r="B302" s="2"/>
      <c r="C302" s="4"/>
      <c r="D302" s="4"/>
      <c r="E302" s="4"/>
      <c r="I302" s="135"/>
      <c r="J302" s="135"/>
      <c r="K302" s="135"/>
      <c r="L302" s="135"/>
    </row>
    <row r="303" spans="2:12" ht="12" customHeight="1" x14ac:dyDescent="0.15">
      <c r="B303" s="2"/>
      <c r="C303" s="4"/>
      <c r="D303" s="4"/>
      <c r="E303" s="4"/>
      <c r="I303" s="135"/>
      <c r="J303" s="135"/>
      <c r="K303" s="135"/>
      <c r="L303" s="135"/>
    </row>
    <row r="304" spans="2:12" ht="12" customHeight="1" x14ac:dyDescent="0.15">
      <c r="B304" s="2"/>
      <c r="C304" s="4"/>
      <c r="D304" s="4"/>
      <c r="E304" s="4"/>
      <c r="I304" s="135"/>
      <c r="J304" s="135"/>
      <c r="K304" s="135"/>
      <c r="L304" s="135"/>
    </row>
    <row r="305" spans="2:12" ht="12" customHeight="1" x14ac:dyDescent="0.15">
      <c r="B305" s="2"/>
      <c r="C305" s="4"/>
      <c r="D305" s="4"/>
      <c r="E305" s="4"/>
      <c r="I305" s="135"/>
      <c r="J305" s="135"/>
      <c r="K305" s="135"/>
      <c r="L305" s="135"/>
    </row>
    <row r="306" spans="2:12" ht="12" customHeight="1" x14ac:dyDescent="0.15">
      <c r="B306" s="2"/>
      <c r="C306" s="4"/>
      <c r="D306" s="4"/>
      <c r="E306" s="4"/>
      <c r="I306" s="135"/>
      <c r="J306" s="135"/>
      <c r="K306" s="135"/>
      <c r="L306" s="135"/>
    </row>
    <row r="307" spans="2:12" ht="12" customHeight="1" x14ac:dyDescent="0.15">
      <c r="B307" s="2"/>
      <c r="C307" s="4"/>
      <c r="D307" s="4"/>
      <c r="E307" s="4"/>
      <c r="I307" s="135"/>
      <c r="J307" s="135"/>
      <c r="K307" s="135"/>
      <c r="L307" s="135"/>
    </row>
    <row r="308" spans="2:12" ht="12" customHeight="1" x14ac:dyDescent="0.15">
      <c r="B308" s="2"/>
      <c r="C308" s="4"/>
      <c r="D308" s="4"/>
      <c r="E308" s="4"/>
      <c r="I308" s="135"/>
      <c r="J308" s="135"/>
      <c r="K308" s="135"/>
      <c r="L308" s="135"/>
    </row>
    <row r="309" spans="2:12" ht="12" customHeight="1" x14ac:dyDescent="0.15">
      <c r="B309" s="2"/>
      <c r="C309" s="4"/>
      <c r="D309" s="4"/>
      <c r="E309" s="4"/>
      <c r="I309" s="135"/>
      <c r="J309" s="135"/>
      <c r="K309" s="135"/>
      <c r="L309" s="135"/>
    </row>
    <row r="310" spans="2:12" ht="12" customHeight="1" x14ac:dyDescent="0.15">
      <c r="B310" s="2"/>
      <c r="C310" s="4"/>
      <c r="D310" s="4"/>
      <c r="E310" s="4"/>
      <c r="I310" s="135"/>
      <c r="J310" s="135"/>
      <c r="K310" s="135"/>
      <c r="L310" s="135"/>
    </row>
    <row r="311" spans="2:12" ht="12" customHeight="1" x14ac:dyDescent="0.15">
      <c r="B311" s="2"/>
      <c r="C311" s="4"/>
      <c r="D311" s="4"/>
      <c r="E311" s="4"/>
      <c r="I311" s="135"/>
      <c r="J311" s="135"/>
      <c r="K311" s="135"/>
      <c r="L311" s="135"/>
    </row>
    <row r="312" spans="2:12" ht="12" customHeight="1" x14ac:dyDescent="0.15">
      <c r="B312" s="2"/>
      <c r="C312" s="4"/>
      <c r="D312" s="4"/>
      <c r="E312" s="4"/>
      <c r="I312" s="135"/>
      <c r="J312" s="135"/>
      <c r="K312" s="135"/>
      <c r="L312" s="135"/>
    </row>
    <row r="313" spans="2:12" ht="12" customHeight="1" x14ac:dyDescent="0.15">
      <c r="B313" s="2"/>
      <c r="C313" s="4"/>
      <c r="D313" s="4"/>
      <c r="E313" s="4"/>
      <c r="I313" s="135"/>
      <c r="J313" s="135"/>
      <c r="K313" s="135"/>
      <c r="L313" s="135"/>
    </row>
    <row r="314" spans="2:12" ht="12" customHeight="1" x14ac:dyDescent="0.15">
      <c r="B314" s="2"/>
      <c r="C314" s="4"/>
      <c r="D314" s="4"/>
      <c r="E314" s="4"/>
      <c r="I314" s="135"/>
      <c r="J314" s="135"/>
      <c r="K314" s="135"/>
      <c r="L314" s="135"/>
    </row>
    <row r="315" spans="2:12" ht="12" customHeight="1" x14ac:dyDescent="0.15">
      <c r="B315" s="2"/>
      <c r="C315" s="4"/>
      <c r="D315" s="4"/>
      <c r="E315" s="4"/>
      <c r="I315" s="135"/>
      <c r="J315" s="135"/>
      <c r="K315" s="135"/>
      <c r="L315" s="135"/>
    </row>
    <row r="316" spans="2:12" ht="12" customHeight="1" x14ac:dyDescent="0.15">
      <c r="B316" s="2"/>
      <c r="C316" s="4"/>
      <c r="D316" s="4"/>
      <c r="E316" s="4"/>
      <c r="I316" s="135"/>
      <c r="J316" s="135"/>
      <c r="K316" s="135"/>
      <c r="L316" s="135"/>
    </row>
    <row r="317" spans="2:12" ht="12" customHeight="1" x14ac:dyDescent="0.15">
      <c r="B317" s="2"/>
      <c r="C317" s="4"/>
      <c r="D317" s="4"/>
      <c r="E317" s="4"/>
      <c r="I317" s="135"/>
      <c r="J317" s="135"/>
      <c r="K317" s="135"/>
      <c r="L317" s="135"/>
    </row>
    <row r="318" spans="2:12" ht="12" customHeight="1" x14ac:dyDescent="0.15">
      <c r="B318" s="2"/>
      <c r="C318" s="4"/>
      <c r="D318" s="4"/>
      <c r="E318" s="4"/>
      <c r="I318" s="135"/>
      <c r="J318" s="135"/>
      <c r="K318" s="135"/>
      <c r="L318" s="135"/>
    </row>
    <row r="319" spans="2:12" ht="12" customHeight="1" x14ac:dyDescent="0.15">
      <c r="B319" s="2"/>
      <c r="C319" s="4"/>
      <c r="D319" s="4"/>
      <c r="E319" s="4"/>
      <c r="I319" s="135"/>
      <c r="J319" s="135"/>
      <c r="K319" s="135"/>
      <c r="L319" s="135"/>
    </row>
    <row r="320" spans="2:12" ht="12" customHeight="1" x14ac:dyDescent="0.15">
      <c r="B320" s="2"/>
      <c r="C320" s="4"/>
      <c r="D320" s="4"/>
      <c r="E320" s="4"/>
      <c r="I320" s="135"/>
      <c r="J320" s="135"/>
      <c r="K320" s="135"/>
      <c r="L320" s="135"/>
    </row>
    <row r="321" spans="2:12" ht="12" customHeight="1" x14ac:dyDescent="0.15">
      <c r="B321" s="2"/>
      <c r="C321" s="4"/>
      <c r="D321" s="4"/>
      <c r="E321" s="4"/>
      <c r="I321" s="135"/>
      <c r="J321" s="135"/>
      <c r="K321" s="135"/>
      <c r="L321" s="135"/>
    </row>
    <row r="322" spans="2:12" ht="12" customHeight="1" x14ac:dyDescent="0.15">
      <c r="B322" s="2"/>
      <c r="C322" s="4"/>
      <c r="D322" s="4"/>
      <c r="E322" s="4"/>
      <c r="I322" s="135"/>
      <c r="J322" s="135"/>
      <c r="K322" s="135"/>
      <c r="L322" s="135"/>
    </row>
    <row r="323" spans="2:12" ht="12" customHeight="1" x14ac:dyDescent="0.15">
      <c r="B323" s="2"/>
      <c r="C323" s="4"/>
      <c r="D323" s="4"/>
      <c r="E323" s="4"/>
      <c r="I323" s="135"/>
      <c r="J323" s="135"/>
      <c r="K323" s="135"/>
      <c r="L323" s="135"/>
    </row>
    <row r="324" spans="2:12" ht="12" customHeight="1" x14ac:dyDescent="0.15">
      <c r="B324" s="2"/>
      <c r="C324" s="4"/>
      <c r="D324" s="4"/>
      <c r="E324" s="4"/>
      <c r="I324" s="135"/>
      <c r="J324" s="135"/>
      <c r="K324" s="135"/>
      <c r="L324" s="135"/>
    </row>
    <row r="325" spans="2:12" ht="12" customHeight="1" x14ac:dyDescent="0.15">
      <c r="B325" s="2"/>
      <c r="C325" s="4"/>
      <c r="D325" s="4"/>
      <c r="E325" s="4"/>
      <c r="I325" s="135"/>
      <c r="J325" s="135"/>
      <c r="K325" s="135"/>
      <c r="L325" s="135"/>
    </row>
    <row r="326" spans="2:12" ht="12" customHeight="1" x14ac:dyDescent="0.15">
      <c r="B326" s="2"/>
      <c r="C326" s="4"/>
      <c r="D326" s="4"/>
      <c r="E326" s="4"/>
      <c r="I326" s="135"/>
      <c r="J326" s="135"/>
      <c r="K326" s="135"/>
      <c r="L326" s="135"/>
    </row>
    <row r="327" spans="2:12" ht="12" customHeight="1" x14ac:dyDescent="0.15">
      <c r="B327" s="2"/>
      <c r="C327" s="4"/>
      <c r="D327" s="4"/>
      <c r="E327" s="4"/>
      <c r="I327" s="135"/>
      <c r="J327" s="135"/>
      <c r="K327" s="135"/>
      <c r="L327" s="135"/>
    </row>
    <row r="328" spans="2:12" ht="12" customHeight="1" x14ac:dyDescent="0.15">
      <c r="B328" s="2"/>
      <c r="C328" s="4"/>
      <c r="D328" s="4"/>
      <c r="E328" s="4"/>
      <c r="I328" s="135"/>
      <c r="J328" s="135"/>
      <c r="K328" s="135"/>
      <c r="L328" s="135"/>
    </row>
    <row r="329" spans="2:12" ht="12" customHeight="1" x14ac:dyDescent="0.15">
      <c r="B329" s="2"/>
      <c r="C329" s="4"/>
      <c r="D329" s="4"/>
      <c r="E329" s="4"/>
      <c r="I329" s="135"/>
      <c r="J329" s="135"/>
      <c r="K329" s="135"/>
      <c r="L329" s="135"/>
    </row>
    <row r="330" spans="2:12" ht="12" customHeight="1" x14ac:dyDescent="0.15">
      <c r="B330" s="2"/>
      <c r="C330" s="4"/>
      <c r="D330" s="4"/>
      <c r="E330" s="4"/>
      <c r="I330" s="135"/>
      <c r="J330" s="135"/>
      <c r="K330" s="135"/>
      <c r="L330" s="135"/>
    </row>
    <row r="331" spans="2:12" ht="12" customHeight="1" x14ac:dyDescent="0.15">
      <c r="B331" s="2"/>
      <c r="C331" s="4"/>
      <c r="D331" s="4"/>
      <c r="E331" s="4"/>
      <c r="I331" s="135"/>
      <c r="J331" s="135"/>
      <c r="K331" s="135"/>
      <c r="L331" s="135"/>
    </row>
    <row r="332" spans="2:12" ht="12" customHeight="1" x14ac:dyDescent="0.15">
      <c r="B332" s="2"/>
      <c r="C332" s="4"/>
      <c r="D332" s="4"/>
      <c r="E332" s="4"/>
      <c r="I332" s="135"/>
      <c r="J332" s="135"/>
      <c r="K332" s="135"/>
      <c r="L332" s="135"/>
    </row>
    <row r="333" spans="2:12" ht="12" customHeight="1" x14ac:dyDescent="0.15">
      <c r="B333" s="2"/>
      <c r="C333" s="4"/>
      <c r="D333" s="4"/>
      <c r="E333" s="4"/>
      <c r="I333" s="135"/>
      <c r="J333" s="135"/>
      <c r="K333" s="135"/>
      <c r="L333" s="135"/>
    </row>
    <row r="334" spans="2:12" ht="12" customHeight="1" x14ac:dyDescent="0.15">
      <c r="B334" s="2"/>
      <c r="C334" s="4"/>
      <c r="D334" s="4"/>
      <c r="E334" s="4"/>
      <c r="I334" s="135"/>
      <c r="J334" s="135"/>
      <c r="K334" s="135"/>
      <c r="L334" s="135"/>
    </row>
    <row r="335" spans="2:12" ht="12" customHeight="1" x14ac:dyDescent="0.15">
      <c r="B335" s="2"/>
      <c r="C335" s="4"/>
      <c r="D335" s="4"/>
      <c r="E335" s="4"/>
      <c r="I335" s="135"/>
      <c r="J335" s="135"/>
      <c r="K335" s="135"/>
      <c r="L335" s="135"/>
    </row>
    <row r="336" spans="2:12" ht="12" customHeight="1" x14ac:dyDescent="0.15">
      <c r="B336" s="2"/>
      <c r="C336" s="4"/>
      <c r="D336" s="4"/>
      <c r="E336" s="4"/>
      <c r="I336" s="135"/>
      <c r="J336" s="135"/>
      <c r="K336" s="135"/>
      <c r="L336" s="135"/>
    </row>
    <row r="337" spans="2:12" ht="12" customHeight="1" x14ac:dyDescent="0.15">
      <c r="B337" s="2"/>
      <c r="C337" s="4"/>
      <c r="D337" s="4"/>
      <c r="E337" s="4"/>
      <c r="I337" s="135"/>
      <c r="J337" s="135"/>
      <c r="K337" s="135"/>
      <c r="L337" s="135"/>
    </row>
    <row r="338" spans="2:12" ht="12" customHeight="1" x14ac:dyDescent="0.15">
      <c r="B338" s="2"/>
      <c r="C338" s="4"/>
      <c r="D338" s="4"/>
      <c r="E338" s="4"/>
      <c r="I338" s="135"/>
      <c r="J338" s="135"/>
      <c r="K338" s="135"/>
      <c r="L338" s="135"/>
    </row>
    <row r="339" spans="2:12" ht="12" customHeight="1" x14ac:dyDescent="0.15">
      <c r="B339" s="2"/>
      <c r="C339" s="4"/>
      <c r="D339" s="4"/>
      <c r="E339" s="4"/>
      <c r="I339" s="135"/>
      <c r="J339" s="135"/>
      <c r="K339" s="135"/>
      <c r="L339" s="135"/>
    </row>
    <row r="340" spans="2:12" ht="12" customHeight="1" x14ac:dyDescent="0.15">
      <c r="B340" s="2"/>
      <c r="C340" s="4"/>
      <c r="D340" s="4"/>
      <c r="E340" s="4"/>
      <c r="I340" s="135"/>
      <c r="J340" s="135"/>
      <c r="K340" s="135"/>
      <c r="L340" s="135"/>
    </row>
    <row r="341" spans="2:12" ht="12" customHeight="1" x14ac:dyDescent="0.15">
      <c r="B341" s="2"/>
      <c r="C341" s="4"/>
      <c r="D341" s="4"/>
      <c r="E341" s="4"/>
      <c r="I341" s="135"/>
      <c r="J341" s="135"/>
      <c r="K341" s="135"/>
      <c r="L341" s="135"/>
    </row>
    <row r="342" spans="2:12" ht="12" customHeight="1" x14ac:dyDescent="0.15">
      <c r="B342" s="2"/>
      <c r="C342" s="4"/>
      <c r="D342" s="4"/>
      <c r="E342" s="4"/>
      <c r="I342" s="135"/>
      <c r="J342" s="135"/>
      <c r="K342" s="135"/>
      <c r="L342" s="135"/>
    </row>
    <row r="343" spans="2:12" ht="12" customHeight="1" x14ac:dyDescent="0.15">
      <c r="B343" s="2"/>
      <c r="C343" s="4"/>
      <c r="D343" s="4"/>
      <c r="E343" s="4"/>
      <c r="I343" s="135"/>
      <c r="J343" s="135"/>
      <c r="K343" s="135"/>
      <c r="L343" s="135"/>
    </row>
    <row r="344" spans="2:12" ht="12" customHeight="1" x14ac:dyDescent="0.15">
      <c r="B344" s="2"/>
      <c r="C344" s="4"/>
      <c r="D344" s="4"/>
      <c r="E344" s="4"/>
      <c r="I344" s="135"/>
      <c r="J344" s="135"/>
      <c r="K344" s="135"/>
      <c r="L344" s="135"/>
    </row>
    <row r="345" spans="2:12" ht="12" customHeight="1" x14ac:dyDescent="0.15">
      <c r="B345" s="2"/>
      <c r="C345" s="4"/>
      <c r="D345" s="4"/>
      <c r="E345" s="4"/>
      <c r="I345" s="135"/>
      <c r="J345" s="135"/>
      <c r="K345" s="135"/>
      <c r="L345" s="135"/>
    </row>
    <row r="346" spans="2:12" ht="12" customHeight="1" x14ac:dyDescent="0.15">
      <c r="B346" s="2"/>
      <c r="C346" s="4"/>
      <c r="D346" s="4"/>
      <c r="E346" s="4"/>
      <c r="I346" s="135"/>
      <c r="J346" s="135"/>
      <c r="K346" s="135"/>
      <c r="L346" s="135"/>
    </row>
    <row r="347" spans="2:12" ht="12" customHeight="1" x14ac:dyDescent="0.15">
      <c r="B347" s="2"/>
      <c r="C347" s="4"/>
      <c r="D347" s="4"/>
      <c r="E347" s="4"/>
      <c r="I347" s="135"/>
      <c r="J347" s="135"/>
      <c r="K347" s="135"/>
      <c r="L347" s="135"/>
    </row>
    <row r="348" spans="2:12" ht="12" customHeight="1" x14ac:dyDescent="0.15">
      <c r="B348" s="2"/>
      <c r="C348" s="4"/>
      <c r="D348" s="4"/>
      <c r="E348" s="4"/>
      <c r="I348" s="135"/>
      <c r="J348" s="135"/>
      <c r="K348" s="135"/>
      <c r="L348" s="135"/>
    </row>
    <row r="349" spans="2:12" ht="12" customHeight="1" x14ac:dyDescent="0.15">
      <c r="B349" s="2"/>
      <c r="C349" s="4"/>
      <c r="D349" s="4"/>
      <c r="E349" s="4"/>
      <c r="I349" s="135"/>
      <c r="J349" s="135"/>
      <c r="K349" s="135"/>
      <c r="L349" s="135"/>
    </row>
    <row r="350" spans="2:12" ht="12" customHeight="1" x14ac:dyDescent="0.15">
      <c r="B350" s="2"/>
      <c r="C350" s="4"/>
      <c r="D350" s="4"/>
      <c r="E350" s="4"/>
      <c r="I350" s="135"/>
      <c r="J350" s="135"/>
      <c r="K350" s="135"/>
      <c r="L350" s="135"/>
    </row>
    <row r="351" spans="2:12" ht="12" customHeight="1" x14ac:dyDescent="0.15">
      <c r="B351" s="2"/>
      <c r="C351" s="4"/>
      <c r="D351" s="4"/>
      <c r="E351" s="4"/>
      <c r="I351" s="135"/>
      <c r="J351" s="135"/>
      <c r="K351" s="135"/>
      <c r="L351" s="135"/>
    </row>
    <row r="352" spans="2:12" ht="12" customHeight="1" x14ac:dyDescent="0.15">
      <c r="B352" s="2"/>
      <c r="C352" s="4"/>
      <c r="D352" s="4"/>
      <c r="E352" s="4"/>
      <c r="I352" s="135"/>
      <c r="J352" s="135"/>
      <c r="K352" s="135"/>
      <c r="L352" s="135"/>
    </row>
    <row r="353" spans="2:12" ht="12" customHeight="1" x14ac:dyDescent="0.15">
      <c r="B353" s="2"/>
      <c r="C353" s="4"/>
      <c r="D353" s="4"/>
      <c r="E353" s="4"/>
      <c r="I353" s="135"/>
      <c r="J353" s="135"/>
      <c r="K353" s="135"/>
      <c r="L353" s="135"/>
    </row>
    <row r="354" spans="2:12" ht="12" customHeight="1" x14ac:dyDescent="0.15">
      <c r="B354" s="2"/>
      <c r="C354" s="4"/>
      <c r="D354" s="4"/>
      <c r="E354" s="4"/>
      <c r="I354" s="135"/>
      <c r="J354" s="135"/>
      <c r="K354" s="135"/>
      <c r="L354" s="135"/>
    </row>
    <row r="355" spans="2:12" ht="12" customHeight="1" x14ac:dyDescent="0.15">
      <c r="B355" s="2"/>
      <c r="C355" s="4"/>
      <c r="D355" s="4"/>
      <c r="E355" s="4"/>
      <c r="I355" s="135"/>
      <c r="J355" s="135"/>
      <c r="K355" s="135"/>
      <c r="L355" s="135"/>
    </row>
    <row r="356" spans="2:12" ht="12" customHeight="1" x14ac:dyDescent="0.15">
      <c r="B356" s="2"/>
      <c r="C356" s="4"/>
      <c r="D356" s="4"/>
      <c r="E356" s="4"/>
      <c r="I356" s="135"/>
      <c r="J356" s="135"/>
      <c r="K356" s="135"/>
      <c r="L356" s="135"/>
    </row>
    <row r="357" spans="2:12" ht="12" customHeight="1" x14ac:dyDescent="0.15">
      <c r="B357" s="2"/>
      <c r="C357" s="4"/>
      <c r="D357" s="4"/>
      <c r="E357" s="4"/>
      <c r="I357" s="135"/>
      <c r="J357" s="135"/>
      <c r="K357" s="135"/>
      <c r="L357" s="135"/>
    </row>
    <row r="358" spans="2:12" ht="12" customHeight="1" x14ac:dyDescent="0.15">
      <c r="B358" s="2"/>
      <c r="C358" s="4"/>
      <c r="D358" s="4"/>
      <c r="E358" s="4"/>
      <c r="I358" s="135"/>
      <c r="J358" s="135"/>
      <c r="K358" s="135"/>
      <c r="L358" s="135"/>
    </row>
    <row r="359" spans="2:12" ht="12" customHeight="1" x14ac:dyDescent="0.15">
      <c r="B359" s="2"/>
      <c r="C359" s="4"/>
      <c r="D359" s="4"/>
      <c r="E359" s="4"/>
      <c r="I359" s="135"/>
      <c r="J359" s="135"/>
      <c r="K359" s="135"/>
      <c r="L359" s="135"/>
    </row>
    <row r="360" spans="2:12" ht="12" customHeight="1" x14ac:dyDescent="0.15">
      <c r="B360" s="2"/>
      <c r="C360" s="4"/>
      <c r="D360" s="4"/>
      <c r="E360" s="4"/>
      <c r="I360" s="135"/>
      <c r="J360" s="135"/>
      <c r="K360" s="135"/>
      <c r="L360" s="135"/>
    </row>
    <row r="361" spans="2:12" ht="12" customHeight="1" x14ac:dyDescent="0.15">
      <c r="B361" s="2"/>
      <c r="C361" s="4"/>
      <c r="D361" s="4"/>
      <c r="E361" s="4"/>
      <c r="I361" s="135"/>
      <c r="J361" s="135"/>
      <c r="K361" s="135"/>
      <c r="L361" s="135"/>
    </row>
    <row r="362" spans="2:12" ht="12" customHeight="1" x14ac:dyDescent="0.15">
      <c r="B362" s="2"/>
      <c r="C362" s="4"/>
      <c r="D362" s="4"/>
      <c r="E362" s="4"/>
      <c r="I362" s="135"/>
      <c r="J362" s="135"/>
      <c r="K362" s="135"/>
      <c r="L362" s="135"/>
    </row>
    <row r="363" spans="2:12" ht="12" customHeight="1" x14ac:dyDescent="0.15">
      <c r="B363" s="2"/>
      <c r="C363" s="4"/>
      <c r="D363" s="4"/>
      <c r="E363" s="4"/>
      <c r="I363" s="135"/>
      <c r="J363" s="135"/>
      <c r="K363" s="135"/>
      <c r="L363" s="135"/>
    </row>
    <row r="364" spans="2:12" ht="12" customHeight="1" x14ac:dyDescent="0.15">
      <c r="B364" s="2"/>
      <c r="C364" s="4"/>
      <c r="D364" s="4"/>
      <c r="E364" s="4"/>
      <c r="I364" s="135"/>
      <c r="J364" s="135"/>
      <c r="K364" s="135"/>
      <c r="L364" s="135"/>
    </row>
    <row r="365" spans="2:12" ht="12" customHeight="1" x14ac:dyDescent="0.15">
      <c r="B365" s="2"/>
      <c r="C365" s="4"/>
      <c r="D365" s="4"/>
      <c r="E365" s="4"/>
      <c r="I365" s="135"/>
      <c r="J365" s="135"/>
      <c r="K365" s="135"/>
      <c r="L365" s="135"/>
    </row>
    <row r="366" spans="2:12" ht="12" customHeight="1" x14ac:dyDescent="0.15">
      <c r="B366" s="2"/>
      <c r="C366" s="4"/>
      <c r="D366" s="4"/>
      <c r="E366" s="4"/>
      <c r="I366" s="135"/>
      <c r="J366" s="135"/>
      <c r="K366" s="135"/>
      <c r="L366" s="135"/>
    </row>
    <row r="367" spans="2:12" ht="12" customHeight="1" x14ac:dyDescent="0.15">
      <c r="B367" s="2"/>
      <c r="C367" s="4"/>
      <c r="D367" s="4"/>
      <c r="E367" s="4"/>
      <c r="I367" s="135"/>
      <c r="J367" s="135"/>
      <c r="K367" s="135"/>
      <c r="L367" s="135"/>
    </row>
    <row r="368" spans="2:12" ht="12" customHeight="1" x14ac:dyDescent="0.15">
      <c r="B368" s="2"/>
      <c r="C368" s="4"/>
      <c r="D368" s="4"/>
      <c r="E368" s="4"/>
      <c r="I368" s="135"/>
      <c r="J368" s="135"/>
      <c r="K368" s="135"/>
      <c r="L368" s="135"/>
    </row>
    <row r="369" spans="2:12" ht="12" customHeight="1" x14ac:dyDescent="0.15">
      <c r="B369" s="2"/>
      <c r="C369" s="4"/>
      <c r="D369" s="4"/>
      <c r="E369" s="4"/>
      <c r="I369" s="135"/>
      <c r="J369" s="135"/>
      <c r="K369" s="135"/>
      <c r="L369" s="135"/>
    </row>
    <row r="370" spans="2:12" ht="12" customHeight="1" x14ac:dyDescent="0.15">
      <c r="B370" s="2"/>
      <c r="C370" s="4"/>
      <c r="D370" s="4"/>
      <c r="E370" s="4"/>
      <c r="I370" s="135"/>
      <c r="J370" s="135"/>
      <c r="K370" s="135"/>
      <c r="L370" s="135"/>
    </row>
    <row r="371" spans="2:12" ht="12" customHeight="1" x14ac:dyDescent="0.15">
      <c r="B371" s="2"/>
      <c r="C371" s="4"/>
      <c r="D371" s="4"/>
      <c r="E371" s="4"/>
      <c r="I371" s="135"/>
      <c r="J371" s="135"/>
      <c r="K371" s="135"/>
      <c r="L371" s="135"/>
    </row>
    <row r="372" spans="2:12" ht="12" customHeight="1" x14ac:dyDescent="0.15">
      <c r="B372" s="2"/>
      <c r="C372" s="4"/>
      <c r="D372" s="4"/>
      <c r="E372" s="4"/>
      <c r="I372" s="135"/>
      <c r="J372" s="135"/>
      <c r="K372" s="135"/>
      <c r="L372" s="135"/>
    </row>
    <row r="373" spans="2:12" ht="12" customHeight="1" x14ac:dyDescent="0.15">
      <c r="B373" s="2"/>
      <c r="C373" s="4"/>
      <c r="D373" s="4"/>
      <c r="E373" s="4"/>
      <c r="I373" s="135"/>
      <c r="J373" s="135"/>
      <c r="K373" s="135"/>
      <c r="L373" s="135"/>
    </row>
    <row r="374" spans="2:12" ht="12" customHeight="1" x14ac:dyDescent="0.15">
      <c r="B374" s="2"/>
      <c r="C374" s="4"/>
      <c r="D374" s="4"/>
      <c r="E374" s="4"/>
      <c r="I374" s="135"/>
      <c r="J374" s="135"/>
      <c r="K374" s="135"/>
      <c r="L374" s="135"/>
    </row>
    <row r="375" spans="2:12" ht="12" customHeight="1" x14ac:dyDescent="0.15">
      <c r="B375" s="2"/>
      <c r="C375" s="4"/>
      <c r="D375" s="4"/>
      <c r="E375" s="4"/>
      <c r="I375" s="135"/>
      <c r="J375" s="135"/>
      <c r="K375" s="135"/>
      <c r="L375" s="135"/>
    </row>
    <row r="376" spans="2:12" ht="12" customHeight="1" x14ac:dyDescent="0.15">
      <c r="B376" s="2"/>
      <c r="C376" s="4"/>
      <c r="D376" s="4"/>
      <c r="E376" s="4"/>
      <c r="I376" s="135"/>
      <c r="J376" s="135"/>
      <c r="K376" s="135"/>
      <c r="L376" s="135"/>
    </row>
    <row r="377" spans="2:12" ht="12" customHeight="1" x14ac:dyDescent="0.15">
      <c r="B377" s="2"/>
      <c r="C377" s="4"/>
      <c r="D377" s="4"/>
      <c r="E377" s="4"/>
      <c r="I377" s="135"/>
      <c r="J377" s="135"/>
      <c r="K377" s="135"/>
      <c r="L377" s="135"/>
    </row>
    <row r="378" spans="2:12" ht="12" customHeight="1" x14ac:dyDescent="0.15">
      <c r="B378" s="2"/>
      <c r="C378" s="4"/>
      <c r="D378" s="4"/>
      <c r="E378" s="4"/>
      <c r="I378" s="135"/>
      <c r="J378" s="135"/>
      <c r="K378" s="135"/>
      <c r="L378" s="135"/>
    </row>
    <row r="379" spans="2:12" ht="12" customHeight="1" x14ac:dyDescent="0.15">
      <c r="B379" s="2"/>
      <c r="C379" s="4"/>
      <c r="D379" s="4"/>
      <c r="E379" s="4"/>
      <c r="I379" s="135"/>
      <c r="J379" s="135"/>
      <c r="K379" s="135"/>
      <c r="L379" s="135"/>
    </row>
    <row r="380" spans="2:12" ht="12" customHeight="1" x14ac:dyDescent="0.15">
      <c r="B380" s="2"/>
      <c r="C380" s="4"/>
      <c r="D380" s="4"/>
      <c r="E380" s="4"/>
      <c r="I380" s="135"/>
      <c r="J380" s="135"/>
      <c r="K380" s="135"/>
      <c r="L380" s="135"/>
    </row>
    <row r="381" spans="2:12" ht="12" customHeight="1" x14ac:dyDescent="0.15">
      <c r="B381" s="2"/>
      <c r="C381" s="4"/>
      <c r="D381" s="4"/>
      <c r="E381" s="4"/>
      <c r="I381" s="135"/>
      <c r="J381" s="135"/>
      <c r="K381" s="135"/>
      <c r="L381" s="135"/>
    </row>
    <row r="382" spans="2:12" ht="12" customHeight="1" x14ac:dyDescent="0.15">
      <c r="B382" s="2"/>
      <c r="C382" s="4"/>
      <c r="D382" s="4"/>
      <c r="E382" s="4"/>
      <c r="I382" s="135"/>
      <c r="J382" s="135"/>
      <c r="K382" s="135"/>
      <c r="L382" s="135"/>
    </row>
    <row r="383" spans="2:12" ht="12" customHeight="1" x14ac:dyDescent="0.15">
      <c r="B383" s="2"/>
      <c r="C383" s="4"/>
      <c r="D383" s="4"/>
      <c r="E383" s="4"/>
      <c r="I383" s="135"/>
      <c r="J383" s="135"/>
      <c r="K383" s="135"/>
      <c r="L383" s="135"/>
    </row>
    <row r="384" spans="2:12" ht="12" customHeight="1" x14ac:dyDescent="0.15">
      <c r="B384" s="2"/>
      <c r="C384" s="4"/>
      <c r="D384" s="4"/>
      <c r="E384" s="4"/>
      <c r="I384" s="135"/>
      <c r="J384" s="135"/>
      <c r="K384" s="135"/>
      <c r="L384" s="135"/>
    </row>
    <row r="385" spans="2:12" ht="12" customHeight="1" x14ac:dyDescent="0.15">
      <c r="B385" s="2"/>
      <c r="C385" s="4"/>
      <c r="D385" s="4"/>
      <c r="E385" s="4"/>
      <c r="I385" s="135"/>
      <c r="J385" s="135"/>
      <c r="K385" s="135"/>
      <c r="L385" s="135"/>
    </row>
    <row r="386" spans="2:12" ht="12" customHeight="1" x14ac:dyDescent="0.15">
      <c r="B386" s="2"/>
      <c r="C386" s="4"/>
      <c r="D386" s="4"/>
      <c r="E386" s="4"/>
      <c r="I386" s="135"/>
      <c r="J386" s="135"/>
      <c r="K386" s="135"/>
      <c r="L386" s="135"/>
    </row>
    <row r="387" spans="2:12" ht="12" customHeight="1" x14ac:dyDescent="0.15">
      <c r="B387" s="2"/>
      <c r="C387" s="4"/>
      <c r="D387" s="4"/>
      <c r="E387" s="4"/>
      <c r="I387" s="135"/>
      <c r="J387" s="135"/>
      <c r="K387" s="135"/>
      <c r="L387" s="135"/>
    </row>
    <row r="388" spans="2:12" ht="12" customHeight="1" x14ac:dyDescent="0.15">
      <c r="B388" s="2"/>
      <c r="C388" s="4"/>
      <c r="D388" s="4"/>
      <c r="E388" s="4"/>
      <c r="I388" s="135"/>
      <c r="J388" s="135"/>
      <c r="K388" s="135"/>
      <c r="L388" s="135"/>
    </row>
    <row r="389" spans="2:12" ht="12" customHeight="1" x14ac:dyDescent="0.15">
      <c r="B389" s="2"/>
      <c r="C389" s="4"/>
      <c r="D389" s="4"/>
      <c r="E389" s="4"/>
      <c r="I389" s="135"/>
      <c r="J389" s="135"/>
      <c r="K389" s="135"/>
      <c r="L389" s="135"/>
    </row>
    <row r="390" spans="2:12" ht="12" customHeight="1" x14ac:dyDescent="0.15">
      <c r="B390" s="2"/>
      <c r="C390" s="4"/>
      <c r="D390" s="4"/>
      <c r="E390" s="4"/>
      <c r="I390" s="135"/>
      <c r="J390" s="135"/>
      <c r="K390" s="135"/>
      <c r="L390" s="135"/>
    </row>
    <row r="391" spans="2:12" ht="12" customHeight="1" x14ac:dyDescent="0.15">
      <c r="B391" s="2"/>
      <c r="C391" s="4"/>
      <c r="D391" s="4"/>
      <c r="E391" s="4"/>
      <c r="I391" s="135"/>
      <c r="J391" s="135"/>
      <c r="K391" s="135"/>
      <c r="L391" s="135"/>
    </row>
    <row r="392" spans="2:12" ht="12" customHeight="1" x14ac:dyDescent="0.15">
      <c r="B392" s="2"/>
      <c r="C392" s="4"/>
      <c r="D392" s="4"/>
      <c r="E392" s="4"/>
      <c r="I392" s="135"/>
      <c r="J392" s="135"/>
      <c r="K392" s="135"/>
      <c r="L392" s="135"/>
    </row>
    <row r="393" spans="2:12" ht="12" customHeight="1" x14ac:dyDescent="0.15">
      <c r="B393" s="2"/>
      <c r="C393" s="4"/>
      <c r="D393" s="4"/>
      <c r="E393" s="4"/>
      <c r="I393" s="135"/>
      <c r="J393" s="135"/>
      <c r="K393" s="135"/>
      <c r="L393" s="135"/>
    </row>
    <row r="394" spans="2:12" ht="12" customHeight="1" x14ac:dyDescent="0.15">
      <c r="B394" s="2"/>
      <c r="C394" s="4"/>
      <c r="D394" s="4"/>
      <c r="E394" s="4"/>
      <c r="I394" s="135"/>
      <c r="J394" s="135"/>
      <c r="K394" s="135"/>
      <c r="L394" s="135"/>
    </row>
    <row r="395" spans="2:12" ht="12" customHeight="1" x14ac:dyDescent="0.15">
      <c r="B395" s="2"/>
      <c r="C395" s="4"/>
      <c r="D395" s="4"/>
      <c r="E395" s="4"/>
      <c r="I395" s="135"/>
      <c r="J395" s="135"/>
      <c r="K395" s="135"/>
      <c r="L395" s="135"/>
    </row>
    <row r="396" spans="2:12" ht="12" customHeight="1" x14ac:dyDescent="0.15">
      <c r="B396" s="2"/>
      <c r="C396" s="4"/>
      <c r="D396" s="4"/>
      <c r="E396" s="4"/>
      <c r="I396" s="135"/>
      <c r="J396" s="135"/>
      <c r="K396" s="135"/>
      <c r="L396" s="135"/>
    </row>
    <row r="397" spans="2:12" ht="12" customHeight="1" x14ac:dyDescent="0.15">
      <c r="B397" s="2"/>
      <c r="C397" s="4"/>
      <c r="D397" s="4"/>
      <c r="E397" s="4"/>
      <c r="I397" s="135"/>
      <c r="J397" s="135"/>
      <c r="K397" s="135"/>
      <c r="L397" s="135"/>
    </row>
    <row r="398" spans="2:12" ht="12" customHeight="1" x14ac:dyDescent="0.15">
      <c r="B398" s="2"/>
      <c r="C398" s="4"/>
      <c r="D398" s="4"/>
      <c r="E398" s="4"/>
      <c r="I398" s="135"/>
      <c r="J398" s="135"/>
      <c r="K398" s="135"/>
      <c r="L398" s="135"/>
    </row>
    <row r="399" spans="2:12" ht="12" customHeight="1" x14ac:dyDescent="0.15">
      <c r="B399" s="2"/>
      <c r="C399" s="4"/>
      <c r="D399" s="4"/>
      <c r="E399" s="4"/>
      <c r="I399" s="135"/>
      <c r="J399" s="135"/>
      <c r="K399" s="135"/>
      <c r="L399" s="135"/>
    </row>
    <row r="400" spans="2:12" ht="12" customHeight="1" x14ac:dyDescent="0.15">
      <c r="B400" s="2"/>
      <c r="C400" s="4"/>
      <c r="D400" s="4"/>
      <c r="E400" s="4"/>
      <c r="I400" s="135"/>
      <c r="J400" s="135"/>
      <c r="K400" s="135"/>
      <c r="L400" s="135"/>
    </row>
    <row r="401" spans="2:12" ht="12" customHeight="1" x14ac:dyDescent="0.15">
      <c r="B401" s="2"/>
      <c r="C401" s="4"/>
      <c r="D401" s="4"/>
      <c r="E401" s="4"/>
      <c r="I401" s="135"/>
      <c r="J401" s="135"/>
      <c r="K401" s="135"/>
      <c r="L401" s="135"/>
    </row>
    <row r="402" spans="2:12" ht="12" customHeight="1" x14ac:dyDescent="0.15">
      <c r="B402" s="2"/>
      <c r="C402" s="4"/>
      <c r="D402" s="4"/>
      <c r="E402" s="4"/>
      <c r="I402" s="135"/>
      <c r="J402" s="135"/>
      <c r="K402" s="135"/>
      <c r="L402" s="135"/>
    </row>
    <row r="403" spans="2:12" ht="12" customHeight="1" x14ac:dyDescent="0.15">
      <c r="B403" s="2"/>
      <c r="C403" s="4"/>
      <c r="D403" s="4"/>
      <c r="E403" s="4"/>
      <c r="I403" s="135"/>
      <c r="J403" s="135"/>
      <c r="K403" s="135"/>
      <c r="L403" s="135"/>
    </row>
    <row r="404" spans="2:12" ht="12" customHeight="1" x14ac:dyDescent="0.15">
      <c r="B404" s="2"/>
      <c r="C404" s="4"/>
      <c r="D404" s="4"/>
      <c r="E404" s="4"/>
      <c r="I404" s="135"/>
      <c r="J404" s="135"/>
      <c r="K404" s="135"/>
      <c r="L404" s="135"/>
    </row>
    <row r="405" spans="2:12" ht="12" customHeight="1" x14ac:dyDescent="0.15">
      <c r="B405" s="2"/>
      <c r="C405" s="4"/>
      <c r="D405" s="4"/>
      <c r="E405" s="4"/>
      <c r="I405" s="135"/>
      <c r="J405" s="135"/>
      <c r="K405" s="135"/>
      <c r="L405" s="135"/>
    </row>
    <row r="406" spans="2:12" ht="12" customHeight="1" x14ac:dyDescent="0.15">
      <c r="B406" s="2"/>
      <c r="C406" s="4"/>
      <c r="D406" s="4"/>
      <c r="E406" s="4"/>
      <c r="I406" s="135"/>
      <c r="J406" s="135"/>
      <c r="K406" s="135"/>
      <c r="L406" s="135"/>
    </row>
    <row r="407" spans="2:12" ht="12" customHeight="1" x14ac:dyDescent="0.15">
      <c r="B407" s="2"/>
      <c r="C407" s="4"/>
      <c r="D407" s="4"/>
      <c r="E407" s="4"/>
      <c r="I407" s="135"/>
      <c r="J407" s="135"/>
      <c r="K407" s="135"/>
      <c r="L407" s="135"/>
    </row>
    <row r="408" spans="2:12" ht="12" customHeight="1" x14ac:dyDescent="0.15">
      <c r="B408" s="2"/>
      <c r="C408" s="4"/>
      <c r="D408" s="4"/>
      <c r="E408" s="4"/>
      <c r="I408" s="135"/>
      <c r="J408" s="135"/>
      <c r="K408" s="135"/>
      <c r="L408" s="135"/>
    </row>
    <row r="409" spans="2:12" ht="12" customHeight="1" x14ac:dyDescent="0.15">
      <c r="B409" s="2"/>
      <c r="C409" s="4"/>
      <c r="D409" s="4"/>
      <c r="E409" s="4"/>
      <c r="I409" s="135"/>
      <c r="J409" s="135"/>
      <c r="K409" s="135"/>
      <c r="L409" s="135"/>
    </row>
    <row r="410" spans="2:12" ht="12" customHeight="1" x14ac:dyDescent="0.15">
      <c r="B410" s="2"/>
      <c r="C410" s="4"/>
      <c r="D410" s="4"/>
      <c r="E410" s="4"/>
      <c r="I410" s="135"/>
      <c r="J410" s="135"/>
      <c r="K410" s="135"/>
      <c r="L410" s="135"/>
    </row>
    <row r="411" spans="2:12" ht="12" customHeight="1" x14ac:dyDescent="0.15">
      <c r="B411" s="2"/>
      <c r="C411" s="4"/>
      <c r="D411" s="4"/>
      <c r="E411" s="4"/>
      <c r="I411" s="135"/>
      <c r="J411" s="135"/>
      <c r="K411" s="135"/>
      <c r="L411" s="135"/>
    </row>
    <row r="412" spans="2:12" ht="12" customHeight="1" x14ac:dyDescent="0.15">
      <c r="B412" s="2"/>
      <c r="C412" s="4"/>
      <c r="D412" s="4"/>
      <c r="E412" s="4"/>
      <c r="I412" s="135"/>
      <c r="J412" s="135"/>
      <c r="K412" s="135"/>
      <c r="L412" s="135"/>
    </row>
    <row r="413" spans="2:12" ht="12" customHeight="1" x14ac:dyDescent="0.15">
      <c r="B413" s="2"/>
      <c r="C413" s="4"/>
      <c r="D413" s="4"/>
      <c r="E413" s="4"/>
      <c r="I413" s="135"/>
      <c r="J413" s="135"/>
      <c r="K413" s="135"/>
      <c r="L413" s="135"/>
    </row>
    <row r="414" spans="2:12" ht="12" customHeight="1" x14ac:dyDescent="0.15">
      <c r="B414" s="2"/>
      <c r="C414" s="4"/>
      <c r="D414" s="4"/>
      <c r="E414" s="4"/>
      <c r="I414" s="135"/>
      <c r="J414" s="135"/>
      <c r="K414" s="135"/>
      <c r="L414" s="135"/>
    </row>
    <row r="415" spans="2:12" ht="12" customHeight="1" x14ac:dyDescent="0.15">
      <c r="B415" s="2"/>
      <c r="C415" s="4"/>
      <c r="D415" s="4"/>
      <c r="E415" s="4"/>
      <c r="I415" s="135"/>
      <c r="J415" s="135"/>
      <c r="K415" s="135"/>
      <c r="L415" s="135"/>
    </row>
    <row r="416" spans="2:12" ht="12" customHeight="1" x14ac:dyDescent="0.15">
      <c r="B416" s="2"/>
      <c r="C416" s="4"/>
      <c r="D416" s="4"/>
      <c r="E416" s="4"/>
      <c r="I416" s="135"/>
      <c r="J416" s="135"/>
      <c r="K416" s="135"/>
      <c r="L416" s="135"/>
    </row>
    <row r="417" spans="2:12" ht="12" customHeight="1" x14ac:dyDescent="0.15">
      <c r="B417" s="2"/>
      <c r="C417" s="4"/>
      <c r="D417" s="4"/>
      <c r="E417" s="4"/>
      <c r="I417" s="135"/>
      <c r="J417" s="135"/>
      <c r="K417" s="135"/>
      <c r="L417" s="135"/>
    </row>
    <row r="418" spans="2:12" ht="12" customHeight="1" x14ac:dyDescent="0.15">
      <c r="B418" s="2"/>
      <c r="C418" s="4"/>
      <c r="D418" s="4"/>
      <c r="E418" s="4"/>
      <c r="I418" s="135"/>
      <c r="J418" s="135"/>
      <c r="K418" s="135"/>
      <c r="L418" s="135"/>
    </row>
    <row r="419" spans="2:12" ht="12" customHeight="1" x14ac:dyDescent="0.15">
      <c r="B419" s="2"/>
      <c r="C419" s="4"/>
      <c r="D419" s="4"/>
      <c r="E419" s="4"/>
      <c r="I419" s="135"/>
      <c r="J419" s="135"/>
      <c r="K419" s="135"/>
      <c r="L419" s="135"/>
    </row>
    <row r="420" spans="2:12" ht="12" customHeight="1" x14ac:dyDescent="0.15">
      <c r="B420" s="2"/>
      <c r="C420" s="4"/>
      <c r="D420" s="4"/>
      <c r="E420" s="4"/>
      <c r="I420" s="135"/>
      <c r="J420" s="135"/>
      <c r="K420" s="135"/>
      <c r="L420" s="135"/>
    </row>
    <row r="421" spans="2:12" ht="12" customHeight="1" x14ac:dyDescent="0.15">
      <c r="B421" s="2"/>
      <c r="C421" s="4"/>
      <c r="D421" s="4"/>
      <c r="E421" s="4"/>
      <c r="I421" s="135"/>
      <c r="J421" s="135"/>
      <c r="K421" s="135"/>
      <c r="L421" s="135"/>
    </row>
    <row r="422" spans="2:12" ht="12" customHeight="1" x14ac:dyDescent="0.15">
      <c r="B422" s="2"/>
      <c r="C422" s="4"/>
      <c r="D422" s="4"/>
      <c r="E422" s="4"/>
      <c r="I422" s="135"/>
      <c r="J422" s="135"/>
      <c r="K422" s="135"/>
      <c r="L422" s="135"/>
    </row>
    <row r="423" spans="2:12" ht="12" customHeight="1" x14ac:dyDescent="0.15">
      <c r="B423" s="2"/>
      <c r="C423" s="4"/>
      <c r="D423" s="4"/>
      <c r="E423" s="4"/>
      <c r="I423" s="135"/>
      <c r="J423" s="135"/>
      <c r="K423" s="135"/>
      <c r="L423" s="135"/>
    </row>
    <row r="424" spans="2:12" ht="12" customHeight="1" x14ac:dyDescent="0.15">
      <c r="B424" s="2"/>
      <c r="C424" s="4"/>
      <c r="D424" s="4"/>
      <c r="E424" s="4"/>
      <c r="I424" s="135"/>
      <c r="J424" s="135"/>
      <c r="K424" s="135"/>
      <c r="L424" s="135"/>
    </row>
    <row r="425" spans="2:12" ht="12" customHeight="1" x14ac:dyDescent="0.15">
      <c r="B425" s="2"/>
      <c r="C425" s="4"/>
      <c r="D425" s="4"/>
      <c r="E425" s="4"/>
      <c r="I425" s="135"/>
      <c r="J425" s="135"/>
      <c r="K425" s="135"/>
      <c r="L425" s="135"/>
    </row>
    <row r="426" spans="2:12" ht="12" customHeight="1" x14ac:dyDescent="0.15">
      <c r="B426" s="2"/>
      <c r="C426" s="4"/>
      <c r="D426" s="4"/>
      <c r="E426" s="4"/>
      <c r="I426" s="135"/>
      <c r="J426" s="135"/>
      <c r="K426" s="135"/>
      <c r="L426" s="135"/>
    </row>
    <row r="427" spans="2:12" ht="12" customHeight="1" x14ac:dyDescent="0.15">
      <c r="B427" s="2"/>
      <c r="C427" s="4"/>
      <c r="D427" s="4"/>
      <c r="E427" s="4"/>
      <c r="I427" s="135"/>
      <c r="J427" s="135"/>
      <c r="K427" s="135"/>
      <c r="L427" s="135"/>
    </row>
    <row r="428" spans="2:12" ht="12" customHeight="1" x14ac:dyDescent="0.15">
      <c r="B428" s="2"/>
      <c r="C428" s="4"/>
      <c r="D428" s="4"/>
      <c r="E428" s="4"/>
      <c r="I428" s="135"/>
      <c r="J428" s="135"/>
      <c r="K428" s="135"/>
      <c r="L428" s="135"/>
    </row>
    <row r="429" spans="2:12" ht="12" customHeight="1" x14ac:dyDescent="0.15">
      <c r="B429" s="2"/>
      <c r="C429" s="4"/>
      <c r="D429" s="4"/>
      <c r="E429" s="4"/>
      <c r="I429" s="135"/>
      <c r="J429" s="135"/>
      <c r="K429" s="135"/>
      <c r="L429" s="135"/>
    </row>
    <row r="430" spans="2:12" ht="12" customHeight="1" x14ac:dyDescent="0.15">
      <c r="B430" s="2"/>
      <c r="C430" s="4"/>
      <c r="D430" s="4"/>
      <c r="E430" s="4"/>
      <c r="I430" s="135"/>
      <c r="J430" s="135"/>
      <c r="K430" s="135"/>
      <c r="L430" s="135"/>
    </row>
    <row r="431" spans="2:12" ht="12" customHeight="1" x14ac:dyDescent="0.15">
      <c r="B431" s="2"/>
      <c r="C431" s="4"/>
      <c r="D431" s="4"/>
      <c r="E431" s="4"/>
      <c r="I431" s="135"/>
      <c r="J431" s="135"/>
      <c r="K431" s="135"/>
      <c r="L431" s="135"/>
    </row>
    <row r="432" spans="2:12" ht="12" customHeight="1" x14ac:dyDescent="0.15">
      <c r="B432" s="2"/>
      <c r="C432" s="4"/>
      <c r="D432" s="4"/>
      <c r="E432" s="4"/>
      <c r="I432" s="135"/>
      <c r="J432" s="135"/>
      <c r="K432" s="135"/>
      <c r="L432" s="135"/>
    </row>
    <row r="433" spans="2:12" ht="12" customHeight="1" x14ac:dyDescent="0.15">
      <c r="B433" s="2"/>
      <c r="C433" s="4"/>
      <c r="D433" s="4"/>
      <c r="E433" s="4"/>
      <c r="I433" s="135"/>
      <c r="J433" s="135"/>
      <c r="K433" s="135"/>
      <c r="L433" s="135"/>
    </row>
    <row r="434" spans="2:12" ht="12" customHeight="1" x14ac:dyDescent="0.15">
      <c r="B434" s="2"/>
      <c r="C434" s="4"/>
      <c r="D434" s="4"/>
      <c r="E434" s="4"/>
      <c r="I434" s="135"/>
      <c r="J434" s="135"/>
      <c r="K434" s="135"/>
      <c r="L434" s="135"/>
    </row>
    <row r="435" spans="2:12" ht="12" customHeight="1" x14ac:dyDescent="0.15">
      <c r="B435" s="2"/>
      <c r="C435" s="4"/>
      <c r="D435" s="4"/>
      <c r="E435" s="4"/>
      <c r="I435" s="135"/>
      <c r="J435" s="135"/>
      <c r="K435" s="135"/>
      <c r="L435" s="135"/>
    </row>
    <row r="436" spans="2:12" ht="12" customHeight="1" x14ac:dyDescent="0.15">
      <c r="B436" s="2"/>
      <c r="C436" s="4"/>
      <c r="D436" s="4"/>
      <c r="E436" s="4"/>
      <c r="I436" s="135"/>
      <c r="J436" s="135"/>
      <c r="K436" s="135"/>
      <c r="L436" s="135"/>
    </row>
    <row r="437" spans="2:12" ht="12" customHeight="1" x14ac:dyDescent="0.15">
      <c r="B437" s="2"/>
      <c r="C437" s="4"/>
      <c r="D437" s="4"/>
      <c r="E437" s="4"/>
      <c r="I437" s="135"/>
      <c r="J437" s="135"/>
      <c r="K437" s="135"/>
      <c r="L437" s="135"/>
    </row>
    <row r="438" spans="2:12" ht="12" customHeight="1" x14ac:dyDescent="0.15">
      <c r="B438" s="2"/>
      <c r="C438" s="4"/>
      <c r="D438" s="4"/>
      <c r="E438" s="4"/>
      <c r="I438" s="135"/>
      <c r="J438" s="135"/>
      <c r="K438" s="135"/>
      <c r="L438" s="135"/>
    </row>
    <row r="439" spans="2:12" ht="12" customHeight="1" x14ac:dyDescent="0.15">
      <c r="B439" s="2"/>
      <c r="C439" s="4"/>
      <c r="D439" s="4"/>
      <c r="E439" s="4"/>
      <c r="I439" s="135"/>
      <c r="J439" s="135"/>
      <c r="K439" s="135"/>
      <c r="L439" s="135"/>
    </row>
    <row r="440" spans="2:12" ht="12" customHeight="1" x14ac:dyDescent="0.15">
      <c r="B440" s="2"/>
      <c r="C440" s="4"/>
      <c r="D440" s="4"/>
      <c r="E440" s="4"/>
      <c r="I440" s="135"/>
      <c r="J440" s="135"/>
      <c r="K440" s="135"/>
      <c r="L440" s="135"/>
    </row>
    <row r="441" spans="2:12" ht="12" customHeight="1" x14ac:dyDescent="0.15">
      <c r="B441" s="2"/>
      <c r="C441" s="4"/>
      <c r="D441" s="4"/>
      <c r="E441" s="4"/>
      <c r="I441" s="135"/>
      <c r="J441" s="135"/>
      <c r="K441" s="135"/>
      <c r="L441" s="135"/>
    </row>
    <row r="442" spans="2:12" ht="12" customHeight="1" x14ac:dyDescent="0.15">
      <c r="B442" s="2"/>
      <c r="C442" s="4"/>
      <c r="D442" s="4"/>
      <c r="E442" s="4"/>
      <c r="I442" s="135"/>
      <c r="J442" s="135"/>
      <c r="K442" s="135"/>
      <c r="L442" s="135"/>
    </row>
    <row r="443" spans="2:12" ht="12" customHeight="1" x14ac:dyDescent="0.15">
      <c r="B443" s="2"/>
      <c r="C443" s="4"/>
      <c r="D443" s="4"/>
      <c r="E443" s="4"/>
      <c r="I443" s="135"/>
      <c r="J443" s="135"/>
      <c r="K443" s="135"/>
      <c r="L443" s="135"/>
    </row>
    <row r="444" spans="2:12" ht="12" customHeight="1" x14ac:dyDescent="0.15">
      <c r="B444" s="2"/>
      <c r="C444" s="4"/>
      <c r="D444" s="4"/>
      <c r="E444" s="4"/>
      <c r="I444" s="135"/>
      <c r="J444" s="135"/>
      <c r="K444" s="135"/>
      <c r="L444" s="135"/>
    </row>
    <row r="445" spans="2:12" ht="12" customHeight="1" x14ac:dyDescent="0.15">
      <c r="B445" s="2"/>
      <c r="C445" s="4"/>
      <c r="D445" s="4"/>
      <c r="E445" s="4"/>
      <c r="I445" s="135"/>
      <c r="J445" s="135"/>
      <c r="K445" s="135"/>
      <c r="L445" s="135"/>
    </row>
    <row r="446" spans="2:12" ht="12" customHeight="1" x14ac:dyDescent="0.15">
      <c r="B446" s="2"/>
      <c r="C446" s="4"/>
      <c r="D446" s="4"/>
      <c r="E446" s="4"/>
      <c r="I446" s="135"/>
      <c r="J446" s="135"/>
      <c r="K446" s="135"/>
      <c r="L446" s="135"/>
    </row>
    <row r="447" spans="2:12" ht="12" customHeight="1" x14ac:dyDescent="0.15">
      <c r="B447" s="2"/>
      <c r="C447" s="4"/>
      <c r="D447" s="4"/>
      <c r="E447" s="4"/>
      <c r="I447" s="135"/>
      <c r="J447" s="135"/>
      <c r="K447" s="135"/>
      <c r="L447" s="135"/>
    </row>
    <row r="448" spans="2:12" ht="12" customHeight="1" x14ac:dyDescent="0.15">
      <c r="B448" s="2"/>
      <c r="C448" s="4"/>
      <c r="D448" s="4"/>
      <c r="E448" s="4"/>
      <c r="I448" s="135"/>
      <c r="J448" s="135"/>
      <c r="K448" s="135"/>
      <c r="L448" s="135"/>
    </row>
    <row r="449" spans="2:12" ht="12" customHeight="1" x14ac:dyDescent="0.15">
      <c r="B449" s="2"/>
      <c r="C449" s="4"/>
      <c r="D449" s="4"/>
      <c r="E449" s="4"/>
      <c r="I449" s="135"/>
      <c r="J449" s="135"/>
      <c r="K449" s="135"/>
      <c r="L449" s="135"/>
    </row>
    <row r="450" spans="2:12" ht="12" customHeight="1" x14ac:dyDescent="0.15">
      <c r="B450" s="2"/>
      <c r="C450" s="4"/>
      <c r="D450" s="4"/>
      <c r="E450" s="4"/>
      <c r="I450" s="135"/>
      <c r="J450" s="135"/>
      <c r="K450" s="135"/>
      <c r="L450" s="135"/>
    </row>
    <row r="451" spans="2:12" ht="12" customHeight="1" x14ac:dyDescent="0.15">
      <c r="B451" s="2"/>
      <c r="C451" s="4"/>
      <c r="D451" s="4"/>
      <c r="E451" s="4"/>
      <c r="I451" s="135"/>
      <c r="J451" s="135"/>
      <c r="K451" s="135"/>
      <c r="L451" s="135"/>
    </row>
    <row r="452" spans="2:12" ht="12" customHeight="1" x14ac:dyDescent="0.15">
      <c r="B452" s="2"/>
      <c r="C452" s="4"/>
      <c r="D452" s="4"/>
      <c r="E452" s="4"/>
      <c r="I452" s="135"/>
      <c r="J452" s="135"/>
      <c r="K452" s="135"/>
      <c r="L452" s="135"/>
    </row>
    <row r="453" spans="2:12" ht="12" customHeight="1" x14ac:dyDescent="0.15">
      <c r="B453" s="2"/>
      <c r="C453" s="4"/>
      <c r="D453" s="4"/>
      <c r="E453" s="4"/>
      <c r="I453" s="135"/>
      <c r="J453" s="135"/>
      <c r="K453" s="135"/>
      <c r="L453" s="135"/>
    </row>
    <row r="454" spans="2:12" ht="12" customHeight="1" x14ac:dyDescent="0.15">
      <c r="B454" s="2"/>
      <c r="C454" s="4"/>
      <c r="D454" s="4"/>
      <c r="E454" s="4"/>
      <c r="I454" s="135"/>
      <c r="J454" s="135"/>
      <c r="K454" s="135"/>
      <c r="L454" s="135"/>
    </row>
    <row r="455" spans="2:12" ht="12" customHeight="1" x14ac:dyDescent="0.15">
      <c r="B455" s="2"/>
      <c r="C455" s="4"/>
      <c r="D455" s="4"/>
      <c r="E455" s="4"/>
      <c r="I455" s="135"/>
      <c r="J455" s="135"/>
      <c r="K455" s="135"/>
      <c r="L455" s="135"/>
    </row>
    <row r="456" spans="2:12" ht="12" customHeight="1" x14ac:dyDescent="0.15">
      <c r="B456" s="2"/>
      <c r="C456" s="4"/>
      <c r="D456" s="4"/>
      <c r="E456" s="4"/>
      <c r="I456" s="135"/>
      <c r="J456" s="135"/>
      <c r="K456" s="135"/>
      <c r="L456" s="135"/>
    </row>
    <row r="457" spans="2:12" ht="12" customHeight="1" x14ac:dyDescent="0.15">
      <c r="B457" s="2"/>
      <c r="C457" s="4"/>
      <c r="D457" s="4"/>
      <c r="E457" s="4"/>
      <c r="I457" s="135"/>
      <c r="J457" s="135"/>
      <c r="K457" s="135"/>
      <c r="L457" s="135"/>
    </row>
    <row r="458" spans="2:12" ht="12" customHeight="1" x14ac:dyDescent="0.15">
      <c r="B458" s="2"/>
      <c r="C458" s="4"/>
      <c r="D458" s="4"/>
      <c r="E458" s="4"/>
      <c r="I458" s="135"/>
      <c r="J458" s="135"/>
      <c r="K458" s="135"/>
      <c r="L458" s="135"/>
    </row>
    <row r="459" spans="2:12" ht="12" customHeight="1" x14ac:dyDescent="0.15">
      <c r="B459" s="2"/>
      <c r="C459" s="4"/>
      <c r="D459" s="4"/>
      <c r="E459" s="4"/>
      <c r="I459" s="135"/>
      <c r="J459" s="135"/>
      <c r="K459" s="135"/>
      <c r="L459" s="135"/>
    </row>
    <row r="460" spans="2:12" ht="12" customHeight="1" x14ac:dyDescent="0.15">
      <c r="B460" s="2"/>
      <c r="C460" s="4"/>
      <c r="D460" s="4"/>
      <c r="E460" s="4"/>
      <c r="I460" s="135"/>
      <c r="J460" s="135"/>
      <c r="K460" s="135"/>
      <c r="L460" s="135"/>
    </row>
    <row r="461" spans="2:12" ht="12" customHeight="1" x14ac:dyDescent="0.15">
      <c r="B461" s="2"/>
      <c r="C461" s="4"/>
      <c r="D461" s="4"/>
      <c r="E461" s="4"/>
      <c r="I461" s="135"/>
      <c r="J461" s="135"/>
      <c r="K461" s="135"/>
      <c r="L461" s="135"/>
    </row>
    <row r="462" spans="2:12" ht="12" customHeight="1" x14ac:dyDescent="0.15">
      <c r="B462" s="2"/>
      <c r="C462" s="4"/>
      <c r="D462" s="4"/>
      <c r="E462" s="4"/>
      <c r="I462" s="135"/>
      <c r="J462" s="135"/>
      <c r="K462" s="135"/>
      <c r="L462" s="135"/>
    </row>
    <row r="463" spans="2:12" ht="12" customHeight="1" x14ac:dyDescent="0.15">
      <c r="B463" s="2"/>
      <c r="C463" s="4"/>
      <c r="D463" s="4"/>
      <c r="E463" s="4"/>
      <c r="I463" s="135"/>
      <c r="J463" s="135"/>
      <c r="K463" s="135"/>
      <c r="L463" s="135"/>
    </row>
    <row r="464" spans="2:12" ht="12" customHeight="1" x14ac:dyDescent="0.15">
      <c r="B464" s="2"/>
      <c r="C464" s="4"/>
      <c r="D464" s="4"/>
      <c r="E464" s="4"/>
      <c r="I464" s="135"/>
      <c r="J464" s="135"/>
      <c r="K464" s="135"/>
      <c r="L464" s="135"/>
    </row>
    <row r="465" spans="2:12" ht="12" customHeight="1" x14ac:dyDescent="0.15">
      <c r="B465" s="2"/>
      <c r="C465" s="4"/>
      <c r="D465" s="4"/>
      <c r="E465" s="4"/>
      <c r="I465" s="135"/>
      <c r="J465" s="135"/>
      <c r="K465" s="135"/>
      <c r="L465" s="135"/>
    </row>
    <row r="466" spans="2:12" ht="12" customHeight="1" x14ac:dyDescent="0.15">
      <c r="B466" s="2"/>
      <c r="C466" s="4"/>
      <c r="D466" s="4"/>
      <c r="E466" s="4"/>
      <c r="I466" s="135"/>
      <c r="J466" s="135"/>
      <c r="K466" s="135"/>
      <c r="L466" s="135"/>
    </row>
    <row r="467" spans="2:12" ht="12" customHeight="1" x14ac:dyDescent="0.15">
      <c r="B467" s="2"/>
      <c r="C467" s="4"/>
      <c r="D467" s="4"/>
      <c r="E467" s="4"/>
      <c r="I467" s="135"/>
      <c r="J467" s="135"/>
      <c r="K467" s="135"/>
      <c r="L467" s="135"/>
    </row>
    <row r="468" spans="2:12" ht="12" customHeight="1" x14ac:dyDescent="0.15">
      <c r="B468" s="2"/>
      <c r="C468" s="4"/>
      <c r="D468" s="4"/>
      <c r="E468" s="4"/>
      <c r="I468" s="135"/>
      <c r="J468" s="135"/>
      <c r="K468" s="135"/>
      <c r="L468" s="135"/>
    </row>
    <row r="469" spans="2:12" ht="12" customHeight="1" x14ac:dyDescent="0.15">
      <c r="B469" s="2"/>
      <c r="C469" s="4"/>
      <c r="D469" s="4"/>
      <c r="E469" s="4"/>
      <c r="I469" s="135"/>
      <c r="J469" s="135"/>
      <c r="K469" s="135"/>
      <c r="L469" s="135"/>
    </row>
    <row r="470" spans="2:12" ht="12" customHeight="1" x14ac:dyDescent="0.15">
      <c r="B470" s="2"/>
      <c r="C470" s="4"/>
      <c r="D470" s="4"/>
      <c r="E470" s="4"/>
      <c r="I470" s="135"/>
      <c r="J470" s="135"/>
      <c r="K470" s="135"/>
      <c r="L470" s="135"/>
    </row>
    <row r="471" spans="2:12" ht="12" customHeight="1" x14ac:dyDescent="0.15">
      <c r="B471" s="2"/>
      <c r="C471" s="4"/>
      <c r="D471" s="4"/>
      <c r="E471" s="4"/>
      <c r="I471" s="135"/>
      <c r="J471" s="135"/>
      <c r="K471" s="135"/>
      <c r="L471" s="135"/>
    </row>
    <row r="472" spans="2:12" ht="12" customHeight="1" x14ac:dyDescent="0.15">
      <c r="B472" s="2"/>
      <c r="C472" s="4"/>
      <c r="D472" s="4"/>
      <c r="E472" s="4"/>
      <c r="I472" s="135"/>
      <c r="J472" s="135"/>
      <c r="K472" s="135"/>
      <c r="L472" s="135"/>
    </row>
    <row r="473" spans="2:12" ht="12" customHeight="1" x14ac:dyDescent="0.15">
      <c r="B473" s="2"/>
      <c r="C473" s="4"/>
      <c r="D473" s="4"/>
      <c r="E473" s="4"/>
      <c r="I473" s="135"/>
      <c r="J473" s="135"/>
      <c r="K473" s="135"/>
      <c r="L473" s="135"/>
    </row>
    <row r="474" spans="2:12" ht="12" customHeight="1" x14ac:dyDescent="0.15">
      <c r="B474" s="2"/>
      <c r="C474" s="4"/>
      <c r="D474" s="4"/>
      <c r="E474" s="4"/>
      <c r="I474" s="135"/>
      <c r="J474" s="135"/>
      <c r="K474" s="135"/>
      <c r="L474" s="135"/>
    </row>
    <row r="475" spans="2:12" ht="12" customHeight="1" x14ac:dyDescent="0.15">
      <c r="B475" s="2"/>
      <c r="C475" s="4"/>
      <c r="D475" s="4"/>
      <c r="E475" s="4"/>
      <c r="I475" s="135"/>
      <c r="J475" s="135"/>
      <c r="K475" s="135"/>
      <c r="L475" s="135"/>
    </row>
    <row r="476" spans="2:12" ht="12" customHeight="1" x14ac:dyDescent="0.15">
      <c r="B476" s="2"/>
      <c r="C476" s="4"/>
      <c r="D476" s="4"/>
      <c r="E476" s="4"/>
      <c r="I476" s="135"/>
      <c r="J476" s="135"/>
      <c r="K476" s="135"/>
      <c r="L476" s="135"/>
    </row>
    <row r="477" spans="2:12" ht="12" customHeight="1" x14ac:dyDescent="0.15">
      <c r="B477" s="2"/>
      <c r="C477" s="4"/>
      <c r="D477" s="4"/>
      <c r="E477" s="4"/>
      <c r="I477" s="135"/>
      <c r="J477" s="135"/>
      <c r="K477" s="135"/>
      <c r="L477" s="135"/>
    </row>
    <row r="478" spans="2:12" ht="12" customHeight="1" x14ac:dyDescent="0.15">
      <c r="B478" s="2"/>
      <c r="C478" s="4"/>
      <c r="D478" s="4"/>
      <c r="E478" s="4"/>
      <c r="I478" s="135"/>
      <c r="J478" s="135"/>
      <c r="K478" s="135"/>
      <c r="L478" s="135"/>
    </row>
    <row r="479" spans="2:12" ht="12" customHeight="1" x14ac:dyDescent="0.15">
      <c r="B479" s="2"/>
      <c r="C479" s="4"/>
      <c r="D479" s="4"/>
      <c r="E479" s="4"/>
      <c r="I479" s="135"/>
      <c r="J479" s="135"/>
      <c r="K479" s="135"/>
      <c r="L479" s="135"/>
    </row>
    <row r="480" spans="2:12" ht="12" customHeight="1" x14ac:dyDescent="0.15">
      <c r="B480" s="2"/>
      <c r="C480" s="4"/>
      <c r="D480" s="4"/>
      <c r="E480" s="4"/>
      <c r="I480" s="135"/>
      <c r="J480" s="135"/>
      <c r="K480" s="135"/>
      <c r="L480" s="135"/>
    </row>
    <row r="481" spans="2:12" ht="12" customHeight="1" x14ac:dyDescent="0.15">
      <c r="B481" s="2"/>
      <c r="C481" s="4"/>
      <c r="D481" s="4"/>
      <c r="E481" s="4"/>
      <c r="I481" s="135"/>
      <c r="J481" s="135"/>
      <c r="K481" s="135"/>
      <c r="L481" s="135"/>
    </row>
    <row r="482" spans="2:12" ht="12" customHeight="1" x14ac:dyDescent="0.15">
      <c r="B482" s="2"/>
      <c r="C482" s="4"/>
      <c r="D482" s="4"/>
      <c r="E482" s="4"/>
      <c r="I482" s="135"/>
      <c r="J482" s="135"/>
      <c r="K482" s="135"/>
      <c r="L482" s="135"/>
    </row>
    <row r="483" spans="2:12" ht="12" customHeight="1" x14ac:dyDescent="0.15">
      <c r="B483" s="2"/>
      <c r="C483" s="4"/>
      <c r="D483" s="4"/>
      <c r="E483" s="4"/>
      <c r="I483" s="135"/>
      <c r="J483" s="135"/>
      <c r="K483" s="135"/>
      <c r="L483" s="135"/>
    </row>
    <row r="484" spans="2:12" ht="12" customHeight="1" x14ac:dyDescent="0.15">
      <c r="B484" s="2"/>
      <c r="C484" s="4"/>
      <c r="D484" s="4"/>
      <c r="E484" s="4"/>
      <c r="I484" s="135"/>
      <c r="J484" s="135"/>
      <c r="K484" s="135"/>
      <c r="L484" s="135"/>
    </row>
    <row r="485" spans="2:12" ht="12" customHeight="1" x14ac:dyDescent="0.15">
      <c r="B485" s="2"/>
      <c r="C485" s="4"/>
      <c r="D485" s="4"/>
      <c r="E485" s="4"/>
      <c r="I485" s="135"/>
      <c r="J485" s="135"/>
      <c r="K485" s="135"/>
      <c r="L485" s="135"/>
    </row>
    <row r="486" spans="2:12" ht="12" customHeight="1" x14ac:dyDescent="0.15">
      <c r="B486" s="2"/>
      <c r="C486" s="4"/>
      <c r="D486" s="4"/>
      <c r="E486" s="4"/>
      <c r="I486" s="135"/>
      <c r="J486" s="135"/>
      <c r="K486" s="135"/>
      <c r="L486" s="135"/>
    </row>
    <row r="487" spans="2:12" ht="12" customHeight="1" x14ac:dyDescent="0.15">
      <c r="B487" s="2"/>
      <c r="C487" s="4"/>
      <c r="D487" s="4"/>
      <c r="E487" s="4"/>
      <c r="I487" s="135"/>
      <c r="J487" s="135"/>
      <c r="K487" s="135"/>
      <c r="L487" s="135"/>
    </row>
    <row r="488" spans="2:12" ht="12" customHeight="1" x14ac:dyDescent="0.15">
      <c r="B488" s="2"/>
      <c r="C488" s="4"/>
      <c r="D488" s="4"/>
      <c r="E488" s="4"/>
      <c r="I488" s="135"/>
      <c r="J488" s="135"/>
      <c r="K488" s="135"/>
      <c r="L488" s="135"/>
    </row>
    <row r="489" spans="2:12" ht="12" customHeight="1" x14ac:dyDescent="0.15">
      <c r="B489" s="2"/>
      <c r="C489" s="4"/>
      <c r="D489" s="4"/>
      <c r="E489" s="4"/>
      <c r="I489" s="135"/>
      <c r="J489" s="135"/>
      <c r="K489" s="135"/>
      <c r="L489" s="135"/>
    </row>
    <row r="490" spans="2:12" ht="12" customHeight="1" x14ac:dyDescent="0.15">
      <c r="B490" s="2"/>
      <c r="C490" s="4"/>
      <c r="D490" s="4"/>
      <c r="E490" s="4"/>
      <c r="I490" s="135"/>
      <c r="J490" s="135"/>
      <c r="K490" s="135"/>
      <c r="L490" s="135"/>
    </row>
    <row r="491" spans="2:12" ht="12" customHeight="1" x14ac:dyDescent="0.15">
      <c r="B491" s="2"/>
      <c r="C491" s="4"/>
      <c r="D491" s="4"/>
      <c r="E491" s="4"/>
      <c r="I491" s="135"/>
      <c r="J491" s="135"/>
      <c r="K491" s="135"/>
      <c r="L491" s="135"/>
    </row>
    <row r="492" spans="2:12" ht="12" customHeight="1" x14ac:dyDescent="0.15">
      <c r="B492" s="2"/>
      <c r="C492" s="4"/>
      <c r="D492" s="4"/>
      <c r="E492" s="4"/>
      <c r="I492" s="135"/>
      <c r="J492" s="135"/>
      <c r="K492" s="135"/>
      <c r="L492" s="135"/>
    </row>
    <row r="493" spans="2:12" ht="12" customHeight="1" x14ac:dyDescent="0.15">
      <c r="B493" s="2"/>
      <c r="C493" s="4"/>
      <c r="D493" s="4"/>
      <c r="E493" s="4"/>
      <c r="I493" s="135"/>
      <c r="J493" s="135"/>
      <c r="K493" s="135"/>
      <c r="L493" s="135"/>
    </row>
    <row r="494" spans="2:12" ht="12" customHeight="1" x14ac:dyDescent="0.15">
      <c r="B494" s="2"/>
      <c r="C494" s="4"/>
      <c r="D494" s="4"/>
      <c r="E494" s="4"/>
      <c r="I494" s="135"/>
      <c r="J494" s="135"/>
      <c r="K494" s="135"/>
      <c r="L494" s="135"/>
    </row>
    <row r="495" spans="2:12" ht="12" customHeight="1" x14ac:dyDescent="0.15">
      <c r="B495" s="2"/>
      <c r="C495" s="4"/>
      <c r="D495" s="4"/>
      <c r="E495" s="4"/>
      <c r="I495" s="135"/>
      <c r="J495" s="135"/>
      <c r="K495" s="135"/>
      <c r="L495" s="135"/>
    </row>
    <row r="496" spans="2:12" ht="12" customHeight="1" x14ac:dyDescent="0.15">
      <c r="B496" s="2"/>
      <c r="C496" s="4"/>
      <c r="D496" s="4"/>
      <c r="E496" s="4"/>
      <c r="I496" s="135"/>
      <c r="J496" s="135"/>
      <c r="K496" s="135"/>
      <c r="L496" s="135"/>
    </row>
    <row r="497" spans="2:12" ht="12" customHeight="1" x14ac:dyDescent="0.15">
      <c r="B497" s="2"/>
      <c r="C497" s="4"/>
      <c r="D497" s="4"/>
      <c r="E497" s="4"/>
      <c r="I497" s="135"/>
      <c r="J497" s="135"/>
      <c r="K497" s="135"/>
      <c r="L497" s="135"/>
    </row>
    <row r="498" spans="2:12" ht="12" customHeight="1" x14ac:dyDescent="0.15">
      <c r="B498" s="2"/>
      <c r="C498" s="4"/>
      <c r="D498" s="4"/>
      <c r="E498" s="4"/>
      <c r="I498" s="135"/>
      <c r="J498" s="135"/>
      <c r="K498" s="135"/>
      <c r="L498" s="135"/>
    </row>
    <row r="499" spans="2:12" ht="12" customHeight="1" x14ac:dyDescent="0.15">
      <c r="B499" s="2"/>
      <c r="C499" s="4"/>
      <c r="D499" s="4"/>
      <c r="E499" s="4"/>
      <c r="I499" s="135"/>
      <c r="J499" s="135"/>
      <c r="K499" s="135"/>
      <c r="L499" s="135"/>
    </row>
    <row r="500" spans="2:12" ht="12" customHeight="1" x14ac:dyDescent="0.15">
      <c r="B500" s="2"/>
      <c r="C500" s="4"/>
      <c r="D500" s="4"/>
      <c r="E500" s="4"/>
      <c r="I500" s="135"/>
      <c r="J500" s="135"/>
      <c r="K500" s="135"/>
      <c r="L500" s="135"/>
    </row>
    <row r="501" spans="2:12" ht="12" customHeight="1" x14ac:dyDescent="0.15">
      <c r="B501" s="2"/>
      <c r="C501" s="4"/>
      <c r="D501" s="4"/>
      <c r="E501" s="4"/>
      <c r="I501" s="135"/>
      <c r="J501" s="135"/>
      <c r="K501" s="135"/>
      <c r="L501" s="135"/>
    </row>
    <row r="502" spans="2:12" ht="12" customHeight="1" x14ac:dyDescent="0.15">
      <c r="B502" s="2"/>
      <c r="C502" s="4"/>
      <c r="D502" s="4"/>
      <c r="E502" s="4"/>
      <c r="I502" s="135"/>
      <c r="J502" s="135"/>
      <c r="K502" s="135"/>
      <c r="L502" s="135"/>
    </row>
    <row r="503" spans="2:12" ht="12" customHeight="1" x14ac:dyDescent="0.15">
      <c r="B503" s="2"/>
      <c r="C503" s="4"/>
      <c r="D503" s="4"/>
      <c r="E503" s="4"/>
      <c r="I503" s="135"/>
      <c r="J503" s="135"/>
      <c r="K503" s="135"/>
      <c r="L503" s="135"/>
    </row>
    <row r="504" spans="2:12" ht="12" customHeight="1" x14ac:dyDescent="0.15">
      <c r="B504" s="2"/>
      <c r="C504" s="4"/>
      <c r="D504" s="4"/>
      <c r="E504" s="4"/>
      <c r="I504" s="135"/>
      <c r="J504" s="135"/>
      <c r="K504" s="135"/>
      <c r="L504" s="135"/>
    </row>
    <row r="505" spans="2:12" ht="12" customHeight="1" x14ac:dyDescent="0.15">
      <c r="B505" s="2"/>
      <c r="C505" s="4"/>
      <c r="D505" s="4"/>
      <c r="E505" s="4"/>
      <c r="I505" s="135"/>
      <c r="J505" s="135"/>
      <c r="K505" s="135"/>
      <c r="L505" s="135"/>
    </row>
    <row r="506" spans="2:12" ht="12" customHeight="1" x14ac:dyDescent="0.15">
      <c r="B506" s="2"/>
      <c r="C506" s="4"/>
      <c r="D506" s="4"/>
      <c r="E506" s="4"/>
      <c r="I506" s="135"/>
      <c r="J506" s="135"/>
      <c r="K506" s="135"/>
      <c r="L506" s="135"/>
    </row>
    <row r="507" spans="2:12" ht="12" customHeight="1" x14ac:dyDescent="0.15">
      <c r="B507" s="2"/>
      <c r="C507" s="4"/>
      <c r="D507" s="4"/>
      <c r="E507" s="4"/>
      <c r="I507" s="135"/>
      <c r="J507" s="135"/>
      <c r="K507" s="135"/>
      <c r="L507" s="135"/>
    </row>
    <row r="508" spans="2:12" ht="12" customHeight="1" x14ac:dyDescent="0.15">
      <c r="B508" s="2"/>
      <c r="C508" s="4"/>
      <c r="D508" s="4"/>
      <c r="E508" s="4"/>
      <c r="I508" s="135"/>
      <c r="J508" s="135"/>
      <c r="K508" s="135"/>
      <c r="L508" s="135"/>
    </row>
    <row r="509" spans="2:12" ht="12" customHeight="1" x14ac:dyDescent="0.15">
      <c r="B509" s="2"/>
      <c r="C509" s="4"/>
      <c r="D509" s="4"/>
      <c r="E509" s="4"/>
      <c r="I509" s="135"/>
      <c r="J509" s="135"/>
      <c r="K509" s="135"/>
      <c r="L509" s="135"/>
    </row>
    <row r="510" spans="2:12" ht="12" customHeight="1" x14ac:dyDescent="0.15">
      <c r="B510" s="2"/>
      <c r="C510" s="4"/>
      <c r="D510" s="4"/>
      <c r="E510" s="4"/>
      <c r="I510" s="135"/>
      <c r="J510" s="135"/>
      <c r="K510" s="135"/>
      <c r="L510" s="135"/>
    </row>
    <row r="511" spans="2:12" ht="12" customHeight="1" x14ac:dyDescent="0.15">
      <c r="B511" s="2"/>
      <c r="C511" s="4"/>
      <c r="D511" s="4"/>
      <c r="E511" s="4"/>
      <c r="I511" s="135"/>
      <c r="J511" s="135"/>
      <c r="K511" s="135"/>
      <c r="L511" s="135"/>
    </row>
    <row r="512" spans="2:12" ht="12" customHeight="1" x14ac:dyDescent="0.15">
      <c r="B512" s="2"/>
      <c r="C512" s="4"/>
      <c r="D512" s="4"/>
      <c r="E512" s="4"/>
      <c r="I512" s="135"/>
      <c r="J512" s="135"/>
      <c r="K512" s="135"/>
      <c r="L512" s="135"/>
    </row>
    <row r="513" spans="2:12" ht="12" customHeight="1" x14ac:dyDescent="0.15">
      <c r="B513" s="2"/>
      <c r="C513" s="4"/>
      <c r="D513" s="4"/>
      <c r="E513" s="4"/>
      <c r="I513" s="135"/>
      <c r="J513" s="135"/>
      <c r="K513" s="135"/>
      <c r="L513" s="135"/>
    </row>
    <row r="514" spans="2:12" ht="12" customHeight="1" x14ac:dyDescent="0.15">
      <c r="B514" s="2"/>
      <c r="C514" s="4"/>
      <c r="D514" s="4"/>
      <c r="E514" s="4"/>
      <c r="I514" s="135"/>
      <c r="J514" s="135"/>
      <c r="K514" s="135"/>
      <c r="L514" s="135"/>
    </row>
    <row r="515" spans="2:12" ht="12" customHeight="1" x14ac:dyDescent="0.15">
      <c r="B515" s="2"/>
      <c r="C515" s="4"/>
      <c r="D515" s="4"/>
      <c r="E515" s="4"/>
      <c r="I515" s="135"/>
      <c r="J515" s="135"/>
      <c r="K515" s="135"/>
      <c r="L515" s="135"/>
    </row>
    <row r="516" spans="2:12" ht="12" customHeight="1" x14ac:dyDescent="0.15">
      <c r="B516" s="2"/>
      <c r="C516" s="4"/>
      <c r="D516" s="4"/>
      <c r="E516" s="4"/>
      <c r="I516" s="135"/>
      <c r="J516" s="135"/>
      <c r="K516" s="135"/>
      <c r="L516" s="135"/>
    </row>
    <row r="517" spans="2:12" ht="12" customHeight="1" x14ac:dyDescent="0.15">
      <c r="B517" s="2"/>
      <c r="C517" s="4"/>
      <c r="D517" s="4"/>
      <c r="E517" s="4"/>
      <c r="I517" s="135"/>
      <c r="J517" s="135"/>
      <c r="K517" s="135"/>
      <c r="L517" s="135"/>
    </row>
    <row r="518" spans="2:12" ht="12" customHeight="1" x14ac:dyDescent="0.15">
      <c r="B518" s="2"/>
      <c r="C518" s="4"/>
      <c r="D518" s="4"/>
      <c r="E518" s="4"/>
      <c r="I518" s="135"/>
      <c r="J518" s="135"/>
      <c r="K518" s="135"/>
      <c r="L518" s="135"/>
    </row>
    <row r="519" spans="2:12" ht="12" customHeight="1" x14ac:dyDescent="0.15">
      <c r="B519" s="2"/>
      <c r="C519" s="4"/>
      <c r="D519" s="4"/>
      <c r="E519" s="4"/>
      <c r="I519" s="135"/>
      <c r="J519" s="135"/>
      <c r="K519" s="135"/>
      <c r="L519" s="135"/>
    </row>
    <row r="520" spans="2:12" ht="12" customHeight="1" x14ac:dyDescent="0.15">
      <c r="B520" s="2"/>
      <c r="C520" s="4"/>
      <c r="D520" s="4"/>
      <c r="E520" s="4"/>
      <c r="I520" s="135"/>
      <c r="J520" s="135"/>
      <c r="K520" s="135"/>
      <c r="L520" s="135"/>
    </row>
    <row r="521" spans="2:12" ht="12" customHeight="1" x14ac:dyDescent="0.15">
      <c r="B521" s="2"/>
      <c r="C521" s="4"/>
      <c r="D521" s="4"/>
      <c r="E521" s="4"/>
      <c r="I521" s="135"/>
      <c r="J521" s="135"/>
      <c r="K521" s="135"/>
      <c r="L521" s="135"/>
    </row>
    <row r="522" spans="2:12" ht="12" customHeight="1" x14ac:dyDescent="0.15">
      <c r="B522" s="2"/>
      <c r="C522" s="4"/>
      <c r="D522" s="4"/>
      <c r="E522" s="4"/>
      <c r="I522" s="135"/>
      <c r="J522" s="135"/>
      <c r="K522" s="135"/>
      <c r="L522" s="135"/>
    </row>
    <row r="523" spans="2:12" ht="12" customHeight="1" x14ac:dyDescent="0.15">
      <c r="B523" s="2"/>
      <c r="C523" s="4"/>
      <c r="D523" s="4"/>
      <c r="E523" s="4"/>
      <c r="I523" s="135"/>
      <c r="J523" s="135"/>
      <c r="K523" s="135"/>
      <c r="L523" s="135"/>
    </row>
    <row r="524" spans="2:12" ht="12" customHeight="1" x14ac:dyDescent="0.15">
      <c r="B524" s="2"/>
      <c r="C524" s="4"/>
      <c r="D524" s="4"/>
      <c r="E524" s="4"/>
      <c r="I524" s="135"/>
      <c r="J524" s="135"/>
      <c r="K524" s="135"/>
      <c r="L524" s="135"/>
    </row>
    <row r="525" spans="2:12" ht="12" customHeight="1" x14ac:dyDescent="0.15">
      <c r="B525" s="2"/>
      <c r="C525" s="4"/>
      <c r="D525" s="4"/>
      <c r="E525" s="4"/>
      <c r="I525" s="135"/>
      <c r="J525" s="135"/>
      <c r="K525" s="135"/>
      <c r="L525" s="135"/>
    </row>
    <row r="526" spans="2:12" ht="12" customHeight="1" x14ac:dyDescent="0.15">
      <c r="B526" s="2"/>
      <c r="C526" s="4"/>
      <c r="D526" s="4"/>
      <c r="E526" s="4"/>
      <c r="I526" s="135"/>
      <c r="J526" s="135"/>
      <c r="K526" s="135"/>
      <c r="L526" s="135"/>
    </row>
    <row r="527" spans="2:12" ht="12" customHeight="1" x14ac:dyDescent="0.15">
      <c r="B527" s="2"/>
      <c r="C527" s="4"/>
      <c r="D527" s="4"/>
      <c r="E527" s="4"/>
      <c r="I527" s="135"/>
      <c r="J527" s="135"/>
      <c r="K527" s="135"/>
      <c r="L527" s="135"/>
    </row>
    <row r="528" spans="2:12" ht="12" customHeight="1" x14ac:dyDescent="0.15">
      <c r="B528" s="2"/>
      <c r="C528" s="4"/>
      <c r="D528" s="4"/>
      <c r="E528" s="4"/>
      <c r="I528" s="135"/>
      <c r="J528" s="135"/>
      <c r="K528" s="135"/>
      <c r="L528" s="135"/>
    </row>
    <row r="529" spans="2:12" ht="12" customHeight="1" x14ac:dyDescent="0.15">
      <c r="B529" s="2"/>
      <c r="C529" s="4"/>
      <c r="D529" s="4"/>
      <c r="E529" s="4"/>
      <c r="I529" s="135"/>
      <c r="J529" s="135"/>
      <c r="K529" s="135"/>
      <c r="L529" s="135"/>
    </row>
    <row r="530" spans="2:12" ht="12" customHeight="1" x14ac:dyDescent="0.15">
      <c r="B530" s="2"/>
      <c r="C530" s="4"/>
      <c r="D530" s="4"/>
      <c r="E530" s="4"/>
      <c r="I530" s="135"/>
      <c r="J530" s="135"/>
      <c r="K530" s="135"/>
      <c r="L530" s="135"/>
    </row>
    <row r="531" spans="2:12" ht="12" customHeight="1" x14ac:dyDescent="0.15">
      <c r="B531" s="2"/>
      <c r="C531" s="4"/>
      <c r="D531" s="4"/>
      <c r="E531" s="4"/>
      <c r="I531" s="135"/>
      <c r="J531" s="135"/>
      <c r="K531" s="135"/>
      <c r="L531" s="135"/>
    </row>
    <row r="532" spans="2:12" ht="12" customHeight="1" x14ac:dyDescent="0.15">
      <c r="B532" s="2"/>
      <c r="C532" s="4"/>
      <c r="D532" s="4"/>
      <c r="E532" s="4"/>
      <c r="I532" s="135"/>
      <c r="J532" s="135"/>
      <c r="K532" s="135"/>
      <c r="L532" s="135"/>
    </row>
    <row r="533" spans="2:12" ht="12" customHeight="1" x14ac:dyDescent="0.15">
      <c r="B533" s="2"/>
      <c r="C533" s="4"/>
      <c r="D533" s="4"/>
      <c r="E533" s="4"/>
      <c r="I533" s="135"/>
      <c r="J533" s="135"/>
      <c r="K533" s="135"/>
      <c r="L533" s="135"/>
    </row>
    <row r="534" spans="2:12" ht="12" customHeight="1" x14ac:dyDescent="0.15">
      <c r="B534" s="2"/>
      <c r="C534" s="4"/>
      <c r="D534" s="4"/>
      <c r="E534" s="4"/>
      <c r="I534" s="135"/>
      <c r="J534" s="135"/>
      <c r="K534" s="135"/>
      <c r="L534" s="135"/>
    </row>
    <row r="535" spans="2:12" ht="12" customHeight="1" x14ac:dyDescent="0.15">
      <c r="B535" s="2"/>
      <c r="C535" s="4"/>
      <c r="D535" s="4"/>
      <c r="E535" s="4"/>
      <c r="I535" s="135"/>
      <c r="J535" s="135"/>
      <c r="K535" s="135"/>
      <c r="L535" s="135"/>
    </row>
    <row r="536" spans="2:12" ht="12" customHeight="1" x14ac:dyDescent="0.15">
      <c r="B536" s="2"/>
      <c r="C536" s="4"/>
      <c r="D536" s="4"/>
      <c r="E536" s="4"/>
      <c r="I536" s="135"/>
      <c r="J536" s="135"/>
      <c r="K536" s="135"/>
      <c r="L536" s="135"/>
    </row>
    <row r="537" spans="2:12" ht="12" customHeight="1" x14ac:dyDescent="0.15">
      <c r="B537" s="2"/>
      <c r="C537" s="4"/>
      <c r="D537" s="4"/>
      <c r="E537" s="4"/>
      <c r="I537" s="135"/>
      <c r="J537" s="135"/>
      <c r="K537" s="135"/>
      <c r="L537" s="135"/>
    </row>
    <row r="538" spans="2:12" ht="12" customHeight="1" x14ac:dyDescent="0.15">
      <c r="B538" s="2"/>
      <c r="C538" s="4"/>
      <c r="D538" s="4"/>
      <c r="E538" s="4"/>
      <c r="I538" s="135"/>
      <c r="J538" s="135"/>
      <c r="K538" s="135"/>
      <c r="L538" s="135"/>
    </row>
    <row r="539" spans="2:12" ht="12" customHeight="1" x14ac:dyDescent="0.15">
      <c r="B539" s="2"/>
      <c r="C539" s="4"/>
      <c r="D539" s="4"/>
      <c r="E539" s="4"/>
      <c r="I539" s="135"/>
      <c r="J539" s="135"/>
      <c r="K539" s="135"/>
      <c r="L539" s="135"/>
    </row>
    <row r="540" spans="2:12" ht="12" customHeight="1" x14ac:dyDescent="0.15">
      <c r="B540" s="2"/>
      <c r="C540" s="4"/>
      <c r="D540" s="4"/>
      <c r="E540" s="4"/>
      <c r="I540" s="135"/>
      <c r="J540" s="135"/>
      <c r="K540" s="135"/>
      <c r="L540" s="135"/>
    </row>
    <row r="541" spans="2:12" ht="12" customHeight="1" x14ac:dyDescent="0.15">
      <c r="B541" s="2"/>
      <c r="C541" s="4"/>
      <c r="D541" s="4"/>
      <c r="E541" s="4"/>
      <c r="I541" s="135"/>
      <c r="J541" s="135"/>
      <c r="K541" s="135"/>
      <c r="L541" s="135"/>
    </row>
    <row r="542" spans="2:12" ht="12" customHeight="1" x14ac:dyDescent="0.15">
      <c r="B542" s="2"/>
      <c r="C542" s="4"/>
      <c r="D542" s="4"/>
      <c r="E542" s="4"/>
      <c r="I542" s="135"/>
      <c r="J542" s="135"/>
      <c r="K542" s="135"/>
      <c r="L542" s="135"/>
    </row>
    <row r="543" spans="2:12" ht="12" customHeight="1" x14ac:dyDescent="0.15">
      <c r="B543" s="2"/>
      <c r="C543" s="4"/>
      <c r="D543" s="4"/>
      <c r="E543" s="4"/>
      <c r="I543" s="135"/>
      <c r="J543" s="135"/>
      <c r="K543" s="135"/>
      <c r="L543" s="135"/>
    </row>
    <row r="544" spans="2:12" ht="12" customHeight="1" x14ac:dyDescent="0.15">
      <c r="B544" s="2"/>
      <c r="C544" s="4"/>
      <c r="D544" s="4"/>
      <c r="E544" s="4"/>
      <c r="I544" s="135"/>
      <c r="J544" s="135"/>
      <c r="K544" s="135"/>
      <c r="L544" s="135"/>
    </row>
    <row r="545" spans="2:12" ht="12" customHeight="1" x14ac:dyDescent="0.15">
      <c r="B545" s="2"/>
      <c r="C545" s="4"/>
      <c r="D545" s="4"/>
      <c r="E545" s="4"/>
      <c r="I545" s="135"/>
      <c r="J545" s="135"/>
      <c r="K545" s="135"/>
      <c r="L545" s="135"/>
    </row>
    <row r="546" spans="2:12" ht="12" customHeight="1" x14ac:dyDescent="0.15">
      <c r="B546" s="2"/>
      <c r="C546" s="4"/>
      <c r="D546" s="4"/>
      <c r="E546" s="4"/>
      <c r="I546" s="135"/>
      <c r="J546" s="135"/>
      <c r="K546" s="135"/>
      <c r="L546" s="135"/>
    </row>
    <row r="547" spans="2:12" ht="12" customHeight="1" x14ac:dyDescent="0.15">
      <c r="B547" s="2"/>
      <c r="C547" s="4"/>
      <c r="D547" s="4"/>
      <c r="E547" s="4"/>
      <c r="I547" s="135"/>
      <c r="J547" s="135"/>
      <c r="K547" s="135"/>
      <c r="L547" s="135"/>
    </row>
    <row r="548" spans="2:12" ht="12" customHeight="1" x14ac:dyDescent="0.15">
      <c r="B548" s="2"/>
      <c r="C548" s="4"/>
      <c r="D548" s="4"/>
      <c r="E548" s="4"/>
      <c r="I548" s="135"/>
      <c r="J548" s="135"/>
      <c r="K548" s="135"/>
      <c r="L548" s="135"/>
    </row>
    <row r="549" spans="2:12" ht="12" customHeight="1" x14ac:dyDescent="0.15">
      <c r="B549" s="2"/>
      <c r="C549" s="4"/>
      <c r="D549" s="4"/>
      <c r="E549" s="4"/>
      <c r="I549" s="135"/>
      <c r="J549" s="135"/>
      <c r="K549" s="135"/>
      <c r="L549" s="135"/>
    </row>
    <row r="550" spans="2:12" ht="12" customHeight="1" x14ac:dyDescent="0.15">
      <c r="B550" s="2"/>
      <c r="C550" s="4"/>
      <c r="D550" s="4"/>
      <c r="E550" s="4"/>
      <c r="I550" s="135"/>
      <c r="J550" s="135"/>
      <c r="K550" s="135"/>
      <c r="L550" s="135"/>
    </row>
    <row r="551" spans="2:12" ht="12" customHeight="1" x14ac:dyDescent="0.15">
      <c r="B551" s="2"/>
      <c r="C551" s="4"/>
      <c r="D551" s="4"/>
      <c r="E551" s="4"/>
      <c r="I551" s="135"/>
      <c r="J551" s="135"/>
      <c r="K551" s="135"/>
      <c r="L551" s="135"/>
    </row>
    <row r="552" spans="2:12" ht="12" customHeight="1" x14ac:dyDescent="0.15">
      <c r="B552" s="2"/>
      <c r="C552" s="4"/>
      <c r="D552" s="4"/>
      <c r="E552" s="4"/>
      <c r="I552" s="135"/>
      <c r="J552" s="135"/>
      <c r="K552" s="135"/>
      <c r="L552" s="135"/>
    </row>
    <row r="553" spans="2:12" ht="12" customHeight="1" x14ac:dyDescent="0.15">
      <c r="B553" s="2"/>
      <c r="C553" s="4"/>
      <c r="D553" s="4"/>
      <c r="E553" s="4"/>
      <c r="I553" s="135"/>
      <c r="J553" s="135"/>
      <c r="K553" s="135"/>
      <c r="L553" s="135"/>
    </row>
    <row r="554" spans="2:12" ht="12" customHeight="1" x14ac:dyDescent="0.15">
      <c r="B554" s="2"/>
      <c r="C554" s="4"/>
      <c r="D554" s="4"/>
      <c r="E554" s="4"/>
      <c r="I554" s="135"/>
      <c r="J554" s="135"/>
      <c r="K554" s="135"/>
      <c r="L554" s="135"/>
    </row>
    <row r="555" spans="2:12" ht="12" customHeight="1" x14ac:dyDescent="0.15">
      <c r="B555" s="2"/>
      <c r="C555" s="4"/>
      <c r="D555" s="4"/>
      <c r="E555" s="4"/>
      <c r="I555" s="135"/>
      <c r="J555" s="135"/>
      <c r="K555" s="135"/>
      <c r="L555" s="135"/>
    </row>
    <row r="556" spans="2:12" ht="12" customHeight="1" x14ac:dyDescent="0.15">
      <c r="B556" s="2"/>
      <c r="C556" s="4"/>
      <c r="D556" s="4"/>
      <c r="E556" s="4"/>
      <c r="I556" s="135"/>
      <c r="J556" s="135"/>
      <c r="K556" s="135"/>
      <c r="L556" s="135"/>
    </row>
    <row r="557" spans="2:12" ht="12" customHeight="1" x14ac:dyDescent="0.15">
      <c r="B557" s="2"/>
      <c r="C557" s="4"/>
      <c r="D557" s="4"/>
      <c r="E557" s="4"/>
      <c r="I557" s="135"/>
      <c r="J557" s="135"/>
      <c r="K557" s="135"/>
      <c r="L557" s="135"/>
    </row>
    <row r="558" spans="2:12" ht="12" customHeight="1" x14ac:dyDescent="0.15">
      <c r="B558" s="2"/>
      <c r="C558" s="4"/>
      <c r="D558" s="4"/>
      <c r="E558" s="4"/>
      <c r="I558" s="135"/>
      <c r="J558" s="135"/>
      <c r="K558" s="135"/>
      <c r="L558" s="135"/>
    </row>
    <row r="559" spans="2:12" ht="12" customHeight="1" x14ac:dyDescent="0.15">
      <c r="B559" s="2"/>
      <c r="C559" s="4"/>
      <c r="D559" s="4"/>
      <c r="E559" s="4"/>
      <c r="I559" s="135"/>
      <c r="J559" s="135"/>
      <c r="K559" s="135"/>
      <c r="L559" s="135"/>
    </row>
    <row r="560" spans="2:12" ht="12" customHeight="1" x14ac:dyDescent="0.15">
      <c r="B560" s="2"/>
      <c r="C560" s="4"/>
      <c r="D560" s="4"/>
      <c r="E560" s="4"/>
      <c r="I560" s="135"/>
      <c r="J560" s="135"/>
      <c r="K560" s="135"/>
      <c r="L560" s="135"/>
    </row>
    <row r="561" spans="2:12" ht="12" customHeight="1" x14ac:dyDescent="0.15">
      <c r="B561" s="2"/>
      <c r="C561" s="4"/>
      <c r="D561" s="4"/>
      <c r="E561" s="4"/>
      <c r="I561" s="135"/>
      <c r="J561" s="135"/>
      <c r="K561" s="135"/>
      <c r="L561" s="135"/>
    </row>
    <row r="562" spans="2:12" ht="12" customHeight="1" x14ac:dyDescent="0.15">
      <c r="B562" s="2"/>
      <c r="C562" s="4"/>
      <c r="D562" s="4"/>
      <c r="E562" s="4"/>
      <c r="I562" s="135"/>
      <c r="J562" s="135"/>
      <c r="K562" s="135"/>
      <c r="L562" s="135"/>
    </row>
    <row r="563" spans="2:12" ht="12" customHeight="1" x14ac:dyDescent="0.15">
      <c r="B563" s="2"/>
      <c r="C563" s="4"/>
      <c r="D563" s="4"/>
      <c r="E563" s="4"/>
      <c r="I563" s="135"/>
      <c r="J563" s="135"/>
      <c r="K563" s="135"/>
      <c r="L563" s="135"/>
    </row>
    <row r="564" spans="2:12" ht="12" customHeight="1" x14ac:dyDescent="0.15">
      <c r="B564" s="2"/>
      <c r="C564" s="4"/>
      <c r="D564" s="4"/>
      <c r="E564" s="4"/>
      <c r="I564" s="135"/>
      <c r="J564" s="135"/>
      <c r="K564" s="135"/>
      <c r="L564" s="135"/>
    </row>
    <row r="565" spans="2:12" ht="12" customHeight="1" x14ac:dyDescent="0.15">
      <c r="B565" s="2"/>
      <c r="C565" s="4"/>
      <c r="D565" s="4"/>
      <c r="E565" s="4"/>
      <c r="I565" s="135"/>
      <c r="J565" s="135"/>
      <c r="K565" s="135"/>
      <c r="L565" s="135"/>
    </row>
    <row r="566" spans="2:12" ht="12" customHeight="1" x14ac:dyDescent="0.15">
      <c r="B566" s="2"/>
      <c r="C566" s="4"/>
      <c r="D566" s="4"/>
      <c r="E566" s="4"/>
      <c r="I566" s="135"/>
      <c r="J566" s="135"/>
      <c r="K566" s="135"/>
      <c r="L566" s="135"/>
    </row>
    <row r="567" spans="2:12" ht="12" customHeight="1" x14ac:dyDescent="0.15">
      <c r="B567" s="2"/>
      <c r="C567" s="4"/>
      <c r="D567" s="4"/>
      <c r="E567" s="4"/>
      <c r="I567" s="135"/>
      <c r="J567" s="135"/>
      <c r="K567" s="135"/>
      <c r="L567" s="135"/>
    </row>
    <row r="568" spans="2:12" ht="12" customHeight="1" x14ac:dyDescent="0.15">
      <c r="B568" s="2"/>
      <c r="C568" s="4"/>
      <c r="D568" s="4"/>
      <c r="E568" s="4"/>
      <c r="I568" s="135"/>
      <c r="J568" s="135"/>
      <c r="K568" s="135"/>
      <c r="L568" s="135"/>
    </row>
    <row r="569" spans="2:12" ht="12" customHeight="1" x14ac:dyDescent="0.15">
      <c r="B569" s="2"/>
      <c r="C569" s="4"/>
      <c r="D569" s="4"/>
      <c r="E569" s="4"/>
      <c r="I569" s="135"/>
      <c r="J569" s="135"/>
      <c r="K569" s="135"/>
      <c r="L569" s="135"/>
    </row>
    <row r="570" spans="2:12" ht="12" customHeight="1" x14ac:dyDescent="0.15">
      <c r="B570" s="2"/>
      <c r="C570" s="4"/>
      <c r="D570" s="4"/>
      <c r="E570" s="4"/>
      <c r="I570" s="135"/>
      <c r="J570" s="135"/>
      <c r="K570" s="135"/>
      <c r="L570" s="135"/>
    </row>
    <row r="571" spans="2:12" ht="12" customHeight="1" x14ac:dyDescent="0.15">
      <c r="B571" s="2"/>
      <c r="C571" s="4"/>
      <c r="D571" s="4"/>
      <c r="E571" s="4"/>
      <c r="I571" s="135"/>
      <c r="J571" s="135"/>
      <c r="K571" s="135"/>
      <c r="L571" s="135"/>
    </row>
    <row r="572" spans="2:12" ht="12" customHeight="1" x14ac:dyDescent="0.15">
      <c r="B572" s="2"/>
      <c r="C572" s="4"/>
      <c r="D572" s="4"/>
      <c r="E572" s="4"/>
      <c r="I572" s="135"/>
      <c r="J572" s="135"/>
      <c r="K572" s="135"/>
      <c r="L572" s="135"/>
    </row>
    <row r="573" spans="2:12" ht="12" customHeight="1" x14ac:dyDescent="0.15">
      <c r="B573" s="2"/>
      <c r="C573" s="4"/>
      <c r="D573" s="4"/>
      <c r="E573" s="4"/>
      <c r="I573" s="135"/>
      <c r="J573" s="135"/>
      <c r="K573" s="135"/>
      <c r="L573" s="135"/>
    </row>
    <row r="574" spans="2:12" ht="12" customHeight="1" x14ac:dyDescent="0.15">
      <c r="B574" s="2"/>
      <c r="C574" s="4"/>
      <c r="D574" s="4"/>
      <c r="E574" s="4"/>
      <c r="I574" s="135"/>
      <c r="J574" s="135"/>
      <c r="K574" s="135"/>
      <c r="L574" s="135"/>
    </row>
    <row r="575" spans="2:12" ht="12" customHeight="1" x14ac:dyDescent="0.15">
      <c r="B575" s="2"/>
      <c r="C575" s="4"/>
      <c r="D575" s="4"/>
      <c r="E575" s="4"/>
      <c r="I575" s="135"/>
      <c r="J575" s="135"/>
      <c r="K575" s="135"/>
      <c r="L575" s="135"/>
    </row>
    <row r="576" spans="2:12" ht="12" customHeight="1" x14ac:dyDescent="0.15">
      <c r="B576" s="2"/>
      <c r="C576" s="4"/>
      <c r="D576" s="4"/>
      <c r="E576" s="4"/>
      <c r="I576" s="135"/>
      <c r="J576" s="135"/>
      <c r="K576" s="135"/>
      <c r="L576" s="135"/>
    </row>
    <row r="577" spans="2:12" ht="12" customHeight="1" x14ac:dyDescent="0.15">
      <c r="B577" s="2"/>
      <c r="C577" s="4"/>
      <c r="D577" s="4"/>
      <c r="E577" s="4"/>
      <c r="I577" s="135"/>
      <c r="J577" s="135"/>
      <c r="K577" s="135"/>
      <c r="L577" s="135"/>
    </row>
    <row r="578" spans="2:12" ht="12" customHeight="1" x14ac:dyDescent="0.15">
      <c r="B578" s="2"/>
      <c r="C578" s="4"/>
      <c r="D578" s="4"/>
      <c r="E578" s="4"/>
      <c r="I578" s="135"/>
      <c r="J578" s="135"/>
      <c r="K578" s="135"/>
      <c r="L578" s="135"/>
    </row>
    <row r="579" spans="2:12" ht="12" customHeight="1" x14ac:dyDescent="0.15">
      <c r="B579" s="2"/>
      <c r="C579" s="4"/>
      <c r="D579" s="4"/>
      <c r="E579" s="4"/>
      <c r="I579" s="135"/>
      <c r="J579" s="135"/>
      <c r="K579" s="135"/>
      <c r="L579" s="135"/>
    </row>
    <row r="580" spans="2:12" ht="12" customHeight="1" x14ac:dyDescent="0.15">
      <c r="B580" s="2"/>
      <c r="C580" s="4"/>
      <c r="D580" s="4"/>
      <c r="E580" s="4"/>
      <c r="I580" s="135"/>
      <c r="J580" s="135"/>
      <c r="K580" s="135"/>
      <c r="L580" s="135"/>
    </row>
    <row r="581" spans="2:12" ht="12" customHeight="1" x14ac:dyDescent="0.15">
      <c r="B581" s="2"/>
      <c r="C581" s="4"/>
      <c r="D581" s="4"/>
      <c r="E581" s="4"/>
      <c r="I581" s="135"/>
      <c r="J581" s="135"/>
      <c r="K581" s="135"/>
      <c r="L581" s="135"/>
    </row>
    <row r="582" spans="2:12" ht="12" customHeight="1" x14ac:dyDescent="0.15">
      <c r="B582" s="2"/>
      <c r="C582" s="4"/>
      <c r="D582" s="4"/>
      <c r="E582" s="4"/>
      <c r="I582" s="135"/>
      <c r="J582" s="135"/>
      <c r="K582" s="135"/>
      <c r="L582" s="135"/>
    </row>
    <row r="583" spans="2:12" ht="12" customHeight="1" x14ac:dyDescent="0.15">
      <c r="B583" s="2"/>
      <c r="C583" s="4"/>
      <c r="D583" s="4"/>
      <c r="E583" s="4"/>
      <c r="I583" s="135"/>
      <c r="J583" s="135"/>
      <c r="K583" s="135"/>
      <c r="L583" s="135"/>
    </row>
    <row r="584" spans="2:12" ht="12" customHeight="1" x14ac:dyDescent="0.15">
      <c r="B584" s="2"/>
      <c r="C584" s="4"/>
      <c r="D584" s="4"/>
      <c r="E584" s="4"/>
      <c r="I584" s="135"/>
      <c r="J584" s="135"/>
      <c r="K584" s="135"/>
      <c r="L584" s="135"/>
    </row>
    <row r="585" spans="2:12" ht="12" customHeight="1" x14ac:dyDescent="0.15">
      <c r="B585" s="2"/>
      <c r="C585" s="4"/>
      <c r="D585" s="4"/>
      <c r="E585" s="4"/>
      <c r="I585" s="135"/>
      <c r="J585" s="135"/>
      <c r="K585" s="135"/>
      <c r="L585" s="135"/>
    </row>
    <row r="586" spans="2:12" ht="12" customHeight="1" x14ac:dyDescent="0.15">
      <c r="B586" s="2"/>
      <c r="C586" s="4"/>
      <c r="D586" s="4"/>
      <c r="E586" s="4"/>
      <c r="I586" s="135"/>
      <c r="J586" s="135"/>
      <c r="K586" s="135"/>
      <c r="L586" s="135"/>
    </row>
    <row r="587" spans="2:12" ht="12" customHeight="1" x14ac:dyDescent="0.15">
      <c r="B587" s="2"/>
      <c r="C587" s="4"/>
      <c r="D587" s="4"/>
      <c r="E587" s="4"/>
      <c r="I587" s="135"/>
      <c r="J587" s="135"/>
      <c r="K587" s="135"/>
      <c r="L587" s="135"/>
    </row>
    <row r="588" spans="2:12" ht="12" customHeight="1" x14ac:dyDescent="0.15">
      <c r="B588" s="2"/>
      <c r="C588" s="4"/>
      <c r="D588" s="4"/>
      <c r="E588" s="4"/>
      <c r="I588" s="135"/>
      <c r="J588" s="135"/>
      <c r="K588" s="135"/>
      <c r="L588" s="135"/>
    </row>
    <row r="589" spans="2:12" ht="12" customHeight="1" x14ac:dyDescent="0.15">
      <c r="B589" s="2"/>
      <c r="C589" s="4"/>
      <c r="D589" s="4"/>
      <c r="E589" s="4"/>
      <c r="I589" s="135"/>
      <c r="J589" s="135"/>
      <c r="K589" s="135"/>
      <c r="L589" s="135"/>
    </row>
    <row r="590" spans="2:12" ht="12" customHeight="1" x14ac:dyDescent="0.15">
      <c r="B590" s="2"/>
      <c r="C590" s="4"/>
      <c r="D590" s="4"/>
      <c r="E590" s="4"/>
      <c r="I590" s="135"/>
      <c r="J590" s="135"/>
      <c r="K590" s="135"/>
      <c r="L590" s="135"/>
    </row>
    <row r="591" spans="2:12" ht="12" customHeight="1" x14ac:dyDescent="0.15">
      <c r="B591" s="2"/>
      <c r="C591" s="4"/>
      <c r="D591" s="4"/>
      <c r="E591" s="4"/>
      <c r="I591" s="135"/>
      <c r="J591" s="135"/>
      <c r="K591" s="135"/>
      <c r="L591" s="135"/>
    </row>
    <row r="592" spans="2:12" ht="12" customHeight="1" x14ac:dyDescent="0.15">
      <c r="B592" s="2"/>
      <c r="C592" s="4"/>
      <c r="D592" s="4"/>
      <c r="E592" s="4"/>
      <c r="I592" s="135"/>
      <c r="J592" s="135"/>
      <c r="K592" s="135"/>
      <c r="L592" s="135"/>
    </row>
    <row r="593" spans="2:12" ht="12" customHeight="1" x14ac:dyDescent="0.15">
      <c r="B593" s="2"/>
      <c r="C593" s="4"/>
      <c r="D593" s="4"/>
      <c r="E593" s="4"/>
      <c r="I593" s="135"/>
      <c r="J593" s="135"/>
      <c r="K593" s="135"/>
      <c r="L593" s="135"/>
    </row>
    <row r="594" spans="2:12" ht="12" customHeight="1" x14ac:dyDescent="0.15">
      <c r="B594" s="2"/>
      <c r="C594" s="4"/>
      <c r="D594" s="4"/>
      <c r="E594" s="4"/>
      <c r="I594" s="135"/>
      <c r="J594" s="135"/>
      <c r="K594" s="135"/>
      <c r="L594" s="135"/>
    </row>
    <row r="595" spans="2:12" ht="12" customHeight="1" x14ac:dyDescent="0.15">
      <c r="B595" s="2"/>
      <c r="C595" s="4"/>
      <c r="D595" s="4"/>
      <c r="E595" s="4"/>
      <c r="I595" s="135"/>
      <c r="J595" s="135"/>
      <c r="K595" s="135"/>
      <c r="L595" s="135"/>
    </row>
    <row r="596" spans="2:12" ht="12" customHeight="1" x14ac:dyDescent="0.15">
      <c r="B596" s="2"/>
      <c r="C596" s="4"/>
      <c r="D596" s="4"/>
      <c r="E596" s="4"/>
      <c r="I596" s="135"/>
      <c r="J596" s="135"/>
      <c r="K596" s="135"/>
      <c r="L596" s="135"/>
    </row>
    <row r="597" spans="2:12" ht="12" customHeight="1" x14ac:dyDescent="0.15">
      <c r="B597" s="2"/>
      <c r="C597" s="4"/>
      <c r="D597" s="4"/>
      <c r="E597" s="4"/>
      <c r="I597" s="135"/>
      <c r="J597" s="135"/>
      <c r="K597" s="135"/>
      <c r="L597" s="135"/>
    </row>
    <row r="598" spans="2:12" ht="12" customHeight="1" x14ac:dyDescent="0.15">
      <c r="B598" s="2"/>
      <c r="C598" s="4"/>
      <c r="D598" s="4"/>
      <c r="E598" s="4"/>
      <c r="I598" s="135"/>
      <c r="J598" s="135"/>
      <c r="K598" s="135"/>
      <c r="L598" s="135"/>
    </row>
    <row r="599" spans="2:12" ht="12" customHeight="1" x14ac:dyDescent="0.15">
      <c r="B599" s="2"/>
      <c r="C599" s="4"/>
      <c r="D599" s="4"/>
      <c r="E599" s="4"/>
      <c r="I599" s="135"/>
      <c r="J599" s="135"/>
      <c r="K599" s="135"/>
      <c r="L599" s="135"/>
    </row>
    <row r="600" spans="2:12" ht="12" customHeight="1" x14ac:dyDescent="0.15">
      <c r="B600" s="2"/>
      <c r="C600" s="4"/>
      <c r="D600" s="4"/>
      <c r="E600" s="4"/>
      <c r="I600" s="135"/>
      <c r="J600" s="135"/>
      <c r="K600" s="135"/>
      <c r="L600" s="135"/>
    </row>
    <row r="601" spans="2:12" ht="12" customHeight="1" x14ac:dyDescent="0.15">
      <c r="B601" s="2"/>
      <c r="C601" s="4"/>
      <c r="D601" s="4"/>
      <c r="E601" s="4"/>
      <c r="I601" s="135"/>
      <c r="J601" s="135"/>
      <c r="K601" s="135"/>
      <c r="L601" s="135"/>
    </row>
    <row r="602" spans="2:12" ht="12" customHeight="1" x14ac:dyDescent="0.15">
      <c r="B602" s="2"/>
      <c r="C602" s="4"/>
      <c r="D602" s="4"/>
      <c r="E602" s="4"/>
      <c r="I602" s="135"/>
      <c r="J602" s="135"/>
      <c r="K602" s="135"/>
      <c r="L602" s="135"/>
    </row>
    <row r="603" spans="2:12" ht="12" customHeight="1" x14ac:dyDescent="0.15">
      <c r="B603" s="2"/>
      <c r="C603" s="4"/>
      <c r="D603" s="4"/>
      <c r="E603" s="4"/>
      <c r="I603" s="135"/>
      <c r="J603" s="135"/>
      <c r="K603" s="135"/>
      <c r="L603" s="135"/>
    </row>
    <row r="604" spans="2:12" ht="12" customHeight="1" x14ac:dyDescent="0.15">
      <c r="B604" s="2"/>
      <c r="C604" s="4"/>
      <c r="D604" s="4"/>
      <c r="E604" s="4"/>
      <c r="I604" s="135"/>
      <c r="J604" s="135"/>
      <c r="K604" s="135"/>
      <c r="L604" s="135"/>
    </row>
    <row r="605" spans="2:12" ht="12" customHeight="1" x14ac:dyDescent="0.15">
      <c r="B605" s="2"/>
      <c r="C605" s="4"/>
      <c r="D605" s="4"/>
      <c r="E605" s="4"/>
      <c r="I605" s="135"/>
      <c r="J605" s="135"/>
      <c r="K605" s="135"/>
      <c r="L605" s="135"/>
    </row>
    <row r="606" spans="2:12" ht="12" customHeight="1" x14ac:dyDescent="0.15">
      <c r="B606" s="2"/>
      <c r="C606" s="4"/>
      <c r="D606" s="4"/>
      <c r="E606" s="4"/>
      <c r="I606" s="135"/>
      <c r="J606" s="135"/>
      <c r="K606" s="135"/>
      <c r="L606" s="135"/>
    </row>
    <row r="607" spans="2:12" ht="12" customHeight="1" x14ac:dyDescent="0.15">
      <c r="B607" s="2"/>
      <c r="C607" s="4"/>
      <c r="D607" s="4"/>
      <c r="E607" s="4"/>
      <c r="I607" s="135"/>
      <c r="J607" s="135"/>
      <c r="K607" s="135"/>
      <c r="L607" s="135"/>
    </row>
    <row r="608" spans="2:12" ht="12" customHeight="1" x14ac:dyDescent="0.15">
      <c r="B608" s="2"/>
      <c r="C608" s="4"/>
      <c r="D608" s="4"/>
      <c r="E608" s="4"/>
      <c r="I608" s="135"/>
      <c r="J608" s="135"/>
      <c r="K608" s="135"/>
      <c r="L608" s="135"/>
    </row>
    <row r="609" spans="2:12" ht="12" customHeight="1" x14ac:dyDescent="0.15">
      <c r="B609" s="2"/>
      <c r="C609" s="4"/>
      <c r="D609" s="4"/>
      <c r="E609" s="4"/>
      <c r="I609" s="135"/>
      <c r="J609" s="135"/>
      <c r="K609" s="135"/>
      <c r="L609" s="135"/>
    </row>
    <row r="610" spans="2:12" ht="12" customHeight="1" x14ac:dyDescent="0.15">
      <c r="B610" s="2"/>
      <c r="C610" s="4"/>
      <c r="D610" s="4"/>
      <c r="E610" s="4"/>
      <c r="I610" s="135"/>
      <c r="J610" s="135"/>
      <c r="K610" s="135"/>
      <c r="L610" s="135"/>
    </row>
    <row r="611" spans="2:12" ht="12" customHeight="1" x14ac:dyDescent="0.15">
      <c r="B611" s="2"/>
      <c r="C611" s="4"/>
      <c r="D611" s="4"/>
      <c r="E611" s="4"/>
      <c r="I611" s="135"/>
      <c r="J611" s="135"/>
      <c r="K611" s="135"/>
      <c r="L611" s="135"/>
    </row>
    <row r="612" spans="2:12" ht="12" customHeight="1" x14ac:dyDescent="0.15">
      <c r="B612" s="2"/>
      <c r="C612" s="4"/>
      <c r="D612" s="4"/>
      <c r="E612" s="4"/>
      <c r="I612" s="135"/>
      <c r="J612" s="135"/>
      <c r="K612" s="135"/>
      <c r="L612" s="135"/>
    </row>
    <row r="613" spans="2:12" ht="12" customHeight="1" x14ac:dyDescent="0.15">
      <c r="B613" s="2"/>
      <c r="C613" s="4"/>
      <c r="D613" s="4"/>
      <c r="E613" s="4"/>
      <c r="I613" s="135"/>
      <c r="J613" s="135"/>
      <c r="K613" s="135"/>
      <c r="L613" s="135"/>
    </row>
    <row r="614" spans="2:12" ht="12" customHeight="1" x14ac:dyDescent="0.15">
      <c r="B614" s="2"/>
      <c r="C614" s="4"/>
      <c r="D614" s="4"/>
      <c r="E614" s="4"/>
      <c r="I614" s="135"/>
      <c r="J614" s="135"/>
      <c r="K614" s="135"/>
      <c r="L614" s="135"/>
    </row>
    <row r="615" spans="2:12" ht="12" customHeight="1" x14ac:dyDescent="0.15">
      <c r="B615" s="2"/>
      <c r="C615" s="4"/>
      <c r="D615" s="4"/>
      <c r="E615" s="4"/>
      <c r="I615" s="135"/>
      <c r="J615" s="135"/>
      <c r="K615" s="135"/>
      <c r="L615" s="135"/>
    </row>
    <row r="616" spans="2:12" ht="12" customHeight="1" x14ac:dyDescent="0.15">
      <c r="B616" s="2"/>
      <c r="C616" s="4"/>
      <c r="D616" s="4"/>
      <c r="E616" s="4"/>
      <c r="I616" s="135"/>
      <c r="J616" s="135"/>
      <c r="K616" s="135"/>
      <c r="L616" s="135"/>
    </row>
    <row r="617" spans="2:12" ht="12" customHeight="1" x14ac:dyDescent="0.15">
      <c r="B617" s="2"/>
      <c r="C617" s="4"/>
      <c r="D617" s="4"/>
      <c r="E617" s="4"/>
      <c r="I617" s="135"/>
      <c r="J617" s="135"/>
      <c r="K617" s="135"/>
      <c r="L617" s="135"/>
    </row>
    <row r="618" spans="2:12" ht="12" customHeight="1" x14ac:dyDescent="0.15">
      <c r="B618" s="2"/>
      <c r="C618" s="4"/>
      <c r="D618" s="4"/>
      <c r="E618" s="4"/>
      <c r="I618" s="135"/>
      <c r="J618" s="135"/>
      <c r="K618" s="135"/>
      <c r="L618" s="135"/>
    </row>
    <row r="619" spans="2:12" ht="12" customHeight="1" x14ac:dyDescent="0.15">
      <c r="B619" s="2"/>
      <c r="C619" s="4"/>
      <c r="D619" s="4"/>
      <c r="E619" s="4"/>
      <c r="I619" s="135"/>
      <c r="J619" s="135"/>
      <c r="K619" s="135"/>
      <c r="L619" s="135"/>
    </row>
    <row r="620" spans="2:12" ht="12" customHeight="1" x14ac:dyDescent="0.15">
      <c r="B620" s="2"/>
      <c r="C620" s="4"/>
      <c r="D620" s="4"/>
      <c r="E620" s="4"/>
      <c r="I620" s="135"/>
      <c r="J620" s="135"/>
      <c r="K620" s="135"/>
      <c r="L620" s="135"/>
    </row>
    <row r="621" spans="2:12" ht="12" customHeight="1" x14ac:dyDescent="0.15">
      <c r="B621" s="2"/>
      <c r="C621" s="4"/>
      <c r="D621" s="4"/>
      <c r="E621" s="4"/>
      <c r="I621" s="135"/>
      <c r="J621" s="135"/>
      <c r="K621" s="135"/>
      <c r="L621" s="135"/>
    </row>
    <row r="622" spans="2:12" ht="12" customHeight="1" x14ac:dyDescent="0.15">
      <c r="B622" s="2"/>
      <c r="C622" s="4"/>
      <c r="D622" s="4"/>
      <c r="E622" s="4"/>
      <c r="I622" s="135"/>
      <c r="J622" s="135"/>
      <c r="K622" s="135"/>
      <c r="L622" s="135"/>
    </row>
    <row r="623" spans="2:12" ht="12" customHeight="1" x14ac:dyDescent="0.15">
      <c r="B623" s="2"/>
      <c r="C623" s="4"/>
      <c r="D623" s="4"/>
      <c r="E623" s="4"/>
      <c r="I623" s="135"/>
      <c r="J623" s="135"/>
      <c r="K623" s="135"/>
      <c r="L623" s="135"/>
    </row>
    <row r="624" spans="2:12" ht="12" customHeight="1" x14ac:dyDescent="0.15">
      <c r="B624" s="2"/>
      <c r="C624" s="4"/>
      <c r="D624" s="4"/>
      <c r="E624" s="4"/>
      <c r="I624" s="135"/>
      <c r="J624" s="135"/>
      <c r="K624" s="135"/>
      <c r="L624" s="135"/>
    </row>
    <row r="625" spans="2:12" ht="12" customHeight="1" x14ac:dyDescent="0.15">
      <c r="B625" s="2"/>
      <c r="C625" s="4"/>
      <c r="D625" s="4"/>
      <c r="E625" s="4"/>
      <c r="I625" s="135"/>
      <c r="J625" s="135"/>
      <c r="K625" s="135"/>
      <c r="L625" s="135"/>
    </row>
    <row r="626" spans="2:12" ht="12" customHeight="1" x14ac:dyDescent="0.15">
      <c r="B626" s="2"/>
      <c r="C626" s="4"/>
      <c r="D626" s="4"/>
      <c r="E626" s="4"/>
      <c r="I626" s="135"/>
      <c r="J626" s="135"/>
      <c r="K626" s="135"/>
      <c r="L626" s="135"/>
    </row>
    <row r="627" spans="2:12" ht="12" customHeight="1" x14ac:dyDescent="0.15">
      <c r="B627" s="2"/>
      <c r="C627" s="4"/>
      <c r="D627" s="4"/>
      <c r="E627" s="4"/>
      <c r="I627" s="135"/>
      <c r="J627" s="135"/>
      <c r="K627" s="135"/>
      <c r="L627" s="135"/>
    </row>
    <row r="628" spans="2:12" ht="12" customHeight="1" x14ac:dyDescent="0.15">
      <c r="B628" s="2"/>
      <c r="C628" s="4"/>
      <c r="D628" s="4"/>
      <c r="E628" s="4"/>
      <c r="I628" s="135"/>
      <c r="J628" s="135"/>
      <c r="K628" s="135"/>
      <c r="L628" s="135"/>
    </row>
    <row r="629" spans="2:12" ht="12" customHeight="1" x14ac:dyDescent="0.15">
      <c r="B629" s="2"/>
      <c r="C629" s="4"/>
      <c r="D629" s="4"/>
      <c r="E629" s="4"/>
      <c r="I629" s="135"/>
      <c r="J629" s="135"/>
      <c r="K629" s="135"/>
      <c r="L629" s="135"/>
    </row>
    <row r="630" spans="2:12" ht="12" customHeight="1" x14ac:dyDescent="0.15">
      <c r="B630" s="2"/>
      <c r="C630" s="4"/>
      <c r="D630" s="4"/>
      <c r="E630" s="4"/>
      <c r="I630" s="135"/>
      <c r="J630" s="135"/>
      <c r="K630" s="135"/>
      <c r="L630" s="135"/>
    </row>
    <row r="631" spans="2:12" ht="12" customHeight="1" x14ac:dyDescent="0.15">
      <c r="B631" s="2"/>
      <c r="C631" s="4"/>
      <c r="D631" s="4"/>
      <c r="E631" s="4"/>
      <c r="I631" s="135"/>
      <c r="J631" s="135"/>
      <c r="K631" s="135"/>
      <c r="L631" s="135"/>
    </row>
    <row r="632" spans="2:12" ht="12" customHeight="1" x14ac:dyDescent="0.15">
      <c r="B632" s="2"/>
      <c r="C632" s="4"/>
      <c r="D632" s="4"/>
      <c r="E632" s="4"/>
      <c r="I632" s="135"/>
      <c r="J632" s="135"/>
      <c r="K632" s="135"/>
      <c r="L632" s="135"/>
    </row>
    <row r="633" spans="2:12" ht="12" customHeight="1" x14ac:dyDescent="0.15">
      <c r="B633" s="2"/>
      <c r="C633" s="4"/>
      <c r="D633" s="4"/>
      <c r="E633" s="4"/>
      <c r="I633" s="135"/>
      <c r="J633" s="135"/>
      <c r="K633" s="135"/>
      <c r="L633" s="135"/>
    </row>
    <row r="634" spans="2:12" ht="12" customHeight="1" x14ac:dyDescent="0.15">
      <c r="B634" s="2"/>
      <c r="C634" s="4"/>
      <c r="D634" s="4"/>
      <c r="E634" s="4"/>
      <c r="I634" s="135"/>
      <c r="J634" s="135"/>
      <c r="K634" s="135"/>
      <c r="L634" s="135"/>
    </row>
    <row r="635" spans="2:12" ht="12" customHeight="1" x14ac:dyDescent="0.15">
      <c r="B635" s="2"/>
      <c r="C635" s="4"/>
      <c r="D635" s="4"/>
      <c r="E635" s="4"/>
      <c r="I635" s="135"/>
      <c r="J635" s="135"/>
      <c r="K635" s="135"/>
      <c r="L635" s="135"/>
    </row>
    <row r="636" spans="2:12" ht="12" customHeight="1" x14ac:dyDescent="0.15">
      <c r="B636" s="2"/>
      <c r="C636" s="4"/>
      <c r="D636" s="4"/>
      <c r="E636" s="4"/>
      <c r="I636" s="135"/>
      <c r="J636" s="135"/>
      <c r="K636" s="135"/>
      <c r="L636" s="135"/>
    </row>
    <row r="637" spans="2:12" ht="12" customHeight="1" x14ac:dyDescent="0.15">
      <c r="B637" s="2"/>
      <c r="C637" s="4"/>
      <c r="D637" s="4"/>
      <c r="E637" s="4"/>
      <c r="I637" s="135"/>
      <c r="J637" s="135"/>
      <c r="K637" s="135"/>
      <c r="L637" s="135"/>
    </row>
    <row r="638" spans="2:12" ht="12" customHeight="1" x14ac:dyDescent="0.15">
      <c r="B638" s="2"/>
      <c r="C638" s="4"/>
      <c r="D638" s="4"/>
      <c r="E638" s="4"/>
      <c r="I638" s="135"/>
      <c r="J638" s="135"/>
      <c r="K638" s="135"/>
      <c r="L638" s="135"/>
    </row>
    <row r="639" spans="2:12" ht="12" customHeight="1" x14ac:dyDescent="0.15">
      <c r="B639" s="2"/>
      <c r="C639" s="4"/>
      <c r="D639" s="4"/>
      <c r="E639" s="4"/>
      <c r="I639" s="135"/>
      <c r="J639" s="135"/>
      <c r="K639" s="135"/>
      <c r="L639" s="135"/>
    </row>
    <row r="640" spans="2:12" ht="12" customHeight="1" x14ac:dyDescent="0.15">
      <c r="B640" s="2"/>
      <c r="C640" s="4"/>
      <c r="D640" s="4"/>
      <c r="E640" s="4"/>
      <c r="I640" s="135"/>
      <c r="J640" s="135"/>
      <c r="K640" s="135"/>
      <c r="L640" s="135"/>
    </row>
    <row r="641" spans="2:12" ht="12" customHeight="1" x14ac:dyDescent="0.15">
      <c r="B641" s="2"/>
      <c r="C641" s="4"/>
      <c r="D641" s="4"/>
      <c r="E641" s="4"/>
      <c r="I641" s="135"/>
      <c r="J641" s="135"/>
      <c r="K641" s="135"/>
      <c r="L641" s="135"/>
    </row>
    <row r="642" spans="2:12" ht="12" customHeight="1" x14ac:dyDescent="0.15">
      <c r="B642" s="2"/>
      <c r="C642" s="4"/>
      <c r="D642" s="4"/>
      <c r="E642" s="4"/>
      <c r="I642" s="135"/>
      <c r="J642" s="135"/>
      <c r="K642" s="135"/>
      <c r="L642" s="135"/>
    </row>
    <row r="643" spans="2:12" ht="12" customHeight="1" x14ac:dyDescent="0.15">
      <c r="B643" s="2"/>
      <c r="C643" s="4"/>
      <c r="D643" s="4"/>
      <c r="E643" s="4"/>
      <c r="I643" s="135"/>
      <c r="J643" s="135"/>
      <c r="K643" s="135"/>
      <c r="L643" s="135"/>
    </row>
    <row r="644" spans="2:12" ht="12" customHeight="1" x14ac:dyDescent="0.15">
      <c r="B644" s="2"/>
      <c r="C644" s="4"/>
      <c r="D644" s="4"/>
      <c r="E644" s="4"/>
      <c r="I644" s="135"/>
      <c r="J644" s="135"/>
      <c r="K644" s="135"/>
      <c r="L644" s="135"/>
    </row>
    <row r="645" spans="2:12" ht="12" customHeight="1" x14ac:dyDescent="0.15">
      <c r="B645" s="2"/>
      <c r="C645" s="4"/>
      <c r="D645" s="4"/>
      <c r="E645" s="4"/>
      <c r="I645" s="135"/>
      <c r="J645" s="135"/>
      <c r="K645" s="135"/>
      <c r="L645" s="135"/>
    </row>
    <row r="646" spans="2:12" ht="12" customHeight="1" x14ac:dyDescent="0.15">
      <c r="B646" s="2"/>
      <c r="C646" s="4"/>
      <c r="D646" s="4"/>
      <c r="E646" s="4"/>
      <c r="I646" s="135"/>
      <c r="J646" s="135"/>
      <c r="K646" s="135"/>
      <c r="L646" s="135"/>
    </row>
    <row r="647" spans="2:12" ht="12" customHeight="1" x14ac:dyDescent="0.15">
      <c r="B647" s="2"/>
      <c r="C647" s="4"/>
      <c r="D647" s="4"/>
      <c r="E647" s="4"/>
      <c r="I647" s="135"/>
      <c r="J647" s="135"/>
      <c r="K647" s="135"/>
      <c r="L647" s="135"/>
    </row>
    <row r="648" spans="2:12" ht="12" customHeight="1" x14ac:dyDescent="0.15">
      <c r="B648" s="2"/>
      <c r="C648" s="4"/>
      <c r="D648" s="4"/>
      <c r="E648" s="4"/>
      <c r="I648" s="135"/>
      <c r="J648" s="135"/>
      <c r="K648" s="135"/>
      <c r="L648" s="135"/>
    </row>
    <row r="649" spans="2:12" ht="12" customHeight="1" x14ac:dyDescent="0.15">
      <c r="B649" s="2"/>
      <c r="C649" s="4"/>
      <c r="D649" s="4"/>
      <c r="E649" s="4"/>
      <c r="I649" s="135"/>
      <c r="J649" s="135"/>
      <c r="K649" s="135"/>
      <c r="L649" s="135"/>
    </row>
    <row r="650" spans="2:12" ht="12" customHeight="1" x14ac:dyDescent="0.15">
      <c r="B650" s="2"/>
      <c r="C650" s="4"/>
      <c r="D650" s="4"/>
      <c r="E650" s="4"/>
      <c r="I650" s="135"/>
      <c r="J650" s="135"/>
      <c r="K650" s="135"/>
      <c r="L650" s="135"/>
    </row>
    <row r="651" spans="2:12" ht="12" customHeight="1" x14ac:dyDescent="0.15">
      <c r="B651" s="2"/>
      <c r="C651" s="4"/>
      <c r="D651" s="4"/>
      <c r="E651" s="4"/>
      <c r="I651" s="135"/>
      <c r="J651" s="135"/>
      <c r="K651" s="135"/>
      <c r="L651" s="135"/>
    </row>
    <row r="652" spans="2:12" ht="12" customHeight="1" x14ac:dyDescent="0.15">
      <c r="B652" s="2"/>
      <c r="C652" s="4"/>
      <c r="D652" s="4"/>
      <c r="E652" s="4"/>
      <c r="I652" s="135"/>
      <c r="J652" s="135"/>
      <c r="K652" s="135"/>
      <c r="L652" s="135"/>
    </row>
    <row r="653" spans="2:12" ht="12" customHeight="1" x14ac:dyDescent="0.15">
      <c r="B653" s="2"/>
      <c r="C653" s="4"/>
      <c r="D653" s="4"/>
      <c r="E653" s="4"/>
      <c r="I653" s="135"/>
      <c r="J653" s="135"/>
      <c r="K653" s="135"/>
      <c r="L653" s="135"/>
    </row>
    <row r="654" spans="2:12" ht="12" customHeight="1" x14ac:dyDescent="0.15">
      <c r="B654" s="2"/>
      <c r="C654" s="4"/>
      <c r="D654" s="4"/>
      <c r="E654" s="4"/>
      <c r="I654" s="135"/>
      <c r="J654" s="135"/>
      <c r="K654" s="135"/>
      <c r="L654" s="135"/>
    </row>
    <row r="655" spans="2:12" ht="12" customHeight="1" x14ac:dyDescent="0.15">
      <c r="B655" s="2"/>
      <c r="C655" s="4"/>
      <c r="D655" s="4"/>
      <c r="E655" s="4"/>
      <c r="I655" s="135"/>
      <c r="J655" s="135"/>
      <c r="K655" s="135"/>
      <c r="L655" s="135"/>
    </row>
    <row r="656" spans="2:12" ht="12" customHeight="1" x14ac:dyDescent="0.15">
      <c r="B656" s="2"/>
      <c r="C656" s="4"/>
      <c r="D656" s="4"/>
      <c r="E656" s="4"/>
      <c r="I656" s="135"/>
      <c r="J656" s="135"/>
      <c r="K656" s="135"/>
      <c r="L656" s="135"/>
    </row>
    <row r="657" spans="2:12" ht="12" customHeight="1" x14ac:dyDescent="0.15">
      <c r="B657" s="2"/>
      <c r="C657" s="4"/>
      <c r="D657" s="4"/>
      <c r="E657" s="4"/>
      <c r="I657" s="135"/>
      <c r="J657" s="135"/>
      <c r="K657" s="135"/>
      <c r="L657" s="135"/>
    </row>
    <row r="658" spans="2:12" ht="12" customHeight="1" x14ac:dyDescent="0.15">
      <c r="B658" s="2"/>
      <c r="C658" s="4"/>
      <c r="D658" s="4"/>
      <c r="E658" s="4"/>
      <c r="I658" s="135"/>
      <c r="J658" s="135"/>
      <c r="K658" s="135"/>
      <c r="L658" s="135"/>
    </row>
    <row r="659" spans="2:12" ht="12" customHeight="1" x14ac:dyDescent="0.15">
      <c r="B659" s="2"/>
      <c r="C659" s="4"/>
      <c r="D659" s="4"/>
      <c r="E659" s="4"/>
      <c r="I659" s="135"/>
      <c r="J659" s="135"/>
      <c r="K659" s="135"/>
      <c r="L659" s="135"/>
    </row>
    <row r="660" spans="2:12" ht="12" customHeight="1" x14ac:dyDescent="0.15">
      <c r="B660" s="2"/>
      <c r="C660" s="4"/>
      <c r="D660" s="4"/>
      <c r="E660" s="4"/>
      <c r="I660" s="135"/>
      <c r="J660" s="135"/>
      <c r="K660" s="135"/>
      <c r="L660" s="135"/>
    </row>
    <row r="661" spans="2:12" ht="12" customHeight="1" x14ac:dyDescent="0.15">
      <c r="B661" s="2"/>
      <c r="C661" s="4"/>
      <c r="D661" s="4"/>
      <c r="E661" s="4"/>
      <c r="I661" s="135"/>
      <c r="J661" s="135"/>
      <c r="K661" s="135"/>
      <c r="L661" s="135"/>
    </row>
    <row r="662" spans="2:12" ht="12" customHeight="1" x14ac:dyDescent="0.15">
      <c r="B662" s="2"/>
      <c r="C662" s="4"/>
      <c r="D662" s="4"/>
      <c r="E662" s="4"/>
      <c r="I662" s="135"/>
      <c r="J662" s="135"/>
      <c r="K662" s="135"/>
      <c r="L662" s="135"/>
    </row>
    <row r="663" spans="2:12" ht="12" customHeight="1" x14ac:dyDescent="0.15">
      <c r="B663" s="2"/>
      <c r="C663" s="4"/>
      <c r="D663" s="4"/>
      <c r="E663" s="4"/>
      <c r="I663" s="135"/>
      <c r="J663" s="135"/>
      <c r="K663" s="135"/>
      <c r="L663" s="135"/>
    </row>
    <row r="664" spans="2:12" ht="12" customHeight="1" x14ac:dyDescent="0.15">
      <c r="B664" s="2"/>
      <c r="C664" s="4"/>
      <c r="D664" s="4"/>
      <c r="E664" s="4"/>
      <c r="I664" s="135"/>
      <c r="J664" s="135"/>
      <c r="K664" s="135"/>
      <c r="L664" s="135"/>
    </row>
    <row r="665" spans="2:12" ht="12" customHeight="1" x14ac:dyDescent="0.15">
      <c r="B665" s="2"/>
      <c r="C665" s="4"/>
      <c r="D665" s="4"/>
      <c r="E665" s="4"/>
      <c r="I665" s="135"/>
      <c r="J665" s="135"/>
      <c r="K665" s="135"/>
      <c r="L665" s="135"/>
    </row>
    <row r="666" spans="2:12" ht="12" customHeight="1" x14ac:dyDescent="0.15">
      <c r="B666" s="2"/>
      <c r="C666" s="4"/>
      <c r="D666" s="4"/>
      <c r="E666" s="4"/>
      <c r="I666" s="135"/>
      <c r="J666" s="135"/>
      <c r="K666" s="135"/>
      <c r="L666" s="135"/>
    </row>
    <row r="667" spans="2:12" ht="12" customHeight="1" x14ac:dyDescent="0.15">
      <c r="B667" s="2"/>
      <c r="C667" s="4"/>
      <c r="D667" s="4"/>
      <c r="E667" s="4"/>
      <c r="I667" s="135"/>
      <c r="J667" s="135"/>
      <c r="K667" s="135"/>
      <c r="L667" s="135"/>
    </row>
    <row r="668" spans="2:12" ht="12" customHeight="1" x14ac:dyDescent="0.15">
      <c r="B668" s="2"/>
      <c r="C668" s="4"/>
      <c r="D668" s="4"/>
      <c r="E668" s="4"/>
      <c r="I668" s="135"/>
      <c r="J668" s="135"/>
      <c r="K668" s="135"/>
      <c r="L668" s="135"/>
    </row>
    <row r="669" spans="2:12" ht="12" customHeight="1" x14ac:dyDescent="0.15">
      <c r="B669" s="2"/>
      <c r="C669" s="4"/>
      <c r="D669" s="4"/>
      <c r="E669" s="4"/>
      <c r="I669" s="135"/>
      <c r="J669" s="135"/>
      <c r="K669" s="135"/>
      <c r="L669" s="135"/>
    </row>
    <row r="670" spans="2:12" ht="12" customHeight="1" x14ac:dyDescent="0.15">
      <c r="B670" s="2"/>
      <c r="C670" s="4"/>
      <c r="D670" s="4"/>
      <c r="E670" s="4"/>
      <c r="I670" s="135"/>
      <c r="J670" s="135"/>
      <c r="K670" s="135"/>
      <c r="L670" s="135"/>
    </row>
    <row r="671" spans="2:12" ht="12" customHeight="1" x14ac:dyDescent="0.15">
      <c r="B671" s="2"/>
      <c r="C671" s="4"/>
      <c r="D671" s="4"/>
      <c r="E671" s="4"/>
      <c r="I671" s="135"/>
      <c r="J671" s="135"/>
      <c r="K671" s="135"/>
      <c r="L671" s="135"/>
    </row>
    <row r="672" spans="2:12" ht="12" customHeight="1" x14ac:dyDescent="0.15">
      <c r="B672" s="2"/>
      <c r="C672" s="4"/>
      <c r="D672" s="4"/>
      <c r="E672" s="4"/>
      <c r="I672" s="135"/>
      <c r="J672" s="135"/>
      <c r="K672" s="135"/>
      <c r="L672" s="135"/>
    </row>
    <row r="673" spans="2:12" ht="12" customHeight="1" x14ac:dyDescent="0.15">
      <c r="B673" s="2"/>
      <c r="C673" s="4"/>
      <c r="D673" s="4"/>
      <c r="E673" s="4"/>
      <c r="I673" s="135"/>
      <c r="J673" s="135"/>
      <c r="K673" s="135"/>
      <c r="L673" s="135"/>
    </row>
    <row r="674" spans="2:12" ht="12" customHeight="1" x14ac:dyDescent="0.15">
      <c r="B674" s="2"/>
      <c r="C674" s="4"/>
      <c r="D674" s="4"/>
      <c r="E674" s="4"/>
      <c r="I674" s="135"/>
      <c r="J674" s="135"/>
      <c r="K674" s="135"/>
      <c r="L674" s="135"/>
    </row>
    <row r="675" spans="2:12" ht="12" customHeight="1" x14ac:dyDescent="0.15">
      <c r="B675" s="2"/>
      <c r="C675" s="4"/>
      <c r="D675" s="4"/>
      <c r="E675" s="4"/>
      <c r="I675" s="135"/>
      <c r="J675" s="135"/>
      <c r="K675" s="135"/>
      <c r="L675" s="135"/>
    </row>
    <row r="676" spans="2:12" ht="12" customHeight="1" x14ac:dyDescent="0.15">
      <c r="B676" s="2"/>
      <c r="C676" s="4"/>
      <c r="D676" s="4"/>
      <c r="E676" s="4"/>
      <c r="I676" s="135"/>
      <c r="J676" s="135"/>
      <c r="K676" s="135"/>
      <c r="L676" s="135"/>
    </row>
    <row r="677" spans="2:12" ht="12" customHeight="1" x14ac:dyDescent="0.15">
      <c r="B677" s="2"/>
      <c r="C677" s="4"/>
      <c r="D677" s="4"/>
      <c r="E677" s="4"/>
      <c r="I677" s="135"/>
      <c r="J677" s="135"/>
      <c r="K677" s="135"/>
      <c r="L677" s="135"/>
    </row>
    <row r="678" spans="2:12" ht="12" customHeight="1" x14ac:dyDescent="0.15">
      <c r="B678" s="2"/>
      <c r="C678" s="4"/>
      <c r="D678" s="4"/>
      <c r="E678" s="4"/>
      <c r="I678" s="135"/>
      <c r="J678" s="135"/>
      <c r="K678" s="135"/>
      <c r="L678" s="135"/>
    </row>
    <row r="679" spans="2:12" ht="12" customHeight="1" x14ac:dyDescent="0.15">
      <c r="B679" s="2"/>
      <c r="C679" s="4"/>
      <c r="D679" s="4"/>
      <c r="E679" s="4"/>
      <c r="I679" s="135"/>
      <c r="J679" s="135"/>
      <c r="K679" s="135"/>
      <c r="L679" s="135"/>
    </row>
    <row r="680" spans="2:12" ht="12" customHeight="1" x14ac:dyDescent="0.15">
      <c r="B680" s="2"/>
      <c r="C680" s="4"/>
      <c r="D680" s="4"/>
      <c r="E680" s="4"/>
      <c r="I680" s="135"/>
      <c r="J680" s="135"/>
      <c r="K680" s="135"/>
      <c r="L680" s="135"/>
    </row>
    <row r="681" spans="2:12" ht="12" customHeight="1" x14ac:dyDescent="0.15">
      <c r="B681" s="2"/>
      <c r="C681" s="4"/>
      <c r="D681" s="4"/>
      <c r="E681" s="4"/>
      <c r="I681" s="135"/>
      <c r="J681" s="135"/>
      <c r="K681" s="135"/>
      <c r="L681" s="135"/>
    </row>
    <row r="682" spans="2:12" ht="12" customHeight="1" x14ac:dyDescent="0.15">
      <c r="B682" s="2"/>
      <c r="C682" s="4"/>
      <c r="D682" s="4"/>
      <c r="E682" s="4"/>
      <c r="I682" s="135"/>
      <c r="J682" s="135"/>
      <c r="K682" s="135"/>
      <c r="L682" s="135"/>
    </row>
    <row r="683" spans="2:12" ht="12" customHeight="1" x14ac:dyDescent="0.15">
      <c r="B683" s="2"/>
      <c r="C683" s="4"/>
      <c r="D683" s="4"/>
      <c r="E683" s="4"/>
      <c r="I683" s="135"/>
      <c r="J683" s="135"/>
      <c r="K683" s="135"/>
      <c r="L683" s="135"/>
    </row>
    <row r="684" spans="2:12" ht="12" customHeight="1" x14ac:dyDescent="0.15">
      <c r="B684" s="2"/>
      <c r="C684" s="4"/>
      <c r="D684" s="4"/>
      <c r="E684" s="4"/>
      <c r="I684" s="135"/>
      <c r="J684" s="135"/>
      <c r="K684" s="135"/>
      <c r="L684" s="135"/>
    </row>
    <row r="685" spans="2:12" ht="12" customHeight="1" x14ac:dyDescent="0.15">
      <c r="B685" s="2"/>
      <c r="C685" s="4"/>
      <c r="D685" s="4"/>
      <c r="E685" s="4"/>
      <c r="I685" s="135"/>
      <c r="J685" s="135"/>
      <c r="K685" s="135"/>
      <c r="L685" s="135"/>
    </row>
    <row r="686" spans="2:12" ht="12" customHeight="1" x14ac:dyDescent="0.15">
      <c r="B686" s="2"/>
      <c r="C686" s="4"/>
      <c r="D686" s="4"/>
      <c r="E686" s="4"/>
      <c r="I686" s="135"/>
      <c r="J686" s="135"/>
      <c r="K686" s="135"/>
      <c r="L686" s="135"/>
    </row>
    <row r="687" spans="2:12" ht="12" customHeight="1" x14ac:dyDescent="0.15">
      <c r="B687" s="2"/>
      <c r="C687" s="4"/>
      <c r="D687" s="4"/>
      <c r="E687" s="4"/>
      <c r="I687" s="135"/>
      <c r="J687" s="135"/>
      <c r="K687" s="135"/>
      <c r="L687" s="135"/>
    </row>
    <row r="688" spans="2:12" ht="12" customHeight="1" x14ac:dyDescent="0.15">
      <c r="B688" s="2"/>
      <c r="C688" s="4"/>
      <c r="D688" s="4"/>
      <c r="E688" s="4"/>
      <c r="I688" s="135"/>
      <c r="J688" s="135"/>
      <c r="K688" s="135"/>
      <c r="L688" s="135"/>
    </row>
    <row r="689" spans="2:12" ht="12" customHeight="1" x14ac:dyDescent="0.15">
      <c r="B689" s="2"/>
      <c r="C689" s="4"/>
      <c r="D689" s="4"/>
      <c r="E689" s="4"/>
      <c r="I689" s="135"/>
      <c r="J689" s="135"/>
      <c r="K689" s="135"/>
      <c r="L689" s="135"/>
    </row>
    <row r="690" spans="2:12" ht="12" customHeight="1" x14ac:dyDescent="0.15">
      <c r="B690" s="2"/>
      <c r="C690" s="4"/>
      <c r="D690" s="4"/>
      <c r="E690" s="4"/>
      <c r="I690" s="135"/>
      <c r="J690" s="135"/>
      <c r="K690" s="135"/>
      <c r="L690" s="135"/>
    </row>
    <row r="691" spans="2:12" ht="12" customHeight="1" x14ac:dyDescent="0.15">
      <c r="B691" s="2"/>
      <c r="C691" s="4"/>
      <c r="D691" s="4"/>
      <c r="E691" s="4"/>
      <c r="I691" s="135"/>
      <c r="J691" s="135"/>
      <c r="K691" s="135"/>
      <c r="L691" s="135"/>
    </row>
    <row r="692" spans="2:12" ht="12" customHeight="1" x14ac:dyDescent="0.15">
      <c r="B692" s="2"/>
      <c r="C692" s="4"/>
      <c r="D692" s="4"/>
      <c r="E692" s="4"/>
      <c r="I692" s="135"/>
      <c r="J692" s="135"/>
      <c r="K692" s="135"/>
      <c r="L692" s="135"/>
    </row>
    <row r="693" spans="2:12" ht="12" customHeight="1" x14ac:dyDescent="0.15">
      <c r="B693" s="2"/>
      <c r="C693" s="4"/>
      <c r="D693" s="4"/>
      <c r="E693" s="4"/>
      <c r="I693" s="135"/>
      <c r="J693" s="135"/>
      <c r="K693" s="135"/>
      <c r="L693" s="135"/>
    </row>
    <row r="694" spans="2:12" ht="12" customHeight="1" x14ac:dyDescent="0.15">
      <c r="B694" s="2"/>
      <c r="C694" s="4"/>
      <c r="D694" s="4"/>
      <c r="E694" s="4"/>
      <c r="I694" s="135"/>
      <c r="J694" s="135"/>
      <c r="K694" s="135"/>
      <c r="L694" s="135"/>
    </row>
    <row r="695" spans="2:12" ht="12" customHeight="1" x14ac:dyDescent="0.15">
      <c r="B695" s="2"/>
      <c r="C695" s="4"/>
      <c r="D695" s="4"/>
      <c r="E695" s="4"/>
      <c r="I695" s="135"/>
      <c r="J695" s="135"/>
      <c r="K695" s="135"/>
      <c r="L695" s="135"/>
    </row>
    <row r="696" spans="2:12" ht="12" customHeight="1" x14ac:dyDescent="0.15">
      <c r="B696" s="2"/>
      <c r="C696" s="4"/>
      <c r="D696" s="4"/>
      <c r="E696" s="4"/>
      <c r="I696" s="135"/>
      <c r="J696" s="135"/>
      <c r="K696" s="135"/>
      <c r="L696" s="135"/>
    </row>
    <row r="697" spans="2:12" ht="12" customHeight="1" x14ac:dyDescent="0.15">
      <c r="B697" s="2"/>
      <c r="C697" s="4"/>
      <c r="D697" s="4"/>
      <c r="E697" s="4"/>
      <c r="I697" s="135"/>
      <c r="J697" s="135"/>
      <c r="K697" s="135"/>
      <c r="L697" s="135"/>
    </row>
    <row r="698" spans="2:12" ht="12" customHeight="1" x14ac:dyDescent="0.15">
      <c r="B698" s="2"/>
      <c r="C698" s="4"/>
      <c r="D698" s="4"/>
      <c r="E698" s="4"/>
      <c r="I698" s="135"/>
      <c r="J698" s="135"/>
      <c r="K698" s="135"/>
      <c r="L698" s="135"/>
    </row>
    <row r="699" spans="2:12" ht="12" customHeight="1" x14ac:dyDescent="0.15">
      <c r="B699" s="2"/>
      <c r="C699" s="4"/>
      <c r="D699" s="4"/>
      <c r="E699" s="4"/>
      <c r="I699" s="135"/>
      <c r="J699" s="135"/>
      <c r="K699" s="135"/>
      <c r="L699" s="135"/>
    </row>
    <row r="700" spans="2:12" ht="12" customHeight="1" x14ac:dyDescent="0.15">
      <c r="B700" s="2"/>
      <c r="C700" s="4"/>
      <c r="D700" s="4"/>
      <c r="E700" s="4"/>
      <c r="I700" s="135"/>
      <c r="J700" s="135"/>
      <c r="K700" s="135"/>
      <c r="L700" s="135"/>
    </row>
    <row r="701" spans="2:12" ht="12" customHeight="1" x14ac:dyDescent="0.15">
      <c r="B701" s="2"/>
      <c r="C701" s="4"/>
      <c r="D701" s="4"/>
      <c r="E701" s="4"/>
      <c r="I701" s="135"/>
      <c r="J701" s="135"/>
      <c r="K701" s="135"/>
      <c r="L701" s="135"/>
    </row>
    <row r="702" spans="2:12" ht="12" customHeight="1" x14ac:dyDescent="0.15">
      <c r="B702" s="2"/>
      <c r="C702" s="4"/>
      <c r="D702" s="4"/>
      <c r="E702" s="4"/>
      <c r="I702" s="135"/>
      <c r="J702" s="135"/>
      <c r="K702" s="135"/>
      <c r="L702" s="135"/>
    </row>
    <row r="703" spans="2:12" ht="12" customHeight="1" x14ac:dyDescent="0.15">
      <c r="B703" s="2"/>
      <c r="C703" s="4"/>
      <c r="D703" s="4"/>
      <c r="E703" s="4"/>
      <c r="I703" s="135"/>
      <c r="J703" s="135"/>
      <c r="K703" s="135"/>
      <c r="L703" s="135"/>
    </row>
    <row r="704" spans="2:12" ht="12" customHeight="1" x14ac:dyDescent="0.15">
      <c r="B704" s="2"/>
      <c r="C704" s="4"/>
      <c r="D704" s="4"/>
      <c r="E704" s="4"/>
      <c r="I704" s="135"/>
      <c r="J704" s="135"/>
      <c r="K704" s="135"/>
      <c r="L704" s="135"/>
    </row>
    <row r="705" spans="2:12" ht="12" customHeight="1" x14ac:dyDescent="0.15">
      <c r="B705" s="2"/>
      <c r="C705" s="4"/>
      <c r="D705" s="4"/>
      <c r="E705" s="4"/>
      <c r="I705" s="135"/>
      <c r="J705" s="135"/>
      <c r="K705" s="135"/>
      <c r="L705" s="135"/>
    </row>
    <row r="706" spans="2:12" ht="12" customHeight="1" x14ac:dyDescent="0.15">
      <c r="B706" s="2"/>
      <c r="C706" s="4"/>
      <c r="D706" s="4"/>
      <c r="E706" s="4"/>
      <c r="I706" s="135"/>
      <c r="J706" s="135"/>
      <c r="K706" s="135"/>
      <c r="L706" s="135"/>
    </row>
    <row r="707" spans="2:12" ht="12" customHeight="1" x14ac:dyDescent="0.15">
      <c r="B707" s="2"/>
      <c r="C707" s="4"/>
      <c r="D707" s="4"/>
      <c r="E707" s="4"/>
      <c r="I707" s="135"/>
      <c r="J707" s="135"/>
      <c r="K707" s="135"/>
      <c r="L707" s="135"/>
    </row>
    <row r="708" spans="2:12" ht="12" customHeight="1" x14ac:dyDescent="0.15">
      <c r="B708" s="2"/>
      <c r="C708" s="4"/>
      <c r="D708" s="4"/>
      <c r="E708" s="4"/>
      <c r="I708" s="135"/>
      <c r="J708" s="135"/>
      <c r="K708" s="135"/>
      <c r="L708" s="135"/>
    </row>
    <row r="709" spans="2:12" ht="12" customHeight="1" x14ac:dyDescent="0.15">
      <c r="B709" s="2"/>
      <c r="C709" s="4"/>
      <c r="D709" s="4"/>
      <c r="E709" s="4"/>
      <c r="I709" s="135"/>
      <c r="J709" s="135"/>
      <c r="K709" s="135"/>
      <c r="L709" s="135"/>
    </row>
    <row r="710" spans="2:12" ht="12" customHeight="1" x14ac:dyDescent="0.15">
      <c r="B710" s="2"/>
      <c r="C710" s="4"/>
      <c r="D710" s="4"/>
      <c r="E710" s="4"/>
      <c r="I710" s="135"/>
      <c r="J710" s="135"/>
      <c r="K710" s="135"/>
      <c r="L710" s="135"/>
    </row>
    <row r="711" spans="2:12" ht="12" customHeight="1" x14ac:dyDescent="0.15">
      <c r="B711" s="2"/>
      <c r="C711" s="4"/>
      <c r="D711" s="4"/>
      <c r="E711" s="4"/>
      <c r="I711" s="135"/>
      <c r="J711" s="135"/>
      <c r="K711" s="135"/>
      <c r="L711" s="135"/>
    </row>
    <row r="712" spans="2:12" ht="12" customHeight="1" x14ac:dyDescent="0.15">
      <c r="B712" s="2"/>
      <c r="C712" s="4"/>
      <c r="D712" s="4"/>
      <c r="E712" s="4"/>
      <c r="I712" s="135"/>
      <c r="J712" s="135"/>
      <c r="K712" s="135"/>
      <c r="L712" s="135"/>
    </row>
    <row r="713" spans="2:12" ht="12" customHeight="1" x14ac:dyDescent="0.15">
      <c r="B713" s="2"/>
      <c r="C713" s="4"/>
      <c r="D713" s="4"/>
      <c r="E713" s="4"/>
      <c r="I713" s="135"/>
      <c r="J713" s="135"/>
      <c r="K713" s="135"/>
      <c r="L713" s="135"/>
    </row>
    <row r="714" spans="2:12" ht="12" customHeight="1" x14ac:dyDescent="0.15">
      <c r="B714" s="2"/>
      <c r="C714" s="4"/>
      <c r="D714" s="4"/>
      <c r="E714" s="4"/>
      <c r="I714" s="135"/>
      <c r="J714" s="135"/>
      <c r="K714" s="135"/>
      <c r="L714" s="135"/>
    </row>
    <row r="715" spans="2:12" ht="12" customHeight="1" x14ac:dyDescent="0.15">
      <c r="B715" s="2"/>
      <c r="C715" s="4"/>
      <c r="D715" s="4"/>
      <c r="E715" s="4"/>
      <c r="I715" s="135"/>
      <c r="J715" s="135"/>
      <c r="K715" s="135"/>
      <c r="L715" s="135"/>
    </row>
    <row r="716" spans="2:12" ht="12" customHeight="1" x14ac:dyDescent="0.15">
      <c r="B716" s="2"/>
      <c r="C716" s="4"/>
      <c r="D716" s="4"/>
      <c r="E716" s="4"/>
      <c r="I716" s="135"/>
      <c r="J716" s="135"/>
      <c r="K716" s="135"/>
      <c r="L716" s="135"/>
    </row>
    <row r="717" spans="2:12" ht="12" customHeight="1" x14ac:dyDescent="0.15">
      <c r="B717" s="2"/>
      <c r="C717" s="4"/>
      <c r="D717" s="4"/>
      <c r="E717" s="4"/>
      <c r="I717" s="135"/>
      <c r="J717" s="135"/>
      <c r="K717" s="135"/>
      <c r="L717" s="135"/>
    </row>
    <row r="718" spans="2:12" ht="12" customHeight="1" x14ac:dyDescent="0.15">
      <c r="B718" s="2"/>
      <c r="C718" s="4"/>
      <c r="D718" s="4"/>
      <c r="E718" s="4"/>
      <c r="I718" s="135"/>
      <c r="J718" s="135"/>
      <c r="K718" s="135"/>
      <c r="L718" s="135"/>
    </row>
    <row r="719" spans="2:12" ht="12" customHeight="1" x14ac:dyDescent="0.15">
      <c r="B719" s="2"/>
      <c r="C719" s="4"/>
      <c r="D719" s="4"/>
      <c r="E719" s="4"/>
      <c r="I719" s="135"/>
      <c r="J719" s="135"/>
      <c r="K719" s="135"/>
      <c r="L719" s="135"/>
    </row>
    <row r="720" spans="2:12" ht="12" customHeight="1" x14ac:dyDescent="0.15">
      <c r="B720" s="2"/>
      <c r="C720" s="4"/>
      <c r="D720" s="4"/>
      <c r="E720" s="4"/>
      <c r="I720" s="135"/>
      <c r="J720" s="135"/>
      <c r="K720" s="135"/>
      <c r="L720" s="135"/>
    </row>
    <row r="721" spans="2:12" ht="12" customHeight="1" x14ac:dyDescent="0.15">
      <c r="B721" s="2"/>
      <c r="C721" s="4"/>
      <c r="D721" s="4"/>
      <c r="E721" s="4"/>
      <c r="I721" s="135"/>
      <c r="J721" s="135"/>
      <c r="K721" s="135"/>
      <c r="L721" s="135"/>
    </row>
    <row r="722" spans="2:12" ht="12" customHeight="1" x14ac:dyDescent="0.15">
      <c r="B722" s="2"/>
      <c r="C722" s="4"/>
      <c r="D722" s="4"/>
      <c r="E722" s="4"/>
      <c r="I722" s="135"/>
      <c r="J722" s="135"/>
      <c r="K722" s="135"/>
      <c r="L722" s="135"/>
    </row>
    <row r="723" spans="2:12" ht="12" customHeight="1" x14ac:dyDescent="0.15">
      <c r="B723" s="2"/>
      <c r="C723" s="4"/>
      <c r="D723" s="4"/>
      <c r="E723" s="4"/>
      <c r="I723" s="135"/>
      <c r="J723" s="135"/>
      <c r="K723" s="135"/>
      <c r="L723" s="135"/>
    </row>
    <row r="724" spans="2:12" ht="12" customHeight="1" x14ac:dyDescent="0.15">
      <c r="B724" s="2"/>
      <c r="C724" s="4"/>
      <c r="D724" s="4"/>
      <c r="E724" s="4"/>
      <c r="I724" s="135"/>
      <c r="J724" s="135"/>
      <c r="K724" s="135"/>
      <c r="L724" s="135"/>
    </row>
    <row r="725" spans="2:12" ht="12" customHeight="1" x14ac:dyDescent="0.15">
      <c r="B725" s="2"/>
      <c r="C725" s="4"/>
      <c r="D725" s="4"/>
      <c r="E725" s="4"/>
      <c r="I725" s="135"/>
      <c r="J725" s="135"/>
      <c r="K725" s="135"/>
      <c r="L725" s="135"/>
    </row>
    <row r="726" spans="2:12" ht="12" customHeight="1" x14ac:dyDescent="0.15">
      <c r="B726" s="2"/>
      <c r="C726" s="4"/>
      <c r="D726" s="4"/>
      <c r="E726" s="4"/>
      <c r="I726" s="135"/>
      <c r="J726" s="135"/>
      <c r="K726" s="135"/>
      <c r="L726" s="135"/>
    </row>
    <row r="727" spans="2:12" ht="12" customHeight="1" x14ac:dyDescent="0.15">
      <c r="B727" s="2"/>
      <c r="C727" s="4"/>
      <c r="D727" s="4"/>
      <c r="E727" s="4"/>
      <c r="I727" s="135"/>
      <c r="J727" s="135"/>
      <c r="K727" s="135"/>
      <c r="L727" s="135"/>
    </row>
    <row r="728" spans="2:12" ht="12" customHeight="1" x14ac:dyDescent="0.15">
      <c r="B728" s="2"/>
      <c r="C728" s="4"/>
      <c r="D728" s="4"/>
      <c r="E728" s="4"/>
      <c r="I728" s="135"/>
      <c r="J728" s="135"/>
      <c r="K728" s="135"/>
      <c r="L728" s="135"/>
    </row>
    <row r="729" spans="2:12" ht="12" customHeight="1" x14ac:dyDescent="0.15">
      <c r="B729" s="2"/>
      <c r="C729" s="4"/>
      <c r="D729" s="4"/>
      <c r="E729" s="4"/>
      <c r="I729" s="135"/>
      <c r="J729" s="135"/>
      <c r="K729" s="135"/>
      <c r="L729" s="135"/>
    </row>
    <row r="730" spans="2:12" ht="12" customHeight="1" x14ac:dyDescent="0.15">
      <c r="B730" s="2"/>
      <c r="C730" s="4"/>
      <c r="D730" s="4"/>
      <c r="E730" s="4"/>
      <c r="I730" s="135"/>
      <c r="J730" s="135"/>
      <c r="K730" s="135"/>
      <c r="L730" s="135"/>
    </row>
    <row r="731" spans="2:12" ht="12" customHeight="1" x14ac:dyDescent="0.15">
      <c r="B731" s="2"/>
      <c r="C731" s="4"/>
      <c r="D731" s="4"/>
      <c r="E731" s="4"/>
      <c r="I731" s="135"/>
      <c r="J731" s="135"/>
      <c r="K731" s="135"/>
      <c r="L731" s="135"/>
    </row>
    <row r="732" spans="2:12" ht="12" customHeight="1" x14ac:dyDescent="0.15">
      <c r="B732" s="2"/>
      <c r="C732" s="4"/>
      <c r="D732" s="4"/>
      <c r="E732" s="4"/>
      <c r="I732" s="135"/>
      <c r="J732" s="135"/>
      <c r="K732" s="135"/>
      <c r="L732" s="135"/>
    </row>
    <row r="733" spans="2:12" ht="12" customHeight="1" x14ac:dyDescent="0.15">
      <c r="B733" s="2"/>
      <c r="C733" s="4"/>
      <c r="D733" s="4"/>
      <c r="E733" s="4"/>
      <c r="I733" s="135"/>
      <c r="J733" s="135"/>
      <c r="K733" s="135"/>
      <c r="L733" s="135"/>
    </row>
    <row r="734" spans="2:12" ht="12" customHeight="1" x14ac:dyDescent="0.15">
      <c r="B734" s="2"/>
      <c r="C734" s="4"/>
      <c r="D734" s="4"/>
      <c r="E734" s="4"/>
      <c r="I734" s="135"/>
      <c r="J734" s="135"/>
      <c r="K734" s="135"/>
      <c r="L734" s="135"/>
    </row>
    <row r="735" spans="2:12" ht="12" customHeight="1" x14ac:dyDescent="0.15">
      <c r="B735" s="2"/>
      <c r="C735" s="4"/>
      <c r="D735" s="4"/>
      <c r="E735" s="4"/>
      <c r="I735" s="135"/>
      <c r="J735" s="135"/>
      <c r="K735" s="135"/>
      <c r="L735" s="135"/>
    </row>
    <row r="736" spans="2:12" ht="12" customHeight="1" x14ac:dyDescent="0.15">
      <c r="B736" s="2"/>
      <c r="C736" s="4"/>
      <c r="D736" s="4"/>
      <c r="E736" s="4"/>
      <c r="I736" s="135"/>
      <c r="J736" s="135"/>
      <c r="K736" s="135"/>
      <c r="L736" s="135"/>
    </row>
    <row r="737" spans="2:12" ht="12" customHeight="1" x14ac:dyDescent="0.15">
      <c r="B737" s="2"/>
      <c r="C737" s="4"/>
      <c r="D737" s="4"/>
      <c r="E737" s="4"/>
      <c r="I737" s="135"/>
      <c r="J737" s="135"/>
      <c r="K737" s="135"/>
      <c r="L737" s="135"/>
    </row>
    <row r="738" spans="2:12" ht="12" customHeight="1" x14ac:dyDescent="0.15">
      <c r="B738" s="2"/>
      <c r="C738" s="4"/>
      <c r="D738" s="4"/>
      <c r="E738" s="4"/>
      <c r="I738" s="135"/>
      <c r="J738" s="135"/>
      <c r="K738" s="135"/>
      <c r="L738" s="135"/>
    </row>
    <row r="739" spans="2:12" ht="12" customHeight="1" x14ac:dyDescent="0.15">
      <c r="B739" s="2"/>
      <c r="C739" s="4"/>
      <c r="D739" s="4"/>
      <c r="E739" s="4"/>
      <c r="I739" s="135"/>
      <c r="J739" s="135"/>
      <c r="K739" s="135"/>
      <c r="L739" s="135"/>
    </row>
    <row r="740" spans="2:12" ht="12" customHeight="1" x14ac:dyDescent="0.15">
      <c r="B740" s="2"/>
      <c r="C740" s="4"/>
      <c r="D740" s="4"/>
      <c r="E740" s="4"/>
      <c r="I740" s="135"/>
      <c r="J740" s="135"/>
      <c r="K740" s="135"/>
      <c r="L740" s="135"/>
    </row>
    <row r="741" spans="2:12" ht="12" customHeight="1" x14ac:dyDescent="0.15">
      <c r="B741" s="2"/>
      <c r="C741" s="4"/>
      <c r="D741" s="4"/>
      <c r="E741" s="4"/>
      <c r="I741" s="135"/>
      <c r="J741" s="135"/>
      <c r="K741" s="135"/>
      <c r="L741" s="135"/>
    </row>
    <row r="742" spans="2:12" ht="12" customHeight="1" x14ac:dyDescent="0.15">
      <c r="B742" s="2"/>
      <c r="C742" s="4"/>
      <c r="D742" s="4"/>
      <c r="E742" s="4"/>
      <c r="I742" s="135"/>
      <c r="J742" s="135"/>
      <c r="K742" s="135"/>
      <c r="L742" s="135"/>
    </row>
    <row r="743" spans="2:12" ht="12" customHeight="1" x14ac:dyDescent="0.15">
      <c r="B743" s="2"/>
      <c r="C743" s="4"/>
      <c r="D743" s="4"/>
      <c r="E743" s="4"/>
      <c r="I743" s="135"/>
      <c r="J743" s="135"/>
      <c r="K743" s="135"/>
      <c r="L743" s="135"/>
    </row>
    <row r="744" spans="2:12" ht="12" customHeight="1" x14ac:dyDescent="0.15">
      <c r="B744" s="2"/>
      <c r="C744" s="4"/>
      <c r="D744" s="4"/>
      <c r="E744" s="4"/>
      <c r="I744" s="135"/>
      <c r="J744" s="135"/>
      <c r="K744" s="135"/>
      <c r="L744" s="135"/>
    </row>
    <row r="745" spans="2:12" ht="12" customHeight="1" x14ac:dyDescent="0.15">
      <c r="B745" s="2"/>
      <c r="C745" s="4"/>
      <c r="D745" s="4"/>
      <c r="E745" s="4"/>
      <c r="I745" s="135"/>
      <c r="J745" s="135"/>
      <c r="K745" s="135"/>
      <c r="L745" s="135"/>
    </row>
    <row r="746" spans="2:12" ht="12" customHeight="1" x14ac:dyDescent="0.15">
      <c r="B746" s="2"/>
      <c r="C746" s="4"/>
      <c r="D746" s="4"/>
      <c r="E746" s="4"/>
      <c r="I746" s="135"/>
      <c r="J746" s="135"/>
      <c r="K746" s="135"/>
      <c r="L746" s="135"/>
    </row>
    <row r="747" spans="2:12" ht="12" customHeight="1" x14ac:dyDescent="0.15">
      <c r="B747" s="2"/>
      <c r="C747" s="4"/>
      <c r="D747" s="4"/>
      <c r="E747" s="4"/>
      <c r="I747" s="135"/>
      <c r="J747" s="135"/>
      <c r="K747" s="135"/>
      <c r="L747" s="135"/>
    </row>
    <row r="748" spans="2:12" ht="12" customHeight="1" x14ac:dyDescent="0.15">
      <c r="B748" s="2"/>
      <c r="C748" s="4"/>
      <c r="D748" s="4"/>
      <c r="E748" s="4"/>
      <c r="I748" s="135"/>
      <c r="J748" s="135"/>
      <c r="K748" s="135"/>
      <c r="L748" s="135"/>
    </row>
    <row r="749" spans="2:12" ht="12" customHeight="1" x14ac:dyDescent="0.15">
      <c r="B749" s="2"/>
      <c r="C749" s="4"/>
      <c r="D749" s="4"/>
      <c r="E749" s="4"/>
      <c r="I749" s="135"/>
      <c r="J749" s="135"/>
      <c r="K749" s="135"/>
      <c r="L749" s="135"/>
    </row>
    <row r="750" spans="2:12" ht="12" customHeight="1" x14ac:dyDescent="0.15">
      <c r="B750" s="2"/>
      <c r="C750" s="4"/>
      <c r="D750" s="4"/>
      <c r="E750" s="4"/>
      <c r="I750" s="135"/>
      <c r="J750" s="135"/>
      <c r="K750" s="135"/>
      <c r="L750" s="135"/>
    </row>
    <row r="751" spans="2:12" ht="12" customHeight="1" x14ac:dyDescent="0.15">
      <c r="B751" s="2"/>
      <c r="C751" s="4"/>
      <c r="D751" s="4"/>
      <c r="E751" s="4"/>
      <c r="I751" s="135"/>
      <c r="J751" s="135"/>
      <c r="K751" s="135"/>
      <c r="L751" s="135"/>
    </row>
    <row r="752" spans="2:12" ht="12" customHeight="1" x14ac:dyDescent="0.15">
      <c r="B752" s="2"/>
      <c r="C752" s="4"/>
      <c r="D752" s="4"/>
      <c r="E752" s="4"/>
      <c r="I752" s="135"/>
      <c r="J752" s="135"/>
      <c r="K752" s="135"/>
      <c r="L752" s="135"/>
    </row>
    <row r="753" spans="2:12" ht="12" customHeight="1" x14ac:dyDescent="0.15">
      <c r="B753" s="2"/>
      <c r="C753" s="4"/>
      <c r="D753" s="4"/>
      <c r="E753" s="4"/>
      <c r="I753" s="135"/>
      <c r="J753" s="135"/>
      <c r="K753" s="135"/>
      <c r="L753" s="135"/>
    </row>
    <row r="754" spans="2:12" ht="12" customHeight="1" x14ac:dyDescent="0.15">
      <c r="B754" s="2"/>
      <c r="C754" s="4"/>
      <c r="D754" s="4"/>
      <c r="E754" s="4"/>
      <c r="I754" s="135"/>
      <c r="J754" s="135"/>
      <c r="K754" s="135"/>
      <c r="L754" s="135"/>
    </row>
    <row r="755" spans="2:12" ht="12" customHeight="1" x14ac:dyDescent="0.15">
      <c r="B755" s="2"/>
      <c r="C755" s="4"/>
      <c r="D755" s="4"/>
      <c r="E755" s="4"/>
      <c r="I755" s="135"/>
      <c r="J755" s="135"/>
      <c r="K755" s="135"/>
      <c r="L755" s="135"/>
    </row>
    <row r="756" spans="2:12" ht="12" customHeight="1" x14ac:dyDescent="0.15">
      <c r="B756" s="2"/>
      <c r="C756" s="4"/>
      <c r="D756" s="4"/>
      <c r="E756" s="4"/>
      <c r="I756" s="135"/>
      <c r="J756" s="135"/>
      <c r="K756" s="135"/>
      <c r="L756" s="135"/>
    </row>
    <row r="757" spans="2:12" ht="12" customHeight="1" x14ac:dyDescent="0.15">
      <c r="B757" s="2"/>
      <c r="C757" s="4"/>
      <c r="D757" s="4"/>
      <c r="E757" s="4"/>
      <c r="I757" s="135"/>
      <c r="J757" s="135"/>
      <c r="K757" s="135"/>
      <c r="L757" s="135"/>
    </row>
    <row r="758" spans="2:12" ht="12" customHeight="1" x14ac:dyDescent="0.15">
      <c r="B758" s="2"/>
      <c r="C758" s="4"/>
      <c r="D758" s="4"/>
      <c r="E758" s="4"/>
      <c r="I758" s="135"/>
      <c r="J758" s="135"/>
      <c r="K758" s="135"/>
      <c r="L758" s="135"/>
    </row>
    <row r="759" spans="2:12" ht="12" customHeight="1" x14ac:dyDescent="0.15">
      <c r="B759" s="2"/>
      <c r="C759" s="4"/>
      <c r="D759" s="4"/>
      <c r="E759" s="4"/>
      <c r="I759" s="135"/>
      <c r="J759" s="135"/>
      <c r="K759" s="135"/>
      <c r="L759" s="135"/>
    </row>
    <row r="760" spans="2:12" ht="12" customHeight="1" x14ac:dyDescent="0.15">
      <c r="B760" s="2"/>
      <c r="C760" s="4"/>
      <c r="D760" s="4"/>
      <c r="E760" s="4"/>
      <c r="I760" s="135"/>
      <c r="J760" s="135"/>
      <c r="K760" s="135"/>
      <c r="L760" s="135"/>
    </row>
    <row r="761" spans="2:12" ht="12" customHeight="1" x14ac:dyDescent="0.15">
      <c r="B761" s="2"/>
      <c r="C761" s="4"/>
      <c r="D761" s="4"/>
      <c r="E761" s="4"/>
      <c r="I761" s="135"/>
      <c r="J761" s="135"/>
      <c r="K761" s="135"/>
      <c r="L761" s="135"/>
    </row>
    <row r="762" spans="2:12" ht="12" customHeight="1" x14ac:dyDescent="0.15">
      <c r="B762" s="2"/>
      <c r="C762" s="4"/>
      <c r="D762" s="4"/>
      <c r="E762" s="4"/>
      <c r="I762" s="135"/>
      <c r="J762" s="135"/>
      <c r="K762" s="135"/>
      <c r="L762" s="135"/>
    </row>
    <row r="763" spans="2:12" ht="12" customHeight="1" x14ac:dyDescent="0.15">
      <c r="B763" s="2"/>
      <c r="C763" s="4"/>
      <c r="D763" s="4"/>
      <c r="E763" s="4"/>
      <c r="I763" s="135"/>
      <c r="J763" s="135"/>
      <c r="K763" s="135"/>
      <c r="L763" s="135"/>
    </row>
    <row r="764" spans="2:12" ht="12" customHeight="1" x14ac:dyDescent="0.15">
      <c r="B764" s="2"/>
      <c r="C764" s="4"/>
      <c r="D764" s="4"/>
      <c r="E764" s="4"/>
      <c r="I764" s="135"/>
      <c r="J764" s="135"/>
      <c r="K764" s="135"/>
      <c r="L764" s="135"/>
    </row>
    <row r="765" spans="2:12" ht="12" customHeight="1" x14ac:dyDescent="0.15">
      <c r="B765" s="2"/>
      <c r="C765" s="4"/>
      <c r="D765" s="4"/>
      <c r="E765" s="4"/>
      <c r="I765" s="135"/>
      <c r="J765" s="135"/>
      <c r="K765" s="135"/>
      <c r="L765" s="135"/>
    </row>
    <row r="766" spans="2:12" ht="12" customHeight="1" x14ac:dyDescent="0.15">
      <c r="B766" s="2"/>
      <c r="C766" s="4"/>
      <c r="D766" s="4"/>
      <c r="E766" s="4"/>
      <c r="I766" s="135"/>
      <c r="J766" s="135"/>
      <c r="K766" s="135"/>
      <c r="L766" s="135"/>
    </row>
    <row r="767" spans="2:12" ht="12" customHeight="1" x14ac:dyDescent="0.15">
      <c r="B767" s="2"/>
      <c r="C767" s="4"/>
      <c r="D767" s="4"/>
      <c r="E767" s="4"/>
      <c r="I767" s="135"/>
      <c r="J767" s="135"/>
      <c r="K767" s="135"/>
      <c r="L767" s="135"/>
    </row>
    <row r="768" spans="2:12" ht="12" customHeight="1" x14ac:dyDescent="0.15">
      <c r="B768" s="2"/>
      <c r="C768" s="4"/>
      <c r="D768" s="4"/>
      <c r="E768" s="4"/>
      <c r="I768" s="135"/>
      <c r="J768" s="135"/>
      <c r="K768" s="135"/>
      <c r="L768" s="135"/>
    </row>
    <row r="769" spans="2:12" ht="12" customHeight="1" x14ac:dyDescent="0.15">
      <c r="B769" s="2"/>
      <c r="C769" s="4"/>
      <c r="D769" s="4"/>
      <c r="E769" s="4"/>
      <c r="I769" s="135"/>
      <c r="J769" s="135"/>
      <c r="K769" s="135"/>
      <c r="L769" s="135"/>
    </row>
    <row r="770" spans="2:12" ht="12" customHeight="1" x14ac:dyDescent="0.15">
      <c r="B770" s="2"/>
      <c r="C770" s="4"/>
      <c r="D770" s="4"/>
      <c r="E770" s="4"/>
      <c r="I770" s="135"/>
      <c r="J770" s="135"/>
      <c r="K770" s="135"/>
      <c r="L770" s="135"/>
    </row>
    <row r="771" spans="2:12" ht="12" customHeight="1" x14ac:dyDescent="0.15">
      <c r="B771" s="2"/>
      <c r="C771" s="4"/>
      <c r="D771" s="4"/>
      <c r="E771" s="4"/>
      <c r="I771" s="135"/>
      <c r="J771" s="135"/>
      <c r="K771" s="135"/>
      <c r="L771" s="135"/>
    </row>
    <row r="772" spans="2:12" ht="12" customHeight="1" x14ac:dyDescent="0.15">
      <c r="B772" s="2"/>
      <c r="C772" s="4"/>
      <c r="D772" s="4"/>
      <c r="E772" s="4"/>
      <c r="I772" s="135"/>
      <c r="J772" s="135"/>
      <c r="K772" s="135"/>
      <c r="L772" s="135"/>
    </row>
    <row r="773" spans="2:12" ht="12" customHeight="1" x14ac:dyDescent="0.15">
      <c r="B773" s="2"/>
      <c r="C773" s="4"/>
      <c r="D773" s="4"/>
      <c r="E773" s="4"/>
      <c r="I773" s="135"/>
      <c r="J773" s="135"/>
      <c r="K773" s="135"/>
      <c r="L773" s="135"/>
    </row>
    <row r="774" spans="2:12" ht="12" customHeight="1" x14ac:dyDescent="0.15">
      <c r="B774" s="2"/>
      <c r="C774" s="4"/>
      <c r="D774" s="4"/>
      <c r="E774" s="4"/>
      <c r="I774" s="135"/>
      <c r="J774" s="135"/>
      <c r="K774" s="135"/>
      <c r="L774" s="135"/>
    </row>
    <row r="775" spans="2:12" ht="12" customHeight="1" x14ac:dyDescent="0.15">
      <c r="B775" s="2"/>
      <c r="C775" s="4"/>
      <c r="D775" s="4"/>
      <c r="E775" s="4"/>
      <c r="I775" s="135"/>
      <c r="J775" s="135"/>
      <c r="K775" s="135"/>
      <c r="L775" s="135"/>
    </row>
    <row r="776" spans="2:12" ht="12" customHeight="1" x14ac:dyDescent="0.15">
      <c r="B776" s="2"/>
      <c r="C776" s="4"/>
      <c r="D776" s="4"/>
      <c r="E776" s="4"/>
      <c r="I776" s="135"/>
      <c r="J776" s="135"/>
      <c r="K776" s="135"/>
      <c r="L776" s="135"/>
    </row>
    <row r="777" spans="2:12" ht="12" customHeight="1" x14ac:dyDescent="0.15">
      <c r="B777" s="2"/>
      <c r="C777" s="4"/>
      <c r="D777" s="4"/>
      <c r="E777" s="4"/>
      <c r="I777" s="135"/>
      <c r="J777" s="135"/>
      <c r="K777" s="135"/>
      <c r="L777" s="135"/>
    </row>
    <row r="778" spans="2:12" ht="12" customHeight="1" x14ac:dyDescent="0.15">
      <c r="B778" s="2"/>
      <c r="C778" s="4"/>
      <c r="D778" s="4"/>
      <c r="E778" s="4"/>
      <c r="I778" s="135"/>
      <c r="J778" s="135"/>
      <c r="K778" s="135"/>
      <c r="L778" s="135"/>
    </row>
    <row r="779" spans="2:12" ht="12" customHeight="1" x14ac:dyDescent="0.15">
      <c r="B779" s="2"/>
      <c r="C779" s="4"/>
      <c r="D779" s="4"/>
      <c r="E779" s="4"/>
      <c r="I779" s="135"/>
      <c r="J779" s="135"/>
      <c r="K779" s="135"/>
      <c r="L779" s="135"/>
    </row>
    <row r="780" spans="2:12" ht="12" customHeight="1" x14ac:dyDescent="0.15">
      <c r="B780" s="2"/>
      <c r="C780" s="4"/>
      <c r="D780" s="4"/>
      <c r="E780" s="4"/>
      <c r="I780" s="135"/>
      <c r="J780" s="135"/>
      <c r="K780" s="135"/>
      <c r="L780" s="135"/>
    </row>
    <row r="781" spans="2:12" ht="12" customHeight="1" x14ac:dyDescent="0.15">
      <c r="B781" s="2"/>
      <c r="C781" s="4"/>
      <c r="D781" s="4"/>
      <c r="E781" s="4"/>
      <c r="I781" s="135"/>
      <c r="J781" s="135"/>
      <c r="K781" s="135"/>
      <c r="L781" s="135"/>
    </row>
    <row r="782" spans="2:12" ht="12" customHeight="1" x14ac:dyDescent="0.15">
      <c r="B782" s="2"/>
      <c r="C782" s="4"/>
      <c r="D782" s="4"/>
      <c r="E782" s="4"/>
      <c r="I782" s="135"/>
      <c r="J782" s="135"/>
      <c r="K782" s="135"/>
      <c r="L782" s="135"/>
    </row>
    <row r="783" spans="2:12" ht="12" customHeight="1" x14ac:dyDescent="0.15">
      <c r="B783" s="2"/>
      <c r="C783" s="4"/>
      <c r="D783" s="4"/>
      <c r="E783" s="4"/>
      <c r="I783" s="135"/>
      <c r="J783" s="135"/>
      <c r="K783" s="135"/>
      <c r="L783" s="135"/>
    </row>
    <row r="784" spans="2:12" ht="12" customHeight="1" x14ac:dyDescent="0.15">
      <c r="B784" s="2"/>
      <c r="C784" s="4"/>
      <c r="D784" s="4"/>
      <c r="E784" s="4"/>
      <c r="I784" s="135"/>
      <c r="J784" s="135"/>
      <c r="K784" s="135"/>
      <c r="L784" s="135"/>
    </row>
    <row r="785" spans="2:12" ht="12" customHeight="1" x14ac:dyDescent="0.15">
      <c r="B785" s="2"/>
      <c r="C785" s="4"/>
      <c r="D785" s="4"/>
      <c r="E785" s="4"/>
      <c r="I785" s="135"/>
      <c r="J785" s="135"/>
      <c r="K785" s="135"/>
      <c r="L785" s="135"/>
    </row>
    <row r="786" spans="2:12" ht="12" customHeight="1" x14ac:dyDescent="0.15">
      <c r="B786" s="2"/>
      <c r="C786" s="4"/>
      <c r="D786" s="4"/>
      <c r="E786" s="4"/>
      <c r="I786" s="135"/>
      <c r="J786" s="135"/>
      <c r="K786" s="135"/>
      <c r="L786" s="135"/>
    </row>
    <row r="787" spans="2:12" ht="12" customHeight="1" x14ac:dyDescent="0.15">
      <c r="B787" s="2"/>
      <c r="C787" s="4"/>
      <c r="D787" s="4"/>
      <c r="E787" s="4"/>
      <c r="I787" s="135"/>
      <c r="J787" s="135"/>
      <c r="K787" s="135"/>
      <c r="L787" s="135"/>
    </row>
    <row r="788" spans="2:12" ht="12" customHeight="1" x14ac:dyDescent="0.15">
      <c r="B788" s="2"/>
      <c r="C788" s="4"/>
      <c r="D788" s="4"/>
      <c r="E788" s="4"/>
      <c r="I788" s="135"/>
      <c r="J788" s="135"/>
      <c r="K788" s="135"/>
      <c r="L788" s="135"/>
    </row>
    <row r="789" spans="2:12" ht="12" customHeight="1" x14ac:dyDescent="0.15">
      <c r="B789" s="2"/>
      <c r="C789" s="4"/>
      <c r="D789" s="4"/>
      <c r="E789" s="4"/>
      <c r="I789" s="135"/>
      <c r="J789" s="135"/>
      <c r="K789" s="135"/>
      <c r="L789" s="135"/>
    </row>
    <row r="790" spans="2:12" ht="12" customHeight="1" x14ac:dyDescent="0.15">
      <c r="B790" s="2"/>
      <c r="C790" s="4"/>
      <c r="D790" s="4"/>
      <c r="E790" s="4"/>
      <c r="I790" s="135"/>
      <c r="J790" s="135"/>
      <c r="K790" s="135"/>
      <c r="L790" s="135"/>
    </row>
    <row r="791" spans="2:12" ht="12" customHeight="1" x14ac:dyDescent="0.15">
      <c r="B791" s="2"/>
      <c r="C791" s="4"/>
      <c r="D791" s="4"/>
      <c r="E791" s="4"/>
      <c r="I791" s="135"/>
      <c r="J791" s="135"/>
      <c r="K791" s="135"/>
      <c r="L791" s="135"/>
    </row>
    <row r="792" spans="2:12" ht="12" customHeight="1" x14ac:dyDescent="0.15">
      <c r="B792" s="2"/>
      <c r="C792" s="4"/>
      <c r="D792" s="4"/>
      <c r="E792" s="4"/>
      <c r="I792" s="135"/>
      <c r="J792" s="135"/>
      <c r="K792" s="135"/>
      <c r="L792" s="135"/>
    </row>
    <row r="793" spans="2:12" ht="12" customHeight="1" x14ac:dyDescent="0.15">
      <c r="B793" s="2"/>
      <c r="C793" s="4"/>
      <c r="D793" s="4"/>
      <c r="E793" s="4"/>
      <c r="I793" s="135"/>
      <c r="J793" s="135"/>
      <c r="K793" s="135"/>
      <c r="L793" s="135"/>
    </row>
    <row r="794" spans="2:12" ht="12" customHeight="1" x14ac:dyDescent="0.15">
      <c r="B794" s="2"/>
      <c r="C794" s="4"/>
      <c r="D794" s="4"/>
      <c r="E794" s="4"/>
      <c r="I794" s="135"/>
      <c r="J794" s="135"/>
      <c r="K794" s="135"/>
      <c r="L794" s="135"/>
    </row>
    <row r="795" spans="2:12" ht="12" customHeight="1" x14ac:dyDescent="0.15">
      <c r="B795" s="2"/>
      <c r="C795" s="4"/>
      <c r="D795" s="4"/>
      <c r="E795" s="4"/>
      <c r="I795" s="135"/>
      <c r="J795" s="135"/>
      <c r="K795" s="135"/>
      <c r="L795" s="135"/>
    </row>
    <row r="796" spans="2:12" ht="12" customHeight="1" x14ac:dyDescent="0.15">
      <c r="B796" s="2"/>
      <c r="C796" s="4"/>
      <c r="D796" s="4"/>
      <c r="E796" s="4"/>
      <c r="I796" s="135"/>
      <c r="J796" s="135"/>
      <c r="K796" s="135"/>
      <c r="L796" s="135"/>
    </row>
    <row r="797" spans="2:12" ht="12" customHeight="1" x14ac:dyDescent="0.15">
      <c r="B797" s="2"/>
      <c r="C797" s="4"/>
      <c r="D797" s="4"/>
      <c r="E797" s="4"/>
      <c r="I797" s="135"/>
      <c r="J797" s="135"/>
      <c r="K797" s="135"/>
      <c r="L797" s="135"/>
    </row>
    <row r="798" spans="2:12" ht="12" customHeight="1" x14ac:dyDescent="0.15">
      <c r="B798" s="2"/>
      <c r="C798" s="4"/>
      <c r="D798" s="4"/>
      <c r="E798" s="4"/>
      <c r="I798" s="135"/>
      <c r="J798" s="135"/>
      <c r="K798" s="135"/>
      <c r="L798" s="135"/>
    </row>
    <row r="799" spans="2:12" ht="12" customHeight="1" x14ac:dyDescent="0.15">
      <c r="B799" s="2"/>
      <c r="C799" s="4"/>
      <c r="D799" s="4"/>
      <c r="E799" s="4"/>
      <c r="I799" s="135"/>
      <c r="J799" s="135"/>
      <c r="K799" s="135"/>
      <c r="L799" s="135"/>
    </row>
    <row r="800" spans="2:12" ht="12" customHeight="1" x14ac:dyDescent="0.15">
      <c r="B800" s="2"/>
      <c r="C800" s="4"/>
      <c r="D800" s="4"/>
      <c r="E800" s="4"/>
      <c r="I800" s="135"/>
      <c r="J800" s="135"/>
      <c r="K800" s="135"/>
      <c r="L800" s="135"/>
    </row>
    <row r="801" spans="2:12" ht="12" customHeight="1" x14ac:dyDescent="0.15">
      <c r="B801" s="2"/>
      <c r="C801" s="4"/>
      <c r="D801" s="4"/>
      <c r="E801" s="4"/>
      <c r="I801" s="135"/>
      <c r="J801" s="135"/>
      <c r="K801" s="135"/>
      <c r="L801" s="135"/>
    </row>
    <row r="802" spans="2:12" ht="12" customHeight="1" x14ac:dyDescent="0.15">
      <c r="B802" s="2"/>
      <c r="C802" s="4"/>
      <c r="D802" s="4"/>
      <c r="E802" s="4"/>
      <c r="I802" s="135"/>
      <c r="J802" s="135"/>
      <c r="K802" s="135"/>
      <c r="L802" s="135"/>
    </row>
    <row r="803" spans="2:12" ht="12" customHeight="1" x14ac:dyDescent="0.15">
      <c r="B803" s="2"/>
      <c r="C803" s="4"/>
      <c r="D803" s="4"/>
      <c r="E803" s="4"/>
      <c r="I803" s="135"/>
      <c r="J803" s="135"/>
      <c r="K803" s="135"/>
      <c r="L803" s="135"/>
    </row>
    <row r="804" spans="2:12" ht="12" customHeight="1" x14ac:dyDescent="0.15">
      <c r="B804" s="2"/>
      <c r="C804" s="4"/>
      <c r="D804" s="4"/>
      <c r="E804" s="4"/>
      <c r="I804" s="135"/>
      <c r="J804" s="135"/>
      <c r="K804" s="135"/>
      <c r="L804" s="135"/>
    </row>
    <row r="805" spans="2:12" ht="12" customHeight="1" x14ac:dyDescent="0.15">
      <c r="B805" s="2"/>
      <c r="C805" s="4"/>
      <c r="D805" s="4"/>
      <c r="E805" s="4"/>
      <c r="I805" s="135"/>
      <c r="J805" s="135"/>
      <c r="K805" s="135"/>
      <c r="L805" s="135"/>
    </row>
    <row r="806" spans="2:12" ht="12" customHeight="1" x14ac:dyDescent="0.15">
      <c r="B806" s="2"/>
      <c r="C806" s="4"/>
      <c r="D806" s="4"/>
      <c r="E806" s="4"/>
      <c r="I806" s="135"/>
      <c r="J806" s="135"/>
      <c r="K806" s="135"/>
      <c r="L806" s="135"/>
    </row>
    <row r="807" spans="2:12" ht="12" customHeight="1" x14ac:dyDescent="0.15">
      <c r="B807" s="2"/>
      <c r="C807" s="4"/>
      <c r="D807" s="4"/>
      <c r="E807" s="4"/>
      <c r="I807" s="135"/>
      <c r="J807" s="135"/>
      <c r="K807" s="135"/>
      <c r="L807" s="135"/>
    </row>
    <row r="808" spans="2:12" ht="12" customHeight="1" x14ac:dyDescent="0.15">
      <c r="B808" s="2"/>
      <c r="C808" s="4"/>
      <c r="D808" s="4"/>
      <c r="E808" s="4"/>
      <c r="I808" s="135"/>
      <c r="J808" s="135"/>
      <c r="K808" s="135"/>
      <c r="L808" s="135"/>
    </row>
    <row r="809" spans="2:12" ht="12" customHeight="1" x14ac:dyDescent="0.15">
      <c r="B809" s="2"/>
      <c r="C809" s="4"/>
      <c r="D809" s="4"/>
      <c r="E809" s="4"/>
      <c r="I809" s="135"/>
      <c r="J809" s="135"/>
      <c r="K809" s="135"/>
      <c r="L809" s="135"/>
    </row>
    <row r="810" spans="2:12" ht="12" customHeight="1" x14ac:dyDescent="0.15">
      <c r="B810" s="2"/>
      <c r="C810" s="4"/>
      <c r="D810" s="4"/>
      <c r="E810" s="4"/>
      <c r="I810" s="135"/>
      <c r="J810" s="135"/>
      <c r="K810" s="135"/>
      <c r="L810" s="135"/>
    </row>
    <row r="811" spans="2:12" ht="12" customHeight="1" x14ac:dyDescent="0.15">
      <c r="B811" s="2"/>
      <c r="C811" s="4"/>
      <c r="D811" s="4"/>
      <c r="E811" s="4"/>
      <c r="I811" s="135"/>
      <c r="J811" s="135"/>
      <c r="K811" s="135"/>
      <c r="L811" s="135"/>
    </row>
    <row r="812" spans="2:12" ht="12" customHeight="1" x14ac:dyDescent="0.15">
      <c r="B812" s="2"/>
      <c r="C812" s="4"/>
      <c r="D812" s="4"/>
      <c r="E812" s="4"/>
      <c r="I812" s="135"/>
      <c r="J812" s="135"/>
      <c r="K812" s="135"/>
      <c r="L812" s="135"/>
    </row>
    <row r="813" spans="2:12" ht="12" customHeight="1" x14ac:dyDescent="0.15">
      <c r="B813" s="2"/>
      <c r="C813" s="4"/>
      <c r="D813" s="4"/>
      <c r="E813" s="4"/>
      <c r="I813" s="135"/>
      <c r="J813" s="135"/>
      <c r="K813" s="135"/>
      <c r="L813" s="135"/>
    </row>
    <row r="814" spans="2:12" ht="12" customHeight="1" x14ac:dyDescent="0.15">
      <c r="B814" s="2"/>
      <c r="C814" s="4"/>
      <c r="D814" s="4"/>
      <c r="E814" s="4"/>
      <c r="I814" s="135"/>
      <c r="J814" s="135"/>
      <c r="K814" s="135"/>
      <c r="L814" s="135"/>
    </row>
    <row r="815" spans="2:12" ht="12" customHeight="1" x14ac:dyDescent="0.15">
      <c r="B815" s="2"/>
      <c r="C815" s="4"/>
      <c r="D815" s="4"/>
      <c r="E815" s="4"/>
      <c r="I815" s="135"/>
      <c r="J815" s="135"/>
      <c r="K815" s="135"/>
      <c r="L815" s="135"/>
    </row>
    <row r="816" spans="2:12" ht="12" customHeight="1" x14ac:dyDescent="0.15">
      <c r="B816" s="2"/>
      <c r="C816" s="4"/>
      <c r="D816" s="4"/>
      <c r="E816" s="4"/>
      <c r="I816" s="135"/>
      <c r="J816" s="135"/>
      <c r="K816" s="135"/>
      <c r="L816" s="135"/>
    </row>
    <row r="817" spans="2:12" ht="12" customHeight="1" x14ac:dyDescent="0.15">
      <c r="B817" s="2"/>
      <c r="C817" s="4"/>
      <c r="D817" s="4"/>
      <c r="E817" s="4"/>
      <c r="I817" s="135"/>
      <c r="J817" s="135"/>
      <c r="K817" s="135"/>
      <c r="L817" s="135"/>
    </row>
    <row r="818" spans="2:12" ht="12" customHeight="1" x14ac:dyDescent="0.15">
      <c r="B818" s="2"/>
      <c r="C818" s="4"/>
      <c r="D818" s="4"/>
      <c r="E818" s="4"/>
      <c r="I818" s="135"/>
      <c r="J818" s="135"/>
      <c r="K818" s="135"/>
      <c r="L818" s="135"/>
    </row>
    <row r="819" spans="2:12" ht="12" customHeight="1" x14ac:dyDescent="0.15">
      <c r="B819" s="2"/>
      <c r="C819" s="4"/>
      <c r="D819" s="4"/>
      <c r="E819" s="4"/>
      <c r="I819" s="135"/>
      <c r="J819" s="135"/>
      <c r="K819" s="135"/>
      <c r="L819" s="135"/>
    </row>
    <row r="820" spans="2:12" ht="12" customHeight="1" x14ac:dyDescent="0.15">
      <c r="B820" s="2"/>
      <c r="C820" s="4"/>
      <c r="D820" s="4"/>
      <c r="E820" s="4"/>
      <c r="I820" s="135"/>
      <c r="J820" s="135"/>
      <c r="K820" s="135"/>
      <c r="L820" s="135"/>
    </row>
    <row r="821" spans="2:12" ht="12" customHeight="1" x14ac:dyDescent="0.15">
      <c r="B821" s="2"/>
      <c r="C821" s="4"/>
      <c r="D821" s="4"/>
      <c r="E821" s="4"/>
      <c r="I821" s="135"/>
      <c r="J821" s="135"/>
      <c r="K821" s="135"/>
      <c r="L821" s="135"/>
    </row>
    <row r="822" spans="2:12" ht="12" customHeight="1" x14ac:dyDescent="0.15">
      <c r="B822" s="2"/>
      <c r="C822" s="4"/>
      <c r="D822" s="4"/>
      <c r="E822" s="4"/>
      <c r="I822" s="135"/>
      <c r="J822" s="135"/>
      <c r="K822" s="135"/>
      <c r="L822" s="135"/>
    </row>
    <row r="823" spans="2:12" ht="12" customHeight="1" x14ac:dyDescent="0.15">
      <c r="B823" s="2"/>
      <c r="C823" s="4"/>
      <c r="D823" s="4"/>
      <c r="E823" s="4"/>
      <c r="I823" s="135"/>
      <c r="J823" s="135"/>
      <c r="K823" s="135"/>
      <c r="L823" s="135"/>
    </row>
    <row r="824" spans="2:12" ht="12" customHeight="1" x14ac:dyDescent="0.15">
      <c r="B824" s="2"/>
      <c r="C824" s="4"/>
      <c r="D824" s="4"/>
      <c r="E824" s="4"/>
      <c r="I824" s="135"/>
      <c r="J824" s="135"/>
      <c r="K824" s="135"/>
      <c r="L824" s="135"/>
    </row>
    <row r="825" spans="2:12" ht="12" customHeight="1" x14ac:dyDescent="0.15">
      <c r="B825" s="2"/>
      <c r="C825" s="4"/>
      <c r="D825" s="4"/>
      <c r="E825" s="4"/>
      <c r="I825" s="135"/>
      <c r="J825" s="135"/>
      <c r="K825" s="135"/>
      <c r="L825" s="135"/>
    </row>
    <row r="826" spans="2:12" ht="12" customHeight="1" x14ac:dyDescent="0.15">
      <c r="B826" s="2"/>
      <c r="C826" s="4"/>
      <c r="D826" s="4"/>
      <c r="E826" s="4"/>
      <c r="I826" s="135"/>
      <c r="J826" s="135"/>
      <c r="K826" s="135"/>
      <c r="L826" s="135"/>
    </row>
    <row r="827" spans="2:12" ht="12" customHeight="1" x14ac:dyDescent="0.15">
      <c r="B827" s="2"/>
      <c r="C827" s="4"/>
      <c r="D827" s="4"/>
      <c r="E827" s="4"/>
      <c r="I827" s="135"/>
      <c r="J827" s="135"/>
      <c r="K827" s="135"/>
      <c r="L827" s="135"/>
    </row>
    <row r="828" spans="2:12" ht="12" customHeight="1" x14ac:dyDescent="0.15">
      <c r="B828" s="2"/>
      <c r="C828" s="4"/>
      <c r="D828" s="4"/>
      <c r="E828" s="4"/>
      <c r="I828" s="135"/>
      <c r="J828" s="135"/>
      <c r="K828" s="135"/>
      <c r="L828" s="135"/>
    </row>
    <row r="829" spans="2:12" ht="12" customHeight="1" x14ac:dyDescent="0.15">
      <c r="B829" s="2"/>
      <c r="C829" s="4"/>
      <c r="D829" s="4"/>
      <c r="E829" s="4"/>
      <c r="I829" s="135"/>
      <c r="J829" s="135"/>
      <c r="K829" s="135"/>
      <c r="L829" s="135"/>
    </row>
    <row r="830" spans="2:12" ht="12" customHeight="1" x14ac:dyDescent="0.15">
      <c r="B830" s="2"/>
      <c r="C830" s="4"/>
      <c r="D830" s="4"/>
      <c r="E830" s="4"/>
      <c r="I830" s="135"/>
      <c r="J830" s="135"/>
      <c r="K830" s="135"/>
      <c r="L830" s="135"/>
    </row>
    <row r="831" spans="2:12" ht="12" customHeight="1" x14ac:dyDescent="0.15">
      <c r="B831" s="2"/>
      <c r="C831" s="4"/>
      <c r="D831" s="4"/>
      <c r="E831" s="4"/>
      <c r="I831" s="135"/>
      <c r="J831" s="135"/>
      <c r="K831" s="135"/>
      <c r="L831" s="135"/>
    </row>
    <row r="832" spans="2:12" ht="12" customHeight="1" x14ac:dyDescent="0.15">
      <c r="B832" s="2"/>
      <c r="C832" s="4"/>
      <c r="D832" s="4"/>
      <c r="E832" s="4"/>
      <c r="I832" s="135"/>
      <c r="J832" s="135"/>
      <c r="K832" s="135"/>
      <c r="L832" s="135"/>
    </row>
    <row r="833" spans="2:12" ht="12" customHeight="1" x14ac:dyDescent="0.15">
      <c r="B833" s="2"/>
      <c r="C833" s="4"/>
      <c r="D833" s="4"/>
      <c r="E833" s="4"/>
      <c r="I833" s="135"/>
      <c r="J833" s="135"/>
      <c r="K833" s="135"/>
      <c r="L833" s="135"/>
    </row>
    <row r="834" spans="2:12" ht="12" customHeight="1" x14ac:dyDescent="0.15">
      <c r="B834" s="2"/>
      <c r="C834" s="4"/>
      <c r="D834" s="4"/>
      <c r="E834" s="4"/>
      <c r="I834" s="135"/>
      <c r="J834" s="135"/>
      <c r="K834" s="135"/>
      <c r="L834" s="135"/>
    </row>
    <row r="835" spans="2:12" ht="12" customHeight="1" x14ac:dyDescent="0.15">
      <c r="B835" s="2"/>
      <c r="C835" s="4"/>
      <c r="D835" s="4"/>
      <c r="E835" s="4"/>
      <c r="I835" s="135"/>
      <c r="J835" s="135"/>
      <c r="K835" s="135"/>
      <c r="L835" s="135"/>
    </row>
    <row r="836" spans="2:12" ht="12" customHeight="1" x14ac:dyDescent="0.15">
      <c r="B836" s="2"/>
      <c r="C836" s="4"/>
      <c r="D836" s="4"/>
      <c r="E836" s="4"/>
      <c r="I836" s="135"/>
      <c r="J836" s="135"/>
      <c r="K836" s="135"/>
      <c r="L836" s="135"/>
    </row>
    <row r="837" spans="2:12" ht="12" customHeight="1" x14ac:dyDescent="0.15">
      <c r="B837" s="2"/>
      <c r="C837" s="4"/>
      <c r="D837" s="4"/>
      <c r="E837" s="4"/>
      <c r="I837" s="135"/>
      <c r="J837" s="135"/>
      <c r="K837" s="135"/>
      <c r="L837" s="135"/>
    </row>
    <row r="838" spans="2:12" ht="12" customHeight="1" x14ac:dyDescent="0.15">
      <c r="B838" s="2"/>
      <c r="C838" s="4"/>
      <c r="D838" s="4"/>
      <c r="E838" s="4"/>
      <c r="I838" s="135"/>
      <c r="J838" s="135"/>
      <c r="K838" s="135"/>
      <c r="L838" s="135"/>
    </row>
    <row r="839" spans="2:12" ht="12" customHeight="1" x14ac:dyDescent="0.15">
      <c r="B839" s="2"/>
      <c r="C839" s="4"/>
      <c r="D839" s="4"/>
      <c r="E839" s="4"/>
      <c r="I839" s="135"/>
      <c r="J839" s="135"/>
      <c r="K839" s="135"/>
      <c r="L839" s="135"/>
    </row>
    <row r="840" spans="2:12" ht="12" customHeight="1" x14ac:dyDescent="0.15">
      <c r="B840" s="2"/>
      <c r="C840" s="4"/>
      <c r="D840" s="4"/>
      <c r="E840" s="4"/>
      <c r="I840" s="135"/>
      <c r="J840" s="135"/>
      <c r="K840" s="135"/>
      <c r="L840" s="135"/>
    </row>
    <row r="841" spans="2:12" ht="12" customHeight="1" x14ac:dyDescent="0.15">
      <c r="B841" s="2"/>
      <c r="C841" s="4"/>
      <c r="D841" s="4"/>
      <c r="E841" s="4"/>
      <c r="I841" s="135"/>
      <c r="J841" s="135"/>
      <c r="K841" s="135"/>
      <c r="L841" s="135"/>
    </row>
    <row r="842" spans="2:12" ht="12" customHeight="1" x14ac:dyDescent="0.15">
      <c r="B842" s="2"/>
      <c r="C842" s="4"/>
      <c r="D842" s="4"/>
      <c r="E842" s="4"/>
      <c r="I842" s="135"/>
      <c r="J842" s="135"/>
      <c r="K842" s="135"/>
      <c r="L842" s="135"/>
    </row>
    <row r="843" spans="2:12" ht="12" customHeight="1" x14ac:dyDescent="0.15">
      <c r="B843" s="2"/>
      <c r="C843" s="4"/>
      <c r="D843" s="4"/>
      <c r="E843" s="4"/>
      <c r="I843" s="135"/>
      <c r="J843" s="135"/>
      <c r="K843" s="135"/>
      <c r="L843" s="135"/>
    </row>
    <row r="844" spans="2:12" ht="12" customHeight="1" x14ac:dyDescent="0.15">
      <c r="B844" s="2"/>
      <c r="C844" s="4"/>
      <c r="D844" s="4"/>
      <c r="E844" s="4"/>
      <c r="I844" s="135"/>
      <c r="J844" s="135"/>
      <c r="K844" s="135"/>
      <c r="L844" s="135"/>
    </row>
    <row r="845" spans="2:12" ht="12" customHeight="1" x14ac:dyDescent="0.15">
      <c r="B845" s="2"/>
      <c r="C845" s="4"/>
      <c r="D845" s="4"/>
      <c r="E845" s="4"/>
      <c r="I845" s="135"/>
      <c r="J845" s="135"/>
      <c r="K845" s="135"/>
      <c r="L845" s="135"/>
    </row>
    <row r="846" spans="2:12" ht="12" customHeight="1" x14ac:dyDescent="0.15">
      <c r="B846" s="2"/>
      <c r="C846" s="4"/>
      <c r="D846" s="4"/>
      <c r="E846" s="4"/>
      <c r="I846" s="135"/>
      <c r="J846" s="135"/>
      <c r="K846" s="135"/>
      <c r="L846" s="135"/>
    </row>
    <row r="847" spans="2:12" ht="12" customHeight="1" x14ac:dyDescent="0.15">
      <c r="B847" s="2"/>
      <c r="C847" s="4"/>
      <c r="D847" s="4"/>
      <c r="E847" s="4"/>
      <c r="I847" s="135"/>
      <c r="J847" s="135"/>
      <c r="K847" s="135"/>
      <c r="L847" s="135"/>
    </row>
    <row r="848" spans="2:12" ht="12" customHeight="1" x14ac:dyDescent="0.15">
      <c r="B848" s="2"/>
      <c r="C848" s="4"/>
      <c r="D848" s="4"/>
      <c r="E848" s="4"/>
      <c r="I848" s="135"/>
      <c r="J848" s="135"/>
      <c r="K848" s="135"/>
      <c r="L848" s="135"/>
    </row>
    <row r="849" spans="2:12" ht="12" customHeight="1" x14ac:dyDescent="0.15">
      <c r="B849" s="2"/>
      <c r="C849" s="4"/>
      <c r="D849" s="4"/>
      <c r="E849" s="4"/>
      <c r="I849" s="135"/>
      <c r="J849" s="135"/>
      <c r="K849" s="135"/>
      <c r="L849" s="135"/>
    </row>
    <row r="850" spans="2:12" ht="12" customHeight="1" x14ac:dyDescent="0.15">
      <c r="B850" s="2"/>
      <c r="C850" s="4"/>
      <c r="D850" s="4"/>
      <c r="E850" s="4"/>
      <c r="I850" s="135"/>
      <c r="J850" s="135"/>
      <c r="K850" s="135"/>
      <c r="L850" s="135"/>
    </row>
    <row r="851" spans="2:12" ht="12" customHeight="1" x14ac:dyDescent="0.15">
      <c r="B851" s="2"/>
      <c r="C851" s="4"/>
      <c r="D851" s="4"/>
      <c r="E851" s="4"/>
      <c r="I851" s="135"/>
      <c r="J851" s="135"/>
      <c r="K851" s="135"/>
      <c r="L851" s="135"/>
    </row>
    <row r="852" spans="2:12" ht="12" customHeight="1" x14ac:dyDescent="0.15">
      <c r="B852" s="2"/>
      <c r="C852" s="4"/>
      <c r="D852" s="4"/>
      <c r="E852" s="4"/>
      <c r="I852" s="135"/>
      <c r="J852" s="135"/>
      <c r="K852" s="135"/>
      <c r="L852" s="135"/>
    </row>
    <row r="853" spans="2:12" ht="12" customHeight="1" x14ac:dyDescent="0.15">
      <c r="B853" s="2"/>
      <c r="C853" s="4"/>
      <c r="D853" s="4"/>
      <c r="E853" s="4"/>
      <c r="I853" s="135"/>
      <c r="J853" s="135"/>
      <c r="K853" s="135"/>
      <c r="L853" s="135"/>
    </row>
    <row r="854" spans="2:12" ht="12" customHeight="1" x14ac:dyDescent="0.15">
      <c r="B854" s="2"/>
      <c r="C854" s="4"/>
      <c r="D854" s="4"/>
      <c r="E854" s="4"/>
      <c r="I854" s="135"/>
      <c r="J854" s="135"/>
      <c r="K854" s="135"/>
      <c r="L854" s="135"/>
    </row>
    <row r="855" spans="2:12" ht="12" customHeight="1" x14ac:dyDescent="0.15">
      <c r="B855" s="2"/>
      <c r="C855" s="4"/>
      <c r="D855" s="4"/>
      <c r="E855" s="4"/>
      <c r="I855" s="135"/>
      <c r="J855" s="135"/>
      <c r="K855" s="135"/>
      <c r="L855" s="135"/>
    </row>
    <row r="856" spans="2:12" ht="12" customHeight="1" x14ac:dyDescent="0.15">
      <c r="B856" s="2"/>
      <c r="C856" s="4"/>
      <c r="D856" s="4"/>
      <c r="E856" s="4"/>
      <c r="I856" s="135"/>
      <c r="J856" s="135"/>
      <c r="K856" s="135"/>
      <c r="L856" s="135"/>
    </row>
    <row r="857" spans="2:12" ht="12" customHeight="1" x14ac:dyDescent="0.15">
      <c r="B857" s="2"/>
      <c r="C857" s="4"/>
      <c r="D857" s="4"/>
      <c r="E857" s="4"/>
      <c r="I857" s="135"/>
      <c r="J857" s="135"/>
      <c r="K857" s="135"/>
      <c r="L857" s="135"/>
    </row>
    <row r="858" spans="2:12" ht="12" customHeight="1" x14ac:dyDescent="0.15">
      <c r="B858" s="2"/>
      <c r="C858" s="4"/>
      <c r="D858" s="4"/>
      <c r="E858" s="4"/>
      <c r="I858" s="135"/>
      <c r="J858" s="135"/>
      <c r="K858" s="135"/>
      <c r="L858" s="135"/>
    </row>
    <row r="859" spans="2:12" ht="12" customHeight="1" x14ac:dyDescent="0.15">
      <c r="B859" s="2"/>
      <c r="C859" s="4"/>
      <c r="D859" s="4"/>
      <c r="E859" s="4"/>
      <c r="I859" s="135"/>
      <c r="J859" s="135"/>
      <c r="K859" s="135"/>
      <c r="L859" s="135"/>
    </row>
    <row r="860" spans="2:12" ht="12" customHeight="1" x14ac:dyDescent="0.15">
      <c r="B860" s="2"/>
      <c r="C860" s="4"/>
      <c r="D860" s="4"/>
      <c r="E860" s="4"/>
      <c r="I860" s="135"/>
      <c r="J860" s="135"/>
      <c r="K860" s="135"/>
      <c r="L860" s="135"/>
    </row>
    <row r="861" spans="2:12" ht="12" customHeight="1" x14ac:dyDescent="0.15">
      <c r="B861" s="2"/>
      <c r="C861" s="4"/>
      <c r="D861" s="4"/>
      <c r="E861" s="4"/>
      <c r="I861" s="135"/>
      <c r="J861" s="135"/>
      <c r="K861" s="135"/>
      <c r="L861" s="135"/>
    </row>
    <row r="862" spans="2:12" ht="12" customHeight="1" x14ac:dyDescent="0.15">
      <c r="B862" s="2"/>
      <c r="C862" s="4"/>
      <c r="D862" s="4"/>
      <c r="E862" s="4"/>
      <c r="I862" s="135"/>
      <c r="J862" s="135"/>
      <c r="K862" s="135"/>
      <c r="L862" s="135"/>
    </row>
    <row r="863" spans="2:12" ht="12" customHeight="1" x14ac:dyDescent="0.15">
      <c r="B863" s="2"/>
      <c r="C863" s="4"/>
      <c r="D863" s="4"/>
      <c r="E863" s="4"/>
      <c r="I863" s="135"/>
      <c r="J863" s="135"/>
      <c r="K863" s="135"/>
      <c r="L863" s="135"/>
    </row>
    <row r="864" spans="2:12" ht="12" customHeight="1" x14ac:dyDescent="0.15">
      <c r="B864" s="2"/>
      <c r="C864" s="4"/>
      <c r="D864" s="4"/>
      <c r="E864" s="4"/>
      <c r="I864" s="135"/>
      <c r="J864" s="135"/>
      <c r="K864" s="135"/>
      <c r="L864" s="135"/>
    </row>
    <row r="865" spans="2:12" ht="12" customHeight="1" x14ac:dyDescent="0.15">
      <c r="B865" s="2"/>
      <c r="C865" s="4"/>
      <c r="D865" s="4"/>
      <c r="E865" s="4"/>
      <c r="I865" s="135"/>
      <c r="J865" s="135"/>
      <c r="K865" s="135"/>
      <c r="L865" s="135"/>
    </row>
    <row r="866" spans="2:12" ht="12" customHeight="1" x14ac:dyDescent="0.15">
      <c r="B866" s="2"/>
      <c r="C866" s="4"/>
      <c r="D866" s="4"/>
      <c r="E866" s="4"/>
      <c r="I866" s="135"/>
      <c r="J866" s="135"/>
      <c r="K866" s="135"/>
      <c r="L866" s="135"/>
    </row>
    <row r="867" spans="2:12" ht="12" customHeight="1" x14ac:dyDescent="0.15">
      <c r="B867" s="2"/>
      <c r="C867" s="4"/>
      <c r="D867" s="4"/>
      <c r="E867" s="4"/>
      <c r="I867" s="135"/>
      <c r="J867" s="135"/>
      <c r="K867" s="135"/>
      <c r="L867" s="135"/>
    </row>
    <row r="868" spans="2:12" ht="12" customHeight="1" x14ac:dyDescent="0.15">
      <c r="B868" s="2"/>
      <c r="C868" s="4"/>
      <c r="D868" s="4"/>
      <c r="E868" s="4"/>
      <c r="I868" s="135"/>
      <c r="J868" s="135"/>
      <c r="K868" s="135"/>
      <c r="L868" s="135"/>
    </row>
    <row r="869" spans="2:12" ht="12" customHeight="1" x14ac:dyDescent="0.15">
      <c r="B869" s="2"/>
      <c r="C869" s="4"/>
      <c r="D869" s="4"/>
      <c r="E869" s="4"/>
      <c r="I869" s="135"/>
      <c r="J869" s="135"/>
      <c r="K869" s="135"/>
      <c r="L869" s="135"/>
    </row>
    <row r="870" spans="2:12" ht="12" customHeight="1" x14ac:dyDescent="0.15">
      <c r="B870" s="2"/>
      <c r="C870" s="4"/>
      <c r="D870" s="4"/>
      <c r="E870" s="4"/>
      <c r="I870" s="135"/>
      <c r="J870" s="135"/>
      <c r="K870" s="135"/>
      <c r="L870" s="135"/>
    </row>
    <row r="871" spans="2:12" ht="12" customHeight="1" x14ac:dyDescent="0.15">
      <c r="B871" s="2"/>
      <c r="C871" s="4"/>
      <c r="D871" s="4"/>
      <c r="E871" s="4"/>
      <c r="I871" s="135"/>
      <c r="J871" s="135"/>
      <c r="K871" s="135"/>
      <c r="L871" s="135"/>
    </row>
    <row r="872" spans="2:12" ht="12" customHeight="1" x14ac:dyDescent="0.15">
      <c r="B872" s="2"/>
      <c r="C872" s="4"/>
      <c r="D872" s="4"/>
      <c r="E872" s="4"/>
      <c r="I872" s="135"/>
      <c r="J872" s="135"/>
      <c r="K872" s="135"/>
      <c r="L872" s="135"/>
    </row>
    <row r="873" spans="2:12" ht="12" customHeight="1" x14ac:dyDescent="0.15">
      <c r="B873" s="2"/>
      <c r="C873" s="4"/>
      <c r="D873" s="4"/>
      <c r="E873" s="4"/>
      <c r="I873" s="135"/>
      <c r="J873" s="135"/>
      <c r="K873" s="135"/>
      <c r="L873" s="135"/>
    </row>
    <row r="874" spans="2:12" ht="12" customHeight="1" x14ac:dyDescent="0.15">
      <c r="B874" s="2"/>
      <c r="C874" s="4"/>
      <c r="D874" s="4"/>
      <c r="E874" s="4"/>
      <c r="I874" s="135"/>
      <c r="J874" s="135"/>
      <c r="K874" s="135"/>
      <c r="L874" s="135"/>
    </row>
    <row r="875" spans="2:12" ht="12" customHeight="1" x14ac:dyDescent="0.15">
      <c r="B875" s="2"/>
      <c r="C875" s="4"/>
      <c r="D875" s="4"/>
      <c r="E875" s="4"/>
      <c r="I875" s="135"/>
      <c r="J875" s="135"/>
      <c r="K875" s="135"/>
      <c r="L875" s="135"/>
    </row>
    <row r="876" spans="2:12" ht="12" customHeight="1" x14ac:dyDescent="0.15">
      <c r="B876" s="2"/>
      <c r="C876" s="4"/>
      <c r="D876" s="4"/>
      <c r="E876" s="4"/>
      <c r="I876" s="135"/>
      <c r="J876" s="135"/>
      <c r="K876" s="135"/>
      <c r="L876" s="135"/>
    </row>
    <row r="877" spans="2:12" ht="12" customHeight="1" x14ac:dyDescent="0.15">
      <c r="B877" s="2"/>
      <c r="C877" s="4"/>
      <c r="D877" s="4"/>
      <c r="E877" s="4"/>
      <c r="I877" s="135"/>
      <c r="J877" s="135"/>
      <c r="K877" s="135"/>
      <c r="L877" s="135"/>
    </row>
    <row r="878" spans="2:12" ht="12" customHeight="1" x14ac:dyDescent="0.15">
      <c r="B878" s="2"/>
      <c r="C878" s="4"/>
      <c r="D878" s="4"/>
      <c r="E878" s="4"/>
      <c r="I878" s="135"/>
      <c r="J878" s="135"/>
      <c r="K878" s="135"/>
      <c r="L878" s="135"/>
    </row>
    <row r="879" spans="2:12" ht="12" customHeight="1" x14ac:dyDescent="0.15">
      <c r="B879" s="2"/>
      <c r="C879" s="4"/>
      <c r="D879" s="4"/>
      <c r="E879" s="4"/>
      <c r="I879" s="135"/>
      <c r="J879" s="135"/>
      <c r="K879" s="135"/>
      <c r="L879" s="135"/>
    </row>
    <row r="880" spans="2:12" ht="12" customHeight="1" x14ac:dyDescent="0.15">
      <c r="B880" s="2"/>
      <c r="C880" s="4"/>
      <c r="D880" s="4"/>
      <c r="E880" s="4"/>
      <c r="I880" s="135"/>
      <c r="J880" s="135"/>
      <c r="K880" s="135"/>
      <c r="L880" s="135"/>
    </row>
    <row r="881" spans="2:12" ht="12" customHeight="1" x14ac:dyDescent="0.15">
      <c r="B881" s="2"/>
      <c r="C881" s="4"/>
      <c r="D881" s="4"/>
      <c r="E881" s="4"/>
      <c r="I881" s="135"/>
      <c r="J881" s="135"/>
      <c r="K881" s="135"/>
      <c r="L881" s="135"/>
    </row>
    <row r="882" spans="2:12" ht="12" customHeight="1" x14ac:dyDescent="0.15">
      <c r="B882" s="2"/>
      <c r="C882" s="4"/>
      <c r="D882" s="4"/>
      <c r="E882" s="4"/>
      <c r="I882" s="135"/>
      <c r="J882" s="135"/>
      <c r="K882" s="135"/>
      <c r="L882" s="135"/>
    </row>
    <row r="883" spans="2:12" ht="12" customHeight="1" x14ac:dyDescent="0.15">
      <c r="B883" s="2"/>
      <c r="C883" s="4"/>
      <c r="D883" s="4"/>
      <c r="E883" s="4"/>
      <c r="I883" s="135"/>
      <c r="J883" s="135"/>
      <c r="K883" s="135"/>
      <c r="L883" s="135"/>
    </row>
    <row r="884" spans="2:12" ht="12" customHeight="1" x14ac:dyDescent="0.15">
      <c r="B884" s="2"/>
      <c r="C884" s="4"/>
      <c r="D884" s="4"/>
      <c r="E884" s="4"/>
      <c r="I884" s="135"/>
      <c r="J884" s="135"/>
      <c r="K884" s="135"/>
      <c r="L884" s="135"/>
    </row>
    <row r="885" spans="2:12" ht="12" customHeight="1" x14ac:dyDescent="0.15">
      <c r="B885" s="2"/>
      <c r="C885" s="4"/>
      <c r="D885" s="4"/>
      <c r="E885" s="4"/>
      <c r="I885" s="135"/>
      <c r="J885" s="135"/>
      <c r="K885" s="135"/>
      <c r="L885" s="135"/>
    </row>
    <row r="886" spans="2:12" ht="12" customHeight="1" x14ac:dyDescent="0.15">
      <c r="B886" s="2"/>
      <c r="C886" s="4"/>
      <c r="D886" s="4"/>
      <c r="E886" s="4"/>
      <c r="I886" s="135"/>
      <c r="J886" s="135"/>
      <c r="K886" s="135"/>
      <c r="L886" s="135"/>
    </row>
    <row r="887" spans="2:12" ht="12" customHeight="1" x14ac:dyDescent="0.15">
      <c r="B887" s="2"/>
      <c r="C887" s="4"/>
      <c r="D887" s="4"/>
      <c r="E887" s="4"/>
      <c r="I887" s="135"/>
      <c r="J887" s="135"/>
      <c r="K887" s="135"/>
      <c r="L887" s="135"/>
    </row>
    <row r="888" spans="2:12" ht="12" customHeight="1" x14ac:dyDescent="0.15">
      <c r="B888" s="2"/>
      <c r="C888" s="4"/>
      <c r="D888" s="4"/>
      <c r="E888" s="4"/>
      <c r="I888" s="135"/>
      <c r="J888" s="135"/>
      <c r="K888" s="135"/>
      <c r="L888" s="135"/>
    </row>
    <row r="889" spans="2:12" ht="12" customHeight="1" x14ac:dyDescent="0.15">
      <c r="B889" s="2"/>
      <c r="C889" s="4"/>
      <c r="D889" s="4"/>
      <c r="E889" s="4"/>
      <c r="I889" s="135"/>
      <c r="J889" s="135"/>
      <c r="K889" s="135"/>
      <c r="L889" s="135"/>
    </row>
    <row r="890" spans="2:12" ht="12" customHeight="1" x14ac:dyDescent="0.15">
      <c r="B890" s="2"/>
      <c r="C890" s="4"/>
      <c r="D890" s="4"/>
      <c r="E890" s="4"/>
      <c r="I890" s="135"/>
      <c r="J890" s="135"/>
      <c r="K890" s="135"/>
      <c r="L890" s="135"/>
    </row>
    <row r="891" spans="2:12" ht="12" customHeight="1" x14ac:dyDescent="0.15">
      <c r="B891" s="2"/>
      <c r="C891" s="4"/>
      <c r="D891" s="4"/>
      <c r="E891" s="4"/>
      <c r="I891" s="135"/>
      <c r="J891" s="135"/>
      <c r="K891" s="135"/>
      <c r="L891" s="135"/>
    </row>
    <row r="892" spans="2:12" ht="12" customHeight="1" x14ac:dyDescent="0.15">
      <c r="B892" s="2"/>
      <c r="C892" s="4"/>
      <c r="D892" s="4"/>
      <c r="E892" s="4"/>
      <c r="I892" s="135"/>
      <c r="J892" s="135"/>
      <c r="K892" s="135"/>
      <c r="L892" s="135"/>
    </row>
    <row r="893" spans="2:12" ht="12" customHeight="1" x14ac:dyDescent="0.15">
      <c r="B893" s="2"/>
      <c r="C893" s="4"/>
      <c r="D893" s="4"/>
      <c r="E893" s="4"/>
      <c r="I893" s="135"/>
      <c r="J893" s="135"/>
      <c r="K893" s="135"/>
      <c r="L893" s="135"/>
    </row>
    <row r="894" spans="2:12" ht="12" customHeight="1" x14ac:dyDescent="0.15">
      <c r="B894" s="2"/>
      <c r="C894" s="4"/>
      <c r="D894" s="4"/>
      <c r="E894" s="4"/>
      <c r="I894" s="135"/>
      <c r="J894" s="135"/>
      <c r="K894" s="135"/>
      <c r="L894" s="135"/>
    </row>
    <row r="895" spans="2:12" ht="12" customHeight="1" x14ac:dyDescent="0.15">
      <c r="B895" s="2"/>
      <c r="C895" s="4"/>
      <c r="D895" s="4"/>
      <c r="E895" s="4"/>
      <c r="I895" s="135"/>
      <c r="J895" s="135"/>
      <c r="K895" s="135"/>
      <c r="L895" s="135"/>
    </row>
    <row r="896" spans="2:12" ht="12" customHeight="1" x14ac:dyDescent="0.15">
      <c r="B896" s="2"/>
      <c r="C896" s="4"/>
      <c r="D896" s="4"/>
      <c r="E896" s="4"/>
      <c r="I896" s="135"/>
      <c r="J896" s="135"/>
      <c r="K896" s="135"/>
      <c r="L896" s="135"/>
    </row>
    <row r="897" spans="2:12" ht="12" customHeight="1" x14ac:dyDescent="0.15">
      <c r="B897" s="2"/>
      <c r="C897" s="4"/>
      <c r="D897" s="4"/>
      <c r="E897" s="4"/>
      <c r="I897" s="135"/>
      <c r="J897" s="135"/>
      <c r="K897" s="135"/>
      <c r="L897" s="135"/>
    </row>
    <row r="898" spans="2:12" ht="12" customHeight="1" x14ac:dyDescent="0.15">
      <c r="B898" s="2"/>
      <c r="C898" s="4"/>
      <c r="D898" s="4"/>
      <c r="E898" s="4"/>
      <c r="I898" s="135"/>
      <c r="J898" s="135"/>
      <c r="K898" s="135"/>
      <c r="L898" s="135"/>
    </row>
    <row r="899" spans="2:12" ht="12" customHeight="1" x14ac:dyDescent="0.15">
      <c r="B899" s="2"/>
      <c r="C899" s="4"/>
      <c r="D899" s="4"/>
      <c r="E899" s="4"/>
      <c r="I899" s="135"/>
      <c r="J899" s="135"/>
      <c r="K899" s="135"/>
      <c r="L899" s="135"/>
    </row>
    <row r="900" spans="2:12" ht="12" customHeight="1" x14ac:dyDescent="0.15">
      <c r="B900" s="2"/>
      <c r="C900" s="4"/>
      <c r="D900" s="4"/>
      <c r="E900" s="4"/>
      <c r="I900" s="135"/>
      <c r="J900" s="135"/>
      <c r="K900" s="135"/>
      <c r="L900" s="135"/>
    </row>
    <row r="901" spans="2:12" ht="12" customHeight="1" x14ac:dyDescent="0.15">
      <c r="B901" s="2"/>
      <c r="C901" s="4"/>
      <c r="D901" s="4"/>
      <c r="E901" s="4"/>
      <c r="I901" s="135"/>
      <c r="J901" s="135"/>
      <c r="K901" s="135"/>
      <c r="L901" s="135"/>
    </row>
    <row r="902" spans="2:12" ht="12" customHeight="1" x14ac:dyDescent="0.15">
      <c r="B902" s="2"/>
      <c r="C902" s="4"/>
      <c r="D902" s="4"/>
      <c r="E902" s="4"/>
      <c r="I902" s="135"/>
      <c r="J902" s="135"/>
      <c r="K902" s="135"/>
      <c r="L902" s="135"/>
    </row>
    <row r="903" spans="2:12" ht="12" customHeight="1" x14ac:dyDescent="0.15">
      <c r="B903" s="2"/>
      <c r="C903" s="4"/>
      <c r="D903" s="4"/>
      <c r="E903" s="4"/>
      <c r="I903" s="135"/>
      <c r="J903" s="135"/>
      <c r="K903" s="135"/>
      <c r="L903" s="135"/>
    </row>
    <row r="904" spans="2:12" ht="12" customHeight="1" x14ac:dyDescent="0.15">
      <c r="B904" s="2"/>
      <c r="C904" s="4"/>
      <c r="D904" s="4"/>
      <c r="E904" s="4"/>
      <c r="I904" s="135"/>
      <c r="J904" s="135"/>
      <c r="K904" s="135"/>
      <c r="L904" s="135"/>
    </row>
    <row r="905" spans="2:12" ht="12" customHeight="1" x14ac:dyDescent="0.15">
      <c r="B905" s="2"/>
      <c r="C905" s="4"/>
      <c r="D905" s="4"/>
      <c r="E905" s="4"/>
      <c r="I905" s="135"/>
      <c r="J905" s="135"/>
      <c r="K905" s="135"/>
      <c r="L905" s="135"/>
    </row>
    <row r="906" spans="2:12" ht="12" customHeight="1" x14ac:dyDescent="0.15">
      <c r="B906" s="2"/>
      <c r="C906" s="4"/>
      <c r="D906" s="4"/>
      <c r="E906" s="4"/>
      <c r="I906" s="135"/>
      <c r="J906" s="135"/>
      <c r="K906" s="135"/>
      <c r="L906" s="135"/>
    </row>
    <row r="907" spans="2:12" ht="12" customHeight="1" x14ac:dyDescent="0.15">
      <c r="B907" s="2"/>
      <c r="C907" s="4"/>
      <c r="D907" s="4"/>
      <c r="E907" s="4"/>
      <c r="I907" s="135"/>
      <c r="J907" s="135"/>
      <c r="K907" s="135"/>
      <c r="L907" s="135"/>
    </row>
    <row r="908" spans="2:12" ht="12" customHeight="1" x14ac:dyDescent="0.15">
      <c r="B908" s="2"/>
      <c r="C908" s="4"/>
      <c r="D908" s="4"/>
      <c r="E908" s="4"/>
      <c r="I908" s="135"/>
      <c r="J908" s="135"/>
      <c r="K908" s="135"/>
      <c r="L908" s="135"/>
    </row>
    <row r="909" spans="2:12" ht="12" customHeight="1" x14ac:dyDescent="0.15">
      <c r="B909" s="2"/>
      <c r="C909" s="4"/>
      <c r="D909" s="4"/>
      <c r="E909" s="4"/>
      <c r="I909" s="135"/>
      <c r="J909" s="135"/>
      <c r="K909" s="135"/>
      <c r="L909" s="135"/>
    </row>
    <row r="910" spans="2:12" ht="12" customHeight="1" x14ac:dyDescent="0.15">
      <c r="B910" s="2"/>
      <c r="C910" s="4"/>
      <c r="D910" s="4"/>
      <c r="E910" s="4"/>
      <c r="I910" s="135"/>
      <c r="J910" s="135"/>
      <c r="K910" s="135"/>
      <c r="L910" s="135"/>
    </row>
    <row r="911" spans="2:12" ht="12" customHeight="1" x14ac:dyDescent="0.15">
      <c r="B911" s="2"/>
      <c r="C911" s="4"/>
      <c r="D911" s="4"/>
      <c r="E911" s="4"/>
      <c r="I911" s="135"/>
      <c r="J911" s="135"/>
      <c r="K911" s="135"/>
      <c r="L911" s="135"/>
    </row>
    <row r="912" spans="2:12" ht="12" customHeight="1" x14ac:dyDescent="0.15">
      <c r="B912" s="2"/>
      <c r="C912" s="4"/>
      <c r="D912" s="4"/>
      <c r="E912" s="4"/>
      <c r="I912" s="135"/>
      <c r="J912" s="135"/>
      <c r="K912" s="135"/>
      <c r="L912" s="135"/>
    </row>
    <row r="913" spans="2:12" ht="12" customHeight="1" x14ac:dyDescent="0.15">
      <c r="B913" s="2"/>
      <c r="C913" s="4"/>
      <c r="D913" s="4"/>
      <c r="E913" s="4"/>
      <c r="I913" s="135"/>
      <c r="J913" s="135"/>
      <c r="K913" s="135"/>
      <c r="L913" s="135"/>
    </row>
    <row r="914" spans="2:12" ht="12" customHeight="1" x14ac:dyDescent="0.15">
      <c r="B914" s="2"/>
      <c r="C914" s="4"/>
      <c r="D914" s="4"/>
      <c r="E914" s="4"/>
      <c r="I914" s="135"/>
      <c r="J914" s="135"/>
      <c r="K914" s="135"/>
      <c r="L914" s="135"/>
    </row>
    <row r="915" spans="2:12" ht="12" customHeight="1" x14ac:dyDescent="0.15">
      <c r="B915" s="2"/>
      <c r="C915" s="4"/>
      <c r="D915" s="4"/>
      <c r="E915" s="4"/>
      <c r="I915" s="135"/>
      <c r="J915" s="135"/>
      <c r="K915" s="135"/>
      <c r="L915" s="135"/>
    </row>
    <row r="916" spans="2:12" ht="12" customHeight="1" x14ac:dyDescent="0.15">
      <c r="B916" s="2"/>
      <c r="C916" s="4"/>
      <c r="D916" s="4"/>
      <c r="E916" s="4"/>
      <c r="I916" s="135"/>
      <c r="J916" s="135"/>
      <c r="K916" s="135"/>
      <c r="L916" s="135"/>
    </row>
    <row r="917" spans="2:12" ht="12" customHeight="1" x14ac:dyDescent="0.15">
      <c r="B917" s="2"/>
      <c r="C917" s="4"/>
      <c r="D917" s="4"/>
      <c r="E917" s="4"/>
      <c r="I917" s="135"/>
      <c r="J917" s="135"/>
      <c r="K917" s="135"/>
      <c r="L917" s="135"/>
    </row>
    <row r="918" spans="2:12" ht="12" customHeight="1" x14ac:dyDescent="0.15">
      <c r="B918" s="2"/>
      <c r="C918" s="4"/>
      <c r="D918" s="4"/>
      <c r="E918" s="4"/>
      <c r="I918" s="135"/>
      <c r="J918" s="135"/>
      <c r="K918" s="135"/>
      <c r="L918" s="135"/>
    </row>
    <row r="919" spans="2:12" ht="12" customHeight="1" x14ac:dyDescent="0.15">
      <c r="B919" s="2"/>
      <c r="C919" s="4"/>
      <c r="D919" s="4"/>
      <c r="E919" s="4"/>
      <c r="I919" s="135"/>
      <c r="J919" s="135"/>
      <c r="K919" s="135"/>
      <c r="L919" s="135"/>
    </row>
    <row r="920" spans="2:12" ht="12" customHeight="1" x14ac:dyDescent="0.15">
      <c r="B920" s="2"/>
      <c r="C920" s="4"/>
      <c r="D920" s="4"/>
      <c r="E920" s="4"/>
      <c r="I920" s="135"/>
      <c r="J920" s="135"/>
      <c r="K920" s="135"/>
      <c r="L920" s="135"/>
    </row>
    <row r="921" spans="2:12" ht="12" customHeight="1" x14ac:dyDescent="0.15">
      <c r="B921" s="2"/>
      <c r="C921" s="4"/>
      <c r="D921" s="4"/>
      <c r="E921" s="4"/>
      <c r="I921" s="135"/>
      <c r="J921" s="135"/>
      <c r="K921" s="135"/>
      <c r="L921" s="135"/>
    </row>
    <row r="922" spans="2:12" ht="12" customHeight="1" x14ac:dyDescent="0.15">
      <c r="B922" s="2"/>
      <c r="C922" s="4"/>
      <c r="D922" s="4"/>
      <c r="E922" s="4"/>
      <c r="I922" s="135"/>
      <c r="J922" s="135"/>
      <c r="K922" s="135"/>
      <c r="L922" s="135"/>
    </row>
    <row r="923" spans="2:12" ht="12" customHeight="1" x14ac:dyDescent="0.15">
      <c r="B923" s="2"/>
      <c r="C923" s="4"/>
      <c r="D923" s="4"/>
      <c r="E923" s="4"/>
      <c r="I923" s="135"/>
      <c r="J923" s="135"/>
      <c r="K923" s="135"/>
      <c r="L923" s="135"/>
    </row>
    <row r="924" spans="2:12" ht="12" customHeight="1" x14ac:dyDescent="0.15">
      <c r="B924" s="2"/>
      <c r="C924" s="4"/>
      <c r="D924" s="4"/>
      <c r="E924" s="4"/>
      <c r="I924" s="135"/>
      <c r="J924" s="135"/>
      <c r="K924" s="135"/>
      <c r="L924" s="135"/>
    </row>
    <row r="925" spans="2:12" ht="12" customHeight="1" x14ac:dyDescent="0.15">
      <c r="B925" s="2"/>
      <c r="C925" s="4"/>
      <c r="D925" s="4"/>
      <c r="E925" s="4"/>
      <c r="I925" s="135"/>
      <c r="J925" s="135"/>
      <c r="K925" s="135"/>
      <c r="L925" s="135"/>
    </row>
    <row r="926" spans="2:12" ht="12" customHeight="1" x14ac:dyDescent="0.15">
      <c r="B926" s="2"/>
      <c r="C926" s="4"/>
      <c r="D926" s="4"/>
      <c r="E926" s="4"/>
      <c r="I926" s="135"/>
      <c r="J926" s="135"/>
      <c r="K926" s="135"/>
      <c r="L926" s="135"/>
    </row>
    <row r="927" spans="2:12" ht="12" customHeight="1" x14ac:dyDescent="0.15">
      <c r="B927" s="2"/>
      <c r="C927" s="4"/>
      <c r="D927" s="4"/>
      <c r="E927" s="4"/>
      <c r="I927" s="135"/>
      <c r="J927" s="135"/>
      <c r="K927" s="135"/>
      <c r="L927" s="135"/>
    </row>
    <row r="928" spans="2:12" ht="12" customHeight="1" x14ac:dyDescent="0.15">
      <c r="B928" s="2"/>
      <c r="C928" s="4"/>
      <c r="D928" s="4"/>
      <c r="E928" s="4"/>
      <c r="I928" s="135"/>
      <c r="J928" s="135"/>
      <c r="K928" s="135"/>
      <c r="L928" s="135"/>
    </row>
    <row r="929" spans="2:12" ht="12" customHeight="1" x14ac:dyDescent="0.15">
      <c r="B929" s="2"/>
      <c r="C929" s="4"/>
      <c r="D929" s="4"/>
      <c r="E929" s="4"/>
      <c r="I929" s="135"/>
      <c r="J929" s="135"/>
      <c r="K929" s="135"/>
      <c r="L929" s="135"/>
    </row>
    <row r="930" spans="2:12" ht="12" customHeight="1" x14ac:dyDescent="0.15">
      <c r="B930" s="2"/>
      <c r="C930" s="4"/>
      <c r="D930" s="4"/>
      <c r="E930" s="4"/>
      <c r="I930" s="135"/>
      <c r="J930" s="135"/>
      <c r="K930" s="135"/>
      <c r="L930" s="135"/>
    </row>
    <row r="931" spans="2:12" ht="12" customHeight="1" x14ac:dyDescent="0.15">
      <c r="B931" s="2"/>
      <c r="C931" s="4"/>
      <c r="D931" s="4"/>
      <c r="E931" s="4"/>
      <c r="I931" s="135"/>
      <c r="J931" s="135"/>
      <c r="K931" s="135"/>
      <c r="L931" s="135"/>
    </row>
    <row r="932" spans="2:12" ht="12" customHeight="1" x14ac:dyDescent="0.15">
      <c r="B932" s="2"/>
      <c r="C932" s="4"/>
      <c r="D932" s="4"/>
      <c r="E932" s="4"/>
      <c r="I932" s="135"/>
      <c r="J932" s="135"/>
      <c r="K932" s="135"/>
      <c r="L932" s="135"/>
    </row>
    <row r="933" spans="2:12" ht="12" customHeight="1" x14ac:dyDescent="0.15">
      <c r="B933" s="2"/>
      <c r="C933" s="4"/>
      <c r="D933" s="4"/>
      <c r="E933" s="4"/>
      <c r="I933" s="135"/>
      <c r="J933" s="135"/>
      <c r="K933" s="135"/>
      <c r="L933" s="135"/>
    </row>
    <row r="934" spans="2:12" ht="12" customHeight="1" x14ac:dyDescent="0.15">
      <c r="B934" s="2"/>
      <c r="C934" s="4"/>
      <c r="D934" s="4"/>
      <c r="E934" s="4"/>
      <c r="I934" s="135"/>
      <c r="J934" s="135"/>
      <c r="K934" s="135"/>
      <c r="L934" s="135"/>
    </row>
    <row r="935" spans="2:12" ht="12" customHeight="1" x14ac:dyDescent="0.15">
      <c r="B935" s="2"/>
      <c r="C935" s="4"/>
      <c r="D935" s="4"/>
      <c r="E935" s="4"/>
      <c r="I935" s="135"/>
      <c r="J935" s="135"/>
      <c r="K935" s="135"/>
      <c r="L935" s="135"/>
    </row>
    <row r="936" spans="2:12" ht="12" customHeight="1" x14ac:dyDescent="0.15">
      <c r="B936" s="2"/>
      <c r="C936" s="4"/>
      <c r="D936" s="4"/>
      <c r="E936" s="4"/>
      <c r="I936" s="135"/>
      <c r="J936" s="135"/>
      <c r="K936" s="135"/>
      <c r="L936" s="135"/>
    </row>
    <row r="937" spans="2:12" ht="12" customHeight="1" x14ac:dyDescent="0.15">
      <c r="B937" s="2"/>
      <c r="C937" s="4"/>
      <c r="D937" s="4"/>
      <c r="E937" s="4"/>
      <c r="I937" s="135"/>
      <c r="J937" s="135"/>
      <c r="K937" s="135"/>
      <c r="L937" s="135"/>
    </row>
    <row r="938" spans="2:12" ht="12" customHeight="1" x14ac:dyDescent="0.15">
      <c r="B938" s="2"/>
      <c r="C938" s="4"/>
      <c r="D938" s="4"/>
      <c r="E938" s="4"/>
      <c r="I938" s="135"/>
      <c r="J938" s="135"/>
      <c r="K938" s="135"/>
      <c r="L938" s="135"/>
    </row>
    <row r="939" spans="2:12" ht="12" customHeight="1" x14ac:dyDescent="0.15">
      <c r="B939" s="2"/>
      <c r="C939" s="4"/>
      <c r="D939" s="4"/>
      <c r="E939" s="4"/>
      <c r="I939" s="135"/>
      <c r="J939" s="135"/>
      <c r="K939" s="135"/>
      <c r="L939" s="135"/>
    </row>
    <row r="940" spans="2:12" ht="12" customHeight="1" x14ac:dyDescent="0.15">
      <c r="B940" s="2"/>
      <c r="C940" s="4"/>
      <c r="D940" s="4"/>
      <c r="E940" s="4"/>
      <c r="I940" s="135"/>
      <c r="J940" s="135"/>
      <c r="K940" s="135"/>
      <c r="L940" s="135"/>
    </row>
    <row r="941" spans="2:12" ht="12" customHeight="1" x14ac:dyDescent="0.15">
      <c r="B941" s="2"/>
      <c r="C941" s="4"/>
      <c r="D941" s="4"/>
      <c r="E941" s="4"/>
      <c r="I941" s="135"/>
      <c r="J941" s="135"/>
      <c r="K941" s="135"/>
      <c r="L941" s="135"/>
    </row>
    <row r="942" spans="2:12" ht="12" customHeight="1" x14ac:dyDescent="0.15">
      <c r="B942" s="2"/>
      <c r="C942" s="4"/>
      <c r="D942" s="4"/>
      <c r="E942" s="4"/>
      <c r="I942" s="135"/>
      <c r="J942" s="135"/>
      <c r="K942" s="135"/>
      <c r="L942" s="135"/>
    </row>
    <row r="943" spans="2:12" ht="12" customHeight="1" x14ac:dyDescent="0.15">
      <c r="B943" s="2"/>
      <c r="C943" s="4"/>
      <c r="D943" s="4"/>
      <c r="E943" s="4"/>
      <c r="I943" s="135"/>
      <c r="J943" s="135"/>
      <c r="K943" s="135"/>
      <c r="L943" s="135"/>
    </row>
    <row r="944" spans="2:12" ht="12" customHeight="1" x14ac:dyDescent="0.15">
      <c r="B944" s="2"/>
      <c r="C944" s="4"/>
      <c r="D944" s="4"/>
      <c r="E944" s="4"/>
      <c r="I944" s="135"/>
      <c r="J944" s="135"/>
      <c r="K944" s="135"/>
      <c r="L944" s="135"/>
    </row>
    <row r="945" spans="2:12" ht="12" customHeight="1" x14ac:dyDescent="0.15">
      <c r="B945" s="2"/>
      <c r="C945" s="4"/>
      <c r="D945" s="4"/>
      <c r="E945" s="4"/>
      <c r="I945" s="135"/>
      <c r="J945" s="135"/>
      <c r="K945" s="135"/>
      <c r="L945" s="135"/>
    </row>
    <row r="946" spans="2:12" ht="12" customHeight="1" x14ac:dyDescent="0.15">
      <c r="B946" s="2"/>
      <c r="C946" s="4"/>
      <c r="D946" s="4"/>
      <c r="E946" s="4"/>
      <c r="I946" s="135"/>
      <c r="J946" s="135"/>
      <c r="K946" s="135"/>
      <c r="L946" s="135"/>
    </row>
    <row r="947" spans="2:12" ht="12" customHeight="1" x14ac:dyDescent="0.15">
      <c r="B947" s="2"/>
      <c r="C947" s="4"/>
      <c r="D947" s="4"/>
      <c r="E947" s="4"/>
      <c r="I947" s="135"/>
      <c r="J947" s="135"/>
      <c r="K947" s="135"/>
      <c r="L947" s="135"/>
    </row>
    <row r="948" spans="2:12" ht="12" customHeight="1" x14ac:dyDescent="0.15">
      <c r="B948" s="2"/>
      <c r="C948" s="4"/>
      <c r="D948" s="4"/>
      <c r="E948" s="4"/>
      <c r="I948" s="135"/>
      <c r="J948" s="135"/>
      <c r="K948" s="135"/>
      <c r="L948" s="135"/>
    </row>
    <row r="949" spans="2:12" ht="12" customHeight="1" x14ac:dyDescent="0.15">
      <c r="B949" s="2"/>
      <c r="C949" s="4"/>
      <c r="D949" s="4"/>
      <c r="E949" s="4"/>
      <c r="I949" s="135"/>
      <c r="J949" s="135"/>
      <c r="K949" s="135"/>
      <c r="L949" s="135"/>
    </row>
    <row r="950" spans="2:12" ht="12" customHeight="1" x14ac:dyDescent="0.15">
      <c r="B950" s="2"/>
      <c r="C950" s="4"/>
      <c r="D950" s="4"/>
      <c r="E950" s="4"/>
      <c r="I950" s="135"/>
      <c r="J950" s="135"/>
      <c r="K950" s="135"/>
      <c r="L950" s="135"/>
    </row>
    <row r="951" spans="2:12" ht="12" customHeight="1" x14ac:dyDescent="0.15">
      <c r="B951" s="2"/>
      <c r="C951" s="4"/>
      <c r="D951" s="4"/>
      <c r="E951" s="4"/>
      <c r="I951" s="135"/>
      <c r="J951" s="135"/>
      <c r="K951" s="135"/>
      <c r="L951" s="135"/>
    </row>
    <row r="952" spans="2:12" ht="12" customHeight="1" x14ac:dyDescent="0.15">
      <c r="B952" s="2"/>
      <c r="C952" s="4"/>
      <c r="D952" s="4"/>
      <c r="E952" s="4"/>
      <c r="I952" s="135"/>
      <c r="J952" s="135"/>
      <c r="K952" s="135"/>
      <c r="L952" s="135"/>
    </row>
    <row r="953" spans="2:12" ht="12" customHeight="1" x14ac:dyDescent="0.15">
      <c r="B953" s="2"/>
      <c r="C953" s="4"/>
      <c r="D953" s="4"/>
      <c r="E953" s="4"/>
      <c r="I953" s="135"/>
      <c r="J953" s="135"/>
      <c r="K953" s="135"/>
      <c r="L953" s="135"/>
    </row>
    <row r="954" spans="2:12" ht="12" customHeight="1" x14ac:dyDescent="0.15">
      <c r="B954" s="2"/>
      <c r="C954" s="4"/>
      <c r="D954" s="4"/>
      <c r="E954" s="4"/>
      <c r="I954" s="135"/>
      <c r="J954" s="135"/>
      <c r="K954" s="135"/>
      <c r="L954" s="135"/>
    </row>
    <row r="955" spans="2:12" ht="12" customHeight="1" x14ac:dyDescent="0.15">
      <c r="B955" s="2"/>
      <c r="C955" s="4"/>
      <c r="D955" s="4"/>
      <c r="E955" s="4"/>
      <c r="I955" s="135"/>
      <c r="J955" s="135"/>
      <c r="K955" s="135"/>
      <c r="L955" s="135"/>
    </row>
    <row r="956" spans="2:12" ht="12" customHeight="1" x14ac:dyDescent="0.15">
      <c r="B956" s="2"/>
      <c r="C956" s="4"/>
      <c r="D956" s="4"/>
      <c r="E956" s="4"/>
      <c r="I956" s="135"/>
      <c r="J956" s="135"/>
      <c r="K956" s="135"/>
      <c r="L956" s="135"/>
    </row>
    <row r="957" spans="2:12" ht="12" customHeight="1" x14ac:dyDescent="0.15">
      <c r="B957" s="2"/>
      <c r="C957" s="4"/>
      <c r="D957" s="4"/>
      <c r="E957" s="4"/>
      <c r="I957" s="135"/>
      <c r="J957" s="135"/>
      <c r="K957" s="135"/>
      <c r="L957" s="135"/>
    </row>
    <row r="958" spans="2:12" ht="12" customHeight="1" x14ac:dyDescent="0.15">
      <c r="B958" s="2"/>
      <c r="C958" s="4"/>
      <c r="D958" s="4"/>
      <c r="E958" s="4"/>
      <c r="I958" s="135"/>
      <c r="J958" s="135"/>
      <c r="K958" s="135"/>
      <c r="L958" s="135"/>
    </row>
    <row r="959" spans="2:12" ht="12" customHeight="1" x14ac:dyDescent="0.15">
      <c r="B959" s="2"/>
      <c r="C959" s="4"/>
      <c r="D959" s="4"/>
      <c r="E959" s="4"/>
      <c r="I959" s="135"/>
      <c r="J959" s="135"/>
      <c r="K959" s="135"/>
      <c r="L959" s="135"/>
    </row>
    <row r="960" spans="2:12" ht="12" customHeight="1" x14ac:dyDescent="0.15">
      <c r="B960" s="2"/>
      <c r="C960" s="4"/>
      <c r="D960" s="4"/>
      <c r="E960" s="4"/>
      <c r="I960" s="135"/>
      <c r="J960" s="135"/>
      <c r="K960" s="135"/>
      <c r="L960" s="135"/>
    </row>
    <row r="961" spans="2:12" ht="12" customHeight="1" x14ac:dyDescent="0.15">
      <c r="B961" s="2"/>
      <c r="C961" s="4"/>
      <c r="D961" s="4"/>
      <c r="E961" s="4"/>
      <c r="I961" s="135"/>
      <c r="J961" s="135"/>
      <c r="K961" s="135"/>
      <c r="L961" s="135"/>
    </row>
    <row r="962" spans="2:12" ht="12" customHeight="1" x14ac:dyDescent="0.15">
      <c r="B962" s="2"/>
      <c r="C962" s="4"/>
      <c r="D962" s="4"/>
      <c r="E962" s="4"/>
      <c r="I962" s="135"/>
      <c r="J962" s="135"/>
      <c r="K962" s="135"/>
      <c r="L962" s="135"/>
    </row>
    <row r="963" spans="2:12" ht="12" customHeight="1" x14ac:dyDescent="0.15">
      <c r="B963" s="2"/>
      <c r="C963" s="4"/>
      <c r="D963" s="4"/>
      <c r="E963" s="4"/>
      <c r="I963" s="135"/>
      <c r="J963" s="135"/>
      <c r="K963" s="135"/>
      <c r="L963" s="135"/>
    </row>
    <row r="964" spans="2:12" ht="12" customHeight="1" x14ac:dyDescent="0.15">
      <c r="B964" s="2"/>
      <c r="C964" s="4"/>
      <c r="D964" s="4"/>
      <c r="E964" s="4"/>
      <c r="I964" s="135"/>
      <c r="J964" s="135"/>
      <c r="K964" s="135"/>
      <c r="L964" s="135"/>
    </row>
    <row r="965" spans="2:12" ht="12" customHeight="1" x14ac:dyDescent="0.15">
      <c r="B965" s="2"/>
      <c r="C965" s="4"/>
      <c r="D965" s="4"/>
      <c r="E965" s="4"/>
      <c r="I965" s="135"/>
      <c r="J965" s="135"/>
      <c r="K965" s="135"/>
      <c r="L965" s="135"/>
    </row>
    <row r="966" spans="2:12" ht="12" customHeight="1" x14ac:dyDescent="0.15">
      <c r="B966" s="2"/>
      <c r="C966" s="4"/>
      <c r="D966" s="4"/>
      <c r="E966" s="4"/>
      <c r="I966" s="135"/>
      <c r="J966" s="135"/>
      <c r="K966" s="135"/>
      <c r="L966" s="135"/>
    </row>
    <row r="967" spans="2:12" ht="12" customHeight="1" x14ac:dyDescent="0.15">
      <c r="B967" s="2"/>
      <c r="C967" s="4"/>
      <c r="D967" s="4"/>
      <c r="E967" s="4"/>
      <c r="I967" s="135"/>
      <c r="J967" s="135"/>
      <c r="K967" s="135"/>
      <c r="L967" s="135"/>
    </row>
    <row r="968" spans="2:12" ht="12" customHeight="1" x14ac:dyDescent="0.15">
      <c r="B968" s="2"/>
      <c r="C968" s="4"/>
      <c r="D968" s="4"/>
      <c r="E968" s="4"/>
      <c r="I968" s="135"/>
      <c r="J968" s="135"/>
      <c r="K968" s="135"/>
      <c r="L968" s="135"/>
    </row>
    <row r="969" spans="2:12" ht="12" customHeight="1" x14ac:dyDescent="0.15">
      <c r="B969" s="2"/>
      <c r="C969" s="4"/>
      <c r="D969" s="4"/>
      <c r="E969" s="4"/>
      <c r="I969" s="135"/>
      <c r="J969" s="135"/>
      <c r="K969" s="135"/>
      <c r="L969" s="135"/>
    </row>
    <row r="970" spans="2:12" ht="12" customHeight="1" x14ac:dyDescent="0.15">
      <c r="B970" s="2"/>
      <c r="C970" s="4"/>
      <c r="D970" s="4"/>
      <c r="E970" s="4"/>
      <c r="I970" s="135"/>
      <c r="J970" s="135"/>
      <c r="K970" s="135"/>
      <c r="L970" s="135"/>
    </row>
    <row r="971" spans="2:12" ht="12" customHeight="1" x14ac:dyDescent="0.15">
      <c r="B971" s="2"/>
      <c r="C971" s="4"/>
      <c r="D971" s="4"/>
      <c r="E971" s="4"/>
      <c r="I971" s="135"/>
      <c r="J971" s="135"/>
      <c r="K971" s="135"/>
      <c r="L971" s="135"/>
    </row>
    <row r="972" spans="2:12" ht="12" customHeight="1" x14ac:dyDescent="0.15">
      <c r="B972" s="2"/>
      <c r="C972" s="4"/>
      <c r="D972" s="4"/>
      <c r="E972" s="4"/>
      <c r="I972" s="135"/>
      <c r="J972" s="135"/>
      <c r="K972" s="135"/>
      <c r="L972" s="135"/>
    </row>
    <row r="973" spans="2:12" ht="12" customHeight="1" x14ac:dyDescent="0.15">
      <c r="B973" s="2"/>
      <c r="C973" s="4"/>
      <c r="D973" s="4"/>
      <c r="E973" s="4"/>
      <c r="I973" s="135"/>
      <c r="J973" s="135"/>
      <c r="K973" s="135"/>
      <c r="L973" s="135"/>
    </row>
    <row r="974" spans="2:12" ht="12" customHeight="1" x14ac:dyDescent="0.15">
      <c r="B974" s="2"/>
      <c r="C974" s="4"/>
      <c r="D974" s="4"/>
      <c r="E974" s="4"/>
      <c r="I974" s="135"/>
      <c r="J974" s="135"/>
      <c r="K974" s="135"/>
      <c r="L974" s="135"/>
    </row>
    <row r="975" spans="2:12" ht="12" customHeight="1" x14ac:dyDescent="0.15">
      <c r="B975" s="2"/>
      <c r="C975" s="4"/>
      <c r="D975" s="4"/>
      <c r="E975" s="4"/>
      <c r="I975" s="135"/>
      <c r="J975" s="135"/>
      <c r="K975" s="135"/>
      <c r="L975" s="135"/>
    </row>
    <row r="976" spans="2:12" ht="12" customHeight="1" x14ac:dyDescent="0.15">
      <c r="B976" s="2"/>
      <c r="C976" s="4"/>
      <c r="D976" s="4"/>
      <c r="E976" s="4"/>
      <c r="I976" s="135"/>
      <c r="J976" s="135"/>
      <c r="K976" s="135"/>
      <c r="L976" s="135"/>
    </row>
    <row r="977" spans="2:12" ht="12" customHeight="1" x14ac:dyDescent="0.15">
      <c r="B977" s="2"/>
      <c r="C977" s="4"/>
      <c r="D977" s="4"/>
      <c r="E977" s="4"/>
      <c r="I977" s="135"/>
      <c r="J977" s="135"/>
      <c r="K977" s="135"/>
      <c r="L977" s="135"/>
    </row>
    <row r="978" spans="2:12" ht="12" customHeight="1" x14ac:dyDescent="0.15">
      <c r="B978" s="2"/>
      <c r="C978" s="4"/>
      <c r="D978" s="4"/>
      <c r="E978" s="4"/>
      <c r="I978" s="135"/>
      <c r="J978" s="135"/>
      <c r="K978" s="135"/>
      <c r="L978" s="135"/>
    </row>
    <row r="979" spans="2:12" ht="12" customHeight="1" x14ac:dyDescent="0.15">
      <c r="B979" s="2"/>
      <c r="C979" s="4"/>
      <c r="D979" s="4"/>
      <c r="E979" s="4"/>
      <c r="I979" s="135"/>
      <c r="J979" s="135"/>
      <c r="K979" s="135"/>
      <c r="L979" s="135"/>
    </row>
    <row r="980" spans="2:12" ht="12" customHeight="1" x14ac:dyDescent="0.15">
      <c r="B980" s="2"/>
      <c r="C980" s="4"/>
      <c r="D980" s="4"/>
      <c r="E980" s="4"/>
      <c r="I980" s="135"/>
      <c r="J980" s="135"/>
      <c r="K980" s="135"/>
      <c r="L980" s="135"/>
    </row>
    <row r="981" spans="2:12" ht="12" customHeight="1" x14ac:dyDescent="0.15">
      <c r="B981" s="2"/>
      <c r="C981" s="4"/>
      <c r="D981" s="4"/>
      <c r="E981" s="4"/>
      <c r="I981" s="135"/>
      <c r="J981" s="135"/>
      <c r="K981" s="135"/>
      <c r="L981" s="135"/>
    </row>
    <row r="982" spans="2:12" ht="12" customHeight="1" x14ac:dyDescent="0.15">
      <c r="B982" s="2"/>
      <c r="C982" s="4"/>
      <c r="D982" s="4"/>
      <c r="E982" s="4"/>
      <c r="I982" s="135"/>
      <c r="J982" s="135"/>
      <c r="K982" s="135"/>
      <c r="L982" s="135"/>
    </row>
    <row r="983" spans="2:12" ht="12" customHeight="1" x14ac:dyDescent="0.15">
      <c r="B983" s="2"/>
      <c r="C983" s="4"/>
      <c r="D983" s="4"/>
      <c r="E983" s="4"/>
      <c r="I983" s="135"/>
      <c r="J983" s="135"/>
      <c r="K983" s="135"/>
      <c r="L983" s="135"/>
    </row>
    <row r="984" spans="2:12" ht="12" customHeight="1" x14ac:dyDescent="0.15">
      <c r="B984" s="2"/>
      <c r="C984" s="4"/>
      <c r="D984" s="4"/>
      <c r="E984" s="4"/>
      <c r="I984" s="135"/>
      <c r="J984" s="135"/>
      <c r="K984" s="135"/>
      <c r="L984" s="135"/>
    </row>
    <row r="985" spans="2:12" ht="12" customHeight="1" x14ac:dyDescent="0.15">
      <c r="B985" s="2"/>
      <c r="C985" s="4"/>
      <c r="D985" s="4"/>
      <c r="E985" s="4"/>
      <c r="I985" s="135"/>
      <c r="J985" s="135"/>
      <c r="K985" s="135"/>
      <c r="L985" s="135"/>
    </row>
    <row r="986" spans="2:12" ht="12" customHeight="1" x14ac:dyDescent="0.15">
      <c r="B986" s="2"/>
      <c r="C986" s="4"/>
      <c r="D986" s="4"/>
      <c r="E986" s="4"/>
      <c r="I986" s="135"/>
      <c r="J986" s="135"/>
      <c r="K986" s="135"/>
      <c r="L986" s="135"/>
    </row>
    <row r="987" spans="2:12" ht="12" customHeight="1" x14ac:dyDescent="0.15">
      <c r="B987" s="2"/>
      <c r="C987" s="4"/>
      <c r="D987" s="4"/>
      <c r="E987" s="4"/>
      <c r="I987" s="135"/>
      <c r="J987" s="135"/>
      <c r="K987" s="135"/>
      <c r="L987" s="135"/>
    </row>
    <row r="988" spans="2:12" ht="12" customHeight="1" x14ac:dyDescent="0.15">
      <c r="B988" s="2"/>
      <c r="C988" s="4"/>
      <c r="D988" s="4"/>
      <c r="E988" s="4"/>
      <c r="I988" s="135"/>
      <c r="J988" s="135"/>
      <c r="K988" s="135"/>
      <c r="L988" s="135"/>
    </row>
    <row r="989" spans="2:12" ht="12" customHeight="1" x14ac:dyDescent="0.15">
      <c r="B989" s="2"/>
      <c r="C989" s="4"/>
      <c r="D989" s="4"/>
      <c r="E989" s="4"/>
      <c r="I989" s="135"/>
      <c r="J989" s="135"/>
      <c r="K989" s="135"/>
      <c r="L989" s="135"/>
    </row>
    <row r="990" spans="2:12" ht="12" customHeight="1" x14ac:dyDescent="0.15">
      <c r="B990" s="2"/>
      <c r="C990" s="4"/>
      <c r="D990" s="4"/>
      <c r="E990" s="4"/>
      <c r="I990" s="135"/>
      <c r="J990" s="135"/>
      <c r="K990" s="135"/>
      <c r="L990" s="135"/>
    </row>
    <row r="991" spans="2:12" ht="12" customHeight="1" x14ac:dyDescent="0.15">
      <c r="B991" s="2"/>
      <c r="C991" s="4"/>
      <c r="D991" s="4"/>
      <c r="E991" s="4"/>
      <c r="I991" s="135"/>
      <c r="J991" s="135"/>
      <c r="K991" s="135"/>
      <c r="L991" s="135"/>
    </row>
    <row r="992" spans="2:12" ht="12" customHeight="1" x14ac:dyDescent="0.15">
      <c r="B992" s="2"/>
      <c r="C992" s="4"/>
      <c r="D992" s="4"/>
      <c r="E992" s="4"/>
      <c r="I992" s="135"/>
      <c r="J992" s="135"/>
      <c r="K992" s="135"/>
      <c r="L992" s="135"/>
    </row>
    <row r="993" spans="2:12" ht="12" customHeight="1" x14ac:dyDescent="0.15">
      <c r="B993" s="2"/>
      <c r="C993" s="4"/>
      <c r="D993" s="4"/>
      <c r="E993" s="4"/>
      <c r="I993" s="135"/>
      <c r="J993" s="135"/>
      <c r="K993" s="135"/>
      <c r="L993" s="135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opLeftCell="A13" workbookViewId="0"/>
  </sheetViews>
  <sheetFormatPr baseColWidth="10" defaultColWidth="12.6640625" defaultRowHeight="15" customHeight="1" x14ac:dyDescent="0.15"/>
  <cols>
    <col min="1" max="1" width="4.5" customWidth="1"/>
    <col min="2" max="2" width="38.83203125" customWidth="1"/>
    <col min="3" max="4" width="13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  <col min="13" max="13" width="14.83203125" customWidth="1"/>
  </cols>
  <sheetData>
    <row r="1" spans="1:26" ht="12" customHeight="1" x14ac:dyDescent="0.15">
      <c r="B1" s="2"/>
      <c r="C1" s="4"/>
      <c r="D1" s="4"/>
      <c r="E1" s="4"/>
      <c r="I1" s="135"/>
      <c r="J1" s="135"/>
      <c r="K1" s="135"/>
      <c r="L1" s="135"/>
    </row>
    <row r="2" spans="1:26" ht="18.75" customHeight="1" x14ac:dyDescent="0.2">
      <c r="A2" s="5" t="s">
        <v>0</v>
      </c>
      <c r="C2" s="4"/>
      <c r="D2" s="4"/>
      <c r="E2" s="4"/>
      <c r="F2" s="5"/>
      <c r="G2" s="5"/>
      <c r="I2" s="135"/>
      <c r="J2" s="135"/>
      <c r="K2" s="135"/>
      <c r="L2" s="135"/>
    </row>
    <row r="3" spans="1:26" ht="12" customHeight="1" x14ac:dyDescent="0.15">
      <c r="A3" s="2" t="s">
        <v>1</v>
      </c>
      <c r="C3" s="4"/>
      <c r="D3" s="4"/>
      <c r="E3" s="4"/>
      <c r="F3" s="2"/>
      <c r="G3" s="2"/>
      <c r="I3" s="135"/>
      <c r="J3" s="135"/>
      <c r="K3" s="135"/>
      <c r="L3" s="135"/>
    </row>
    <row r="4" spans="1:26" ht="12" customHeight="1" x14ac:dyDescent="0.15">
      <c r="B4" s="2"/>
      <c r="C4" s="4"/>
      <c r="D4" s="4"/>
      <c r="E4" s="4"/>
      <c r="I4" s="135"/>
      <c r="J4" s="135"/>
      <c r="K4" s="135"/>
      <c r="L4" s="135"/>
    </row>
    <row r="5" spans="1:26" ht="12" customHeight="1" x14ac:dyDescent="0.15">
      <c r="B5" s="6"/>
      <c r="C5" s="4"/>
      <c r="D5" s="4"/>
      <c r="E5" s="4"/>
      <c r="F5" s="228" t="s">
        <v>2</v>
      </c>
      <c r="G5" s="160"/>
      <c r="I5" s="135"/>
      <c r="J5" s="135"/>
      <c r="K5" s="135"/>
      <c r="L5" s="135"/>
    </row>
    <row r="6" spans="1:26" ht="17.25" customHeight="1" x14ac:dyDescent="0.15">
      <c r="A6" s="8"/>
      <c r="B6" s="161" t="s">
        <v>330</v>
      </c>
      <c r="C6" s="162"/>
      <c r="D6" s="162"/>
      <c r="E6" s="163"/>
      <c r="F6" s="8"/>
      <c r="G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" customHeight="1" x14ac:dyDescent="0.15">
      <c r="B7" s="2"/>
      <c r="C7" s="4"/>
      <c r="D7" s="4"/>
      <c r="E7" s="4"/>
    </row>
    <row r="8" spans="1:26" ht="15" customHeight="1" x14ac:dyDescent="0.15">
      <c r="B8" s="12"/>
      <c r="C8" s="168" t="s">
        <v>331</v>
      </c>
      <c r="D8" s="168" t="s">
        <v>332</v>
      </c>
      <c r="E8" s="168" t="s">
        <v>333</v>
      </c>
    </row>
    <row r="9" spans="1:26" ht="15" customHeight="1" x14ac:dyDescent="0.15">
      <c r="A9" s="8"/>
      <c r="B9" s="229" t="s">
        <v>334</v>
      </c>
      <c r="C9" s="230">
        <v>3600</v>
      </c>
      <c r="D9" s="231">
        <v>12</v>
      </c>
      <c r="E9" s="230">
        <f t="shared" ref="E9:E15" si="0">C9*D9</f>
        <v>43200</v>
      </c>
      <c r="F9" s="8"/>
      <c r="G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" customHeight="1" x14ac:dyDescent="0.15">
      <c r="A10" s="8"/>
      <c r="B10" s="232" t="s">
        <v>335</v>
      </c>
      <c r="C10" s="233">
        <v>1500</v>
      </c>
      <c r="D10" s="234">
        <v>12</v>
      </c>
      <c r="E10" s="233">
        <f t="shared" si="0"/>
        <v>18000</v>
      </c>
      <c r="F10" s="8"/>
      <c r="G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" customHeight="1" x14ac:dyDescent="0.15">
      <c r="A11" s="8"/>
      <c r="B11" s="232" t="s">
        <v>226</v>
      </c>
      <c r="C11" s="233">
        <v>800</v>
      </c>
      <c r="D11" s="234">
        <v>12</v>
      </c>
      <c r="E11" s="233">
        <f t="shared" si="0"/>
        <v>9600</v>
      </c>
      <c r="F11" s="8"/>
      <c r="G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" customHeight="1" x14ac:dyDescent="0.15">
      <c r="A12" s="8"/>
      <c r="B12" s="232" t="s">
        <v>239</v>
      </c>
      <c r="C12" s="233">
        <v>3500</v>
      </c>
      <c r="D12" s="234">
        <v>12</v>
      </c>
      <c r="E12" s="233">
        <f t="shared" si="0"/>
        <v>42000</v>
      </c>
      <c r="F12" s="8"/>
      <c r="G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" customHeight="1" x14ac:dyDescent="0.15">
      <c r="A13" s="8"/>
      <c r="B13" s="232" t="s">
        <v>246</v>
      </c>
      <c r="C13" s="233">
        <v>1000</v>
      </c>
      <c r="D13" s="234">
        <v>12</v>
      </c>
      <c r="E13" s="233">
        <f t="shared" si="0"/>
        <v>12000</v>
      </c>
      <c r="F13" s="8"/>
      <c r="G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" customHeight="1" x14ac:dyDescent="0.15">
      <c r="A14" s="8"/>
      <c r="B14" s="232" t="s">
        <v>336</v>
      </c>
      <c r="C14" s="233">
        <v>15000</v>
      </c>
      <c r="D14" s="234">
        <v>12</v>
      </c>
      <c r="E14" s="233">
        <f t="shared" si="0"/>
        <v>180000</v>
      </c>
      <c r="F14" s="8"/>
      <c r="G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" customHeight="1" x14ac:dyDescent="0.15">
      <c r="A15" s="8"/>
      <c r="B15" s="232" t="s">
        <v>337</v>
      </c>
      <c r="C15" s="233">
        <v>150</v>
      </c>
      <c r="D15" s="234">
        <v>12</v>
      </c>
      <c r="E15" s="233">
        <f t="shared" si="0"/>
        <v>1800</v>
      </c>
      <c r="F15" s="8"/>
      <c r="G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" customHeight="1" x14ac:dyDescent="0.15">
      <c r="A16" s="8"/>
      <c r="B16" s="235" t="s">
        <v>338</v>
      </c>
      <c r="C16" s="233"/>
      <c r="D16" s="233"/>
      <c r="E16" s="236">
        <v>30237.82</v>
      </c>
      <c r="F16" s="237"/>
      <c r="G16" s="8"/>
      <c r="H16" s="8"/>
      <c r="I16" s="164"/>
      <c r="J16" s="164"/>
      <c r="K16" s="164"/>
      <c r="L16" s="164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" customHeight="1" x14ac:dyDescent="0.15">
      <c r="A17" s="8"/>
      <c r="B17" s="238" t="s">
        <v>339</v>
      </c>
      <c r="C17" s="239"/>
      <c r="D17" s="240"/>
      <c r="E17" s="239">
        <v>162400</v>
      </c>
      <c r="F17" s="8"/>
      <c r="G17" s="8"/>
      <c r="H17" s="8"/>
      <c r="I17" s="164"/>
      <c r="J17" s="164"/>
      <c r="K17" s="164"/>
      <c r="L17" s="164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" customHeight="1" x14ac:dyDescent="0.15">
      <c r="A18" s="8"/>
      <c r="B18" s="241" t="s">
        <v>340</v>
      </c>
      <c r="C18" s="242">
        <f>SUM(C9:C17)</f>
        <v>25550</v>
      </c>
      <c r="D18" s="243"/>
      <c r="E18" s="219">
        <f>SUM(E9:E17)</f>
        <v>499237.82</v>
      </c>
      <c r="F18" s="8"/>
      <c r="G18" s="8"/>
      <c r="H18" s="8"/>
      <c r="I18" s="164"/>
      <c r="J18" s="164"/>
      <c r="K18" s="164"/>
      <c r="L18" s="164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" customHeight="1" x14ac:dyDescent="0.15">
      <c r="A19" s="8"/>
      <c r="B19" s="232" t="s">
        <v>341</v>
      </c>
      <c r="C19" s="244"/>
      <c r="D19" s="245"/>
      <c r="E19" s="233">
        <v>16030.55</v>
      </c>
      <c r="F19" s="8"/>
      <c r="G19" s="8"/>
      <c r="H19" s="8"/>
      <c r="I19" s="164"/>
      <c r="J19" s="164"/>
      <c r="K19" s="164"/>
      <c r="L19" s="164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36" customHeight="1" x14ac:dyDescent="0.15">
      <c r="A20" s="8"/>
      <c r="B20" s="235" t="s">
        <v>342</v>
      </c>
      <c r="C20" s="436" t="s">
        <v>343</v>
      </c>
      <c r="D20" s="437"/>
      <c r="E20" s="233">
        <v>23969.45</v>
      </c>
      <c r="F20" s="8"/>
      <c r="G20" s="8"/>
      <c r="H20" s="8"/>
      <c r="I20" s="164"/>
      <c r="J20" s="164"/>
      <c r="K20" s="164"/>
      <c r="L20" s="164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" customHeight="1" x14ac:dyDescent="0.15">
      <c r="B21" s="241" t="s">
        <v>344</v>
      </c>
      <c r="C21" s="219"/>
      <c r="D21" s="243"/>
      <c r="E21" s="219">
        <f>E19+E20</f>
        <v>40000</v>
      </c>
      <c r="I21" s="135"/>
      <c r="J21" s="135"/>
      <c r="K21" s="135"/>
      <c r="L21" s="135"/>
    </row>
    <row r="22" spans="1:26" ht="15" customHeight="1" x14ac:dyDescent="0.15">
      <c r="B22" s="241"/>
      <c r="C22" s="219"/>
      <c r="D22" s="243"/>
      <c r="E22" s="219">
        <f>E18+E21</f>
        <v>539237.82000000007</v>
      </c>
      <c r="I22" s="135"/>
      <c r="J22" s="135"/>
      <c r="K22" s="135"/>
      <c r="L22" s="135"/>
    </row>
    <row r="23" spans="1:26" ht="15" customHeight="1" x14ac:dyDescent="0.15">
      <c r="B23" s="246" t="s">
        <v>345</v>
      </c>
      <c r="C23" s="247"/>
      <c r="D23" s="247"/>
      <c r="E23" s="247"/>
      <c r="I23" s="135"/>
      <c r="J23" s="135"/>
      <c r="K23" s="135"/>
      <c r="L23" s="135"/>
    </row>
    <row r="24" spans="1:26" ht="15" customHeight="1" x14ac:dyDescent="0.15">
      <c r="B24" s="248" t="s">
        <v>346</v>
      </c>
      <c r="C24" s="4"/>
      <c r="D24" s="4"/>
      <c r="E24" s="4"/>
      <c r="I24" s="135"/>
      <c r="J24" s="135"/>
      <c r="K24" s="135"/>
      <c r="L24" s="135"/>
    </row>
    <row r="25" spans="1:26" ht="15" customHeight="1" x14ac:dyDescent="0.15">
      <c r="B25" s="248" t="s">
        <v>347</v>
      </c>
      <c r="C25" s="249"/>
      <c r="D25" s="249"/>
      <c r="E25" s="249"/>
      <c r="H25" s="250" t="s">
        <v>348</v>
      </c>
      <c r="I25" s="135"/>
      <c r="J25" s="135"/>
      <c r="K25" s="135"/>
      <c r="L25" s="135"/>
    </row>
    <row r="26" spans="1:26" ht="15" customHeight="1" x14ac:dyDescent="0.2">
      <c r="B26" s="251" t="s">
        <v>349</v>
      </c>
      <c r="C26" s="252"/>
      <c r="D26" s="253" t="s">
        <v>350</v>
      </c>
      <c r="E26" s="254">
        <f>E18</f>
        <v>499237.82</v>
      </c>
      <c r="H26" s="115" t="s">
        <v>300</v>
      </c>
      <c r="I26" s="255" t="s">
        <v>301</v>
      </c>
      <c r="J26" s="135" t="s">
        <v>302</v>
      </c>
      <c r="K26" s="135" t="s">
        <v>303</v>
      </c>
      <c r="L26" s="256" t="s">
        <v>304</v>
      </c>
      <c r="M26" s="115" t="s">
        <v>305</v>
      </c>
    </row>
    <row r="27" spans="1:26" ht="15" customHeight="1" x14ac:dyDescent="0.15">
      <c r="B27" s="199" t="s">
        <v>306</v>
      </c>
      <c r="C27" s="200" t="s">
        <v>307</v>
      </c>
      <c r="D27" s="201" t="s">
        <v>308</v>
      </c>
      <c r="E27" s="200" t="s">
        <v>309</v>
      </c>
      <c r="H27" s="257">
        <v>1</v>
      </c>
      <c r="I27" s="135">
        <f>E26</f>
        <v>499237.82</v>
      </c>
      <c r="J27" s="135">
        <v>3386200</v>
      </c>
      <c r="K27" s="135">
        <v>26236200</v>
      </c>
      <c r="L27" s="258">
        <f>(J27/J34)*100</f>
        <v>12.906594705025881</v>
      </c>
      <c r="M27" s="259">
        <f t="shared" ref="M27:M33" si="1">(I27*J27/K27)</f>
        <v>64434.602041606639</v>
      </c>
      <c r="N27" s="135">
        <v>64434.6</v>
      </c>
    </row>
    <row r="28" spans="1:26" ht="15" customHeight="1" x14ac:dyDescent="0.15">
      <c r="B28" s="204" t="s">
        <v>184</v>
      </c>
      <c r="C28" s="205" t="s">
        <v>185</v>
      </c>
      <c r="D28" s="206">
        <v>0.129</v>
      </c>
      <c r="E28" s="260">
        <v>64434.6</v>
      </c>
      <c r="H28" s="257">
        <v>2</v>
      </c>
      <c r="I28" s="135">
        <f>E26</f>
        <v>499237.82</v>
      </c>
      <c r="J28" s="135">
        <v>3453400</v>
      </c>
      <c r="K28" s="135">
        <v>26236200</v>
      </c>
      <c r="L28" s="258">
        <f>(J28/J34)*100</f>
        <v>13.162729358672367</v>
      </c>
      <c r="M28" s="259">
        <f t="shared" si="1"/>
        <v>65713.323102735914</v>
      </c>
      <c r="N28" s="135">
        <v>65713.320000000007</v>
      </c>
    </row>
    <row r="29" spans="1:26" ht="12" customHeight="1" x14ac:dyDescent="0.15">
      <c r="B29" s="208" t="s">
        <v>351</v>
      </c>
      <c r="C29" s="209" t="s">
        <v>188</v>
      </c>
      <c r="D29" s="210">
        <v>0.13159999999999999</v>
      </c>
      <c r="E29" s="261">
        <v>65713.320000000007</v>
      </c>
      <c r="H29" s="257">
        <v>3</v>
      </c>
      <c r="I29" s="135">
        <f>E26</f>
        <v>499237.82</v>
      </c>
      <c r="J29" s="135">
        <v>4063600</v>
      </c>
      <c r="K29" s="135">
        <v>26236200</v>
      </c>
      <c r="L29" s="258">
        <f>(J29/J34)*100</f>
        <v>15.4885234904445</v>
      </c>
      <c r="M29" s="259">
        <f t="shared" si="1"/>
        <v>77324.567023883035</v>
      </c>
      <c r="N29" s="135">
        <v>77324.570000000007</v>
      </c>
    </row>
    <row r="30" spans="1:26" ht="12" customHeight="1" x14ac:dyDescent="0.15">
      <c r="B30" s="208" t="s">
        <v>189</v>
      </c>
      <c r="C30" s="209" t="s">
        <v>190</v>
      </c>
      <c r="D30" s="210">
        <v>0.15490000000000001</v>
      </c>
      <c r="E30" s="261">
        <v>77324.570000000007</v>
      </c>
      <c r="H30" s="257">
        <v>4</v>
      </c>
      <c r="I30" s="135">
        <f>E26</f>
        <v>499237.82</v>
      </c>
      <c r="J30" s="135">
        <v>2061000</v>
      </c>
      <c r="K30" s="135">
        <v>26236200</v>
      </c>
      <c r="L30" s="258">
        <f>(J30/J34)*100</f>
        <v>7.8555583506757838</v>
      </c>
      <c r="M30" s="259">
        <f t="shared" si="1"/>
        <v>39217.918258741738</v>
      </c>
      <c r="N30" s="135">
        <v>39217.919999999998</v>
      </c>
    </row>
    <row r="31" spans="1:26" ht="12" customHeight="1" x14ac:dyDescent="0.15">
      <c r="B31" s="208" t="s">
        <v>191</v>
      </c>
      <c r="C31" s="209" t="s">
        <v>192</v>
      </c>
      <c r="D31" s="210">
        <v>7.8600000000000003E-2</v>
      </c>
      <c r="E31" s="261">
        <v>39217.919999999998</v>
      </c>
      <c r="H31" s="257">
        <v>5</v>
      </c>
      <c r="I31" s="135">
        <f>E26</f>
        <v>499237.82</v>
      </c>
      <c r="J31" s="135">
        <v>2540000</v>
      </c>
      <c r="K31" s="135">
        <v>26236200</v>
      </c>
      <c r="L31" s="258">
        <f>(J31/J34)*100</f>
        <v>9.6812800634238201</v>
      </c>
      <c r="M31" s="259">
        <f t="shared" si="1"/>
        <v>48332.611536731689</v>
      </c>
      <c r="N31" s="135">
        <v>48332.61</v>
      </c>
    </row>
    <row r="32" spans="1:26" ht="12" customHeight="1" x14ac:dyDescent="0.15">
      <c r="B32" s="208" t="s">
        <v>310</v>
      </c>
      <c r="C32" s="209" t="s">
        <v>194</v>
      </c>
      <c r="D32" s="210">
        <v>9.6799999999999997E-2</v>
      </c>
      <c r="E32" s="261">
        <v>48332.61</v>
      </c>
      <c r="H32" s="257">
        <v>6</v>
      </c>
      <c r="I32" s="135">
        <f>E26</f>
        <v>499237.82</v>
      </c>
      <c r="J32" s="135">
        <v>4173600</v>
      </c>
      <c r="K32" s="135">
        <v>26236200</v>
      </c>
      <c r="L32" s="258">
        <f>(J32/J34)*100</f>
        <v>15.907791524687266</v>
      </c>
      <c r="M32" s="259">
        <f t="shared" si="1"/>
        <v>79417.711617993453</v>
      </c>
      <c r="N32" s="135">
        <v>79417.710000000006</v>
      </c>
    </row>
    <row r="33" spans="2:14" ht="12" customHeight="1" x14ac:dyDescent="0.15">
      <c r="B33" s="208" t="s">
        <v>352</v>
      </c>
      <c r="C33" s="209" t="s">
        <v>196</v>
      </c>
      <c r="D33" s="210">
        <v>0.15909999999999999</v>
      </c>
      <c r="E33" s="261">
        <v>79417.710000000006</v>
      </c>
      <c r="H33" s="257">
        <v>7</v>
      </c>
      <c r="I33" s="135">
        <f>E26</f>
        <v>499237.82</v>
      </c>
      <c r="J33" s="135">
        <v>6558400</v>
      </c>
      <c r="K33" s="135">
        <v>26236200</v>
      </c>
      <c r="L33" s="258">
        <f>(J33/J34)*100</f>
        <v>24.997522507070382</v>
      </c>
      <c r="M33" s="259">
        <f t="shared" si="1"/>
        <v>124797.08641830753</v>
      </c>
      <c r="N33" s="135">
        <v>124797.09</v>
      </c>
    </row>
    <row r="34" spans="2:14" ht="12" customHeight="1" x14ac:dyDescent="0.15">
      <c r="B34" s="208" t="s">
        <v>197</v>
      </c>
      <c r="C34" s="209" t="s">
        <v>198</v>
      </c>
      <c r="D34" s="210">
        <v>0.25</v>
      </c>
      <c r="E34" s="262">
        <v>124797.09</v>
      </c>
      <c r="I34" s="135"/>
      <c r="J34" s="263">
        <f>SUM(J27:J33)</f>
        <v>26236200</v>
      </c>
      <c r="K34" s="263"/>
      <c r="L34" s="264">
        <f t="shared" ref="L34:N34" si="2">SUM(L27:L33)</f>
        <v>100</v>
      </c>
      <c r="M34" s="263">
        <f t="shared" si="2"/>
        <v>499237.81999999995</v>
      </c>
      <c r="N34" s="135">
        <f t="shared" si="2"/>
        <v>499237.82000000007</v>
      </c>
    </row>
    <row r="35" spans="2:14" ht="12" customHeight="1" x14ac:dyDescent="0.15">
      <c r="B35" s="216" t="s">
        <v>225</v>
      </c>
      <c r="C35" s="217"/>
      <c r="D35" s="218">
        <f t="shared" ref="D35:E35" si="3">SUM(D28:D34)</f>
        <v>1</v>
      </c>
      <c r="E35" s="243">
        <f t="shared" si="3"/>
        <v>499237.82000000007</v>
      </c>
    </row>
    <row r="36" spans="2:14" ht="12" customHeight="1" x14ac:dyDescent="0.15">
      <c r="B36" s="2"/>
      <c r="C36" s="4"/>
      <c r="D36" s="4"/>
      <c r="E36" s="4"/>
      <c r="H36" s="250" t="s">
        <v>353</v>
      </c>
      <c r="I36" s="135"/>
      <c r="J36" s="135"/>
      <c r="K36" s="135"/>
      <c r="L36" s="135"/>
    </row>
    <row r="37" spans="2:14" ht="12" customHeight="1" x14ac:dyDescent="0.2">
      <c r="B37" s="251" t="s">
        <v>354</v>
      </c>
      <c r="C37" s="252"/>
      <c r="D37" s="253" t="s">
        <v>350</v>
      </c>
      <c r="E37" s="254">
        <f>E19+E20</f>
        <v>40000</v>
      </c>
      <c r="H37" s="115" t="s">
        <v>300</v>
      </c>
      <c r="I37" s="255" t="s">
        <v>301</v>
      </c>
      <c r="J37" s="135" t="s">
        <v>302</v>
      </c>
      <c r="K37" s="135" t="s">
        <v>303</v>
      </c>
      <c r="L37" s="256" t="s">
        <v>304</v>
      </c>
      <c r="M37" s="115" t="s">
        <v>305</v>
      </c>
    </row>
    <row r="38" spans="2:14" ht="12" customHeight="1" x14ac:dyDescent="0.15">
      <c r="B38" s="199" t="s">
        <v>306</v>
      </c>
      <c r="C38" s="200" t="s">
        <v>307</v>
      </c>
      <c r="D38" s="201" t="s">
        <v>308</v>
      </c>
      <c r="E38" s="200" t="s">
        <v>309</v>
      </c>
      <c r="H38" s="257">
        <v>1</v>
      </c>
      <c r="I38" s="135">
        <f>E37</f>
        <v>40000</v>
      </c>
      <c r="J38" s="135">
        <v>3386200</v>
      </c>
      <c r="K38" s="135">
        <v>26236200</v>
      </c>
      <c r="L38" s="258">
        <f>(J38/J45)*100</f>
        <v>12.906594705025881</v>
      </c>
      <c r="M38" s="259">
        <f t="shared" ref="M38:M44" si="4">(I38*J38/K38)</f>
        <v>5162.6378820103519</v>
      </c>
      <c r="N38" s="135">
        <v>5162.6400000000003</v>
      </c>
    </row>
    <row r="39" spans="2:14" ht="12" customHeight="1" x14ac:dyDescent="0.15">
      <c r="B39" s="204" t="s">
        <v>184</v>
      </c>
      <c r="C39" s="205" t="s">
        <v>185</v>
      </c>
      <c r="D39" s="206">
        <v>0.129</v>
      </c>
      <c r="E39" s="260">
        <v>5162.6400000000003</v>
      </c>
      <c r="H39" s="257">
        <v>2</v>
      </c>
      <c r="I39" s="135">
        <f>E37</f>
        <v>40000</v>
      </c>
      <c r="J39" s="135">
        <v>3453400</v>
      </c>
      <c r="K39" s="135">
        <v>26236200</v>
      </c>
      <c r="L39" s="258">
        <f>(J39/J45)*100</f>
        <v>13.162729358672367</v>
      </c>
      <c r="M39" s="259">
        <f t="shared" si="4"/>
        <v>5265.0917434689472</v>
      </c>
      <c r="N39" s="135">
        <v>5265.09</v>
      </c>
    </row>
    <row r="40" spans="2:14" ht="12" customHeight="1" x14ac:dyDescent="0.15">
      <c r="B40" s="208" t="s">
        <v>351</v>
      </c>
      <c r="C40" s="209" t="s">
        <v>188</v>
      </c>
      <c r="D40" s="210">
        <v>0.13159999999999999</v>
      </c>
      <c r="E40" s="261">
        <v>5265.09</v>
      </c>
      <c r="H40" s="257">
        <v>3</v>
      </c>
      <c r="I40" s="135">
        <f>E37</f>
        <v>40000</v>
      </c>
      <c r="J40" s="135">
        <v>4063600</v>
      </c>
      <c r="K40" s="135">
        <v>26236200</v>
      </c>
      <c r="L40" s="258">
        <f>(J40/J45)*100</f>
        <v>15.4885234904445</v>
      </c>
      <c r="M40" s="259">
        <f t="shared" si="4"/>
        <v>6195.4093961777999</v>
      </c>
      <c r="N40" s="135">
        <v>6195.41</v>
      </c>
    </row>
    <row r="41" spans="2:14" ht="12" customHeight="1" x14ac:dyDescent="0.15">
      <c r="B41" s="208" t="s">
        <v>189</v>
      </c>
      <c r="C41" s="209" t="s">
        <v>190</v>
      </c>
      <c r="D41" s="210">
        <v>0.15490000000000001</v>
      </c>
      <c r="E41" s="261">
        <v>6195.41</v>
      </c>
      <c r="H41" s="257">
        <v>4</v>
      </c>
      <c r="I41" s="135">
        <f>E37</f>
        <v>40000</v>
      </c>
      <c r="J41" s="135">
        <v>2061000</v>
      </c>
      <c r="K41" s="135">
        <v>26236200</v>
      </c>
      <c r="L41" s="258">
        <f>(J41/J45)*100</f>
        <v>7.8555583506757838</v>
      </c>
      <c r="M41" s="259">
        <f t="shared" si="4"/>
        <v>3142.2233402703137</v>
      </c>
      <c r="N41" s="135">
        <v>3142.22</v>
      </c>
    </row>
    <row r="42" spans="2:14" ht="12" customHeight="1" x14ac:dyDescent="0.15">
      <c r="B42" s="208" t="s">
        <v>191</v>
      </c>
      <c r="C42" s="209" t="s">
        <v>192</v>
      </c>
      <c r="D42" s="210">
        <v>7.8600000000000003E-2</v>
      </c>
      <c r="E42" s="261">
        <v>3142.22</v>
      </c>
      <c r="H42" s="257">
        <v>5</v>
      </c>
      <c r="I42" s="135">
        <f>E37</f>
        <v>40000</v>
      </c>
      <c r="J42" s="135">
        <v>2540000</v>
      </c>
      <c r="K42" s="135">
        <v>26236200</v>
      </c>
      <c r="L42" s="258">
        <f>(J42/J45)*100</f>
        <v>9.6812800634238201</v>
      </c>
      <c r="M42" s="259">
        <f t="shared" si="4"/>
        <v>3872.5120253695277</v>
      </c>
      <c r="N42" s="135">
        <v>3872.51</v>
      </c>
    </row>
    <row r="43" spans="2:14" ht="12" customHeight="1" x14ac:dyDescent="0.15">
      <c r="B43" s="208" t="s">
        <v>310</v>
      </c>
      <c r="C43" s="209" t="s">
        <v>194</v>
      </c>
      <c r="D43" s="210">
        <v>9.6799999999999997E-2</v>
      </c>
      <c r="E43" s="261">
        <v>3872.51</v>
      </c>
      <c r="H43" s="257">
        <v>6</v>
      </c>
      <c r="I43" s="135">
        <f>E37</f>
        <v>40000</v>
      </c>
      <c r="J43" s="135">
        <v>4173600</v>
      </c>
      <c r="K43" s="135">
        <v>26236200</v>
      </c>
      <c r="L43" s="258">
        <f>(J43/J45)*100</f>
        <v>15.907791524687266</v>
      </c>
      <c r="M43" s="259">
        <f t="shared" si="4"/>
        <v>6363.1166098749054</v>
      </c>
      <c r="N43" s="135">
        <v>6363.12</v>
      </c>
    </row>
    <row r="44" spans="2:14" ht="12" customHeight="1" x14ac:dyDescent="0.15">
      <c r="B44" s="208" t="s">
        <v>355</v>
      </c>
      <c r="C44" s="209" t="s">
        <v>196</v>
      </c>
      <c r="D44" s="210">
        <v>0.15909999999999999</v>
      </c>
      <c r="E44" s="261">
        <v>6363.12</v>
      </c>
      <c r="H44" s="257">
        <v>7</v>
      </c>
      <c r="I44" s="135">
        <f>E37</f>
        <v>40000</v>
      </c>
      <c r="J44" s="135">
        <v>6558400</v>
      </c>
      <c r="K44" s="135">
        <v>26236200</v>
      </c>
      <c r="L44" s="258">
        <f>(J44/J45)*100</f>
        <v>24.997522507070382</v>
      </c>
      <c r="M44" s="259">
        <f t="shared" si="4"/>
        <v>9999.0090028281538</v>
      </c>
      <c r="N44" s="135">
        <v>9999.01</v>
      </c>
    </row>
    <row r="45" spans="2:14" ht="12" customHeight="1" x14ac:dyDescent="0.15">
      <c r="B45" s="208" t="s">
        <v>197</v>
      </c>
      <c r="C45" s="209" t="s">
        <v>198</v>
      </c>
      <c r="D45" s="210">
        <v>0.25</v>
      </c>
      <c r="E45" s="262">
        <v>9999.01</v>
      </c>
      <c r="I45" s="135"/>
      <c r="J45" s="263">
        <f>SUM(J38:J44)</f>
        <v>26236200</v>
      </c>
      <c r="K45" s="263"/>
      <c r="L45" s="264">
        <f t="shared" ref="L45:N45" si="5">SUM(L38:L44)</f>
        <v>100</v>
      </c>
      <c r="M45" s="263">
        <f t="shared" si="5"/>
        <v>40000</v>
      </c>
      <c r="N45" s="135">
        <f t="shared" si="5"/>
        <v>40000</v>
      </c>
    </row>
    <row r="46" spans="2:14" ht="12" customHeight="1" x14ac:dyDescent="0.15">
      <c r="B46" s="216" t="s">
        <v>225</v>
      </c>
      <c r="C46" s="217"/>
      <c r="D46" s="218">
        <f t="shared" ref="D46:E46" si="6">SUM(D39:D45)</f>
        <v>1</v>
      </c>
      <c r="E46" s="243">
        <f t="shared" si="6"/>
        <v>40000</v>
      </c>
      <c r="H46" s="257"/>
    </row>
    <row r="47" spans="2:14" ht="12" customHeight="1" x14ac:dyDescent="0.15">
      <c r="B47" s="2"/>
      <c r="C47" s="4"/>
      <c r="D47" s="4"/>
      <c r="E47" s="4"/>
      <c r="H47" s="250" t="s">
        <v>356</v>
      </c>
      <c r="I47" s="135"/>
      <c r="J47" s="135"/>
      <c r="K47" s="135"/>
      <c r="L47" s="135"/>
    </row>
    <row r="48" spans="2:14" ht="12" customHeight="1" x14ac:dyDescent="0.15">
      <c r="B48" s="265"/>
      <c r="C48" s="266" t="s">
        <v>357</v>
      </c>
      <c r="D48" s="267"/>
      <c r="E48" s="268"/>
      <c r="H48" s="115" t="s">
        <v>300</v>
      </c>
      <c r="I48" s="255" t="s">
        <v>301</v>
      </c>
      <c r="J48" s="135" t="s">
        <v>302</v>
      </c>
      <c r="K48" s="135" t="s">
        <v>303</v>
      </c>
      <c r="L48" s="256" t="s">
        <v>304</v>
      </c>
      <c r="M48" s="115" t="s">
        <v>305</v>
      </c>
    </row>
    <row r="49" spans="2:14" ht="12" customHeight="1" x14ac:dyDescent="0.15">
      <c r="B49" s="269" t="s">
        <v>300</v>
      </c>
      <c r="C49" s="270" t="s">
        <v>358</v>
      </c>
      <c r="D49" s="270" t="s">
        <v>359</v>
      </c>
      <c r="E49" s="270" t="s">
        <v>225</v>
      </c>
      <c r="H49" s="257">
        <v>1</v>
      </c>
      <c r="I49" s="135">
        <v>807965.5</v>
      </c>
      <c r="J49" s="135">
        <v>3386200</v>
      </c>
      <c r="K49" s="135">
        <v>26236200</v>
      </c>
      <c r="L49" s="258">
        <f>(J49/J56)*100</f>
        <v>12.906594705025881</v>
      </c>
      <c r="M49" s="259">
        <f t="shared" ref="M49:M55" si="7">(I49*J49/K49)</f>
        <v>104280.83244143588</v>
      </c>
      <c r="N49" s="135">
        <v>104280.83</v>
      </c>
    </row>
    <row r="50" spans="2:14" ht="12" customHeight="1" x14ac:dyDescent="0.15">
      <c r="B50" s="271" t="s">
        <v>185</v>
      </c>
      <c r="C50" s="49">
        <f t="shared" ref="C50:C56" si="8">E28/4</f>
        <v>16108.65</v>
      </c>
      <c r="D50" s="233">
        <f t="shared" ref="D50:D56" si="9">E39/4</f>
        <v>1290.6600000000001</v>
      </c>
      <c r="E50" s="233">
        <f t="shared" ref="E50:E56" si="10">C50+D50</f>
        <v>17399.310000000001</v>
      </c>
      <c r="H50" s="257">
        <v>2</v>
      </c>
      <c r="I50" s="135">
        <v>807965.5</v>
      </c>
      <c r="J50" s="135">
        <v>3453400</v>
      </c>
      <c r="K50" s="135">
        <v>26236200</v>
      </c>
      <c r="L50" s="258">
        <f>(J50/J56)*100</f>
        <v>13.162729358672367</v>
      </c>
      <c r="M50" s="259">
        <f t="shared" si="7"/>
        <v>106350.312076444</v>
      </c>
      <c r="N50" s="135">
        <v>106350.31</v>
      </c>
    </row>
    <row r="51" spans="2:14" ht="12" customHeight="1" x14ac:dyDescent="0.15">
      <c r="B51" s="271" t="s">
        <v>188</v>
      </c>
      <c r="C51" s="49">
        <f t="shared" si="8"/>
        <v>16428.330000000002</v>
      </c>
      <c r="D51" s="233">
        <f t="shared" si="9"/>
        <v>1316.2725</v>
      </c>
      <c r="E51" s="233">
        <f t="shared" si="10"/>
        <v>17744.602500000001</v>
      </c>
      <c r="H51" s="257">
        <v>3</v>
      </c>
      <c r="I51" s="135">
        <v>807965.5</v>
      </c>
      <c r="J51" s="135">
        <v>4063600</v>
      </c>
      <c r="K51" s="135">
        <v>26236200</v>
      </c>
      <c r="L51" s="258">
        <f>(J51/J56)*100</f>
        <v>15.4885234904445</v>
      </c>
      <c r="M51" s="259">
        <f t="shared" si="7"/>
        <v>125141.92626218736</v>
      </c>
      <c r="N51" s="135">
        <v>125141.93</v>
      </c>
    </row>
    <row r="52" spans="2:14" ht="12" customHeight="1" x14ac:dyDescent="0.15">
      <c r="B52" s="271" t="s">
        <v>190</v>
      </c>
      <c r="C52" s="49">
        <f t="shared" si="8"/>
        <v>19331.142500000002</v>
      </c>
      <c r="D52" s="233">
        <f t="shared" si="9"/>
        <v>1548.8525</v>
      </c>
      <c r="E52" s="233">
        <f t="shared" si="10"/>
        <v>20879.995000000003</v>
      </c>
      <c r="H52" s="257">
        <v>4</v>
      </c>
      <c r="I52" s="135">
        <v>807965.5</v>
      </c>
      <c r="J52" s="135">
        <v>2061000</v>
      </c>
      <c r="K52" s="135">
        <v>26236200</v>
      </c>
      <c r="L52" s="258">
        <f>(J52/J56)*100</f>
        <v>7.8555583506757838</v>
      </c>
      <c r="M52" s="259">
        <f t="shared" si="7"/>
        <v>63470.201305829352</v>
      </c>
      <c r="N52" s="135">
        <v>63470.2</v>
      </c>
    </row>
    <row r="53" spans="2:14" ht="12" customHeight="1" x14ac:dyDescent="0.15">
      <c r="B53" s="271" t="s">
        <v>192</v>
      </c>
      <c r="C53" s="49">
        <f t="shared" si="8"/>
        <v>9804.48</v>
      </c>
      <c r="D53" s="233">
        <f t="shared" si="9"/>
        <v>785.55499999999995</v>
      </c>
      <c r="E53" s="233">
        <f t="shared" si="10"/>
        <v>10590.035</v>
      </c>
      <c r="H53" s="257">
        <v>5</v>
      </c>
      <c r="I53" s="135">
        <v>807965.5</v>
      </c>
      <c r="J53" s="135">
        <v>2540000</v>
      </c>
      <c r="K53" s="135">
        <v>26236200</v>
      </c>
      <c r="L53" s="258">
        <f>(J53/J56)*100</f>
        <v>9.6812800634238201</v>
      </c>
      <c r="M53" s="259">
        <f t="shared" si="7"/>
        <v>78221.402870842576</v>
      </c>
      <c r="N53" s="135">
        <v>78221.399999999994</v>
      </c>
    </row>
    <row r="54" spans="2:14" ht="12" customHeight="1" x14ac:dyDescent="0.15">
      <c r="B54" s="271" t="s">
        <v>194</v>
      </c>
      <c r="C54" s="49">
        <f t="shared" si="8"/>
        <v>12083.1525</v>
      </c>
      <c r="D54" s="233">
        <f t="shared" si="9"/>
        <v>968.12750000000005</v>
      </c>
      <c r="E54" s="233">
        <f t="shared" si="10"/>
        <v>13051.28</v>
      </c>
      <c r="H54" s="257">
        <v>6</v>
      </c>
      <c r="I54" s="135">
        <v>807965.5</v>
      </c>
      <c r="J54" s="135">
        <v>4173600</v>
      </c>
      <c r="K54" s="135">
        <v>26236200</v>
      </c>
      <c r="L54" s="258">
        <f>(J54/J56)*100</f>
        <v>15.907791524687266</v>
      </c>
      <c r="M54" s="259">
        <f t="shared" si="7"/>
        <v>128529.46733139707</v>
      </c>
      <c r="N54" s="135">
        <v>128529.47</v>
      </c>
    </row>
    <row r="55" spans="2:14" ht="12" customHeight="1" x14ac:dyDescent="0.15">
      <c r="B55" s="271" t="s">
        <v>196</v>
      </c>
      <c r="C55" s="49">
        <f t="shared" si="8"/>
        <v>19854.427500000002</v>
      </c>
      <c r="D55" s="233">
        <f t="shared" si="9"/>
        <v>1590.78</v>
      </c>
      <c r="E55" s="233">
        <f t="shared" si="10"/>
        <v>21445.2075</v>
      </c>
      <c r="H55" s="257">
        <v>7</v>
      </c>
      <c r="I55" s="135">
        <v>807965.5</v>
      </c>
      <c r="J55" s="135">
        <v>6558400</v>
      </c>
      <c r="K55" s="135">
        <v>26236200</v>
      </c>
      <c r="L55" s="258">
        <f>(J55/J56)*100</f>
        <v>24.997522507070382</v>
      </c>
      <c r="M55" s="259">
        <f t="shared" si="7"/>
        <v>201971.35771186376</v>
      </c>
      <c r="N55" s="135">
        <v>201971.36</v>
      </c>
    </row>
    <row r="56" spans="2:14" ht="12" customHeight="1" x14ac:dyDescent="0.15">
      <c r="B56" s="272" t="s">
        <v>198</v>
      </c>
      <c r="C56" s="273">
        <f t="shared" si="8"/>
        <v>31199.272499999999</v>
      </c>
      <c r="D56" s="239">
        <f t="shared" si="9"/>
        <v>2499.7525000000001</v>
      </c>
      <c r="E56" s="239">
        <f t="shared" si="10"/>
        <v>33699.025000000001</v>
      </c>
      <c r="I56" s="135"/>
      <c r="J56" s="263">
        <f>SUM(J49:J55)</f>
        <v>26236200</v>
      </c>
      <c r="K56" s="263"/>
      <c r="L56" s="264">
        <f t="shared" ref="L56:N56" si="11">SUM(L49:L55)</f>
        <v>100</v>
      </c>
      <c r="M56" s="263">
        <f t="shared" si="11"/>
        <v>807965.5</v>
      </c>
      <c r="N56" s="135">
        <f t="shared" si="11"/>
        <v>807965.5</v>
      </c>
    </row>
    <row r="57" spans="2:14" ht="12" customHeight="1" x14ac:dyDescent="0.15">
      <c r="B57" s="2"/>
      <c r="C57" s="132">
        <f t="shared" ref="C57:E57" si="12">SUM(C50:C56)</f>
        <v>124809.45500000002</v>
      </c>
      <c r="D57" s="132">
        <f t="shared" si="12"/>
        <v>10000</v>
      </c>
      <c r="E57" s="132">
        <f t="shared" si="12"/>
        <v>134809.45500000002</v>
      </c>
    </row>
    <row r="58" spans="2:14" ht="12" customHeight="1" x14ac:dyDescent="0.15">
      <c r="B58" s="2"/>
      <c r="H58" s="250" t="s">
        <v>356</v>
      </c>
      <c r="I58" s="135"/>
      <c r="J58" s="135"/>
      <c r="K58" s="135"/>
      <c r="L58" s="135"/>
    </row>
    <row r="59" spans="2:14" ht="12" customHeight="1" x14ac:dyDescent="0.15">
      <c r="B59" s="2"/>
      <c r="H59" s="115" t="s">
        <v>300</v>
      </c>
      <c r="I59" s="255" t="s">
        <v>301</v>
      </c>
      <c r="J59" s="135" t="s">
        <v>302</v>
      </c>
      <c r="K59" s="135" t="s">
        <v>303</v>
      </c>
      <c r="L59" s="256" t="s">
        <v>304</v>
      </c>
      <c r="M59" s="115" t="s">
        <v>305</v>
      </c>
    </row>
    <row r="60" spans="2:14" ht="12" customHeight="1" x14ac:dyDescent="0.15">
      <c r="B60" s="2"/>
      <c r="H60" s="257">
        <v>1</v>
      </c>
      <c r="I60" s="135">
        <v>40000</v>
      </c>
      <c r="J60" s="135">
        <v>3386200</v>
      </c>
      <c r="K60" s="135">
        <v>26236200</v>
      </c>
      <c r="L60" s="258">
        <f>(J60/J67)*100</f>
        <v>12.906594705025881</v>
      </c>
      <c r="M60" s="259">
        <f t="shared" ref="M60:M66" si="13">(I60*J60/K60)</f>
        <v>5162.6378820103519</v>
      </c>
      <c r="N60" s="135">
        <v>5162.6400000000003</v>
      </c>
    </row>
    <row r="61" spans="2:14" ht="12" customHeight="1" x14ac:dyDescent="0.15">
      <c r="B61" s="2"/>
      <c r="H61" s="257">
        <v>2</v>
      </c>
      <c r="I61" s="135">
        <v>40000</v>
      </c>
      <c r="J61" s="135">
        <v>3453400</v>
      </c>
      <c r="K61" s="135">
        <v>26236200</v>
      </c>
      <c r="L61" s="258">
        <f>(J61/J67)*100</f>
        <v>13.162729358672367</v>
      </c>
      <c r="M61" s="259">
        <f t="shared" si="13"/>
        <v>5265.0917434689472</v>
      </c>
      <c r="N61" s="135">
        <v>5265.09</v>
      </c>
    </row>
    <row r="62" spans="2:14" ht="12" customHeight="1" x14ac:dyDescent="0.15">
      <c r="B62" s="2"/>
      <c r="H62" s="257">
        <v>3</v>
      </c>
      <c r="I62" s="135">
        <v>40000</v>
      </c>
      <c r="J62" s="135">
        <v>4063600</v>
      </c>
      <c r="K62" s="135">
        <v>26236200</v>
      </c>
      <c r="L62" s="258">
        <f>(J62/J67)*100</f>
        <v>15.4885234904445</v>
      </c>
      <c r="M62" s="259">
        <f t="shared" si="13"/>
        <v>6195.4093961777999</v>
      </c>
      <c r="N62" s="135">
        <v>6195.41</v>
      </c>
    </row>
    <row r="63" spans="2:14" ht="12" customHeight="1" x14ac:dyDescent="0.15">
      <c r="B63" s="2"/>
      <c r="C63" s="4"/>
      <c r="D63" s="4"/>
      <c r="E63" s="4"/>
      <c r="H63" s="257">
        <v>4</v>
      </c>
      <c r="I63" s="135">
        <v>40000</v>
      </c>
      <c r="J63" s="135">
        <v>2061000</v>
      </c>
      <c r="K63" s="135">
        <v>26236200</v>
      </c>
      <c r="L63" s="258">
        <f>(J63/J67)*100</f>
        <v>7.8555583506757838</v>
      </c>
      <c r="M63" s="259">
        <f t="shared" si="13"/>
        <v>3142.2233402703137</v>
      </c>
      <c r="N63" s="135">
        <v>3142.22</v>
      </c>
    </row>
    <row r="64" spans="2:14" ht="12" customHeight="1" x14ac:dyDescent="0.15">
      <c r="B64" s="2"/>
      <c r="C64" s="4"/>
      <c r="D64" s="4"/>
      <c r="E64" s="4"/>
      <c r="H64" s="257">
        <v>5</v>
      </c>
      <c r="I64" s="135">
        <v>40000</v>
      </c>
      <c r="J64" s="135">
        <v>2540000</v>
      </c>
      <c r="K64" s="135">
        <v>26236200</v>
      </c>
      <c r="L64" s="258">
        <f>(J64/J67)*100</f>
        <v>9.6812800634238201</v>
      </c>
      <c r="M64" s="259">
        <f t="shared" si="13"/>
        <v>3872.5120253695277</v>
      </c>
      <c r="N64" s="135">
        <v>3872.51</v>
      </c>
    </row>
    <row r="65" spans="2:14" ht="12" customHeight="1" x14ac:dyDescent="0.15">
      <c r="B65" s="2"/>
      <c r="C65" s="4"/>
      <c r="D65" s="4"/>
      <c r="E65" s="4"/>
      <c r="H65" s="257">
        <v>6</v>
      </c>
      <c r="I65" s="135">
        <v>40000</v>
      </c>
      <c r="J65" s="135">
        <v>4173600</v>
      </c>
      <c r="K65" s="135">
        <v>26236200</v>
      </c>
      <c r="L65" s="258">
        <f>(J65/J67)*100</f>
        <v>15.907791524687266</v>
      </c>
      <c r="M65" s="259">
        <f t="shared" si="13"/>
        <v>6363.1166098749054</v>
      </c>
      <c r="N65" s="135">
        <v>6363.12</v>
      </c>
    </row>
    <row r="66" spans="2:14" ht="12" customHeight="1" x14ac:dyDescent="0.15">
      <c r="B66" s="2"/>
      <c r="C66" s="4"/>
      <c r="D66" s="4"/>
      <c r="E66" s="4"/>
      <c r="H66" s="257">
        <v>7</v>
      </c>
      <c r="I66" s="135">
        <v>40000</v>
      </c>
      <c r="J66" s="135">
        <v>6558400</v>
      </c>
      <c r="K66" s="135">
        <v>26236200</v>
      </c>
      <c r="L66" s="258">
        <f>(J66/J67)*100</f>
        <v>24.997522507070382</v>
      </c>
      <c r="M66" s="259">
        <f t="shared" si="13"/>
        <v>9999.0090028281538</v>
      </c>
      <c r="N66" s="135">
        <v>9999.01</v>
      </c>
    </row>
    <row r="67" spans="2:14" ht="12" customHeight="1" x14ac:dyDescent="0.15">
      <c r="B67" s="2"/>
      <c r="C67" s="4"/>
      <c r="D67" s="4"/>
      <c r="E67" s="4"/>
      <c r="I67" s="135"/>
      <c r="J67" s="263">
        <f>SUM(J60:J66)</f>
        <v>26236200</v>
      </c>
      <c r="K67" s="263"/>
      <c r="L67" s="264">
        <f t="shared" ref="L67:N67" si="14">SUM(L60:L66)</f>
        <v>100</v>
      </c>
      <c r="M67" s="263">
        <f t="shared" si="14"/>
        <v>40000</v>
      </c>
      <c r="N67" s="135">
        <f t="shared" si="14"/>
        <v>40000</v>
      </c>
    </row>
    <row r="68" spans="2:14" ht="12" customHeight="1" x14ac:dyDescent="0.15">
      <c r="B68" s="2"/>
      <c r="C68" s="4"/>
      <c r="D68" s="4"/>
      <c r="E68" s="4"/>
      <c r="I68" s="135"/>
      <c r="J68" s="135"/>
      <c r="K68" s="135"/>
      <c r="L68" s="135"/>
    </row>
    <row r="69" spans="2:14" ht="12" customHeight="1" x14ac:dyDescent="0.15">
      <c r="B69" s="2"/>
      <c r="C69" s="4"/>
      <c r="D69" s="4"/>
      <c r="E69" s="4"/>
      <c r="I69" s="135"/>
      <c r="J69" s="135"/>
      <c r="K69" s="135"/>
      <c r="L69" s="135"/>
    </row>
    <row r="70" spans="2:14" ht="12" customHeight="1" x14ac:dyDescent="0.15">
      <c r="B70" s="2"/>
      <c r="C70" s="4"/>
      <c r="D70" s="4"/>
      <c r="E70" s="4"/>
      <c r="I70" s="135"/>
      <c r="J70" s="135"/>
      <c r="K70" s="135"/>
      <c r="L70" s="135"/>
    </row>
    <row r="71" spans="2:14" ht="12" customHeight="1" x14ac:dyDescent="0.15">
      <c r="B71" s="2"/>
      <c r="C71" s="4"/>
      <c r="D71" s="4"/>
      <c r="E71" s="4"/>
      <c r="I71" s="135"/>
      <c r="J71" s="135"/>
      <c r="K71" s="135"/>
      <c r="L71" s="135"/>
    </row>
    <row r="72" spans="2:14" ht="12" customHeight="1" x14ac:dyDescent="0.15">
      <c r="B72" s="2"/>
      <c r="C72" s="4"/>
      <c r="D72" s="4"/>
      <c r="E72" s="4"/>
      <c r="I72" s="135"/>
      <c r="J72" s="135"/>
      <c r="K72" s="135"/>
      <c r="L72" s="135"/>
    </row>
    <row r="73" spans="2:14" ht="12" customHeight="1" x14ac:dyDescent="0.15">
      <c r="B73" s="2"/>
      <c r="C73" s="4"/>
      <c r="D73" s="4"/>
      <c r="E73" s="4"/>
      <c r="I73" s="135"/>
      <c r="J73" s="135"/>
      <c r="K73" s="135"/>
      <c r="L73" s="135"/>
    </row>
    <row r="74" spans="2:14" ht="12" customHeight="1" x14ac:dyDescent="0.15">
      <c r="B74" s="2"/>
      <c r="C74" s="4"/>
      <c r="D74" s="4"/>
      <c r="E74" s="4"/>
      <c r="I74" s="135"/>
      <c r="J74" s="135"/>
      <c r="K74" s="135"/>
      <c r="L74" s="135"/>
    </row>
    <row r="75" spans="2:14" ht="12" customHeight="1" x14ac:dyDescent="0.15">
      <c r="B75" s="2"/>
      <c r="C75" s="4"/>
      <c r="D75" s="4"/>
      <c r="E75" s="4"/>
      <c r="I75" s="135"/>
      <c r="J75" s="135"/>
      <c r="K75" s="135"/>
      <c r="L75" s="135"/>
    </row>
    <row r="76" spans="2:14" ht="12" customHeight="1" x14ac:dyDescent="0.15">
      <c r="B76" s="2"/>
      <c r="C76" s="4"/>
      <c r="D76" s="4"/>
      <c r="E76" s="4"/>
      <c r="I76" s="135"/>
      <c r="J76" s="135"/>
      <c r="K76" s="135"/>
      <c r="L76" s="135"/>
    </row>
    <row r="77" spans="2:14" ht="12" customHeight="1" x14ac:dyDescent="0.15">
      <c r="B77" s="2"/>
      <c r="C77" s="4"/>
      <c r="D77" s="4"/>
      <c r="E77" s="4"/>
      <c r="I77" s="135"/>
      <c r="J77" s="135"/>
      <c r="K77" s="135"/>
      <c r="L77" s="135"/>
    </row>
    <row r="78" spans="2:14" ht="12" customHeight="1" x14ac:dyDescent="0.15">
      <c r="B78" s="2"/>
      <c r="C78" s="4"/>
      <c r="D78" s="4"/>
      <c r="E78" s="4"/>
      <c r="I78" s="135"/>
      <c r="J78" s="135"/>
      <c r="K78" s="135"/>
      <c r="L78" s="135"/>
    </row>
    <row r="79" spans="2:14" ht="12" customHeight="1" x14ac:dyDescent="0.15">
      <c r="B79" s="2"/>
      <c r="C79" s="4"/>
      <c r="D79" s="4"/>
      <c r="E79" s="4"/>
      <c r="I79" s="135"/>
      <c r="J79" s="135"/>
      <c r="K79" s="135"/>
      <c r="L79" s="135"/>
    </row>
    <row r="80" spans="2:14" ht="12" customHeight="1" x14ac:dyDescent="0.15">
      <c r="B80" s="2"/>
      <c r="C80" s="4"/>
      <c r="D80" s="4"/>
      <c r="E80" s="4"/>
      <c r="I80" s="135"/>
      <c r="J80" s="135"/>
      <c r="K80" s="135"/>
      <c r="L80" s="135"/>
    </row>
    <row r="81" spans="2:12" ht="12" customHeight="1" x14ac:dyDescent="0.15">
      <c r="B81" s="2"/>
      <c r="C81" s="4"/>
      <c r="D81" s="4"/>
      <c r="E81" s="4"/>
      <c r="I81" s="135"/>
      <c r="J81" s="135"/>
      <c r="K81" s="135"/>
      <c r="L81" s="135"/>
    </row>
    <row r="82" spans="2:12" ht="12" customHeight="1" x14ac:dyDescent="0.15">
      <c r="B82" s="2"/>
      <c r="C82" s="4"/>
      <c r="D82" s="4"/>
      <c r="E82" s="4"/>
      <c r="I82" s="135"/>
      <c r="J82" s="135"/>
      <c r="K82" s="135"/>
      <c r="L82" s="135"/>
    </row>
    <row r="83" spans="2:12" ht="12" customHeight="1" x14ac:dyDescent="0.15">
      <c r="B83" s="2"/>
      <c r="C83" s="4"/>
      <c r="D83" s="4"/>
      <c r="E83" s="4"/>
      <c r="I83" s="135"/>
      <c r="J83" s="135"/>
      <c r="K83" s="135"/>
      <c r="L83" s="135"/>
    </row>
    <row r="84" spans="2:12" ht="12" customHeight="1" x14ac:dyDescent="0.15">
      <c r="B84" s="2"/>
      <c r="C84" s="4"/>
      <c r="D84" s="4"/>
      <c r="E84" s="4"/>
      <c r="I84" s="135"/>
      <c r="J84" s="135"/>
      <c r="K84" s="135"/>
      <c r="L84" s="135"/>
    </row>
    <row r="85" spans="2:12" ht="12" customHeight="1" x14ac:dyDescent="0.15">
      <c r="B85" s="2"/>
      <c r="C85" s="4"/>
      <c r="D85" s="4"/>
      <c r="E85" s="4"/>
      <c r="I85" s="135"/>
      <c r="J85" s="135"/>
      <c r="K85" s="135"/>
      <c r="L85" s="135"/>
    </row>
    <row r="86" spans="2:12" ht="12" customHeight="1" x14ac:dyDescent="0.15">
      <c r="B86" s="2"/>
      <c r="C86" s="4"/>
      <c r="D86" s="4"/>
      <c r="E86" s="4"/>
      <c r="I86" s="135"/>
      <c r="J86" s="135"/>
      <c r="K86" s="135"/>
      <c r="L86" s="135"/>
    </row>
    <row r="87" spans="2:12" ht="12" customHeight="1" x14ac:dyDescent="0.15">
      <c r="B87" s="2"/>
      <c r="C87" s="4"/>
      <c r="D87" s="4"/>
      <c r="E87" s="4"/>
      <c r="I87" s="135"/>
      <c r="J87" s="135"/>
      <c r="K87" s="135"/>
      <c r="L87" s="135"/>
    </row>
    <row r="88" spans="2:12" ht="12" customHeight="1" x14ac:dyDescent="0.15">
      <c r="B88" s="2"/>
      <c r="C88" s="4"/>
      <c r="D88" s="4"/>
      <c r="E88" s="4"/>
      <c r="I88" s="135"/>
      <c r="J88" s="135"/>
      <c r="K88" s="135"/>
      <c r="L88" s="135"/>
    </row>
    <row r="89" spans="2:12" ht="12" customHeight="1" x14ac:dyDescent="0.15">
      <c r="B89" s="2"/>
      <c r="C89" s="4"/>
      <c r="D89" s="4"/>
      <c r="E89" s="4"/>
      <c r="I89" s="135"/>
      <c r="J89" s="135"/>
      <c r="K89" s="135"/>
      <c r="L89" s="135"/>
    </row>
    <row r="90" spans="2:12" ht="12" customHeight="1" x14ac:dyDescent="0.15">
      <c r="B90" s="2"/>
      <c r="C90" s="4"/>
      <c r="D90" s="4"/>
      <c r="E90" s="4"/>
      <c r="I90" s="135"/>
      <c r="J90" s="135"/>
      <c r="K90" s="135"/>
      <c r="L90" s="135"/>
    </row>
    <row r="91" spans="2:12" ht="12" customHeight="1" x14ac:dyDescent="0.15">
      <c r="B91" s="2"/>
      <c r="C91" s="4"/>
      <c r="D91" s="4"/>
      <c r="E91" s="4"/>
      <c r="I91" s="135"/>
      <c r="J91" s="135"/>
      <c r="K91" s="135"/>
      <c r="L91" s="135"/>
    </row>
    <row r="92" spans="2:12" ht="12" customHeight="1" x14ac:dyDescent="0.15">
      <c r="B92" s="2"/>
      <c r="C92" s="4"/>
      <c r="D92" s="4"/>
      <c r="E92" s="4"/>
      <c r="I92" s="135"/>
      <c r="J92" s="135"/>
      <c r="K92" s="135"/>
      <c r="L92" s="135"/>
    </row>
    <row r="93" spans="2:12" ht="12" customHeight="1" x14ac:dyDescent="0.15">
      <c r="B93" s="2"/>
      <c r="C93" s="4"/>
      <c r="D93" s="4"/>
      <c r="E93" s="4"/>
      <c r="I93" s="135"/>
      <c r="J93" s="135"/>
      <c r="K93" s="135"/>
      <c r="L93" s="135"/>
    </row>
    <row r="94" spans="2:12" ht="12" customHeight="1" x14ac:dyDescent="0.15">
      <c r="B94" s="2"/>
      <c r="C94" s="4"/>
      <c r="D94" s="4"/>
      <c r="E94" s="4"/>
      <c r="I94" s="135"/>
      <c r="J94" s="135"/>
      <c r="K94" s="135"/>
      <c r="L94" s="135"/>
    </row>
    <row r="95" spans="2:12" ht="12" customHeight="1" x14ac:dyDescent="0.15">
      <c r="B95" s="2"/>
      <c r="C95" s="4"/>
      <c r="D95" s="4"/>
      <c r="E95" s="4"/>
      <c r="I95" s="135"/>
      <c r="J95" s="135"/>
      <c r="K95" s="135"/>
      <c r="L95" s="135"/>
    </row>
    <row r="96" spans="2:12" ht="12" customHeight="1" x14ac:dyDescent="0.15">
      <c r="B96" s="2"/>
      <c r="C96" s="4"/>
      <c r="D96" s="4"/>
      <c r="E96" s="4"/>
      <c r="I96" s="135"/>
      <c r="J96" s="135"/>
      <c r="K96" s="135"/>
      <c r="L96" s="135"/>
    </row>
    <row r="97" spans="2:12" ht="12" customHeight="1" x14ac:dyDescent="0.15">
      <c r="B97" s="2"/>
      <c r="C97" s="4"/>
      <c r="D97" s="4"/>
      <c r="E97" s="4"/>
      <c r="I97" s="135"/>
      <c r="J97" s="135"/>
      <c r="K97" s="135"/>
      <c r="L97" s="135"/>
    </row>
    <row r="98" spans="2:12" ht="12" customHeight="1" x14ac:dyDescent="0.15">
      <c r="B98" s="2"/>
      <c r="C98" s="4"/>
      <c r="D98" s="4"/>
      <c r="E98" s="4"/>
      <c r="I98" s="135"/>
      <c r="J98" s="135"/>
      <c r="K98" s="135"/>
      <c r="L98" s="135"/>
    </row>
    <row r="99" spans="2:12" ht="12" customHeight="1" x14ac:dyDescent="0.15">
      <c r="B99" s="2"/>
      <c r="C99" s="4"/>
      <c r="D99" s="4"/>
      <c r="E99" s="4"/>
      <c r="I99" s="135"/>
      <c r="J99" s="135"/>
      <c r="K99" s="135"/>
      <c r="L99" s="135"/>
    </row>
    <row r="100" spans="2:12" ht="12" customHeight="1" x14ac:dyDescent="0.15">
      <c r="B100" s="2"/>
      <c r="C100" s="4"/>
      <c r="D100" s="4"/>
      <c r="E100" s="4"/>
      <c r="I100" s="135"/>
      <c r="J100" s="135"/>
      <c r="K100" s="135"/>
      <c r="L100" s="135"/>
    </row>
    <row r="101" spans="2:12" ht="12" customHeight="1" x14ac:dyDescent="0.15">
      <c r="B101" s="2"/>
      <c r="C101" s="4"/>
      <c r="D101" s="4"/>
      <c r="E101" s="4"/>
      <c r="I101" s="135"/>
      <c r="J101" s="135"/>
      <c r="K101" s="135"/>
      <c r="L101" s="135"/>
    </row>
    <row r="102" spans="2:12" ht="12" customHeight="1" x14ac:dyDescent="0.15">
      <c r="B102" s="2"/>
      <c r="C102" s="4"/>
      <c r="D102" s="4"/>
      <c r="E102" s="4"/>
      <c r="I102" s="135"/>
      <c r="J102" s="135"/>
      <c r="K102" s="135"/>
      <c r="L102" s="135"/>
    </row>
    <row r="103" spans="2:12" ht="12" customHeight="1" x14ac:dyDescent="0.15">
      <c r="B103" s="2"/>
      <c r="C103" s="4"/>
      <c r="D103" s="4"/>
      <c r="E103" s="4"/>
      <c r="I103" s="135"/>
      <c r="J103" s="135"/>
      <c r="K103" s="135"/>
      <c r="L103" s="135"/>
    </row>
    <row r="104" spans="2:12" ht="12" customHeight="1" x14ac:dyDescent="0.15">
      <c r="B104" s="2"/>
      <c r="C104" s="4"/>
      <c r="D104" s="4"/>
      <c r="E104" s="4"/>
      <c r="I104" s="135"/>
      <c r="J104" s="135"/>
      <c r="K104" s="135"/>
      <c r="L104" s="135"/>
    </row>
    <row r="105" spans="2:12" ht="12" customHeight="1" x14ac:dyDescent="0.15">
      <c r="B105" s="2"/>
      <c r="C105" s="4"/>
      <c r="D105" s="4"/>
      <c r="E105" s="4"/>
      <c r="I105" s="135"/>
      <c r="J105" s="135"/>
      <c r="K105" s="135"/>
      <c r="L105" s="135"/>
    </row>
    <row r="106" spans="2:12" ht="12" customHeight="1" x14ac:dyDescent="0.15">
      <c r="B106" s="2"/>
      <c r="C106" s="4"/>
      <c r="D106" s="4"/>
      <c r="E106" s="4"/>
      <c r="I106" s="135"/>
      <c r="J106" s="135"/>
      <c r="K106" s="135"/>
      <c r="L106" s="135"/>
    </row>
    <row r="107" spans="2:12" ht="12" customHeight="1" x14ac:dyDescent="0.15">
      <c r="B107" s="2"/>
      <c r="C107" s="4"/>
      <c r="D107" s="4"/>
      <c r="E107" s="4"/>
      <c r="I107" s="135"/>
      <c r="J107" s="135"/>
      <c r="K107" s="135"/>
      <c r="L107" s="135"/>
    </row>
    <row r="108" spans="2:12" ht="12" customHeight="1" x14ac:dyDescent="0.15">
      <c r="B108" s="2"/>
      <c r="C108" s="4"/>
      <c r="D108" s="4"/>
      <c r="E108" s="4"/>
      <c r="I108" s="135"/>
      <c r="J108" s="135"/>
      <c r="K108" s="135"/>
      <c r="L108" s="135"/>
    </row>
    <row r="109" spans="2:12" ht="12" customHeight="1" x14ac:dyDescent="0.15">
      <c r="B109" s="2"/>
      <c r="C109" s="4"/>
      <c r="D109" s="4"/>
      <c r="E109" s="4"/>
      <c r="I109" s="135"/>
      <c r="J109" s="135"/>
      <c r="K109" s="135"/>
      <c r="L109" s="135"/>
    </row>
    <row r="110" spans="2:12" ht="12" customHeight="1" x14ac:dyDescent="0.15">
      <c r="B110" s="2"/>
      <c r="C110" s="4"/>
      <c r="D110" s="4"/>
      <c r="E110" s="4"/>
      <c r="I110" s="135"/>
      <c r="J110" s="135"/>
      <c r="K110" s="135"/>
      <c r="L110" s="135"/>
    </row>
    <row r="111" spans="2:12" ht="12" customHeight="1" x14ac:dyDescent="0.15">
      <c r="B111" s="2"/>
      <c r="C111" s="4"/>
      <c r="D111" s="4"/>
      <c r="E111" s="4"/>
      <c r="I111" s="135"/>
      <c r="J111" s="135"/>
      <c r="K111" s="135"/>
      <c r="L111" s="135"/>
    </row>
    <row r="112" spans="2:12" ht="12" customHeight="1" x14ac:dyDescent="0.15">
      <c r="B112" s="2"/>
      <c r="C112" s="4"/>
      <c r="D112" s="4"/>
      <c r="E112" s="4"/>
      <c r="I112" s="135"/>
      <c r="J112" s="135"/>
      <c r="K112" s="135"/>
      <c r="L112" s="135"/>
    </row>
    <row r="113" spans="2:12" ht="12" customHeight="1" x14ac:dyDescent="0.15">
      <c r="B113" s="2"/>
      <c r="C113" s="4"/>
      <c r="D113" s="4"/>
      <c r="E113" s="4"/>
      <c r="I113" s="135"/>
      <c r="J113" s="135"/>
      <c r="K113" s="135"/>
      <c r="L113" s="135"/>
    </row>
    <row r="114" spans="2:12" ht="12" customHeight="1" x14ac:dyDescent="0.15">
      <c r="B114" s="2"/>
      <c r="C114" s="4"/>
      <c r="D114" s="4"/>
      <c r="E114" s="4"/>
      <c r="I114" s="135"/>
      <c r="J114" s="135"/>
      <c r="K114" s="135"/>
      <c r="L114" s="135"/>
    </row>
    <row r="115" spans="2:12" ht="12" customHeight="1" x14ac:dyDescent="0.15">
      <c r="B115" s="2"/>
      <c r="C115" s="4"/>
      <c r="D115" s="4"/>
      <c r="E115" s="4"/>
      <c r="I115" s="135"/>
      <c r="J115" s="135"/>
      <c r="K115" s="135"/>
      <c r="L115" s="135"/>
    </row>
    <row r="116" spans="2:12" ht="12" customHeight="1" x14ac:dyDescent="0.15">
      <c r="B116" s="2"/>
      <c r="C116" s="4"/>
      <c r="D116" s="4"/>
      <c r="E116" s="4"/>
      <c r="I116" s="135"/>
      <c r="J116" s="135"/>
      <c r="K116" s="135"/>
      <c r="L116" s="135"/>
    </row>
    <row r="117" spans="2:12" ht="12" customHeight="1" x14ac:dyDescent="0.15">
      <c r="B117" s="2"/>
      <c r="C117" s="4"/>
      <c r="D117" s="4"/>
      <c r="E117" s="4"/>
      <c r="I117" s="135"/>
      <c r="J117" s="135"/>
      <c r="K117" s="135"/>
      <c r="L117" s="135"/>
    </row>
    <row r="118" spans="2:12" ht="12" customHeight="1" x14ac:dyDescent="0.15">
      <c r="B118" s="2"/>
      <c r="C118" s="4"/>
      <c r="D118" s="4"/>
      <c r="E118" s="4"/>
      <c r="I118" s="135"/>
      <c r="J118" s="135"/>
      <c r="K118" s="135"/>
      <c r="L118" s="135"/>
    </row>
    <row r="119" spans="2:12" ht="12" customHeight="1" x14ac:dyDescent="0.15">
      <c r="B119" s="2"/>
      <c r="C119" s="4"/>
      <c r="D119" s="4"/>
      <c r="E119" s="4"/>
      <c r="I119" s="135"/>
      <c r="J119" s="135"/>
      <c r="K119" s="135"/>
      <c r="L119" s="135"/>
    </row>
    <row r="120" spans="2:12" ht="12" customHeight="1" x14ac:dyDescent="0.15">
      <c r="B120" s="2"/>
      <c r="C120" s="4"/>
      <c r="D120" s="4"/>
      <c r="E120" s="4"/>
      <c r="I120" s="135"/>
      <c r="J120" s="135"/>
      <c r="K120" s="135"/>
      <c r="L120" s="135"/>
    </row>
    <row r="121" spans="2:12" ht="12" customHeight="1" x14ac:dyDescent="0.15">
      <c r="B121" s="2"/>
      <c r="C121" s="4"/>
      <c r="D121" s="4"/>
      <c r="E121" s="4"/>
      <c r="I121" s="135"/>
      <c r="J121" s="135"/>
      <c r="K121" s="135"/>
      <c r="L121" s="135"/>
    </row>
    <row r="122" spans="2:12" ht="12" customHeight="1" x14ac:dyDescent="0.15">
      <c r="B122" s="2"/>
      <c r="C122" s="4"/>
      <c r="D122" s="4"/>
      <c r="E122" s="4"/>
      <c r="I122" s="135"/>
      <c r="J122" s="135"/>
      <c r="K122" s="135"/>
      <c r="L122" s="135"/>
    </row>
    <row r="123" spans="2:12" ht="12" customHeight="1" x14ac:dyDescent="0.15">
      <c r="B123" s="2"/>
      <c r="C123" s="4"/>
      <c r="D123" s="4"/>
      <c r="E123" s="4"/>
      <c r="I123" s="135"/>
      <c r="J123" s="135"/>
      <c r="K123" s="135"/>
      <c r="L123" s="135"/>
    </row>
    <row r="124" spans="2:12" ht="12" customHeight="1" x14ac:dyDescent="0.15">
      <c r="B124" s="2"/>
      <c r="C124" s="4"/>
      <c r="D124" s="4"/>
      <c r="E124" s="4"/>
      <c r="I124" s="135"/>
      <c r="J124" s="135"/>
      <c r="K124" s="135"/>
      <c r="L124" s="135"/>
    </row>
    <row r="125" spans="2:12" ht="12" customHeight="1" x14ac:dyDescent="0.15">
      <c r="B125" s="2"/>
      <c r="C125" s="4"/>
      <c r="D125" s="4"/>
      <c r="E125" s="4"/>
      <c r="I125" s="135"/>
      <c r="J125" s="135"/>
      <c r="K125" s="135"/>
      <c r="L125" s="135"/>
    </row>
    <row r="126" spans="2:12" ht="12" customHeight="1" x14ac:dyDescent="0.15">
      <c r="B126" s="2"/>
      <c r="C126" s="4"/>
      <c r="D126" s="4"/>
      <c r="E126" s="4"/>
      <c r="I126" s="135"/>
      <c r="J126" s="135"/>
      <c r="K126" s="135"/>
      <c r="L126" s="135"/>
    </row>
    <row r="127" spans="2:12" ht="12" customHeight="1" x14ac:dyDescent="0.15">
      <c r="B127" s="2"/>
      <c r="C127" s="4"/>
      <c r="D127" s="4"/>
      <c r="E127" s="4"/>
      <c r="I127" s="135"/>
      <c r="J127" s="135"/>
      <c r="K127" s="135"/>
      <c r="L127" s="135"/>
    </row>
    <row r="128" spans="2:12" ht="12" customHeight="1" x14ac:dyDescent="0.15">
      <c r="B128" s="2"/>
      <c r="C128" s="4"/>
      <c r="D128" s="4"/>
      <c r="E128" s="4"/>
      <c r="I128" s="135"/>
      <c r="J128" s="135"/>
      <c r="K128" s="135"/>
      <c r="L128" s="135"/>
    </row>
    <row r="129" spans="2:12" ht="12" customHeight="1" x14ac:dyDescent="0.15">
      <c r="B129" s="2"/>
      <c r="C129" s="4"/>
      <c r="D129" s="4"/>
      <c r="E129" s="4"/>
      <c r="I129" s="135"/>
      <c r="J129" s="135"/>
      <c r="K129" s="135"/>
      <c r="L129" s="135"/>
    </row>
    <row r="130" spans="2:12" ht="12" customHeight="1" x14ac:dyDescent="0.15">
      <c r="B130" s="2"/>
      <c r="C130" s="4"/>
      <c r="D130" s="4"/>
      <c r="E130" s="4"/>
      <c r="I130" s="135"/>
      <c r="J130" s="135"/>
      <c r="K130" s="135"/>
      <c r="L130" s="135"/>
    </row>
    <row r="131" spans="2:12" ht="12" customHeight="1" x14ac:dyDescent="0.15">
      <c r="B131" s="2"/>
      <c r="C131" s="4"/>
      <c r="D131" s="4"/>
      <c r="E131" s="4"/>
      <c r="I131" s="135"/>
      <c r="J131" s="135"/>
      <c r="K131" s="135"/>
      <c r="L131" s="135"/>
    </row>
    <row r="132" spans="2:12" ht="12" customHeight="1" x14ac:dyDescent="0.15">
      <c r="B132" s="2"/>
      <c r="C132" s="4"/>
      <c r="D132" s="4"/>
      <c r="E132" s="4"/>
      <c r="I132" s="135"/>
      <c r="J132" s="135"/>
      <c r="K132" s="135"/>
      <c r="L132" s="135"/>
    </row>
    <row r="133" spans="2:12" ht="12" customHeight="1" x14ac:dyDescent="0.15">
      <c r="B133" s="2"/>
      <c r="C133" s="4"/>
      <c r="D133" s="4"/>
      <c r="E133" s="4"/>
      <c r="I133" s="135"/>
      <c r="J133" s="135"/>
      <c r="K133" s="135"/>
      <c r="L133" s="135"/>
    </row>
    <row r="134" spans="2:12" ht="12" customHeight="1" x14ac:dyDescent="0.15">
      <c r="B134" s="2"/>
      <c r="C134" s="4"/>
      <c r="D134" s="4"/>
      <c r="E134" s="4"/>
      <c r="I134" s="135"/>
      <c r="J134" s="135"/>
      <c r="K134" s="135"/>
      <c r="L134" s="135"/>
    </row>
    <row r="135" spans="2:12" ht="12" customHeight="1" x14ac:dyDescent="0.15">
      <c r="B135" s="2"/>
      <c r="C135" s="4"/>
      <c r="D135" s="4"/>
      <c r="E135" s="4"/>
      <c r="I135" s="135"/>
      <c r="J135" s="135"/>
      <c r="K135" s="135"/>
      <c r="L135" s="135"/>
    </row>
    <row r="136" spans="2:12" ht="12" customHeight="1" x14ac:dyDescent="0.15">
      <c r="B136" s="2"/>
      <c r="C136" s="4"/>
      <c r="D136" s="4"/>
      <c r="E136" s="4"/>
      <c r="I136" s="135"/>
      <c r="J136" s="135"/>
      <c r="K136" s="135"/>
      <c r="L136" s="135"/>
    </row>
    <row r="137" spans="2:12" ht="12" customHeight="1" x14ac:dyDescent="0.15">
      <c r="B137" s="2"/>
      <c r="C137" s="4"/>
      <c r="D137" s="4"/>
      <c r="E137" s="4"/>
      <c r="I137" s="135"/>
      <c r="J137" s="135"/>
      <c r="K137" s="135"/>
      <c r="L137" s="135"/>
    </row>
    <row r="138" spans="2:12" ht="12" customHeight="1" x14ac:dyDescent="0.15">
      <c r="B138" s="2"/>
      <c r="C138" s="4"/>
      <c r="D138" s="4"/>
      <c r="E138" s="4"/>
      <c r="I138" s="135"/>
      <c r="J138" s="135"/>
      <c r="K138" s="135"/>
      <c r="L138" s="135"/>
    </row>
    <row r="139" spans="2:12" ht="12" customHeight="1" x14ac:dyDescent="0.15">
      <c r="B139" s="2"/>
      <c r="C139" s="4"/>
      <c r="D139" s="4"/>
      <c r="E139" s="4"/>
      <c r="I139" s="135"/>
      <c r="J139" s="135"/>
      <c r="K139" s="135"/>
      <c r="L139" s="135"/>
    </row>
    <row r="140" spans="2:12" ht="12" customHeight="1" x14ac:dyDescent="0.15">
      <c r="B140" s="2"/>
      <c r="C140" s="4"/>
      <c r="D140" s="4"/>
      <c r="E140" s="4"/>
      <c r="I140" s="135"/>
      <c r="J140" s="135"/>
      <c r="K140" s="135"/>
      <c r="L140" s="135"/>
    </row>
    <row r="141" spans="2:12" ht="12" customHeight="1" x14ac:dyDescent="0.15">
      <c r="B141" s="2"/>
      <c r="C141" s="4"/>
      <c r="D141" s="4"/>
      <c r="E141" s="4"/>
      <c r="I141" s="135"/>
      <c r="J141" s="135"/>
      <c r="K141" s="135"/>
      <c r="L141" s="135"/>
    </row>
    <row r="142" spans="2:12" ht="12" customHeight="1" x14ac:dyDescent="0.15">
      <c r="B142" s="2"/>
      <c r="C142" s="4"/>
      <c r="D142" s="4"/>
      <c r="E142" s="4"/>
      <c r="I142" s="135"/>
      <c r="J142" s="135"/>
      <c r="K142" s="135"/>
      <c r="L142" s="135"/>
    </row>
    <row r="143" spans="2:12" ht="12" customHeight="1" x14ac:dyDescent="0.15">
      <c r="B143" s="2"/>
      <c r="C143" s="4"/>
      <c r="D143" s="4"/>
      <c r="E143" s="4"/>
      <c r="I143" s="135"/>
      <c r="J143" s="135"/>
      <c r="K143" s="135"/>
      <c r="L143" s="135"/>
    </row>
    <row r="144" spans="2:12" ht="12" customHeight="1" x14ac:dyDescent="0.15">
      <c r="B144" s="2"/>
      <c r="C144" s="4"/>
      <c r="D144" s="4"/>
      <c r="E144" s="4"/>
      <c r="I144" s="135"/>
      <c r="J144" s="135"/>
      <c r="K144" s="135"/>
      <c r="L144" s="135"/>
    </row>
    <row r="145" spans="2:12" ht="12" customHeight="1" x14ac:dyDescent="0.15">
      <c r="B145" s="2"/>
      <c r="C145" s="4"/>
      <c r="D145" s="4"/>
      <c r="E145" s="4"/>
      <c r="I145" s="135"/>
      <c r="J145" s="135"/>
      <c r="K145" s="135"/>
      <c r="L145" s="135"/>
    </row>
    <row r="146" spans="2:12" ht="12" customHeight="1" x14ac:dyDescent="0.15">
      <c r="B146" s="2"/>
      <c r="C146" s="4"/>
      <c r="D146" s="4"/>
      <c r="E146" s="4"/>
      <c r="I146" s="135"/>
      <c r="J146" s="135"/>
      <c r="K146" s="135"/>
      <c r="L146" s="135"/>
    </row>
    <row r="147" spans="2:12" ht="12" customHeight="1" x14ac:dyDescent="0.15">
      <c r="B147" s="2"/>
      <c r="C147" s="4"/>
      <c r="D147" s="4"/>
      <c r="E147" s="4"/>
      <c r="I147" s="135"/>
      <c r="J147" s="135"/>
      <c r="K147" s="135"/>
      <c r="L147" s="135"/>
    </row>
    <row r="148" spans="2:12" ht="12" customHeight="1" x14ac:dyDescent="0.15">
      <c r="B148" s="2"/>
      <c r="C148" s="4"/>
      <c r="D148" s="4"/>
      <c r="E148" s="4"/>
      <c r="I148" s="135"/>
      <c r="J148" s="135"/>
      <c r="K148" s="135"/>
      <c r="L148" s="135"/>
    </row>
    <row r="149" spans="2:12" ht="12" customHeight="1" x14ac:dyDescent="0.15">
      <c r="B149" s="2"/>
      <c r="C149" s="4"/>
      <c r="D149" s="4"/>
      <c r="E149" s="4"/>
      <c r="I149" s="135"/>
      <c r="J149" s="135"/>
      <c r="K149" s="135"/>
      <c r="L149" s="135"/>
    </row>
    <row r="150" spans="2:12" ht="12" customHeight="1" x14ac:dyDescent="0.15">
      <c r="B150" s="2"/>
      <c r="C150" s="4"/>
      <c r="D150" s="4"/>
      <c r="E150" s="4"/>
      <c r="I150" s="135"/>
      <c r="J150" s="135"/>
      <c r="K150" s="135"/>
      <c r="L150" s="135"/>
    </row>
    <row r="151" spans="2:12" ht="12" customHeight="1" x14ac:dyDescent="0.15">
      <c r="B151" s="2"/>
      <c r="C151" s="4"/>
      <c r="D151" s="4"/>
      <c r="E151" s="4"/>
      <c r="I151" s="135"/>
      <c r="J151" s="135"/>
      <c r="K151" s="135"/>
      <c r="L151" s="135"/>
    </row>
    <row r="152" spans="2:12" ht="12" customHeight="1" x14ac:dyDescent="0.15">
      <c r="B152" s="2"/>
      <c r="C152" s="4"/>
      <c r="D152" s="4"/>
      <c r="E152" s="4"/>
      <c r="I152" s="135"/>
      <c r="J152" s="135"/>
      <c r="K152" s="135"/>
      <c r="L152" s="135"/>
    </row>
    <row r="153" spans="2:12" ht="12" customHeight="1" x14ac:dyDescent="0.15">
      <c r="B153" s="2"/>
      <c r="C153" s="4"/>
      <c r="D153" s="4"/>
      <c r="E153" s="4"/>
      <c r="I153" s="135"/>
      <c r="J153" s="135"/>
      <c r="K153" s="135"/>
      <c r="L153" s="135"/>
    </row>
    <row r="154" spans="2:12" ht="12" customHeight="1" x14ac:dyDescent="0.15">
      <c r="B154" s="2"/>
      <c r="C154" s="4"/>
      <c r="D154" s="4"/>
      <c r="E154" s="4"/>
      <c r="I154" s="135"/>
      <c r="J154" s="135"/>
      <c r="K154" s="135"/>
      <c r="L154" s="135"/>
    </row>
    <row r="155" spans="2:12" ht="12" customHeight="1" x14ac:dyDescent="0.15">
      <c r="B155" s="2"/>
      <c r="C155" s="4"/>
      <c r="D155" s="4"/>
      <c r="E155" s="4"/>
      <c r="I155" s="135"/>
      <c r="J155" s="135"/>
      <c r="K155" s="135"/>
      <c r="L155" s="135"/>
    </row>
    <row r="156" spans="2:12" ht="12" customHeight="1" x14ac:dyDescent="0.15">
      <c r="B156" s="2"/>
      <c r="C156" s="4"/>
      <c r="D156" s="4"/>
      <c r="E156" s="4"/>
      <c r="I156" s="135"/>
      <c r="J156" s="135"/>
      <c r="K156" s="135"/>
      <c r="L156" s="135"/>
    </row>
    <row r="157" spans="2:12" ht="12" customHeight="1" x14ac:dyDescent="0.15">
      <c r="B157" s="2"/>
      <c r="C157" s="4"/>
      <c r="D157" s="4"/>
      <c r="E157" s="4"/>
      <c r="I157" s="135"/>
      <c r="J157" s="135"/>
      <c r="K157" s="135"/>
      <c r="L157" s="135"/>
    </row>
    <row r="158" spans="2:12" ht="12" customHeight="1" x14ac:dyDescent="0.15">
      <c r="B158" s="2"/>
      <c r="C158" s="4"/>
      <c r="D158" s="4"/>
      <c r="E158" s="4"/>
      <c r="I158" s="135"/>
      <c r="J158" s="135"/>
      <c r="K158" s="135"/>
      <c r="L158" s="135"/>
    </row>
    <row r="159" spans="2:12" ht="12" customHeight="1" x14ac:dyDescent="0.15">
      <c r="B159" s="2"/>
      <c r="C159" s="4"/>
      <c r="D159" s="4"/>
      <c r="E159" s="4"/>
      <c r="I159" s="135"/>
      <c r="J159" s="135"/>
      <c r="K159" s="135"/>
      <c r="L159" s="135"/>
    </row>
    <row r="160" spans="2:12" ht="12" customHeight="1" x14ac:dyDescent="0.15">
      <c r="B160" s="2"/>
      <c r="C160" s="4"/>
      <c r="D160" s="4"/>
      <c r="E160" s="4"/>
      <c r="I160" s="135"/>
      <c r="J160" s="135"/>
      <c r="K160" s="135"/>
      <c r="L160" s="135"/>
    </row>
    <row r="161" spans="2:12" ht="12" customHeight="1" x14ac:dyDescent="0.15">
      <c r="B161" s="2"/>
      <c r="C161" s="4"/>
      <c r="D161" s="4"/>
      <c r="E161" s="4"/>
      <c r="I161" s="135"/>
      <c r="J161" s="135"/>
      <c r="K161" s="135"/>
      <c r="L161" s="135"/>
    </row>
    <row r="162" spans="2:12" ht="12" customHeight="1" x14ac:dyDescent="0.15">
      <c r="B162" s="2"/>
      <c r="C162" s="4"/>
      <c r="D162" s="4"/>
      <c r="E162" s="4"/>
      <c r="I162" s="135"/>
      <c r="J162" s="135"/>
      <c r="K162" s="135"/>
      <c r="L162" s="135"/>
    </row>
    <row r="163" spans="2:12" ht="12" customHeight="1" x14ac:dyDescent="0.15">
      <c r="B163" s="2"/>
      <c r="C163" s="4"/>
      <c r="D163" s="4"/>
      <c r="E163" s="4"/>
      <c r="I163" s="135"/>
      <c r="J163" s="135"/>
      <c r="K163" s="135"/>
      <c r="L163" s="135"/>
    </row>
    <row r="164" spans="2:12" ht="12" customHeight="1" x14ac:dyDescent="0.15">
      <c r="B164" s="2"/>
      <c r="C164" s="4"/>
      <c r="D164" s="4"/>
      <c r="E164" s="4"/>
      <c r="I164" s="135"/>
      <c r="J164" s="135"/>
      <c r="K164" s="135"/>
      <c r="L164" s="135"/>
    </row>
    <row r="165" spans="2:12" ht="12" customHeight="1" x14ac:dyDescent="0.15">
      <c r="B165" s="2"/>
      <c r="C165" s="4"/>
      <c r="D165" s="4"/>
      <c r="E165" s="4"/>
      <c r="I165" s="135"/>
      <c r="J165" s="135"/>
      <c r="K165" s="135"/>
      <c r="L165" s="135"/>
    </row>
    <row r="166" spans="2:12" ht="12" customHeight="1" x14ac:dyDescent="0.15">
      <c r="B166" s="2"/>
      <c r="C166" s="4"/>
      <c r="D166" s="4"/>
      <c r="E166" s="4"/>
      <c r="I166" s="135"/>
      <c r="J166" s="135"/>
      <c r="K166" s="135"/>
      <c r="L166" s="135"/>
    </row>
    <row r="167" spans="2:12" ht="12" customHeight="1" x14ac:dyDescent="0.15">
      <c r="B167" s="2"/>
      <c r="C167" s="4"/>
      <c r="D167" s="4"/>
      <c r="E167" s="4"/>
      <c r="I167" s="135"/>
      <c r="J167" s="135"/>
      <c r="K167" s="135"/>
      <c r="L167" s="135"/>
    </row>
    <row r="168" spans="2:12" ht="12" customHeight="1" x14ac:dyDescent="0.15">
      <c r="B168" s="2"/>
      <c r="C168" s="4"/>
      <c r="D168" s="4"/>
      <c r="E168" s="4"/>
      <c r="I168" s="135"/>
      <c r="J168" s="135"/>
      <c r="K168" s="135"/>
      <c r="L168" s="135"/>
    </row>
    <row r="169" spans="2:12" ht="12" customHeight="1" x14ac:dyDescent="0.15">
      <c r="B169" s="2"/>
      <c r="C169" s="4"/>
      <c r="D169" s="4"/>
      <c r="E169" s="4"/>
      <c r="I169" s="135"/>
      <c r="J169" s="135"/>
      <c r="K169" s="135"/>
      <c r="L169" s="135"/>
    </row>
    <row r="170" spans="2:12" ht="12" customHeight="1" x14ac:dyDescent="0.15">
      <c r="B170" s="2"/>
      <c r="C170" s="4"/>
      <c r="D170" s="4"/>
      <c r="E170" s="4"/>
      <c r="I170" s="135"/>
      <c r="J170" s="135"/>
      <c r="K170" s="135"/>
      <c r="L170" s="135"/>
    </row>
    <row r="171" spans="2:12" ht="12" customHeight="1" x14ac:dyDescent="0.15">
      <c r="B171" s="2"/>
      <c r="C171" s="4"/>
      <c r="D171" s="4"/>
      <c r="E171" s="4"/>
      <c r="I171" s="135"/>
      <c r="J171" s="135"/>
      <c r="K171" s="135"/>
      <c r="L171" s="135"/>
    </row>
    <row r="172" spans="2:12" ht="12" customHeight="1" x14ac:dyDescent="0.15">
      <c r="B172" s="2"/>
      <c r="C172" s="4"/>
      <c r="D172" s="4"/>
      <c r="E172" s="4"/>
      <c r="I172" s="135"/>
      <c r="J172" s="135"/>
      <c r="K172" s="135"/>
      <c r="L172" s="135"/>
    </row>
    <row r="173" spans="2:12" ht="12" customHeight="1" x14ac:dyDescent="0.15">
      <c r="B173" s="2"/>
      <c r="C173" s="4"/>
      <c r="D173" s="4"/>
      <c r="E173" s="4"/>
      <c r="I173" s="135"/>
      <c r="J173" s="135"/>
      <c r="K173" s="135"/>
      <c r="L173" s="135"/>
    </row>
    <row r="174" spans="2:12" ht="12" customHeight="1" x14ac:dyDescent="0.15">
      <c r="B174" s="2"/>
      <c r="C174" s="4"/>
      <c r="D174" s="4"/>
      <c r="E174" s="4"/>
      <c r="I174" s="135"/>
      <c r="J174" s="135"/>
      <c r="K174" s="135"/>
      <c r="L174" s="135"/>
    </row>
    <row r="175" spans="2:12" ht="12" customHeight="1" x14ac:dyDescent="0.15">
      <c r="B175" s="2"/>
      <c r="C175" s="4"/>
      <c r="D175" s="4"/>
      <c r="E175" s="4"/>
      <c r="I175" s="135"/>
      <c r="J175" s="135"/>
      <c r="K175" s="135"/>
      <c r="L175" s="135"/>
    </row>
    <row r="176" spans="2:12" ht="12" customHeight="1" x14ac:dyDescent="0.15">
      <c r="B176" s="2"/>
      <c r="C176" s="4"/>
      <c r="D176" s="4"/>
      <c r="E176" s="4"/>
      <c r="I176" s="135"/>
      <c r="J176" s="135"/>
      <c r="K176" s="135"/>
      <c r="L176" s="135"/>
    </row>
    <row r="177" spans="2:12" ht="12" customHeight="1" x14ac:dyDescent="0.15">
      <c r="B177" s="2"/>
      <c r="C177" s="4"/>
      <c r="D177" s="4"/>
      <c r="E177" s="4"/>
      <c r="I177" s="135"/>
      <c r="J177" s="135"/>
      <c r="K177" s="135"/>
      <c r="L177" s="135"/>
    </row>
    <row r="178" spans="2:12" ht="12" customHeight="1" x14ac:dyDescent="0.15">
      <c r="B178" s="2"/>
      <c r="C178" s="4"/>
      <c r="D178" s="4"/>
      <c r="E178" s="4"/>
      <c r="I178" s="135"/>
      <c r="J178" s="135"/>
      <c r="K178" s="135"/>
      <c r="L178" s="135"/>
    </row>
    <row r="179" spans="2:12" ht="12" customHeight="1" x14ac:dyDescent="0.15">
      <c r="B179" s="2"/>
      <c r="C179" s="4"/>
      <c r="D179" s="4"/>
      <c r="E179" s="4"/>
      <c r="I179" s="135"/>
      <c r="J179" s="135"/>
      <c r="K179" s="135"/>
      <c r="L179" s="135"/>
    </row>
    <row r="180" spans="2:12" ht="12" customHeight="1" x14ac:dyDescent="0.15">
      <c r="B180" s="2"/>
      <c r="C180" s="4"/>
      <c r="D180" s="4"/>
      <c r="E180" s="4"/>
      <c r="I180" s="135"/>
      <c r="J180" s="135"/>
      <c r="K180" s="135"/>
      <c r="L180" s="135"/>
    </row>
    <row r="181" spans="2:12" ht="12" customHeight="1" x14ac:dyDescent="0.15">
      <c r="B181" s="2"/>
      <c r="C181" s="4"/>
      <c r="D181" s="4"/>
      <c r="E181" s="4"/>
      <c r="I181" s="135"/>
      <c r="J181" s="135"/>
      <c r="K181" s="135"/>
      <c r="L181" s="135"/>
    </row>
    <row r="182" spans="2:12" ht="12" customHeight="1" x14ac:dyDescent="0.15">
      <c r="B182" s="2"/>
      <c r="C182" s="4"/>
      <c r="D182" s="4"/>
      <c r="E182" s="4"/>
      <c r="I182" s="135"/>
      <c r="J182" s="135"/>
      <c r="K182" s="135"/>
      <c r="L182" s="135"/>
    </row>
    <row r="183" spans="2:12" ht="12" customHeight="1" x14ac:dyDescent="0.15">
      <c r="B183" s="2"/>
      <c r="C183" s="4"/>
      <c r="D183" s="4"/>
      <c r="E183" s="4"/>
      <c r="I183" s="135"/>
      <c r="J183" s="135"/>
      <c r="K183" s="135"/>
      <c r="L183" s="135"/>
    </row>
    <row r="184" spans="2:12" ht="12" customHeight="1" x14ac:dyDescent="0.15">
      <c r="B184" s="2"/>
      <c r="C184" s="4"/>
      <c r="D184" s="4"/>
      <c r="E184" s="4"/>
      <c r="I184" s="135"/>
      <c r="J184" s="135"/>
      <c r="K184" s="135"/>
      <c r="L184" s="135"/>
    </row>
    <row r="185" spans="2:12" ht="12" customHeight="1" x14ac:dyDescent="0.15">
      <c r="B185" s="2"/>
      <c r="C185" s="4"/>
      <c r="D185" s="4"/>
      <c r="E185" s="4"/>
      <c r="I185" s="135"/>
      <c r="J185" s="135"/>
      <c r="K185" s="135"/>
      <c r="L185" s="135"/>
    </row>
    <row r="186" spans="2:12" ht="12" customHeight="1" x14ac:dyDescent="0.15">
      <c r="B186" s="2"/>
      <c r="C186" s="4"/>
      <c r="D186" s="4"/>
      <c r="E186" s="4"/>
      <c r="I186" s="135"/>
      <c r="J186" s="135"/>
      <c r="K186" s="135"/>
      <c r="L186" s="135"/>
    </row>
    <row r="187" spans="2:12" ht="12" customHeight="1" x14ac:dyDescent="0.15">
      <c r="B187" s="2"/>
      <c r="C187" s="4"/>
      <c r="D187" s="4"/>
      <c r="E187" s="4"/>
      <c r="I187" s="135"/>
      <c r="J187" s="135"/>
      <c r="K187" s="135"/>
      <c r="L187" s="135"/>
    </row>
    <row r="188" spans="2:12" ht="12" customHeight="1" x14ac:dyDescent="0.15">
      <c r="B188" s="2"/>
      <c r="C188" s="4"/>
      <c r="D188" s="4"/>
      <c r="E188" s="4"/>
      <c r="I188" s="135"/>
      <c r="J188" s="135"/>
      <c r="K188" s="135"/>
      <c r="L188" s="135"/>
    </row>
    <row r="189" spans="2:12" ht="12" customHeight="1" x14ac:dyDescent="0.15">
      <c r="B189" s="2"/>
      <c r="C189" s="4"/>
      <c r="D189" s="4"/>
      <c r="E189" s="4"/>
      <c r="I189" s="135"/>
      <c r="J189" s="135"/>
      <c r="K189" s="135"/>
      <c r="L189" s="135"/>
    </row>
    <row r="190" spans="2:12" ht="12" customHeight="1" x14ac:dyDescent="0.15">
      <c r="B190" s="2"/>
      <c r="C190" s="4"/>
      <c r="D190" s="4"/>
      <c r="E190" s="4"/>
      <c r="I190" s="135"/>
      <c r="J190" s="135"/>
      <c r="K190" s="135"/>
      <c r="L190" s="135"/>
    </row>
    <row r="191" spans="2:12" ht="12" customHeight="1" x14ac:dyDescent="0.15">
      <c r="B191" s="2"/>
      <c r="C191" s="4"/>
      <c r="D191" s="4"/>
      <c r="E191" s="4"/>
      <c r="I191" s="135"/>
      <c r="J191" s="135"/>
      <c r="K191" s="135"/>
      <c r="L191" s="135"/>
    </row>
    <row r="192" spans="2:12" ht="12" customHeight="1" x14ac:dyDescent="0.15">
      <c r="B192" s="2"/>
      <c r="C192" s="4"/>
      <c r="D192" s="4"/>
      <c r="E192" s="4"/>
      <c r="I192" s="135"/>
      <c r="J192" s="135"/>
      <c r="K192" s="135"/>
      <c r="L192" s="135"/>
    </row>
    <row r="193" spans="2:12" ht="12" customHeight="1" x14ac:dyDescent="0.15">
      <c r="B193" s="2"/>
      <c r="C193" s="4"/>
      <c r="D193" s="4"/>
      <c r="E193" s="4"/>
      <c r="I193" s="135"/>
      <c r="J193" s="135"/>
      <c r="K193" s="135"/>
      <c r="L193" s="135"/>
    </row>
    <row r="194" spans="2:12" ht="12" customHeight="1" x14ac:dyDescent="0.15">
      <c r="B194" s="2"/>
      <c r="C194" s="4"/>
      <c r="D194" s="4"/>
      <c r="E194" s="4"/>
      <c r="I194" s="135"/>
      <c r="J194" s="135"/>
      <c r="K194" s="135"/>
      <c r="L194" s="135"/>
    </row>
    <row r="195" spans="2:12" ht="12" customHeight="1" x14ac:dyDescent="0.15">
      <c r="B195" s="2"/>
      <c r="C195" s="4"/>
      <c r="D195" s="4"/>
      <c r="E195" s="4"/>
      <c r="I195" s="135"/>
      <c r="J195" s="135"/>
      <c r="K195" s="135"/>
      <c r="L195" s="135"/>
    </row>
    <row r="196" spans="2:12" ht="12" customHeight="1" x14ac:dyDescent="0.15">
      <c r="B196" s="2"/>
      <c r="C196" s="4"/>
      <c r="D196" s="4"/>
      <c r="E196" s="4"/>
      <c r="I196" s="135"/>
      <c r="J196" s="135"/>
      <c r="K196" s="135"/>
      <c r="L196" s="135"/>
    </row>
    <row r="197" spans="2:12" ht="12" customHeight="1" x14ac:dyDescent="0.15">
      <c r="B197" s="2"/>
      <c r="C197" s="4"/>
      <c r="D197" s="4"/>
      <c r="E197" s="4"/>
      <c r="I197" s="135"/>
      <c r="J197" s="135"/>
      <c r="K197" s="135"/>
      <c r="L197" s="135"/>
    </row>
    <row r="198" spans="2:12" ht="12" customHeight="1" x14ac:dyDescent="0.15">
      <c r="B198" s="2"/>
      <c r="C198" s="4"/>
      <c r="D198" s="4"/>
      <c r="E198" s="4"/>
      <c r="I198" s="135"/>
      <c r="J198" s="135"/>
      <c r="K198" s="135"/>
      <c r="L198" s="135"/>
    </row>
    <row r="199" spans="2:12" ht="12" customHeight="1" x14ac:dyDescent="0.15">
      <c r="B199" s="2"/>
      <c r="C199" s="4"/>
      <c r="D199" s="4"/>
      <c r="E199" s="4"/>
      <c r="I199" s="135"/>
      <c r="J199" s="135"/>
      <c r="K199" s="135"/>
      <c r="L199" s="135"/>
    </row>
    <row r="200" spans="2:12" ht="12" customHeight="1" x14ac:dyDescent="0.15">
      <c r="B200" s="2"/>
      <c r="C200" s="4"/>
      <c r="D200" s="4"/>
      <c r="E200" s="4"/>
      <c r="I200" s="135"/>
      <c r="J200" s="135"/>
      <c r="K200" s="135"/>
      <c r="L200" s="135"/>
    </row>
    <row r="201" spans="2:12" ht="12" customHeight="1" x14ac:dyDescent="0.15">
      <c r="B201" s="2"/>
      <c r="C201" s="4"/>
      <c r="D201" s="4"/>
      <c r="E201" s="4"/>
      <c r="I201" s="135"/>
      <c r="J201" s="135"/>
      <c r="K201" s="135"/>
      <c r="L201" s="135"/>
    </row>
    <row r="202" spans="2:12" ht="12" customHeight="1" x14ac:dyDescent="0.15">
      <c r="B202" s="2"/>
      <c r="C202" s="4"/>
      <c r="D202" s="4"/>
      <c r="E202" s="4"/>
      <c r="I202" s="135"/>
      <c r="J202" s="135"/>
      <c r="K202" s="135"/>
      <c r="L202" s="135"/>
    </row>
    <row r="203" spans="2:12" ht="12" customHeight="1" x14ac:dyDescent="0.15">
      <c r="B203" s="2"/>
      <c r="C203" s="4"/>
      <c r="D203" s="4"/>
      <c r="E203" s="4"/>
      <c r="I203" s="135"/>
      <c r="J203" s="135"/>
      <c r="K203" s="135"/>
      <c r="L203" s="135"/>
    </row>
    <row r="204" spans="2:12" ht="12" customHeight="1" x14ac:dyDescent="0.15">
      <c r="B204" s="2"/>
      <c r="C204" s="4"/>
      <c r="D204" s="4"/>
      <c r="E204" s="4"/>
      <c r="I204" s="135"/>
      <c r="J204" s="135"/>
      <c r="K204" s="135"/>
      <c r="L204" s="135"/>
    </row>
    <row r="205" spans="2:12" ht="12" customHeight="1" x14ac:dyDescent="0.15">
      <c r="B205" s="2"/>
      <c r="C205" s="4"/>
      <c r="D205" s="4"/>
      <c r="E205" s="4"/>
      <c r="I205" s="135"/>
      <c r="J205" s="135"/>
      <c r="K205" s="135"/>
      <c r="L205" s="135"/>
    </row>
    <row r="206" spans="2:12" ht="12" customHeight="1" x14ac:dyDescent="0.15">
      <c r="B206" s="2"/>
      <c r="C206" s="4"/>
      <c r="D206" s="4"/>
      <c r="E206" s="4"/>
      <c r="I206" s="135"/>
      <c r="J206" s="135"/>
      <c r="K206" s="135"/>
      <c r="L206" s="135"/>
    </row>
    <row r="207" spans="2:12" ht="12" customHeight="1" x14ac:dyDescent="0.15">
      <c r="B207" s="2"/>
      <c r="C207" s="4"/>
      <c r="D207" s="4"/>
      <c r="E207" s="4"/>
      <c r="I207" s="135"/>
      <c r="J207" s="135"/>
      <c r="K207" s="135"/>
      <c r="L207" s="135"/>
    </row>
    <row r="208" spans="2:12" ht="12" customHeight="1" x14ac:dyDescent="0.15">
      <c r="B208" s="2"/>
      <c r="C208" s="4"/>
      <c r="D208" s="4"/>
      <c r="E208" s="4"/>
      <c r="I208" s="135"/>
      <c r="J208" s="135"/>
      <c r="K208" s="135"/>
      <c r="L208" s="135"/>
    </row>
    <row r="209" spans="2:12" ht="12" customHeight="1" x14ac:dyDescent="0.15">
      <c r="B209" s="2"/>
      <c r="C209" s="4"/>
      <c r="D209" s="4"/>
      <c r="E209" s="4"/>
      <c r="I209" s="135"/>
      <c r="J209" s="135"/>
      <c r="K209" s="135"/>
      <c r="L209" s="135"/>
    </row>
    <row r="210" spans="2:12" ht="12" customHeight="1" x14ac:dyDescent="0.15">
      <c r="B210" s="2"/>
      <c r="C210" s="4"/>
      <c r="D210" s="4"/>
      <c r="E210" s="4"/>
      <c r="I210" s="135"/>
      <c r="J210" s="135"/>
      <c r="K210" s="135"/>
      <c r="L210" s="135"/>
    </row>
    <row r="211" spans="2:12" ht="12" customHeight="1" x14ac:dyDescent="0.15">
      <c r="B211" s="2"/>
      <c r="C211" s="4"/>
      <c r="D211" s="4"/>
      <c r="E211" s="4"/>
      <c r="I211" s="135"/>
      <c r="J211" s="135"/>
      <c r="K211" s="135"/>
      <c r="L211" s="135"/>
    </row>
    <row r="212" spans="2:12" ht="12" customHeight="1" x14ac:dyDescent="0.15">
      <c r="B212" s="2"/>
      <c r="C212" s="4"/>
      <c r="D212" s="4"/>
      <c r="E212" s="4"/>
      <c r="I212" s="135"/>
      <c r="J212" s="135"/>
      <c r="K212" s="135"/>
      <c r="L212" s="135"/>
    </row>
    <row r="213" spans="2:12" ht="12" customHeight="1" x14ac:dyDescent="0.15">
      <c r="B213" s="2"/>
      <c r="C213" s="4"/>
      <c r="D213" s="4"/>
      <c r="E213" s="4"/>
      <c r="I213" s="135"/>
      <c r="J213" s="135"/>
      <c r="K213" s="135"/>
      <c r="L213" s="135"/>
    </row>
    <row r="214" spans="2:12" ht="12" customHeight="1" x14ac:dyDescent="0.15">
      <c r="B214" s="2"/>
      <c r="C214" s="4"/>
      <c r="D214" s="4"/>
      <c r="E214" s="4"/>
      <c r="I214" s="135"/>
      <c r="J214" s="135"/>
      <c r="K214" s="135"/>
      <c r="L214" s="135"/>
    </row>
    <row r="215" spans="2:12" ht="12" customHeight="1" x14ac:dyDescent="0.15">
      <c r="B215" s="2"/>
      <c r="C215" s="4"/>
      <c r="D215" s="4"/>
      <c r="E215" s="4"/>
      <c r="I215" s="135"/>
      <c r="J215" s="135"/>
      <c r="K215" s="135"/>
      <c r="L215" s="135"/>
    </row>
    <row r="216" spans="2:12" ht="12" customHeight="1" x14ac:dyDescent="0.15">
      <c r="B216" s="2"/>
      <c r="C216" s="4"/>
      <c r="D216" s="4"/>
      <c r="E216" s="4"/>
      <c r="I216" s="135"/>
      <c r="J216" s="135"/>
      <c r="K216" s="135"/>
      <c r="L216" s="135"/>
    </row>
    <row r="217" spans="2:12" ht="12" customHeight="1" x14ac:dyDescent="0.15">
      <c r="B217" s="2"/>
      <c r="C217" s="4"/>
      <c r="D217" s="4"/>
      <c r="E217" s="4"/>
      <c r="I217" s="135"/>
      <c r="J217" s="135"/>
      <c r="K217" s="135"/>
      <c r="L217" s="135"/>
    </row>
    <row r="218" spans="2:12" ht="12" customHeight="1" x14ac:dyDescent="0.15">
      <c r="B218" s="2"/>
      <c r="C218" s="4"/>
      <c r="D218" s="4"/>
      <c r="E218" s="4"/>
      <c r="I218" s="135"/>
      <c r="J218" s="135"/>
      <c r="K218" s="135"/>
      <c r="L218" s="135"/>
    </row>
    <row r="219" spans="2:12" ht="12" customHeight="1" x14ac:dyDescent="0.15">
      <c r="B219" s="2"/>
      <c r="C219" s="4"/>
      <c r="D219" s="4"/>
      <c r="E219" s="4"/>
      <c r="I219" s="135"/>
      <c r="J219" s="135"/>
      <c r="K219" s="135"/>
      <c r="L219" s="135"/>
    </row>
    <row r="220" spans="2:12" ht="12" customHeight="1" x14ac:dyDescent="0.15">
      <c r="B220" s="2"/>
      <c r="C220" s="4"/>
      <c r="D220" s="4"/>
      <c r="E220" s="4"/>
      <c r="I220" s="135"/>
      <c r="J220" s="135"/>
      <c r="K220" s="135"/>
      <c r="L220" s="135"/>
    </row>
    <row r="221" spans="2:12" ht="12" customHeight="1" x14ac:dyDescent="0.15">
      <c r="B221" s="2"/>
      <c r="C221" s="4"/>
      <c r="D221" s="4"/>
      <c r="E221" s="4"/>
      <c r="I221" s="135"/>
      <c r="J221" s="135"/>
      <c r="K221" s="135"/>
      <c r="L221" s="135"/>
    </row>
    <row r="222" spans="2:12" ht="12" customHeight="1" x14ac:dyDescent="0.15">
      <c r="B222" s="2"/>
      <c r="C222" s="4"/>
      <c r="D222" s="4"/>
      <c r="E222" s="4"/>
      <c r="I222" s="135"/>
      <c r="J222" s="135"/>
      <c r="K222" s="135"/>
      <c r="L222" s="135"/>
    </row>
    <row r="223" spans="2:12" ht="12" customHeight="1" x14ac:dyDescent="0.15">
      <c r="B223" s="2"/>
      <c r="C223" s="4"/>
      <c r="D223" s="4"/>
      <c r="E223" s="4"/>
      <c r="I223" s="135"/>
      <c r="J223" s="135"/>
      <c r="K223" s="135"/>
      <c r="L223" s="135"/>
    </row>
    <row r="224" spans="2:12" ht="12" customHeight="1" x14ac:dyDescent="0.15">
      <c r="B224" s="2"/>
      <c r="C224" s="4"/>
      <c r="D224" s="4"/>
      <c r="E224" s="4"/>
      <c r="I224" s="135"/>
      <c r="J224" s="135"/>
      <c r="K224" s="135"/>
      <c r="L224" s="135"/>
    </row>
    <row r="225" spans="2:12" ht="12" customHeight="1" x14ac:dyDescent="0.15">
      <c r="B225" s="2"/>
      <c r="C225" s="4"/>
      <c r="D225" s="4"/>
      <c r="E225" s="4"/>
      <c r="I225" s="135"/>
      <c r="J225" s="135"/>
      <c r="K225" s="135"/>
      <c r="L225" s="135"/>
    </row>
    <row r="226" spans="2:12" ht="12" customHeight="1" x14ac:dyDescent="0.15">
      <c r="B226" s="2"/>
      <c r="C226" s="4"/>
      <c r="D226" s="4"/>
      <c r="E226" s="4"/>
      <c r="I226" s="135"/>
      <c r="J226" s="135"/>
      <c r="K226" s="135"/>
      <c r="L226" s="135"/>
    </row>
    <row r="227" spans="2:12" ht="12" customHeight="1" x14ac:dyDescent="0.15">
      <c r="B227" s="2"/>
      <c r="C227" s="4"/>
      <c r="D227" s="4"/>
      <c r="E227" s="4"/>
      <c r="I227" s="135"/>
      <c r="J227" s="135"/>
      <c r="K227" s="135"/>
      <c r="L227" s="135"/>
    </row>
    <row r="228" spans="2:12" ht="12" customHeight="1" x14ac:dyDescent="0.15">
      <c r="B228" s="2"/>
      <c r="C228" s="4"/>
      <c r="D228" s="4"/>
      <c r="E228" s="4"/>
      <c r="I228" s="135"/>
      <c r="J228" s="135"/>
      <c r="K228" s="135"/>
      <c r="L228" s="135"/>
    </row>
    <row r="229" spans="2:12" ht="12" customHeight="1" x14ac:dyDescent="0.15">
      <c r="B229" s="2"/>
      <c r="C229" s="4"/>
      <c r="D229" s="4"/>
      <c r="E229" s="4"/>
      <c r="I229" s="135"/>
      <c r="J229" s="135"/>
      <c r="K229" s="135"/>
      <c r="L229" s="135"/>
    </row>
    <row r="230" spans="2:12" ht="12" customHeight="1" x14ac:dyDescent="0.15">
      <c r="B230" s="2"/>
      <c r="C230" s="4"/>
      <c r="D230" s="4"/>
      <c r="E230" s="4"/>
      <c r="I230" s="135"/>
      <c r="J230" s="135"/>
      <c r="K230" s="135"/>
      <c r="L230" s="135"/>
    </row>
    <row r="231" spans="2:12" ht="12" customHeight="1" x14ac:dyDescent="0.15">
      <c r="B231" s="2"/>
      <c r="C231" s="4"/>
      <c r="D231" s="4"/>
      <c r="E231" s="4"/>
      <c r="I231" s="135"/>
      <c r="J231" s="135"/>
      <c r="K231" s="135"/>
      <c r="L231" s="135"/>
    </row>
    <row r="232" spans="2:12" ht="12" customHeight="1" x14ac:dyDescent="0.15">
      <c r="B232" s="2"/>
      <c r="C232" s="4"/>
      <c r="D232" s="4"/>
      <c r="E232" s="4"/>
      <c r="I232" s="135"/>
      <c r="J232" s="135"/>
      <c r="K232" s="135"/>
      <c r="L232" s="135"/>
    </row>
    <row r="233" spans="2:12" ht="12" customHeight="1" x14ac:dyDescent="0.15">
      <c r="B233" s="2"/>
      <c r="C233" s="4"/>
      <c r="D233" s="4"/>
      <c r="E233" s="4"/>
      <c r="I233" s="135"/>
      <c r="J233" s="135"/>
      <c r="K233" s="135"/>
      <c r="L233" s="135"/>
    </row>
    <row r="234" spans="2:12" ht="12" customHeight="1" x14ac:dyDescent="0.15">
      <c r="B234" s="2"/>
      <c r="C234" s="4"/>
      <c r="D234" s="4"/>
      <c r="E234" s="4"/>
      <c r="I234" s="135"/>
      <c r="J234" s="135"/>
      <c r="K234" s="135"/>
      <c r="L234" s="135"/>
    </row>
    <row r="235" spans="2:12" ht="12" customHeight="1" x14ac:dyDescent="0.15">
      <c r="B235" s="2"/>
      <c r="C235" s="4"/>
      <c r="D235" s="4"/>
      <c r="E235" s="4"/>
      <c r="I235" s="135"/>
      <c r="J235" s="135"/>
      <c r="K235" s="135"/>
      <c r="L235" s="135"/>
    </row>
    <row r="236" spans="2:12" ht="12" customHeight="1" x14ac:dyDescent="0.15">
      <c r="B236" s="2"/>
      <c r="C236" s="4"/>
      <c r="D236" s="4"/>
      <c r="E236" s="4"/>
      <c r="I236" s="135"/>
      <c r="J236" s="135"/>
      <c r="K236" s="135"/>
      <c r="L236" s="135"/>
    </row>
    <row r="237" spans="2:12" ht="12" customHeight="1" x14ac:dyDescent="0.15">
      <c r="B237" s="2"/>
      <c r="C237" s="4"/>
      <c r="D237" s="4"/>
      <c r="E237" s="4"/>
      <c r="I237" s="135"/>
      <c r="J237" s="135"/>
      <c r="K237" s="135"/>
      <c r="L237" s="135"/>
    </row>
    <row r="238" spans="2:12" ht="12" customHeight="1" x14ac:dyDescent="0.15">
      <c r="B238" s="2"/>
      <c r="C238" s="4"/>
      <c r="D238" s="4"/>
      <c r="E238" s="4"/>
      <c r="I238" s="135"/>
      <c r="J238" s="135"/>
      <c r="K238" s="135"/>
      <c r="L238" s="135"/>
    </row>
    <row r="239" spans="2:12" ht="12" customHeight="1" x14ac:dyDescent="0.15">
      <c r="B239" s="2"/>
      <c r="C239" s="4"/>
      <c r="D239" s="4"/>
      <c r="E239" s="4"/>
      <c r="I239" s="135"/>
      <c r="J239" s="135"/>
      <c r="K239" s="135"/>
      <c r="L239" s="135"/>
    </row>
    <row r="240" spans="2:12" ht="12" customHeight="1" x14ac:dyDescent="0.15">
      <c r="B240" s="2"/>
      <c r="C240" s="4"/>
      <c r="D240" s="4"/>
      <c r="E240" s="4"/>
      <c r="I240" s="135"/>
      <c r="J240" s="135"/>
      <c r="K240" s="135"/>
      <c r="L240" s="135"/>
    </row>
    <row r="241" spans="2:12" ht="12" customHeight="1" x14ac:dyDescent="0.15">
      <c r="B241" s="2"/>
      <c r="C241" s="4"/>
      <c r="D241" s="4"/>
      <c r="E241" s="4"/>
      <c r="I241" s="135"/>
      <c r="J241" s="135"/>
      <c r="K241" s="135"/>
      <c r="L241" s="135"/>
    </row>
    <row r="242" spans="2:12" ht="12" customHeight="1" x14ac:dyDescent="0.15">
      <c r="B242" s="2"/>
      <c r="C242" s="4"/>
      <c r="D242" s="4"/>
      <c r="E242" s="4"/>
      <c r="I242" s="135"/>
      <c r="J242" s="135"/>
      <c r="K242" s="135"/>
      <c r="L242" s="135"/>
    </row>
    <row r="243" spans="2:12" ht="12" customHeight="1" x14ac:dyDescent="0.15">
      <c r="B243" s="2"/>
      <c r="C243" s="4"/>
      <c r="D243" s="4"/>
      <c r="E243" s="4"/>
      <c r="I243" s="135"/>
      <c r="J243" s="135"/>
      <c r="K243" s="135"/>
      <c r="L243" s="135"/>
    </row>
    <row r="244" spans="2:12" ht="12" customHeight="1" x14ac:dyDescent="0.15">
      <c r="B244" s="2"/>
      <c r="C244" s="4"/>
      <c r="D244" s="4"/>
      <c r="E244" s="4"/>
      <c r="I244" s="135"/>
      <c r="J244" s="135"/>
      <c r="K244" s="135"/>
      <c r="L244" s="135"/>
    </row>
    <row r="245" spans="2:12" ht="12" customHeight="1" x14ac:dyDescent="0.15">
      <c r="B245" s="2"/>
      <c r="C245" s="4"/>
      <c r="D245" s="4"/>
      <c r="E245" s="4"/>
      <c r="I245" s="135"/>
      <c r="J245" s="135"/>
      <c r="K245" s="135"/>
      <c r="L245" s="135"/>
    </row>
    <row r="246" spans="2:12" ht="12" customHeight="1" x14ac:dyDescent="0.15">
      <c r="B246" s="2"/>
      <c r="C246" s="4"/>
      <c r="D246" s="4"/>
      <c r="E246" s="4"/>
      <c r="I246" s="135"/>
      <c r="J246" s="135"/>
      <c r="K246" s="135"/>
      <c r="L246" s="135"/>
    </row>
    <row r="247" spans="2:12" ht="12" customHeight="1" x14ac:dyDescent="0.15">
      <c r="B247" s="2"/>
      <c r="C247" s="4"/>
      <c r="D247" s="4"/>
      <c r="E247" s="4"/>
      <c r="I247" s="135"/>
      <c r="J247" s="135"/>
      <c r="K247" s="135"/>
      <c r="L247" s="135"/>
    </row>
    <row r="248" spans="2:12" ht="12" customHeight="1" x14ac:dyDescent="0.15">
      <c r="B248" s="2"/>
      <c r="C248" s="4"/>
      <c r="D248" s="4"/>
      <c r="E248" s="4"/>
      <c r="I248" s="135"/>
      <c r="J248" s="135"/>
      <c r="K248" s="135"/>
      <c r="L248" s="135"/>
    </row>
    <row r="249" spans="2:12" ht="12" customHeight="1" x14ac:dyDescent="0.15">
      <c r="B249" s="2"/>
      <c r="C249" s="4"/>
      <c r="D249" s="4"/>
      <c r="E249" s="4"/>
      <c r="I249" s="135"/>
      <c r="J249" s="135"/>
      <c r="K249" s="135"/>
      <c r="L249" s="135"/>
    </row>
    <row r="250" spans="2:12" ht="12" customHeight="1" x14ac:dyDescent="0.15">
      <c r="B250" s="2"/>
      <c r="C250" s="4"/>
      <c r="D250" s="4"/>
      <c r="E250" s="4"/>
      <c r="I250" s="135"/>
      <c r="J250" s="135"/>
      <c r="K250" s="135"/>
      <c r="L250" s="135"/>
    </row>
    <row r="251" spans="2:12" ht="12" customHeight="1" x14ac:dyDescent="0.15">
      <c r="B251" s="2"/>
      <c r="C251" s="4"/>
      <c r="D251" s="4"/>
      <c r="E251" s="4"/>
      <c r="I251" s="135"/>
      <c r="J251" s="135"/>
      <c r="K251" s="135"/>
      <c r="L251" s="135"/>
    </row>
    <row r="252" spans="2:12" ht="12" customHeight="1" x14ac:dyDescent="0.15">
      <c r="B252" s="2"/>
      <c r="C252" s="4"/>
      <c r="D252" s="4"/>
      <c r="E252" s="4"/>
      <c r="I252" s="135"/>
      <c r="J252" s="135"/>
      <c r="K252" s="135"/>
      <c r="L252" s="135"/>
    </row>
    <row r="253" spans="2:12" ht="12" customHeight="1" x14ac:dyDescent="0.15">
      <c r="B253" s="2"/>
      <c r="C253" s="4"/>
      <c r="D253" s="4"/>
      <c r="E253" s="4"/>
      <c r="I253" s="135"/>
      <c r="J253" s="135"/>
      <c r="K253" s="135"/>
      <c r="L253" s="135"/>
    </row>
    <row r="254" spans="2:12" ht="12" customHeight="1" x14ac:dyDescent="0.15">
      <c r="B254" s="2"/>
      <c r="C254" s="4"/>
      <c r="D254" s="4"/>
      <c r="E254" s="4"/>
      <c r="I254" s="135"/>
      <c r="J254" s="135"/>
      <c r="K254" s="135"/>
      <c r="L254" s="135"/>
    </row>
    <row r="255" spans="2:12" ht="12" customHeight="1" x14ac:dyDescent="0.15">
      <c r="B255" s="2"/>
      <c r="C255" s="4"/>
      <c r="D255" s="4"/>
      <c r="E255" s="4"/>
      <c r="I255" s="135"/>
      <c r="J255" s="135"/>
      <c r="K255" s="135"/>
      <c r="L255" s="135"/>
    </row>
    <row r="256" spans="2:12" ht="12" customHeight="1" x14ac:dyDescent="0.15">
      <c r="B256" s="2"/>
      <c r="C256" s="4"/>
      <c r="D256" s="4"/>
      <c r="E256" s="4"/>
      <c r="I256" s="135"/>
      <c r="J256" s="135"/>
      <c r="K256" s="135"/>
      <c r="L256" s="135"/>
    </row>
    <row r="257" spans="2:12" ht="12" customHeight="1" x14ac:dyDescent="0.15">
      <c r="B257" s="2"/>
      <c r="C257" s="4"/>
      <c r="D257" s="4"/>
      <c r="E257" s="4"/>
      <c r="I257" s="135"/>
      <c r="J257" s="135"/>
      <c r="K257" s="135"/>
      <c r="L257" s="135"/>
    </row>
    <row r="258" spans="2:12" ht="12" customHeight="1" x14ac:dyDescent="0.15">
      <c r="B258" s="2"/>
      <c r="C258" s="4"/>
      <c r="D258" s="4"/>
      <c r="E258" s="4"/>
      <c r="I258" s="135"/>
      <c r="J258" s="135"/>
      <c r="K258" s="135"/>
      <c r="L258" s="135"/>
    </row>
    <row r="259" spans="2:12" ht="12" customHeight="1" x14ac:dyDescent="0.15">
      <c r="B259" s="2"/>
      <c r="C259" s="4"/>
      <c r="D259" s="4"/>
      <c r="E259" s="4"/>
      <c r="I259" s="135"/>
      <c r="J259" s="135"/>
      <c r="K259" s="135"/>
      <c r="L259" s="135"/>
    </row>
    <row r="260" spans="2:12" ht="12" customHeight="1" x14ac:dyDescent="0.15">
      <c r="B260" s="2"/>
      <c r="C260" s="4"/>
      <c r="D260" s="4"/>
      <c r="E260" s="4"/>
      <c r="I260" s="135"/>
      <c r="J260" s="135"/>
      <c r="K260" s="135"/>
      <c r="L260" s="135"/>
    </row>
    <row r="261" spans="2:12" ht="12" customHeight="1" x14ac:dyDescent="0.15">
      <c r="B261" s="2"/>
      <c r="C261" s="4"/>
      <c r="D261" s="4"/>
      <c r="E261" s="4"/>
      <c r="I261" s="135"/>
      <c r="J261" s="135"/>
      <c r="K261" s="135"/>
      <c r="L261" s="135"/>
    </row>
    <row r="262" spans="2:12" ht="12" customHeight="1" x14ac:dyDescent="0.15">
      <c r="B262" s="2"/>
      <c r="C262" s="4"/>
      <c r="D262" s="4"/>
      <c r="E262" s="4"/>
      <c r="I262" s="135"/>
      <c r="J262" s="135"/>
      <c r="K262" s="135"/>
      <c r="L262" s="135"/>
    </row>
    <row r="263" spans="2:12" ht="12" customHeight="1" x14ac:dyDescent="0.15">
      <c r="B263" s="2"/>
      <c r="C263" s="4"/>
      <c r="D263" s="4"/>
      <c r="E263" s="4"/>
      <c r="I263" s="135"/>
      <c r="J263" s="135"/>
      <c r="K263" s="135"/>
      <c r="L263" s="135"/>
    </row>
    <row r="264" spans="2:12" ht="12" customHeight="1" x14ac:dyDescent="0.15">
      <c r="B264" s="2"/>
      <c r="C264" s="4"/>
      <c r="D264" s="4"/>
      <c r="E264" s="4"/>
      <c r="I264" s="135"/>
      <c r="J264" s="135"/>
      <c r="K264" s="135"/>
      <c r="L264" s="135"/>
    </row>
    <row r="265" spans="2:12" ht="12" customHeight="1" x14ac:dyDescent="0.15">
      <c r="B265" s="2"/>
      <c r="C265" s="4"/>
      <c r="D265" s="4"/>
      <c r="E265" s="4"/>
      <c r="I265" s="135"/>
      <c r="J265" s="135"/>
      <c r="K265" s="135"/>
      <c r="L265" s="135"/>
    </row>
    <row r="266" spans="2:12" ht="12" customHeight="1" x14ac:dyDescent="0.15">
      <c r="B266" s="2"/>
      <c r="C266" s="4"/>
      <c r="D266" s="4"/>
      <c r="E266" s="4"/>
      <c r="I266" s="135"/>
      <c r="J266" s="135"/>
      <c r="K266" s="135"/>
      <c r="L266" s="135"/>
    </row>
    <row r="267" spans="2:12" ht="12" customHeight="1" x14ac:dyDescent="0.15">
      <c r="B267" s="2"/>
      <c r="C267" s="4"/>
      <c r="D267" s="4"/>
      <c r="E267" s="4"/>
      <c r="I267" s="135"/>
      <c r="J267" s="135"/>
      <c r="K267" s="135"/>
      <c r="L267" s="135"/>
    </row>
    <row r="268" spans="2:12" ht="12" customHeight="1" x14ac:dyDescent="0.15">
      <c r="B268" s="2"/>
      <c r="C268" s="4"/>
      <c r="D268" s="4"/>
      <c r="E268" s="4"/>
      <c r="I268" s="135"/>
      <c r="J268" s="135"/>
      <c r="K268" s="135"/>
      <c r="L268" s="135"/>
    </row>
    <row r="269" spans="2:12" ht="12" customHeight="1" x14ac:dyDescent="0.15">
      <c r="B269" s="2"/>
      <c r="C269" s="4"/>
      <c r="D269" s="4"/>
      <c r="E269" s="4"/>
      <c r="I269" s="135"/>
      <c r="J269" s="135"/>
      <c r="K269" s="135"/>
      <c r="L269" s="135"/>
    </row>
    <row r="270" spans="2:12" ht="12" customHeight="1" x14ac:dyDescent="0.15">
      <c r="B270" s="2"/>
      <c r="C270" s="4"/>
      <c r="D270" s="4"/>
      <c r="E270" s="4"/>
      <c r="I270" s="135"/>
      <c r="J270" s="135"/>
      <c r="K270" s="135"/>
      <c r="L270" s="135"/>
    </row>
    <row r="271" spans="2:12" ht="12" customHeight="1" x14ac:dyDescent="0.15">
      <c r="B271" s="2"/>
      <c r="C271" s="4"/>
      <c r="D271" s="4"/>
      <c r="E271" s="4"/>
      <c r="I271" s="135"/>
      <c r="J271" s="135"/>
      <c r="K271" s="135"/>
      <c r="L271" s="135"/>
    </row>
    <row r="272" spans="2:12" ht="12" customHeight="1" x14ac:dyDescent="0.15">
      <c r="B272" s="2"/>
      <c r="C272" s="4"/>
      <c r="D272" s="4"/>
      <c r="E272" s="4"/>
      <c r="I272" s="135"/>
      <c r="J272" s="135"/>
      <c r="K272" s="135"/>
      <c r="L272" s="135"/>
    </row>
    <row r="273" spans="2:12" ht="12" customHeight="1" x14ac:dyDescent="0.15">
      <c r="B273" s="2"/>
      <c r="C273" s="4"/>
      <c r="D273" s="4"/>
      <c r="E273" s="4"/>
      <c r="I273" s="135"/>
      <c r="J273" s="135"/>
      <c r="K273" s="135"/>
      <c r="L273" s="135"/>
    </row>
    <row r="274" spans="2:12" ht="12" customHeight="1" x14ac:dyDescent="0.15">
      <c r="B274" s="2"/>
      <c r="C274" s="4"/>
      <c r="D274" s="4"/>
      <c r="E274" s="4"/>
      <c r="I274" s="135"/>
      <c r="J274" s="135"/>
      <c r="K274" s="135"/>
      <c r="L274" s="135"/>
    </row>
    <row r="275" spans="2:12" ht="12" customHeight="1" x14ac:dyDescent="0.15">
      <c r="B275" s="2"/>
      <c r="C275" s="4"/>
      <c r="D275" s="4"/>
      <c r="E275" s="4"/>
      <c r="I275" s="135"/>
      <c r="J275" s="135"/>
      <c r="K275" s="135"/>
      <c r="L275" s="135"/>
    </row>
    <row r="276" spans="2:12" ht="12" customHeight="1" x14ac:dyDescent="0.15">
      <c r="B276" s="2"/>
      <c r="C276" s="4"/>
      <c r="D276" s="4"/>
      <c r="E276" s="4"/>
      <c r="I276" s="135"/>
      <c r="J276" s="135"/>
      <c r="K276" s="135"/>
      <c r="L276" s="135"/>
    </row>
    <row r="277" spans="2:12" ht="12" customHeight="1" x14ac:dyDescent="0.15">
      <c r="B277" s="2"/>
      <c r="C277" s="4"/>
      <c r="D277" s="4"/>
      <c r="E277" s="4"/>
      <c r="I277" s="135"/>
      <c r="J277" s="135"/>
      <c r="K277" s="135"/>
      <c r="L277" s="135"/>
    </row>
    <row r="278" spans="2:12" ht="12" customHeight="1" x14ac:dyDescent="0.15">
      <c r="B278" s="2"/>
      <c r="C278" s="4"/>
      <c r="D278" s="4"/>
      <c r="E278" s="4"/>
      <c r="I278" s="135"/>
      <c r="J278" s="135"/>
      <c r="K278" s="135"/>
      <c r="L278" s="135"/>
    </row>
    <row r="279" spans="2:12" ht="12" customHeight="1" x14ac:dyDescent="0.15">
      <c r="B279" s="2"/>
      <c r="C279" s="4"/>
      <c r="D279" s="4"/>
      <c r="E279" s="4"/>
      <c r="I279" s="135"/>
      <c r="J279" s="135"/>
      <c r="K279" s="135"/>
      <c r="L279" s="135"/>
    </row>
    <row r="280" spans="2:12" ht="12" customHeight="1" x14ac:dyDescent="0.15">
      <c r="B280" s="2"/>
      <c r="C280" s="4"/>
      <c r="D280" s="4"/>
      <c r="E280" s="4"/>
      <c r="I280" s="135"/>
      <c r="J280" s="135"/>
      <c r="K280" s="135"/>
      <c r="L280" s="135"/>
    </row>
    <row r="281" spans="2:12" ht="12" customHeight="1" x14ac:dyDescent="0.15">
      <c r="B281" s="2"/>
      <c r="C281" s="4"/>
      <c r="D281" s="4"/>
      <c r="E281" s="4"/>
      <c r="I281" s="135"/>
      <c r="J281" s="135"/>
      <c r="K281" s="135"/>
      <c r="L281" s="135"/>
    </row>
    <row r="282" spans="2:12" ht="12" customHeight="1" x14ac:dyDescent="0.15">
      <c r="B282" s="2"/>
      <c r="C282" s="4"/>
      <c r="D282" s="4"/>
      <c r="E282" s="4"/>
      <c r="I282" s="135"/>
      <c r="J282" s="135"/>
      <c r="K282" s="135"/>
      <c r="L282" s="135"/>
    </row>
    <row r="283" spans="2:12" ht="12" customHeight="1" x14ac:dyDescent="0.15">
      <c r="B283" s="2"/>
      <c r="C283" s="4"/>
      <c r="D283" s="4"/>
      <c r="E283" s="4"/>
      <c r="I283" s="135"/>
      <c r="J283" s="135"/>
      <c r="K283" s="135"/>
      <c r="L283" s="135"/>
    </row>
    <row r="284" spans="2:12" ht="12" customHeight="1" x14ac:dyDescent="0.15">
      <c r="B284" s="2"/>
      <c r="C284" s="4"/>
      <c r="D284" s="4"/>
      <c r="E284" s="4"/>
      <c r="I284" s="135"/>
      <c r="J284" s="135"/>
      <c r="K284" s="135"/>
      <c r="L284" s="135"/>
    </row>
    <row r="285" spans="2:12" ht="12" customHeight="1" x14ac:dyDescent="0.15">
      <c r="B285" s="2"/>
      <c r="C285" s="4"/>
      <c r="D285" s="4"/>
      <c r="E285" s="4"/>
      <c r="I285" s="135"/>
      <c r="J285" s="135"/>
      <c r="K285" s="135"/>
      <c r="L285" s="135"/>
    </row>
    <row r="286" spans="2:12" ht="12" customHeight="1" x14ac:dyDescent="0.15">
      <c r="B286" s="2"/>
      <c r="C286" s="4"/>
      <c r="D286" s="4"/>
      <c r="E286" s="4"/>
      <c r="I286" s="135"/>
      <c r="J286" s="135"/>
      <c r="K286" s="135"/>
      <c r="L286" s="135"/>
    </row>
    <row r="287" spans="2:12" ht="12" customHeight="1" x14ac:dyDescent="0.15">
      <c r="B287" s="2"/>
      <c r="C287" s="4"/>
      <c r="D287" s="4"/>
      <c r="E287" s="4"/>
      <c r="I287" s="135"/>
      <c r="J287" s="135"/>
      <c r="K287" s="135"/>
      <c r="L287" s="135"/>
    </row>
    <row r="288" spans="2:12" ht="12" customHeight="1" x14ac:dyDescent="0.15">
      <c r="B288" s="2"/>
      <c r="C288" s="4"/>
      <c r="D288" s="4"/>
      <c r="E288" s="4"/>
      <c r="I288" s="135"/>
      <c r="J288" s="135"/>
      <c r="K288" s="135"/>
      <c r="L288" s="135"/>
    </row>
    <row r="289" spans="2:12" ht="12" customHeight="1" x14ac:dyDescent="0.15">
      <c r="B289" s="2"/>
      <c r="C289" s="4"/>
      <c r="D289" s="4"/>
      <c r="E289" s="4"/>
      <c r="I289" s="135"/>
      <c r="J289" s="135"/>
      <c r="K289" s="135"/>
      <c r="L289" s="135"/>
    </row>
    <row r="290" spans="2:12" ht="12" customHeight="1" x14ac:dyDescent="0.15">
      <c r="B290" s="2"/>
      <c r="C290" s="4"/>
      <c r="D290" s="4"/>
      <c r="E290" s="4"/>
      <c r="I290" s="135"/>
      <c r="J290" s="135"/>
      <c r="K290" s="135"/>
      <c r="L290" s="135"/>
    </row>
    <row r="291" spans="2:12" ht="12" customHeight="1" x14ac:dyDescent="0.15">
      <c r="B291" s="2"/>
      <c r="C291" s="4"/>
      <c r="D291" s="4"/>
      <c r="E291" s="4"/>
      <c r="I291" s="135"/>
      <c r="J291" s="135"/>
      <c r="K291" s="135"/>
      <c r="L291" s="135"/>
    </row>
    <row r="292" spans="2:12" ht="12" customHeight="1" x14ac:dyDescent="0.15">
      <c r="B292" s="2"/>
      <c r="C292" s="4"/>
      <c r="D292" s="4"/>
      <c r="E292" s="4"/>
      <c r="I292" s="135"/>
      <c r="J292" s="135"/>
      <c r="K292" s="135"/>
      <c r="L292" s="135"/>
    </row>
    <row r="293" spans="2:12" ht="12" customHeight="1" x14ac:dyDescent="0.15">
      <c r="B293" s="2"/>
      <c r="C293" s="4"/>
      <c r="D293" s="4"/>
      <c r="E293" s="4"/>
      <c r="I293" s="135"/>
      <c r="J293" s="135"/>
      <c r="K293" s="135"/>
      <c r="L293" s="135"/>
    </row>
    <row r="294" spans="2:12" ht="12" customHeight="1" x14ac:dyDescent="0.15">
      <c r="B294" s="2"/>
      <c r="C294" s="4"/>
      <c r="D294" s="4"/>
      <c r="E294" s="4"/>
      <c r="I294" s="135"/>
      <c r="J294" s="135"/>
      <c r="K294" s="135"/>
      <c r="L294" s="135"/>
    </row>
    <row r="295" spans="2:12" ht="12" customHeight="1" x14ac:dyDescent="0.15">
      <c r="B295" s="2"/>
      <c r="C295" s="4"/>
      <c r="D295" s="4"/>
      <c r="E295" s="4"/>
      <c r="I295" s="135"/>
      <c r="J295" s="135"/>
      <c r="K295" s="135"/>
      <c r="L295" s="135"/>
    </row>
    <row r="296" spans="2:12" ht="12" customHeight="1" x14ac:dyDescent="0.15">
      <c r="B296" s="2"/>
      <c r="C296" s="4"/>
      <c r="D296" s="4"/>
      <c r="E296" s="4"/>
      <c r="I296" s="135"/>
      <c r="J296" s="135"/>
      <c r="K296" s="135"/>
      <c r="L296" s="135"/>
    </row>
    <row r="297" spans="2:12" ht="12" customHeight="1" x14ac:dyDescent="0.15">
      <c r="B297" s="2"/>
      <c r="C297" s="4"/>
      <c r="D297" s="4"/>
      <c r="E297" s="4"/>
      <c r="I297" s="135"/>
      <c r="J297" s="135"/>
      <c r="K297" s="135"/>
      <c r="L297" s="135"/>
    </row>
    <row r="298" spans="2:12" ht="12" customHeight="1" x14ac:dyDescent="0.15">
      <c r="B298" s="2"/>
      <c r="C298" s="4"/>
      <c r="D298" s="4"/>
      <c r="E298" s="4"/>
      <c r="I298" s="135"/>
      <c r="J298" s="135"/>
      <c r="K298" s="135"/>
      <c r="L298" s="135"/>
    </row>
    <row r="299" spans="2:12" ht="12" customHeight="1" x14ac:dyDescent="0.15">
      <c r="B299" s="2"/>
      <c r="C299" s="4"/>
      <c r="D299" s="4"/>
      <c r="E299" s="4"/>
      <c r="I299" s="135"/>
      <c r="J299" s="135"/>
      <c r="K299" s="135"/>
      <c r="L299" s="135"/>
    </row>
    <row r="300" spans="2:12" ht="12" customHeight="1" x14ac:dyDescent="0.15">
      <c r="B300" s="2"/>
      <c r="C300" s="4"/>
      <c r="D300" s="4"/>
      <c r="E300" s="4"/>
      <c r="I300" s="135"/>
      <c r="J300" s="135"/>
      <c r="K300" s="135"/>
      <c r="L300" s="135"/>
    </row>
    <row r="301" spans="2:12" ht="12" customHeight="1" x14ac:dyDescent="0.15">
      <c r="B301" s="2"/>
      <c r="C301" s="4"/>
      <c r="D301" s="4"/>
      <c r="E301" s="4"/>
      <c r="I301" s="135"/>
      <c r="J301" s="135"/>
      <c r="K301" s="135"/>
      <c r="L301" s="135"/>
    </row>
    <row r="302" spans="2:12" ht="12" customHeight="1" x14ac:dyDescent="0.15">
      <c r="B302" s="2"/>
      <c r="C302" s="4"/>
      <c r="D302" s="4"/>
      <c r="E302" s="4"/>
      <c r="I302" s="135"/>
      <c r="J302" s="135"/>
      <c r="K302" s="135"/>
      <c r="L302" s="135"/>
    </row>
    <row r="303" spans="2:12" ht="12" customHeight="1" x14ac:dyDescent="0.15">
      <c r="B303" s="2"/>
      <c r="C303" s="4"/>
      <c r="D303" s="4"/>
      <c r="E303" s="4"/>
      <c r="I303" s="135"/>
      <c r="J303" s="135"/>
      <c r="K303" s="135"/>
      <c r="L303" s="135"/>
    </row>
    <row r="304" spans="2:12" ht="12" customHeight="1" x14ac:dyDescent="0.15">
      <c r="B304" s="2"/>
      <c r="C304" s="4"/>
      <c r="D304" s="4"/>
      <c r="E304" s="4"/>
      <c r="I304" s="135"/>
      <c r="J304" s="135"/>
      <c r="K304" s="135"/>
      <c r="L304" s="135"/>
    </row>
    <row r="305" spans="2:12" ht="12" customHeight="1" x14ac:dyDescent="0.15">
      <c r="B305" s="2"/>
      <c r="C305" s="4"/>
      <c r="D305" s="4"/>
      <c r="E305" s="4"/>
      <c r="I305" s="135"/>
      <c r="J305" s="135"/>
      <c r="K305" s="135"/>
      <c r="L305" s="135"/>
    </row>
    <row r="306" spans="2:12" ht="12" customHeight="1" x14ac:dyDescent="0.15">
      <c r="B306" s="2"/>
      <c r="C306" s="4"/>
      <c r="D306" s="4"/>
      <c r="E306" s="4"/>
      <c r="I306" s="135"/>
      <c r="J306" s="135"/>
      <c r="K306" s="135"/>
      <c r="L306" s="135"/>
    </row>
    <row r="307" spans="2:12" ht="12" customHeight="1" x14ac:dyDescent="0.15">
      <c r="B307" s="2"/>
      <c r="C307" s="4"/>
      <c r="D307" s="4"/>
      <c r="E307" s="4"/>
      <c r="I307" s="135"/>
      <c r="J307" s="135"/>
      <c r="K307" s="135"/>
      <c r="L307" s="135"/>
    </row>
    <row r="308" spans="2:12" ht="12" customHeight="1" x14ac:dyDescent="0.15">
      <c r="B308" s="2"/>
      <c r="C308" s="4"/>
      <c r="D308" s="4"/>
      <c r="E308" s="4"/>
      <c r="I308" s="135"/>
      <c r="J308" s="135"/>
      <c r="K308" s="135"/>
      <c r="L308" s="135"/>
    </row>
    <row r="309" spans="2:12" ht="12" customHeight="1" x14ac:dyDescent="0.15">
      <c r="B309" s="2"/>
      <c r="C309" s="4"/>
      <c r="D309" s="4"/>
      <c r="E309" s="4"/>
      <c r="I309" s="135"/>
      <c r="J309" s="135"/>
      <c r="K309" s="135"/>
      <c r="L309" s="135"/>
    </row>
    <row r="310" spans="2:12" ht="12" customHeight="1" x14ac:dyDescent="0.15">
      <c r="B310" s="2"/>
      <c r="C310" s="4"/>
      <c r="D310" s="4"/>
      <c r="E310" s="4"/>
      <c r="I310" s="135"/>
      <c r="J310" s="135"/>
      <c r="K310" s="135"/>
      <c r="L310" s="135"/>
    </row>
    <row r="311" spans="2:12" ht="12" customHeight="1" x14ac:dyDescent="0.15">
      <c r="B311" s="2"/>
      <c r="C311" s="4"/>
      <c r="D311" s="4"/>
      <c r="E311" s="4"/>
      <c r="I311" s="135"/>
      <c r="J311" s="135"/>
      <c r="K311" s="135"/>
      <c r="L311" s="135"/>
    </row>
    <row r="312" spans="2:12" ht="12" customHeight="1" x14ac:dyDescent="0.15">
      <c r="B312" s="2"/>
      <c r="C312" s="4"/>
      <c r="D312" s="4"/>
      <c r="E312" s="4"/>
      <c r="I312" s="135"/>
      <c r="J312" s="135"/>
      <c r="K312" s="135"/>
      <c r="L312" s="135"/>
    </row>
    <row r="313" spans="2:12" ht="12" customHeight="1" x14ac:dyDescent="0.15">
      <c r="B313" s="2"/>
      <c r="C313" s="4"/>
      <c r="D313" s="4"/>
      <c r="E313" s="4"/>
      <c r="I313" s="135"/>
      <c r="J313" s="135"/>
      <c r="K313" s="135"/>
      <c r="L313" s="135"/>
    </row>
    <row r="314" spans="2:12" ht="12" customHeight="1" x14ac:dyDescent="0.15">
      <c r="B314" s="2"/>
      <c r="C314" s="4"/>
      <c r="D314" s="4"/>
      <c r="E314" s="4"/>
      <c r="I314" s="135"/>
      <c r="J314" s="135"/>
      <c r="K314" s="135"/>
      <c r="L314" s="135"/>
    </row>
    <row r="315" spans="2:12" ht="12" customHeight="1" x14ac:dyDescent="0.15">
      <c r="B315" s="2"/>
      <c r="C315" s="4"/>
      <c r="D315" s="4"/>
      <c r="E315" s="4"/>
      <c r="I315" s="135"/>
      <c r="J315" s="135"/>
      <c r="K315" s="135"/>
      <c r="L315" s="135"/>
    </row>
    <row r="316" spans="2:12" ht="12" customHeight="1" x14ac:dyDescent="0.15">
      <c r="B316" s="2"/>
      <c r="C316" s="4"/>
      <c r="D316" s="4"/>
      <c r="E316" s="4"/>
      <c r="I316" s="135"/>
      <c r="J316" s="135"/>
      <c r="K316" s="135"/>
      <c r="L316" s="135"/>
    </row>
    <row r="317" spans="2:12" ht="12" customHeight="1" x14ac:dyDescent="0.15">
      <c r="B317" s="2"/>
      <c r="C317" s="4"/>
      <c r="D317" s="4"/>
      <c r="E317" s="4"/>
      <c r="I317" s="135"/>
      <c r="J317" s="135"/>
      <c r="K317" s="135"/>
      <c r="L317" s="135"/>
    </row>
    <row r="318" spans="2:12" ht="12" customHeight="1" x14ac:dyDescent="0.15">
      <c r="B318" s="2"/>
      <c r="C318" s="4"/>
      <c r="D318" s="4"/>
      <c r="E318" s="4"/>
      <c r="I318" s="135"/>
      <c r="J318" s="135"/>
      <c r="K318" s="135"/>
      <c r="L318" s="135"/>
    </row>
    <row r="319" spans="2:12" ht="12" customHeight="1" x14ac:dyDescent="0.15">
      <c r="B319" s="2"/>
      <c r="C319" s="4"/>
      <c r="D319" s="4"/>
      <c r="E319" s="4"/>
      <c r="I319" s="135"/>
      <c r="J319" s="135"/>
      <c r="K319" s="135"/>
      <c r="L319" s="135"/>
    </row>
    <row r="320" spans="2:12" ht="12" customHeight="1" x14ac:dyDescent="0.15">
      <c r="B320" s="2"/>
      <c r="C320" s="4"/>
      <c r="D320" s="4"/>
      <c r="E320" s="4"/>
      <c r="I320" s="135"/>
      <c r="J320" s="135"/>
      <c r="K320" s="135"/>
      <c r="L320" s="135"/>
    </row>
    <row r="321" spans="2:12" ht="12" customHeight="1" x14ac:dyDescent="0.15">
      <c r="B321" s="2"/>
      <c r="C321" s="4"/>
      <c r="D321" s="4"/>
      <c r="E321" s="4"/>
      <c r="I321" s="135"/>
      <c r="J321" s="135"/>
      <c r="K321" s="135"/>
      <c r="L321" s="135"/>
    </row>
    <row r="322" spans="2:12" ht="12" customHeight="1" x14ac:dyDescent="0.15">
      <c r="B322" s="2"/>
      <c r="C322" s="4"/>
      <c r="D322" s="4"/>
      <c r="E322" s="4"/>
      <c r="I322" s="135"/>
      <c r="J322" s="135"/>
      <c r="K322" s="135"/>
      <c r="L322" s="135"/>
    </row>
    <row r="323" spans="2:12" ht="12" customHeight="1" x14ac:dyDescent="0.15">
      <c r="B323" s="2"/>
      <c r="C323" s="4"/>
      <c r="D323" s="4"/>
      <c r="E323" s="4"/>
      <c r="I323" s="135"/>
      <c r="J323" s="135"/>
      <c r="K323" s="135"/>
      <c r="L323" s="135"/>
    </row>
    <row r="324" spans="2:12" ht="12" customHeight="1" x14ac:dyDescent="0.15">
      <c r="B324" s="2"/>
      <c r="C324" s="4"/>
      <c r="D324" s="4"/>
      <c r="E324" s="4"/>
      <c r="I324" s="135"/>
      <c r="J324" s="135"/>
      <c r="K324" s="135"/>
      <c r="L324" s="135"/>
    </row>
    <row r="325" spans="2:12" ht="12" customHeight="1" x14ac:dyDescent="0.15">
      <c r="B325" s="2"/>
      <c r="C325" s="4"/>
      <c r="D325" s="4"/>
      <c r="E325" s="4"/>
      <c r="I325" s="135"/>
      <c r="J325" s="135"/>
      <c r="K325" s="135"/>
      <c r="L325" s="135"/>
    </row>
    <row r="326" spans="2:12" ht="12" customHeight="1" x14ac:dyDescent="0.15">
      <c r="B326" s="2"/>
      <c r="C326" s="4"/>
      <c r="D326" s="4"/>
      <c r="E326" s="4"/>
      <c r="I326" s="135"/>
      <c r="J326" s="135"/>
      <c r="K326" s="135"/>
      <c r="L326" s="135"/>
    </row>
    <row r="327" spans="2:12" ht="12" customHeight="1" x14ac:dyDescent="0.15">
      <c r="B327" s="2"/>
      <c r="C327" s="4"/>
      <c r="D327" s="4"/>
      <c r="E327" s="4"/>
      <c r="I327" s="135"/>
      <c r="J327" s="135"/>
      <c r="K327" s="135"/>
      <c r="L327" s="135"/>
    </row>
    <row r="328" spans="2:12" ht="12" customHeight="1" x14ac:dyDescent="0.15">
      <c r="B328" s="2"/>
      <c r="C328" s="4"/>
      <c r="D328" s="4"/>
      <c r="E328" s="4"/>
      <c r="I328" s="135"/>
      <c r="J328" s="135"/>
      <c r="K328" s="135"/>
      <c r="L328" s="135"/>
    </row>
    <row r="329" spans="2:12" ht="12" customHeight="1" x14ac:dyDescent="0.15">
      <c r="B329" s="2"/>
      <c r="C329" s="4"/>
      <c r="D329" s="4"/>
      <c r="E329" s="4"/>
      <c r="I329" s="135"/>
      <c r="J329" s="135"/>
      <c r="K329" s="135"/>
      <c r="L329" s="135"/>
    </row>
    <row r="330" spans="2:12" ht="12" customHeight="1" x14ac:dyDescent="0.15">
      <c r="B330" s="2"/>
      <c r="C330" s="4"/>
      <c r="D330" s="4"/>
      <c r="E330" s="4"/>
      <c r="I330" s="135"/>
      <c r="J330" s="135"/>
      <c r="K330" s="135"/>
      <c r="L330" s="135"/>
    </row>
    <row r="331" spans="2:12" ht="12" customHeight="1" x14ac:dyDescent="0.15">
      <c r="B331" s="2"/>
      <c r="C331" s="4"/>
      <c r="D331" s="4"/>
      <c r="E331" s="4"/>
      <c r="I331" s="135"/>
      <c r="J331" s="135"/>
      <c r="K331" s="135"/>
      <c r="L331" s="135"/>
    </row>
    <row r="332" spans="2:12" ht="12" customHeight="1" x14ac:dyDescent="0.15">
      <c r="B332" s="2"/>
      <c r="C332" s="4"/>
      <c r="D332" s="4"/>
      <c r="E332" s="4"/>
      <c r="I332" s="135"/>
      <c r="J332" s="135"/>
      <c r="K332" s="135"/>
      <c r="L332" s="135"/>
    </row>
    <row r="333" spans="2:12" ht="12" customHeight="1" x14ac:dyDescent="0.15">
      <c r="B333" s="2"/>
      <c r="C333" s="4"/>
      <c r="D333" s="4"/>
      <c r="E333" s="4"/>
      <c r="I333" s="135"/>
      <c r="J333" s="135"/>
      <c r="K333" s="135"/>
      <c r="L333" s="135"/>
    </row>
    <row r="334" spans="2:12" ht="12" customHeight="1" x14ac:dyDescent="0.15">
      <c r="B334" s="2"/>
      <c r="C334" s="4"/>
      <c r="D334" s="4"/>
      <c r="E334" s="4"/>
      <c r="I334" s="135"/>
      <c r="J334" s="135"/>
      <c r="K334" s="135"/>
      <c r="L334" s="135"/>
    </row>
    <row r="335" spans="2:12" ht="12" customHeight="1" x14ac:dyDescent="0.15">
      <c r="B335" s="2"/>
      <c r="C335" s="4"/>
      <c r="D335" s="4"/>
      <c r="E335" s="4"/>
      <c r="I335" s="135"/>
      <c r="J335" s="135"/>
      <c r="K335" s="135"/>
      <c r="L335" s="135"/>
    </row>
    <row r="336" spans="2:12" ht="12" customHeight="1" x14ac:dyDescent="0.15">
      <c r="B336" s="2"/>
      <c r="C336" s="4"/>
      <c r="D336" s="4"/>
      <c r="E336" s="4"/>
      <c r="I336" s="135"/>
      <c r="J336" s="135"/>
      <c r="K336" s="135"/>
      <c r="L336" s="135"/>
    </row>
    <row r="337" spans="2:12" ht="12" customHeight="1" x14ac:dyDescent="0.15">
      <c r="B337" s="2"/>
      <c r="C337" s="4"/>
      <c r="D337" s="4"/>
      <c r="E337" s="4"/>
      <c r="I337" s="135"/>
      <c r="J337" s="135"/>
      <c r="K337" s="135"/>
      <c r="L337" s="135"/>
    </row>
    <row r="338" spans="2:12" ht="12" customHeight="1" x14ac:dyDescent="0.15">
      <c r="B338" s="2"/>
      <c r="C338" s="4"/>
      <c r="D338" s="4"/>
      <c r="E338" s="4"/>
      <c r="I338" s="135"/>
      <c r="J338" s="135"/>
      <c r="K338" s="135"/>
      <c r="L338" s="135"/>
    </row>
    <row r="339" spans="2:12" ht="12" customHeight="1" x14ac:dyDescent="0.15">
      <c r="B339" s="2"/>
      <c r="C339" s="4"/>
      <c r="D339" s="4"/>
      <c r="E339" s="4"/>
      <c r="I339" s="135"/>
      <c r="J339" s="135"/>
      <c r="K339" s="135"/>
      <c r="L339" s="135"/>
    </row>
    <row r="340" spans="2:12" ht="12" customHeight="1" x14ac:dyDescent="0.15">
      <c r="B340" s="2"/>
      <c r="C340" s="4"/>
      <c r="D340" s="4"/>
      <c r="E340" s="4"/>
      <c r="I340" s="135"/>
      <c r="J340" s="135"/>
      <c r="K340" s="135"/>
      <c r="L340" s="135"/>
    </row>
    <row r="341" spans="2:12" ht="12" customHeight="1" x14ac:dyDescent="0.15">
      <c r="B341" s="2"/>
      <c r="C341" s="4"/>
      <c r="D341" s="4"/>
      <c r="E341" s="4"/>
      <c r="I341" s="135"/>
      <c r="J341" s="135"/>
      <c r="K341" s="135"/>
      <c r="L341" s="135"/>
    </row>
    <row r="342" spans="2:12" ht="12" customHeight="1" x14ac:dyDescent="0.15">
      <c r="B342" s="2"/>
      <c r="C342" s="4"/>
      <c r="D342" s="4"/>
      <c r="E342" s="4"/>
      <c r="I342" s="135"/>
      <c r="J342" s="135"/>
      <c r="K342" s="135"/>
      <c r="L342" s="135"/>
    </row>
    <row r="343" spans="2:12" ht="12" customHeight="1" x14ac:dyDescent="0.15">
      <c r="B343" s="2"/>
      <c r="C343" s="4"/>
      <c r="D343" s="4"/>
      <c r="E343" s="4"/>
      <c r="I343" s="135"/>
      <c r="J343" s="135"/>
      <c r="K343" s="135"/>
      <c r="L343" s="135"/>
    </row>
    <row r="344" spans="2:12" ht="12" customHeight="1" x14ac:dyDescent="0.15">
      <c r="B344" s="2"/>
      <c r="C344" s="4"/>
      <c r="D344" s="4"/>
      <c r="E344" s="4"/>
      <c r="I344" s="135"/>
      <c r="J344" s="135"/>
      <c r="K344" s="135"/>
      <c r="L344" s="135"/>
    </row>
    <row r="345" spans="2:12" ht="12" customHeight="1" x14ac:dyDescent="0.15">
      <c r="B345" s="2"/>
      <c r="C345" s="4"/>
      <c r="D345" s="4"/>
      <c r="E345" s="4"/>
      <c r="I345" s="135"/>
      <c r="J345" s="135"/>
      <c r="K345" s="135"/>
      <c r="L345" s="135"/>
    </row>
    <row r="346" spans="2:12" ht="12" customHeight="1" x14ac:dyDescent="0.15">
      <c r="B346" s="2"/>
      <c r="C346" s="4"/>
      <c r="D346" s="4"/>
      <c r="E346" s="4"/>
      <c r="I346" s="135"/>
      <c r="J346" s="135"/>
      <c r="K346" s="135"/>
      <c r="L346" s="135"/>
    </row>
    <row r="347" spans="2:12" ht="12" customHeight="1" x14ac:dyDescent="0.15">
      <c r="B347" s="2"/>
      <c r="C347" s="4"/>
      <c r="D347" s="4"/>
      <c r="E347" s="4"/>
      <c r="I347" s="135"/>
      <c r="J347" s="135"/>
      <c r="K347" s="135"/>
      <c r="L347" s="135"/>
    </row>
    <row r="348" spans="2:12" ht="12" customHeight="1" x14ac:dyDescent="0.15">
      <c r="B348" s="2"/>
      <c r="C348" s="4"/>
      <c r="D348" s="4"/>
      <c r="E348" s="4"/>
      <c r="I348" s="135"/>
      <c r="J348" s="135"/>
      <c r="K348" s="135"/>
      <c r="L348" s="135"/>
    </row>
    <row r="349" spans="2:12" ht="12" customHeight="1" x14ac:dyDescent="0.15">
      <c r="B349" s="2"/>
      <c r="C349" s="4"/>
      <c r="D349" s="4"/>
      <c r="E349" s="4"/>
      <c r="I349" s="135"/>
      <c r="J349" s="135"/>
      <c r="K349" s="135"/>
      <c r="L349" s="135"/>
    </row>
    <row r="350" spans="2:12" ht="12" customHeight="1" x14ac:dyDescent="0.15">
      <c r="B350" s="2"/>
      <c r="C350" s="4"/>
      <c r="D350" s="4"/>
      <c r="E350" s="4"/>
      <c r="I350" s="135"/>
      <c r="J350" s="135"/>
      <c r="K350" s="135"/>
      <c r="L350" s="135"/>
    </row>
    <row r="351" spans="2:12" ht="12" customHeight="1" x14ac:dyDescent="0.15">
      <c r="B351" s="2"/>
      <c r="C351" s="4"/>
      <c r="D351" s="4"/>
      <c r="E351" s="4"/>
      <c r="I351" s="135"/>
      <c r="J351" s="135"/>
      <c r="K351" s="135"/>
      <c r="L351" s="135"/>
    </row>
    <row r="352" spans="2:12" ht="12" customHeight="1" x14ac:dyDescent="0.15">
      <c r="B352" s="2"/>
      <c r="C352" s="4"/>
      <c r="D352" s="4"/>
      <c r="E352" s="4"/>
      <c r="I352" s="135"/>
      <c r="J352" s="135"/>
      <c r="K352" s="135"/>
      <c r="L352" s="135"/>
    </row>
    <row r="353" spans="2:12" ht="12" customHeight="1" x14ac:dyDescent="0.15">
      <c r="B353" s="2"/>
      <c r="C353" s="4"/>
      <c r="D353" s="4"/>
      <c r="E353" s="4"/>
      <c r="I353" s="135"/>
      <c r="J353" s="135"/>
      <c r="K353" s="135"/>
      <c r="L353" s="135"/>
    </row>
    <row r="354" spans="2:12" ht="12" customHeight="1" x14ac:dyDescent="0.15">
      <c r="B354" s="2"/>
      <c r="C354" s="4"/>
      <c r="D354" s="4"/>
      <c r="E354" s="4"/>
      <c r="I354" s="135"/>
      <c r="J354" s="135"/>
      <c r="K354" s="135"/>
      <c r="L354" s="135"/>
    </row>
    <row r="355" spans="2:12" ht="12" customHeight="1" x14ac:dyDescent="0.15">
      <c r="B355" s="2"/>
      <c r="C355" s="4"/>
      <c r="D355" s="4"/>
      <c r="E355" s="4"/>
      <c r="I355" s="135"/>
      <c r="J355" s="135"/>
      <c r="K355" s="135"/>
      <c r="L355" s="135"/>
    </row>
    <row r="356" spans="2:12" ht="12" customHeight="1" x14ac:dyDescent="0.15">
      <c r="B356" s="2"/>
      <c r="C356" s="4"/>
      <c r="D356" s="4"/>
      <c r="E356" s="4"/>
      <c r="I356" s="135"/>
      <c r="J356" s="135"/>
      <c r="K356" s="135"/>
      <c r="L356" s="135"/>
    </row>
    <row r="357" spans="2:12" ht="12" customHeight="1" x14ac:dyDescent="0.15">
      <c r="B357" s="2"/>
      <c r="C357" s="4"/>
      <c r="D357" s="4"/>
      <c r="E357" s="4"/>
      <c r="I357" s="135"/>
      <c r="J357" s="135"/>
      <c r="K357" s="135"/>
      <c r="L357" s="135"/>
    </row>
    <row r="358" spans="2:12" ht="12" customHeight="1" x14ac:dyDescent="0.15">
      <c r="B358" s="2"/>
      <c r="C358" s="4"/>
      <c r="D358" s="4"/>
      <c r="E358" s="4"/>
      <c r="I358" s="135"/>
      <c r="J358" s="135"/>
      <c r="K358" s="135"/>
      <c r="L358" s="135"/>
    </row>
    <row r="359" spans="2:12" ht="12" customHeight="1" x14ac:dyDescent="0.15">
      <c r="B359" s="2"/>
      <c r="C359" s="4"/>
      <c r="D359" s="4"/>
      <c r="E359" s="4"/>
      <c r="I359" s="135"/>
      <c r="J359" s="135"/>
      <c r="K359" s="135"/>
      <c r="L359" s="135"/>
    </row>
    <row r="360" spans="2:12" ht="12" customHeight="1" x14ac:dyDescent="0.15">
      <c r="B360" s="2"/>
      <c r="C360" s="4"/>
      <c r="D360" s="4"/>
      <c r="E360" s="4"/>
      <c r="I360" s="135"/>
      <c r="J360" s="135"/>
      <c r="K360" s="135"/>
      <c r="L360" s="135"/>
    </row>
    <row r="361" spans="2:12" ht="12" customHeight="1" x14ac:dyDescent="0.15">
      <c r="B361" s="2"/>
      <c r="C361" s="4"/>
      <c r="D361" s="4"/>
      <c r="E361" s="4"/>
      <c r="I361" s="135"/>
      <c r="J361" s="135"/>
      <c r="K361" s="135"/>
      <c r="L361" s="135"/>
    </row>
    <row r="362" spans="2:12" ht="12" customHeight="1" x14ac:dyDescent="0.15">
      <c r="B362" s="2"/>
      <c r="C362" s="4"/>
      <c r="D362" s="4"/>
      <c r="E362" s="4"/>
      <c r="I362" s="135"/>
      <c r="J362" s="135"/>
      <c r="K362" s="135"/>
      <c r="L362" s="135"/>
    </row>
    <row r="363" spans="2:12" ht="12" customHeight="1" x14ac:dyDescent="0.15">
      <c r="B363" s="2"/>
      <c r="C363" s="4"/>
      <c r="D363" s="4"/>
      <c r="E363" s="4"/>
      <c r="I363" s="135"/>
      <c r="J363" s="135"/>
      <c r="K363" s="135"/>
      <c r="L363" s="135"/>
    </row>
    <row r="364" spans="2:12" ht="12" customHeight="1" x14ac:dyDescent="0.15">
      <c r="B364" s="2"/>
      <c r="C364" s="4"/>
      <c r="D364" s="4"/>
      <c r="E364" s="4"/>
      <c r="I364" s="135"/>
      <c r="J364" s="135"/>
      <c r="K364" s="135"/>
      <c r="L364" s="135"/>
    </row>
    <row r="365" spans="2:12" ht="12" customHeight="1" x14ac:dyDescent="0.15">
      <c r="B365" s="2"/>
      <c r="C365" s="4"/>
      <c r="D365" s="4"/>
      <c r="E365" s="4"/>
      <c r="I365" s="135"/>
      <c r="J365" s="135"/>
      <c r="K365" s="135"/>
      <c r="L365" s="135"/>
    </row>
    <row r="366" spans="2:12" ht="12" customHeight="1" x14ac:dyDescent="0.15">
      <c r="B366" s="2"/>
      <c r="C366" s="4"/>
      <c r="D366" s="4"/>
      <c r="E366" s="4"/>
      <c r="I366" s="135"/>
      <c r="J366" s="135"/>
      <c r="K366" s="135"/>
      <c r="L366" s="135"/>
    </row>
    <row r="367" spans="2:12" ht="12" customHeight="1" x14ac:dyDescent="0.15">
      <c r="B367" s="2"/>
      <c r="C367" s="4"/>
      <c r="D367" s="4"/>
      <c r="E367" s="4"/>
      <c r="I367" s="135"/>
      <c r="J367" s="135"/>
      <c r="K367" s="135"/>
      <c r="L367" s="135"/>
    </row>
    <row r="368" spans="2:12" ht="12" customHeight="1" x14ac:dyDescent="0.15">
      <c r="B368" s="2"/>
      <c r="C368" s="4"/>
      <c r="D368" s="4"/>
      <c r="E368" s="4"/>
      <c r="I368" s="135"/>
      <c r="J368" s="135"/>
      <c r="K368" s="135"/>
      <c r="L368" s="135"/>
    </row>
    <row r="369" spans="2:12" ht="12" customHeight="1" x14ac:dyDescent="0.15">
      <c r="B369" s="2"/>
      <c r="C369" s="4"/>
      <c r="D369" s="4"/>
      <c r="E369" s="4"/>
      <c r="I369" s="135"/>
      <c r="J369" s="135"/>
      <c r="K369" s="135"/>
      <c r="L369" s="135"/>
    </row>
    <row r="370" spans="2:12" ht="12" customHeight="1" x14ac:dyDescent="0.15">
      <c r="B370" s="2"/>
      <c r="C370" s="4"/>
      <c r="D370" s="4"/>
      <c r="E370" s="4"/>
      <c r="I370" s="135"/>
      <c r="J370" s="135"/>
      <c r="K370" s="135"/>
      <c r="L370" s="135"/>
    </row>
    <row r="371" spans="2:12" ht="12" customHeight="1" x14ac:dyDescent="0.15">
      <c r="B371" s="2"/>
      <c r="C371" s="4"/>
      <c r="D371" s="4"/>
      <c r="E371" s="4"/>
      <c r="I371" s="135"/>
      <c r="J371" s="135"/>
      <c r="K371" s="135"/>
      <c r="L371" s="135"/>
    </row>
    <row r="372" spans="2:12" ht="12" customHeight="1" x14ac:dyDescent="0.15">
      <c r="B372" s="2"/>
      <c r="C372" s="4"/>
      <c r="D372" s="4"/>
      <c r="E372" s="4"/>
      <c r="I372" s="135"/>
      <c r="J372" s="135"/>
      <c r="K372" s="135"/>
      <c r="L372" s="135"/>
    </row>
    <row r="373" spans="2:12" ht="12" customHeight="1" x14ac:dyDescent="0.15">
      <c r="B373" s="2"/>
      <c r="C373" s="4"/>
      <c r="D373" s="4"/>
      <c r="E373" s="4"/>
      <c r="I373" s="135"/>
      <c r="J373" s="135"/>
      <c r="K373" s="135"/>
      <c r="L373" s="135"/>
    </row>
    <row r="374" spans="2:12" ht="12" customHeight="1" x14ac:dyDescent="0.15">
      <c r="B374" s="2"/>
      <c r="C374" s="4"/>
      <c r="D374" s="4"/>
      <c r="E374" s="4"/>
      <c r="I374" s="135"/>
      <c r="J374" s="135"/>
      <c r="K374" s="135"/>
      <c r="L374" s="135"/>
    </row>
    <row r="375" spans="2:12" ht="12" customHeight="1" x14ac:dyDescent="0.15">
      <c r="B375" s="2"/>
      <c r="C375" s="4"/>
      <c r="D375" s="4"/>
      <c r="E375" s="4"/>
      <c r="I375" s="135"/>
      <c r="J375" s="135"/>
      <c r="K375" s="135"/>
      <c r="L375" s="135"/>
    </row>
    <row r="376" spans="2:12" ht="12" customHeight="1" x14ac:dyDescent="0.15">
      <c r="B376" s="2"/>
      <c r="C376" s="4"/>
      <c r="D376" s="4"/>
      <c r="E376" s="4"/>
      <c r="I376" s="135"/>
      <c r="J376" s="135"/>
      <c r="K376" s="135"/>
      <c r="L376" s="135"/>
    </row>
    <row r="377" spans="2:12" ht="12" customHeight="1" x14ac:dyDescent="0.15">
      <c r="B377" s="2"/>
      <c r="C377" s="4"/>
      <c r="D377" s="4"/>
      <c r="E377" s="4"/>
      <c r="I377" s="135"/>
      <c r="J377" s="135"/>
      <c r="K377" s="135"/>
      <c r="L377" s="135"/>
    </row>
    <row r="378" spans="2:12" ht="12" customHeight="1" x14ac:dyDescent="0.15">
      <c r="B378" s="2"/>
      <c r="C378" s="4"/>
      <c r="D378" s="4"/>
      <c r="E378" s="4"/>
      <c r="I378" s="135"/>
      <c r="J378" s="135"/>
      <c r="K378" s="135"/>
      <c r="L378" s="135"/>
    </row>
    <row r="379" spans="2:12" ht="12" customHeight="1" x14ac:dyDescent="0.15">
      <c r="B379" s="2"/>
      <c r="C379" s="4"/>
      <c r="D379" s="4"/>
      <c r="E379" s="4"/>
      <c r="I379" s="135"/>
      <c r="J379" s="135"/>
      <c r="K379" s="135"/>
      <c r="L379" s="135"/>
    </row>
    <row r="380" spans="2:12" ht="12" customHeight="1" x14ac:dyDescent="0.15">
      <c r="B380" s="2"/>
      <c r="C380" s="4"/>
      <c r="D380" s="4"/>
      <c r="E380" s="4"/>
      <c r="I380" s="135"/>
      <c r="J380" s="135"/>
      <c r="K380" s="135"/>
      <c r="L380" s="135"/>
    </row>
    <row r="381" spans="2:12" ht="12" customHeight="1" x14ac:dyDescent="0.15">
      <c r="B381" s="2"/>
      <c r="C381" s="4"/>
      <c r="D381" s="4"/>
      <c r="E381" s="4"/>
      <c r="I381" s="135"/>
      <c r="J381" s="135"/>
      <c r="K381" s="135"/>
      <c r="L381" s="135"/>
    </row>
    <row r="382" spans="2:12" ht="12" customHeight="1" x14ac:dyDescent="0.15">
      <c r="B382" s="2"/>
      <c r="C382" s="4"/>
      <c r="D382" s="4"/>
      <c r="E382" s="4"/>
      <c r="I382" s="135"/>
      <c r="J382" s="135"/>
      <c r="K382" s="135"/>
      <c r="L382" s="135"/>
    </row>
    <row r="383" spans="2:12" ht="12" customHeight="1" x14ac:dyDescent="0.15">
      <c r="B383" s="2"/>
      <c r="C383" s="4"/>
      <c r="D383" s="4"/>
      <c r="E383" s="4"/>
      <c r="I383" s="135"/>
      <c r="J383" s="135"/>
      <c r="K383" s="135"/>
      <c r="L383" s="135"/>
    </row>
    <row r="384" spans="2:12" ht="12" customHeight="1" x14ac:dyDescent="0.15">
      <c r="B384" s="2"/>
      <c r="C384" s="4"/>
      <c r="D384" s="4"/>
      <c r="E384" s="4"/>
      <c r="I384" s="135"/>
      <c r="J384" s="135"/>
      <c r="K384" s="135"/>
      <c r="L384" s="135"/>
    </row>
    <row r="385" spans="2:12" ht="12" customHeight="1" x14ac:dyDescent="0.15">
      <c r="B385" s="2"/>
      <c r="C385" s="4"/>
      <c r="D385" s="4"/>
      <c r="E385" s="4"/>
      <c r="I385" s="135"/>
      <c r="J385" s="135"/>
      <c r="K385" s="135"/>
      <c r="L385" s="135"/>
    </row>
    <row r="386" spans="2:12" ht="12" customHeight="1" x14ac:dyDescent="0.15">
      <c r="B386" s="2"/>
      <c r="C386" s="4"/>
      <c r="D386" s="4"/>
      <c r="E386" s="4"/>
      <c r="I386" s="135"/>
      <c r="J386" s="135"/>
      <c r="K386" s="135"/>
      <c r="L386" s="135"/>
    </row>
    <row r="387" spans="2:12" ht="12" customHeight="1" x14ac:dyDescent="0.15">
      <c r="B387" s="2"/>
      <c r="C387" s="4"/>
      <c r="D387" s="4"/>
      <c r="E387" s="4"/>
      <c r="I387" s="135"/>
      <c r="J387" s="135"/>
      <c r="K387" s="135"/>
      <c r="L387" s="135"/>
    </row>
    <row r="388" spans="2:12" ht="12" customHeight="1" x14ac:dyDescent="0.15">
      <c r="B388" s="2"/>
      <c r="C388" s="4"/>
      <c r="D388" s="4"/>
      <c r="E388" s="4"/>
      <c r="I388" s="135"/>
      <c r="J388" s="135"/>
      <c r="K388" s="135"/>
      <c r="L388" s="135"/>
    </row>
    <row r="389" spans="2:12" ht="12" customHeight="1" x14ac:dyDescent="0.15">
      <c r="B389" s="2"/>
      <c r="C389" s="4"/>
      <c r="D389" s="4"/>
      <c r="E389" s="4"/>
      <c r="I389" s="135"/>
      <c r="J389" s="135"/>
      <c r="K389" s="135"/>
      <c r="L389" s="135"/>
    </row>
    <row r="390" spans="2:12" ht="12" customHeight="1" x14ac:dyDescent="0.15">
      <c r="B390" s="2"/>
      <c r="C390" s="4"/>
      <c r="D390" s="4"/>
      <c r="E390" s="4"/>
      <c r="I390" s="135"/>
      <c r="J390" s="135"/>
      <c r="K390" s="135"/>
      <c r="L390" s="135"/>
    </row>
    <row r="391" spans="2:12" ht="12" customHeight="1" x14ac:dyDescent="0.15">
      <c r="B391" s="2"/>
      <c r="C391" s="4"/>
      <c r="D391" s="4"/>
      <c r="E391" s="4"/>
      <c r="I391" s="135"/>
      <c r="J391" s="135"/>
      <c r="K391" s="135"/>
      <c r="L391" s="135"/>
    </row>
    <row r="392" spans="2:12" ht="12" customHeight="1" x14ac:dyDescent="0.15">
      <c r="B392" s="2"/>
      <c r="C392" s="4"/>
      <c r="D392" s="4"/>
      <c r="E392" s="4"/>
      <c r="I392" s="135"/>
      <c r="J392" s="135"/>
      <c r="K392" s="135"/>
      <c r="L392" s="135"/>
    </row>
    <row r="393" spans="2:12" ht="12" customHeight="1" x14ac:dyDescent="0.15">
      <c r="B393" s="2"/>
      <c r="C393" s="4"/>
      <c r="D393" s="4"/>
      <c r="E393" s="4"/>
      <c r="I393" s="135"/>
      <c r="J393" s="135"/>
      <c r="K393" s="135"/>
      <c r="L393" s="135"/>
    </row>
    <row r="394" spans="2:12" ht="12" customHeight="1" x14ac:dyDescent="0.15">
      <c r="B394" s="2"/>
      <c r="C394" s="4"/>
      <c r="D394" s="4"/>
      <c r="E394" s="4"/>
      <c r="I394" s="135"/>
      <c r="J394" s="135"/>
      <c r="K394" s="135"/>
      <c r="L394" s="135"/>
    </row>
    <row r="395" spans="2:12" ht="12" customHeight="1" x14ac:dyDescent="0.15">
      <c r="B395" s="2"/>
      <c r="C395" s="4"/>
      <c r="D395" s="4"/>
      <c r="E395" s="4"/>
      <c r="I395" s="135"/>
      <c r="J395" s="135"/>
      <c r="K395" s="135"/>
      <c r="L395" s="135"/>
    </row>
    <row r="396" spans="2:12" ht="12" customHeight="1" x14ac:dyDescent="0.15">
      <c r="B396" s="2"/>
      <c r="C396" s="4"/>
      <c r="D396" s="4"/>
      <c r="E396" s="4"/>
      <c r="I396" s="135"/>
      <c r="J396" s="135"/>
      <c r="K396" s="135"/>
      <c r="L396" s="135"/>
    </row>
    <row r="397" spans="2:12" ht="12" customHeight="1" x14ac:dyDescent="0.15">
      <c r="B397" s="2"/>
      <c r="C397" s="4"/>
      <c r="D397" s="4"/>
      <c r="E397" s="4"/>
      <c r="I397" s="135"/>
      <c r="J397" s="135"/>
      <c r="K397" s="135"/>
      <c r="L397" s="135"/>
    </row>
    <row r="398" spans="2:12" ht="12" customHeight="1" x14ac:dyDescent="0.15">
      <c r="B398" s="2"/>
      <c r="C398" s="4"/>
      <c r="D398" s="4"/>
      <c r="E398" s="4"/>
      <c r="I398" s="135"/>
      <c r="J398" s="135"/>
      <c r="K398" s="135"/>
      <c r="L398" s="135"/>
    </row>
    <row r="399" spans="2:12" ht="12" customHeight="1" x14ac:dyDescent="0.15">
      <c r="B399" s="2"/>
      <c r="C399" s="4"/>
      <c r="D399" s="4"/>
      <c r="E399" s="4"/>
      <c r="I399" s="135"/>
      <c r="J399" s="135"/>
      <c r="K399" s="135"/>
      <c r="L399" s="135"/>
    </row>
    <row r="400" spans="2:12" ht="12" customHeight="1" x14ac:dyDescent="0.15">
      <c r="B400" s="2"/>
      <c r="C400" s="4"/>
      <c r="D400" s="4"/>
      <c r="E400" s="4"/>
      <c r="I400" s="135"/>
      <c r="J400" s="135"/>
      <c r="K400" s="135"/>
      <c r="L400" s="135"/>
    </row>
    <row r="401" spans="2:12" ht="12" customHeight="1" x14ac:dyDescent="0.15">
      <c r="B401" s="2"/>
      <c r="C401" s="4"/>
      <c r="D401" s="4"/>
      <c r="E401" s="4"/>
      <c r="I401" s="135"/>
      <c r="J401" s="135"/>
      <c r="K401" s="135"/>
      <c r="L401" s="135"/>
    </row>
    <row r="402" spans="2:12" ht="12" customHeight="1" x14ac:dyDescent="0.15">
      <c r="B402" s="2"/>
      <c r="C402" s="4"/>
      <c r="D402" s="4"/>
      <c r="E402" s="4"/>
      <c r="I402" s="135"/>
      <c r="J402" s="135"/>
      <c r="K402" s="135"/>
      <c r="L402" s="135"/>
    </row>
    <row r="403" spans="2:12" ht="12" customHeight="1" x14ac:dyDescent="0.15">
      <c r="B403" s="2"/>
      <c r="C403" s="4"/>
      <c r="D403" s="4"/>
      <c r="E403" s="4"/>
      <c r="I403" s="135"/>
      <c r="J403" s="135"/>
      <c r="K403" s="135"/>
      <c r="L403" s="135"/>
    </row>
    <row r="404" spans="2:12" ht="12" customHeight="1" x14ac:dyDescent="0.15">
      <c r="B404" s="2"/>
      <c r="C404" s="4"/>
      <c r="D404" s="4"/>
      <c r="E404" s="4"/>
      <c r="I404" s="135"/>
      <c r="J404" s="135"/>
      <c r="K404" s="135"/>
      <c r="L404" s="135"/>
    </row>
    <row r="405" spans="2:12" ht="12" customHeight="1" x14ac:dyDescent="0.15">
      <c r="B405" s="2"/>
      <c r="C405" s="4"/>
      <c r="D405" s="4"/>
      <c r="E405" s="4"/>
      <c r="I405" s="135"/>
      <c r="J405" s="135"/>
      <c r="K405" s="135"/>
      <c r="L405" s="135"/>
    </row>
    <row r="406" spans="2:12" ht="12" customHeight="1" x14ac:dyDescent="0.15">
      <c r="B406" s="2"/>
      <c r="C406" s="4"/>
      <c r="D406" s="4"/>
      <c r="E406" s="4"/>
      <c r="I406" s="135"/>
      <c r="J406" s="135"/>
      <c r="K406" s="135"/>
      <c r="L406" s="135"/>
    </row>
    <row r="407" spans="2:12" ht="12" customHeight="1" x14ac:dyDescent="0.15">
      <c r="B407" s="2"/>
      <c r="C407" s="4"/>
      <c r="D407" s="4"/>
      <c r="E407" s="4"/>
      <c r="I407" s="135"/>
      <c r="J407" s="135"/>
      <c r="K407" s="135"/>
      <c r="L407" s="135"/>
    </row>
    <row r="408" spans="2:12" ht="12" customHeight="1" x14ac:dyDescent="0.15">
      <c r="B408" s="2"/>
      <c r="C408" s="4"/>
      <c r="D408" s="4"/>
      <c r="E408" s="4"/>
      <c r="I408" s="135"/>
      <c r="J408" s="135"/>
      <c r="K408" s="135"/>
      <c r="L408" s="135"/>
    </row>
    <row r="409" spans="2:12" ht="12" customHeight="1" x14ac:dyDescent="0.15">
      <c r="B409" s="2"/>
      <c r="C409" s="4"/>
      <c r="D409" s="4"/>
      <c r="E409" s="4"/>
      <c r="I409" s="135"/>
      <c r="J409" s="135"/>
      <c r="K409" s="135"/>
      <c r="L409" s="135"/>
    </row>
    <row r="410" spans="2:12" ht="12" customHeight="1" x14ac:dyDescent="0.15">
      <c r="B410" s="2"/>
      <c r="C410" s="4"/>
      <c r="D410" s="4"/>
      <c r="E410" s="4"/>
      <c r="I410" s="135"/>
      <c r="J410" s="135"/>
      <c r="K410" s="135"/>
      <c r="L410" s="135"/>
    </row>
    <row r="411" spans="2:12" ht="12" customHeight="1" x14ac:dyDescent="0.15">
      <c r="B411" s="2"/>
      <c r="C411" s="4"/>
      <c r="D411" s="4"/>
      <c r="E411" s="4"/>
      <c r="I411" s="135"/>
      <c r="J411" s="135"/>
      <c r="K411" s="135"/>
      <c r="L411" s="135"/>
    </row>
    <row r="412" spans="2:12" ht="12" customHeight="1" x14ac:dyDescent="0.15">
      <c r="B412" s="2"/>
      <c r="C412" s="4"/>
      <c r="D412" s="4"/>
      <c r="E412" s="4"/>
      <c r="I412" s="135"/>
      <c r="J412" s="135"/>
      <c r="K412" s="135"/>
      <c r="L412" s="135"/>
    </row>
    <row r="413" spans="2:12" ht="12" customHeight="1" x14ac:dyDescent="0.15">
      <c r="B413" s="2"/>
      <c r="C413" s="4"/>
      <c r="D413" s="4"/>
      <c r="E413" s="4"/>
      <c r="I413" s="135"/>
      <c r="J413" s="135"/>
      <c r="K413" s="135"/>
      <c r="L413" s="135"/>
    </row>
    <row r="414" spans="2:12" ht="12" customHeight="1" x14ac:dyDescent="0.15">
      <c r="B414" s="2"/>
      <c r="C414" s="4"/>
      <c r="D414" s="4"/>
      <c r="E414" s="4"/>
      <c r="I414" s="135"/>
      <c r="J414" s="135"/>
      <c r="K414" s="135"/>
      <c r="L414" s="135"/>
    </row>
    <row r="415" spans="2:12" ht="12" customHeight="1" x14ac:dyDescent="0.15">
      <c r="B415" s="2"/>
      <c r="C415" s="4"/>
      <c r="D415" s="4"/>
      <c r="E415" s="4"/>
      <c r="I415" s="135"/>
      <c r="J415" s="135"/>
      <c r="K415" s="135"/>
      <c r="L415" s="135"/>
    </row>
    <row r="416" spans="2:12" ht="12" customHeight="1" x14ac:dyDescent="0.15">
      <c r="B416" s="2"/>
      <c r="C416" s="4"/>
      <c r="D416" s="4"/>
      <c r="E416" s="4"/>
      <c r="I416" s="135"/>
      <c r="J416" s="135"/>
      <c r="K416" s="135"/>
      <c r="L416" s="135"/>
    </row>
    <row r="417" spans="2:12" ht="12" customHeight="1" x14ac:dyDescent="0.15">
      <c r="B417" s="2"/>
      <c r="C417" s="4"/>
      <c r="D417" s="4"/>
      <c r="E417" s="4"/>
      <c r="I417" s="135"/>
      <c r="J417" s="135"/>
      <c r="K417" s="135"/>
      <c r="L417" s="135"/>
    </row>
    <row r="418" spans="2:12" ht="12" customHeight="1" x14ac:dyDescent="0.15">
      <c r="B418" s="2"/>
      <c r="C418" s="4"/>
      <c r="D418" s="4"/>
      <c r="E418" s="4"/>
      <c r="I418" s="135"/>
      <c r="J418" s="135"/>
      <c r="K418" s="135"/>
      <c r="L418" s="135"/>
    </row>
    <row r="419" spans="2:12" ht="12" customHeight="1" x14ac:dyDescent="0.15">
      <c r="B419" s="2"/>
      <c r="C419" s="4"/>
      <c r="D419" s="4"/>
      <c r="E419" s="4"/>
      <c r="I419" s="135"/>
      <c r="J419" s="135"/>
      <c r="K419" s="135"/>
      <c r="L419" s="135"/>
    </row>
    <row r="420" spans="2:12" ht="12" customHeight="1" x14ac:dyDescent="0.15">
      <c r="B420" s="2"/>
      <c r="C420" s="4"/>
      <c r="D420" s="4"/>
      <c r="E420" s="4"/>
      <c r="I420" s="135"/>
      <c r="J420" s="135"/>
      <c r="K420" s="135"/>
      <c r="L420" s="135"/>
    </row>
    <row r="421" spans="2:12" ht="12" customHeight="1" x14ac:dyDescent="0.15">
      <c r="B421" s="2"/>
      <c r="C421" s="4"/>
      <c r="D421" s="4"/>
      <c r="E421" s="4"/>
      <c r="I421" s="135"/>
      <c r="J421" s="135"/>
      <c r="K421" s="135"/>
      <c r="L421" s="135"/>
    </row>
    <row r="422" spans="2:12" ht="12" customHeight="1" x14ac:dyDescent="0.15">
      <c r="B422" s="2"/>
      <c r="C422" s="4"/>
      <c r="D422" s="4"/>
      <c r="E422" s="4"/>
      <c r="I422" s="135"/>
      <c r="J422" s="135"/>
      <c r="K422" s="135"/>
      <c r="L422" s="135"/>
    </row>
    <row r="423" spans="2:12" ht="12" customHeight="1" x14ac:dyDescent="0.15">
      <c r="B423" s="2"/>
      <c r="C423" s="4"/>
      <c r="D423" s="4"/>
      <c r="E423" s="4"/>
      <c r="I423" s="135"/>
      <c r="J423" s="135"/>
      <c r="K423" s="135"/>
      <c r="L423" s="135"/>
    </row>
    <row r="424" spans="2:12" ht="12" customHeight="1" x14ac:dyDescent="0.15">
      <c r="B424" s="2"/>
      <c r="C424" s="4"/>
      <c r="D424" s="4"/>
      <c r="E424" s="4"/>
      <c r="I424" s="135"/>
      <c r="J424" s="135"/>
      <c r="K424" s="135"/>
      <c r="L424" s="135"/>
    </row>
    <row r="425" spans="2:12" ht="12" customHeight="1" x14ac:dyDescent="0.15">
      <c r="B425" s="2"/>
      <c r="C425" s="4"/>
      <c r="D425" s="4"/>
      <c r="E425" s="4"/>
      <c r="I425" s="135"/>
      <c r="J425" s="135"/>
      <c r="K425" s="135"/>
      <c r="L425" s="135"/>
    </row>
    <row r="426" spans="2:12" ht="12" customHeight="1" x14ac:dyDescent="0.15">
      <c r="B426" s="2"/>
      <c r="C426" s="4"/>
      <c r="D426" s="4"/>
      <c r="E426" s="4"/>
      <c r="I426" s="135"/>
      <c r="J426" s="135"/>
      <c r="K426" s="135"/>
      <c r="L426" s="135"/>
    </row>
    <row r="427" spans="2:12" ht="12" customHeight="1" x14ac:dyDescent="0.15">
      <c r="B427" s="2"/>
      <c r="C427" s="4"/>
      <c r="D427" s="4"/>
      <c r="E427" s="4"/>
      <c r="I427" s="135"/>
      <c r="J427" s="135"/>
      <c r="K427" s="135"/>
      <c r="L427" s="135"/>
    </row>
    <row r="428" spans="2:12" ht="12" customHeight="1" x14ac:dyDescent="0.15">
      <c r="B428" s="2"/>
      <c r="C428" s="4"/>
      <c r="D428" s="4"/>
      <c r="E428" s="4"/>
      <c r="I428" s="135"/>
      <c r="J428" s="135"/>
      <c r="K428" s="135"/>
      <c r="L428" s="135"/>
    </row>
    <row r="429" spans="2:12" ht="12" customHeight="1" x14ac:dyDescent="0.15">
      <c r="B429" s="2"/>
      <c r="C429" s="4"/>
      <c r="D429" s="4"/>
      <c r="E429" s="4"/>
      <c r="I429" s="135"/>
      <c r="J429" s="135"/>
      <c r="K429" s="135"/>
      <c r="L429" s="135"/>
    </row>
    <row r="430" spans="2:12" ht="12" customHeight="1" x14ac:dyDescent="0.15">
      <c r="B430" s="2"/>
      <c r="C430" s="4"/>
      <c r="D430" s="4"/>
      <c r="E430" s="4"/>
      <c r="I430" s="135"/>
      <c r="J430" s="135"/>
      <c r="K430" s="135"/>
      <c r="L430" s="135"/>
    </row>
    <row r="431" spans="2:12" ht="12" customHeight="1" x14ac:dyDescent="0.15">
      <c r="B431" s="2"/>
      <c r="C431" s="4"/>
      <c r="D431" s="4"/>
      <c r="E431" s="4"/>
      <c r="I431" s="135"/>
      <c r="J431" s="135"/>
      <c r="K431" s="135"/>
      <c r="L431" s="135"/>
    </row>
    <row r="432" spans="2:12" ht="12" customHeight="1" x14ac:dyDescent="0.15">
      <c r="B432" s="2"/>
      <c r="C432" s="4"/>
      <c r="D432" s="4"/>
      <c r="E432" s="4"/>
      <c r="I432" s="135"/>
      <c r="J432" s="135"/>
      <c r="K432" s="135"/>
      <c r="L432" s="135"/>
    </row>
    <row r="433" spans="2:12" ht="12" customHeight="1" x14ac:dyDescent="0.15">
      <c r="B433" s="2"/>
      <c r="C433" s="4"/>
      <c r="D433" s="4"/>
      <c r="E433" s="4"/>
      <c r="I433" s="135"/>
      <c r="J433" s="135"/>
      <c r="K433" s="135"/>
      <c r="L433" s="135"/>
    </row>
    <row r="434" spans="2:12" ht="12" customHeight="1" x14ac:dyDescent="0.15">
      <c r="B434" s="2"/>
      <c r="C434" s="4"/>
      <c r="D434" s="4"/>
      <c r="E434" s="4"/>
      <c r="I434" s="135"/>
      <c r="J434" s="135"/>
      <c r="K434" s="135"/>
      <c r="L434" s="135"/>
    </row>
    <row r="435" spans="2:12" ht="12" customHeight="1" x14ac:dyDescent="0.15">
      <c r="B435" s="2"/>
      <c r="C435" s="4"/>
      <c r="D435" s="4"/>
      <c r="E435" s="4"/>
      <c r="I435" s="135"/>
      <c r="J435" s="135"/>
      <c r="K435" s="135"/>
      <c r="L435" s="135"/>
    </row>
    <row r="436" spans="2:12" ht="12" customHeight="1" x14ac:dyDescent="0.15">
      <c r="B436" s="2"/>
      <c r="C436" s="4"/>
      <c r="D436" s="4"/>
      <c r="E436" s="4"/>
      <c r="I436" s="135"/>
      <c r="J436" s="135"/>
      <c r="K436" s="135"/>
      <c r="L436" s="135"/>
    </row>
    <row r="437" spans="2:12" ht="12" customHeight="1" x14ac:dyDescent="0.15">
      <c r="B437" s="2"/>
      <c r="C437" s="4"/>
      <c r="D437" s="4"/>
      <c r="E437" s="4"/>
      <c r="I437" s="135"/>
      <c r="J437" s="135"/>
      <c r="K437" s="135"/>
      <c r="L437" s="135"/>
    </row>
    <row r="438" spans="2:12" ht="12" customHeight="1" x14ac:dyDescent="0.15">
      <c r="B438" s="2"/>
      <c r="C438" s="4"/>
      <c r="D438" s="4"/>
      <c r="E438" s="4"/>
      <c r="I438" s="135"/>
      <c r="J438" s="135"/>
      <c r="K438" s="135"/>
      <c r="L438" s="135"/>
    </row>
    <row r="439" spans="2:12" ht="12" customHeight="1" x14ac:dyDescent="0.15">
      <c r="B439" s="2"/>
      <c r="C439" s="4"/>
      <c r="D439" s="4"/>
      <c r="E439" s="4"/>
      <c r="I439" s="135"/>
      <c r="J439" s="135"/>
      <c r="K439" s="135"/>
      <c r="L439" s="135"/>
    </row>
    <row r="440" spans="2:12" ht="12" customHeight="1" x14ac:dyDescent="0.15">
      <c r="B440" s="2"/>
      <c r="C440" s="4"/>
      <c r="D440" s="4"/>
      <c r="E440" s="4"/>
      <c r="I440" s="135"/>
      <c r="J440" s="135"/>
      <c r="K440" s="135"/>
      <c r="L440" s="135"/>
    </row>
    <row r="441" spans="2:12" ht="12" customHeight="1" x14ac:dyDescent="0.15">
      <c r="B441" s="2"/>
      <c r="C441" s="4"/>
      <c r="D441" s="4"/>
      <c r="E441" s="4"/>
      <c r="I441" s="135"/>
      <c r="J441" s="135"/>
      <c r="K441" s="135"/>
      <c r="L441" s="135"/>
    </row>
    <row r="442" spans="2:12" ht="12" customHeight="1" x14ac:dyDescent="0.15">
      <c r="B442" s="2"/>
      <c r="C442" s="4"/>
      <c r="D442" s="4"/>
      <c r="E442" s="4"/>
      <c r="I442" s="135"/>
      <c r="J442" s="135"/>
      <c r="K442" s="135"/>
      <c r="L442" s="135"/>
    </row>
    <row r="443" spans="2:12" ht="12" customHeight="1" x14ac:dyDescent="0.15">
      <c r="B443" s="2"/>
      <c r="C443" s="4"/>
      <c r="D443" s="4"/>
      <c r="E443" s="4"/>
      <c r="I443" s="135"/>
      <c r="J443" s="135"/>
      <c r="K443" s="135"/>
      <c r="L443" s="135"/>
    </row>
    <row r="444" spans="2:12" ht="12" customHeight="1" x14ac:dyDescent="0.15">
      <c r="B444" s="2"/>
      <c r="C444" s="4"/>
      <c r="D444" s="4"/>
      <c r="E444" s="4"/>
      <c r="I444" s="135"/>
      <c r="J444" s="135"/>
      <c r="K444" s="135"/>
      <c r="L444" s="135"/>
    </row>
    <row r="445" spans="2:12" ht="12" customHeight="1" x14ac:dyDescent="0.15">
      <c r="B445" s="2"/>
      <c r="C445" s="4"/>
      <c r="D445" s="4"/>
      <c r="E445" s="4"/>
      <c r="I445" s="135"/>
      <c r="J445" s="135"/>
      <c r="K445" s="135"/>
      <c r="L445" s="135"/>
    </row>
    <row r="446" spans="2:12" ht="12" customHeight="1" x14ac:dyDescent="0.15">
      <c r="B446" s="2"/>
      <c r="C446" s="4"/>
      <c r="D446" s="4"/>
      <c r="E446" s="4"/>
      <c r="I446" s="135"/>
      <c r="J446" s="135"/>
      <c r="K446" s="135"/>
      <c r="L446" s="135"/>
    </row>
    <row r="447" spans="2:12" ht="12" customHeight="1" x14ac:dyDescent="0.15">
      <c r="B447" s="2"/>
      <c r="C447" s="4"/>
      <c r="D447" s="4"/>
      <c r="E447" s="4"/>
      <c r="I447" s="135"/>
      <c r="J447" s="135"/>
      <c r="K447" s="135"/>
      <c r="L447" s="135"/>
    </row>
    <row r="448" spans="2:12" ht="12" customHeight="1" x14ac:dyDescent="0.15">
      <c r="B448" s="2"/>
      <c r="C448" s="4"/>
      <c r="D448" s="4"/>
      <c r="E448" s="4"/>
      <c r="I448" s="135"/>
      <c r="J448" s="135"/>
      <c r="K448" s="135"/>
      <c r="L448" s="135"/>
    </row>
    <row r="449" spans="2:12" ht="12" customHeight="1" x14ac:dyDescent="0.15">
      <c r="B449" s="2"/>
      <c r="C449" s="4"/>
      <c r="D449" s="4"/>
      <c r="E449" s="4"/>
      <c r="I449" s="135"/>
      <c r="J449" s="135"/>
      <c r="K449" s="135"/>
      <c r="L449" s="135"/>
    </row>
    <row r="450" spans="2:12" ht="12" customHeight="1" x14ac:dyDescent="0.15">
      <c r="B450" s="2"/>
      <c r="C450" s="4"/>
      <c r="D450" s="4"/>
      <c r="E450" s="4"/>
      <c r="I450" s="135"/>
      <c r="J450" s="135"/>
      <c r="K450" s="135"/>
      <c r="L450" s="135"/>
    </row>
    <row r="451" spans="2:12" ht="12" customHeight="1" x14ac:dyDescent="0.15">
      <c r="B451" s="2"/>
      <c r="C451" s="4"/>
      <c r="D451" s="4"/>
      <c r="E451" s="4"/>
      <c r="I451" s="135"/>
      <c r="J451" s="135"/>
      <c r="K451" s="135"/>
      <c r="L451" s="135"/>
    </row>
    <row r="452" spans="2:12" ht="12" customHeight="1" x14ac:dyDescent="0.15">
      <c r="B452" s="2"/>
      <c r="C452" s="4"/>
      <c r="D452" s="4"/>
      <c r="E452" s="4"/>
      <c r="I452" s="135"/>
      <c r="J452" s="135"/>
      <c r="K452" s="135"/>
      <c r="L452" s="135"/>
    </row>
    <row r="453" spans="2:12" ht="12" customHeight="1" x14ac:dyDescent="0.15">
      <c r="B453" s="2"/>
      <c r="C453" s="4"/>
      <c r="D453" s="4"/>
      <c r="E453" s="4"/>
      <c r="I453" s="135"/>
      <c r="J453" s="135"/>
      <c r="K453" s="135"/>
      <c r="L453" s="135"/>
    </row>
    <row r="454" spans="2:12" ht="12" customHeight="1" x14ac:dyDescent="0.15">
      <c r="B454" s="2"/>
      <c r="C454" s="4"/>
      <c r="D454" s="4"/>
      <c r="E454" s="4"/>
      <c r="I454" s="135"/>
      <c r="J454" s="135"/>
      <c r="K454" s="135"/>
      <c r="L454" s="135"/>
    </row>
    <row r="455" spans="2:12" ht="12" customHeight="1" x14ac:dyDescent="0.15">
      <c r="B455" s="2"/>
      <c r="C455" s="4"/>
      <c r="D455" s="4"/>
      <c r="E455" s="4"/>
      <c r="I455" s="135"/>
      <c r="J455" s="135"/>
      <c r="K455" s="135"/>
      <c r="L455" s="135"/>
    </row>
    <row r="456" spans="2:12" ht="12" customHeight="1" x14ac:dyDescent="0.15">
      <c r="B456" s="2"/>
      <c r="C456" s="4"/>
      <c r="D456" s="4"/>
      <c r="E456" s="4"/>
      <c r="I456" s="135"/>
      <c r="J456" s="135"/>
      <c r="K456" s="135"/>
      <c r="L456" s="135"/>
    </row>
    <row r="457" spans="2:12" ht="12" customHeight="1" x14ac:dyDescent="0.15">
      <c r="B457" s="2"/>
      <c r="C457" s="4"/>
      <c r="D457" s="4"/>
      <c r="E457" s="4"/>
      <c r="I457" s="135"/>
      <c r="J457" s="135"/>
      <c r="K457" s="135"/>
      <c r="L457" s="135"/>
    </row>
    <row r="458" spans="2:12" ht="12" customHeight="1" x14ac:dyDescent="0.15">
      <c r="B458" s="2"/>
      <c r="C458" s="4"/>
      <c r="D458" s="4"/>
      <c r="E458" s="4"/>
      <c r="I458" s="135"/>
      <c r="J458" s="135"/>
      <c r="K458" s="135"/>
      <c r="L458" s="135"/>
    </row>
    <row r="459" spans="2:12" ht="12" customHeight="1" x14ac:dyDescent="0.15">
      <c r="B459" s="2"/>
      <c r="C459" s="4"/>
      <c r="D459" s="4"/>
      <c r="E459" s="4"/>
      <c r="I459" s="135"/>
      <c r="J459" s="135"/>
      <c r="K459" s="135"/>
      <c r="L459" s="135"/>
    </row>
    <row r="460" spans="2:12" ht="12" customHeight="1" x14ac:dyDescent="0.15">
      <c r="B460" s="2"/>
      <c r="C460" s="4"/>
      <c r="D460" s="4"/>
      <c r="E460" s="4"/>
      <c r="I460" s="135"/>
      <c r="J460" s="135"/>
      <c r="K460" s="135"/>
      <c r="L460" s="135"/>
    </row>
    <row r="461" spans="2:12" ht="12" customHeight="1" x14ac:dyDescent="0.15">
      <c r="B461" s="2"/>
      <c r="C461" s="4"/>
      <c r="D461" s="4"/>
      <c r="E461" s="4"/>
      <c r="I461" s="135"/>
      <c r="J461" s="135"/>
      <c r="K461" s="135"/>
      <c r="L461" s="135"/>
    </row>
    <row r="462" spans="2:12" ht="12" customHeight="1" x14ac:dyDescent="0.15">
      <c r="B462" s="2"/>
      <c r="C462" s="4"/>
      <c r="D462" s="4"/>
      <c r="E462" s="4"/>
      <c r="I462" s="135"/>
      <c r="J462" s="135"/>
      <c r="K462" s="135"/>
      <c r="L462" s="135"/>
    </row>
    <row r="463" spans="2:12" ht="12" customHeight="1" x14ac:dyDescent="0.15">
      <c r="B463" s="2"/>
      <c r="C463" s="4"/>
      <c r="D463" s="4"/>
      <c r="E463" s="4"/>
      <c r="I463" s="135"/>
      <c r="J463" s="135"/>
      <c r="K463" s="135"/>
      <c r="L463" s="135"/>
    </row>
    <row r="464" spans="2:12" ht="12" customHeight="1" x14ac:dyDescent="0.15">
      <c r="B464" s="2"/>
      <c r="C464" s="4"/>
      <c r="D464" s="4"/>
      <c r="E464" s="4"/>
      <c r="I464" s="135"/>
      <c r="J464" s="135"/>
      <c r="K464" s="135"/>
      <c r="L464" s="135"/>
    </row>
    <row r="465" spans="2:12" ht="12" customHeight="1" x14ac:dyDescent="0.15">
      <c r="B465" s="2"/>
      <c r="C465" s="4"/>
      <c r="D465" s="4"/>
      <c r="E465" s="4"/>
      <c r="I465" s="135"/>
      <c r="J465" s="135"/>
      <c r="K465" s="135"/>
      <c r="L465" s="135"/>
    </row>
    <row r="466" spans="2:12" ht="12" customHeight="1" x14ac:dyDescent="0.15">
      <c r="B466" s="2"/>
      <c r="C466" s="4"/>
      <c r="D466" s="4"/>
      <c r="E466" s="4"/>
      <c r="I466" s="135"/>
      <c r="J466" s="135"/>
      <c r="K466" s="135"/>
      <c r="L466" s="135"/>
    </row>
    <row r="467" spans="2:12" ht="12" customHeight="1" x14ac:dyDescent="0.15">
      <c r="B467" s="2"/>
      <c r="C467" s="4"/>
      <c r="D467" s="4"/>
      <c r="E467" s="4"/>
      <c r="I467" s="135"/>
      <c r="J467" s="135"/>
      <c r="K467" s="135"/>
      <c r="L467" s="135"/>
    </row>
    <row r="468" spans="2:12" ht="12" customHeight="1" x14ac:dyDescent="0.15">
      <c r="B468" s="2"/>
      <c r="C468" s="4"/>
      <c r="D468" s="4"/>
      <c r="E468" s="4"/>
      <c r="I468" s="135"/>
      <c r="J468" s="135"/>
      <c r="K468" s="135"/>
      <c r="L468" s="135"/>
    </row>
    <row r="469" spans="2:12" ht="12" customHeight="1" x14ac:dyDescent="0.15">
      <c r="B469" s="2"/>
      <c r="C469" s="4"/>
      <c r="D469" s="4"/>
      <c r="E469" s="4"/>
      <c r="I469" s="135"/>
      <c r="J469" s="135"/>
      <c r="K469" s="135"/>
      <c r="L469" s="135"/>
    </row>
    <row r="470" spans="2:12" ht="12" customHeight="1" x14ac:dyDescent="0.15">
      <c r="B470" s="2"/>
      <c r="C470" s="4"/>
      <c r="D470" s="4"/>
      <c r="E470" s="4"/>
      <c r="I470" s="135"/>
      <c r="J470" s="135"/>
      <c r="K470" s="135"/>
      <c r="L470" s="135"/>
    </row>
    <row r="471" spans="2:12" ht="12" customHeight="1" x14ac:dyDescent="0.15">
      <c r="B471" s="2"/>
      <c r="C471" s="4"/>
      <c r="D471" s="4"/>
      <c r="E471" s="4"/>
      <c r="I471" s="135"/>
      <c r="J471" s="135"/>
      <c r="K471" s="135"/>
      <c r="L471" s="135"/>
    </row>
    <row r="472" spans="2:12" ht="12" customHeight="1" x14ac:dyDescent="0.15">
      <c r="B472" s="2"/>
      <c r="C472" s="4"/>
      <c r="D472" s="4"/>
      <c r="E472" s="4"/>
      <c r="I472" s="135"/>
      <c r="J472" s="135"/>
      <c r="K472" s="135"/>
      <c r="L472" s="135"/>
    </row>
    <row r="473" spans="2:12" ht="12" customHeight="1" x14ac:dyDescent="0.15">
      <c r="B473" s="2"/>
      <c r="C473" s="4"/>
      <c r="D473" s="4"/>
      <c r="E473" s="4"/>
      <c r="I473" s="135"/>
      <c r="J473" s="135"/>
      <c r="K473" s="135"/>
      <c r="L473" s="135"/>
    </row>
    <row r="474" spans="2:12" ht="12" customHeight="1" x14ac:dyDescent="0.15">
      <c r="B474" s="2"/>
      <c r="C474" s="4"/>
      <c r="D474" s="4"/>
      <c r="E474" s="4"/>
      <c r="I474" s="135"/>
      <c r="J474" s="135"/>
      <c r="K474" s="135"/>
      <c r="L474" s="135"/>
    </row>
    <row r="475" spans="2:12" ht="12" customHeight="1" x14ac:dyDescent="0.15">
      <c r="B475" s="2"/>
      <c r="C475" s="4"/>
      <c r="D475" s="4"/>
      <c r="E475" s="4"/>
      <c r="I475" s="135"/>
      <c r="J475" s="135"/>
      <c r="K475" s="135"/>
      <c r="L475" s="135"/>
    </row>
    <row r="476" spans="2:12" ht="12" customHeight="1" x14ac:dyDescent="0.15">
      <c r="B476" s="2"/>
      <c r="C476" s="4"/>
      <c r="D476" s="4"/>
      <c r="E476" s="4"/>
      <c r="I476" s="135"/>
      <c r="J476" s="135"/>
      <c r="K476" s="135"/>
      <c r="L476" s="135"/>
    </row>
    <row r="477" spans="2:12" ht="12" customHeight="1" x14ac:dyDescent="0.15">
      <c r="B477" s="2"/>
      <c r="C477" s="4"/>
      <c r="D477" s="4"/>
      <c r="E477" s="4"/>
      <c r="I477" s="135"/>
      <c r="J477" s="135"/>
      <c r="K477" s="135"/>
      <c r="L477" s="135"/>
    </row>
    <row r="478" spans="2:12" ht="12" customHeight="1" x14ac:dyDescent="0.15">
      <c r="B478" s="2"/>
      <c r="C478" s="4"/>
      <c r="D478" s="4"/>
      <c r="E478" s="4"/>
      <c r="I478" s="135"/>
      <c r="J478" s="135"/>
      <c r="K478" s="135"/>
      <c r="L478" s="135"/>
    </row>
    <row r="479" spans="2:12" ht="12" customHeight="1" x14ac:dyDescent="0.15">
      <c r="B479" s="2"/>
      <c r="C479" s="4"/>
      <c r="D479" s="4"/>
      <c r="E479" s="4"/>
      <c r="I479" s="135"/>
      <c r="J479" s="135"/>
      <c r="K479" s="135"/>
      <c r="L479" s="135"/>
    </row>
    <row r="480" spans="2:12" ht="12" customHeight="1" x14ac:dyDescent="0.15">
      <c r="B480" s="2"/>
      <c r="C480" s="4"/>
      <c r="D480" s="4"/>
      <c r="E480" s="4"/>
      <c r="I480" s="135"/>
      <c r="J480" s="135"/>
      <c r="K480" s="135"/>
      <c r="L480" s="135"/>
    </row>
    <row r="481" spans="2:12" ht="12" customHeight="1" x14ac:dyDescent="0.15">
      <c r="B481" s="2"/>
      <c r="C481" s="4"/>
      <c r="D481" s="4"/>
      <c r="E481" s="4"/>
      <c r="I481" s="135"/>
      <c r="J481" s="135"/>
      <c r="K481" s="135"/>
      <c r="L481" s="135"/>
    </row>
    <row r="482" spans="2:12" ht="12" customHeight="1" x14ac:dyDescent="0.15">
      <c r="B482" s="2"/>
      <c r="C482" s="4"/>
      <c r="D482" s="4"/>
      <c r="E482" s="4"/>
      <c r="I482" s="135"/>
      <c r="J482" s="135"/>
      <c r="K482" s="135"/>
      <c r="L482" s="135"/>
    </row>
    <row r="483" spans="2:12" ht="12" customHeight="1" x14ac:dyDescent="0.15">
      <c r="B483" s="2"/>
      <c r="C483" s="4"/>
      <c r="D483" s="4"/>
      <c r="E483" s="4"/>
      <c r="I483" s="135"/>
      <c r="J483" s="135"/>
      <c r="K483" s="135"/>
      <c r="L483" s="135"/>
    </row>
    <row r="484" spans="2:12" ht="12" customHeight="1" x14ac:dyDescent="0.15">
      <c r="B484" s="2"/>
      <c r="C484" s="4"/>
      <c r="D484" s="4"/>
      <c r="E484" s="4"/>
      <c r="I484" s="135"/>
      <c r="J484" s="135"/>
      <c r="K484" s="135"/>
      <c r="L484" s="135"/>
    </row>
    <row r="485" spans="2:12" ht="12" customHeight="1" x14ac:dyDescent="0.15">
      <c r="B485" s="2"/>
      <c r="C485" s="4"/>
      <c r="D485" s="4"/>
      <c r="E485" s="4"/>
      <c r="I485" s="135"/>
      <c r="J485" s="135"/>
      <c r="K485" s="135"/>
      <c r="L485" s="135"/>
    </row>
    <row r="486" spans="2:12" ht="12" customHeight="1" x14ac:dyDescent="0.15">
      <c r="B486" s="2"/>
      <c r="C486" s="4"/>
      <c r="D486" s="4"/>
      <c r="E486" s="4"/>
      <c r="I486" s="135"/>
      <c r="J486" s="135"/>
      <c r="K486" s="135"/>
      <c r="L486" s="135"/>
    </row>
    <row r="487" spans="2:12" ht="12" customHeight="1" x14ac:dyDescent="0.15">
      <c r="B487" s="2"/>
      <c r="C487" s="4"/>
      <c r="D487" s="4"/>
      <c r="E487" s="4"/>
      <c r="I487" s="135"/>
      <c r="J487" s="135"/>
      <c r="K487" s="135"/>
      <c r="L487" s="135"/>
    </row>
    <row r="488" spans="2:12" ht="12" customHeight="1" x14ac:dyDescent="0.15">
      <c r="B488" s="2"/>
      <c r="C488" s="4"/>
      <c r="D488" s="4"/>
      <c r="E488" s="4"/>
      <c r="I488" s="135"/>
      <c r="J488" s="135"/>
      <c r="K488" s="135"/>
      <c r="L488" s="135"/>
    </row>
    <row r="489" spans="2:12" ht="12" customHeight="1" x14ac:dyDescent="0.15">
      <c r="B489" s="2"/>
      <c r="C489" s="4"/>
      <c r="D489" s="4"/>
      <c r="E489" s="4"/>
      <c r="I489" s="135"/>
      <c r="J489" s="135"/>
      <c r="K489" s="135"/>
      <c r="L489" s="135"/>
    </row>
    <row r="490" spans="2:12" ht="12" customHeight="1" x14ac:dyDescent="0.15">
      <c r="B490" s="2"/>
      <c r="C490" s="4"/>
      <c r="D490" s="4"/>
      <c r="E490" s="4"/>
      <c r="I490" s="135"/>
      <c r="J490" s="135"/>
      <c r="K490" s="135"/>
      <c r="L490" s="135"/>
    </row>
    <row r="491" spans="2:12" ht="12" customHeight="1" x14ac:dyDescent="0.15">
      <c r="B491" s="2"/>
      <c r="C491" s="4"/>
      <c r="D491" s="4"/>
      <c r="E491" s="4"/>
      <c r="I491" s="135"/>
      <c r="J491" s="135"/>
      <c r="K491" s="135"/>
      <c r="L491" s="135"/>
    </row>
    <row r="492" spans="2:12" ht="12" customHeight="1" x14ac:dyDescent="0.15">
      <c r="B492" s="2"/>
      <c r="C492" s="4"/>
      <c r="D492" s="4"/>
      <c r="E492" s="4"/>
      <c r="I492" s="135"/>
      <c r="J492" s="135"/>
      <c r="K492" s="135"/>
      <c r="L492" s="135"/>
    </row>
    <row r="493" spans="2:12" ht="12" customHeight="1" x14ac:dyDescent="0.15">
      <c r="B493" s="2"/>
      <c r="C493" s="4"/>
      <c r="D493" s="4"/>
      <c r="E493" s="4"/>
      <c r="I493" s="135"/>
      <c r="J493" s="135"/>
      <c r="K493" s="135"/>
      <c r="L493" s="135"/>
    </row>
    <row r="494" spans="2:12" ht="12" customHeight="1" x14ac:dyDescent="0.15">
      <c r="B494" s="2"/>
      <c r="C494" s="4"/>
      <c r="D494" s="4"/>
      <c r="E494" s="4"/>
      <c r="I494" s="135"/>
      <c r="J494" s="135"/>
      <c r="K494" s="135"/>
      <c r="L494" s="135"/>
    </row>
    <row r="495" spans="2:12" ht="12" customHeight="1" x14ac:dyDescent="0.15">
      <c r="B495" s="2"/>
      <c r="C495" s="4"/>
      <c r="D495" s="4"/>
      <c r="E495" s="4"/>
      <c r="I495" s="135"/>
      <c r="J495" s="135"/>
      <c r="K495" s="135"/>
      <c r="L495" s="135"/>
    </row>
    <row r="496" spans="2:12" ht="12" customHeight="1" x14ac:dyDescent="0.15">
      <c r="B496" s="2"/>
      <c r="C496" s="4"/>
      <c r="D496" s="4"/>
      <c r="E496" s="4"/>
      <c r="I496" s="135"/>
      <c r="J496" s="135"/>
      <c r="K496" s="135"/>
      <c r="L496" s="135"/>
    </row>
    <row r="497" spans="2:12" ht="12" customHeight="1" x14ac:dyDescent="0.15">
      <c r="B497" s="2"/>
      <c r="C497" s="4"/>
      <c r="D497" s="4"/>
      <c r="E497" s="4"/>
      <c r="I497" s="135"/>
      <c r="J497" s="135"/>
      <c r="K497" s="135"/>
      <c r="L497" s="135"/>
    </row>
    <row r="498" spans="2:12" ht="12" customHeight="1" x14ac:dyDescent="0.15">
      <c r="B498" s="2"/>
      <c r="C498" s="4"/>
      <c r="D498" s="4"/>
      <c r="E498" s="4"/>
      <c r="I498" s="135"/>
      <c r="J498" s="135"/>
      <c r="K498" s="135"/>
      <c r="L498" s="135"/>
    </row>
    <row r="499" spans="2:12" ht="12" customHeight="1" x14ac:dyDescent="0.15">
      <c r="B499" s="2"/>
      <c r="C499" s="4"/>
      <c r="D499" s="4"/>
      <c r="E499" s="4"/>
      <c r="I499" s="135"/>
      <c r="J499" s="135"/>
      <c r="K499" s="135"/>
      <c r="L499" s="135"/>
    </row>
    <row r="500" spans="2:12" ht="12" customHeight="1" x14ac:dyDescent="0.15">
      <c r="B500" s="2"/>
      <c r="C500" s="4"/>
      <c r="D500" s="4"/>
      <c r="E500" s="4"/>
      <c r="I500" s="135"/>
      <c r="J500" s="135"/>
      <c r="K500" s="135"/>
      <c r="L500" s="135"/>
    </row>
    <row r="501" spans="2:12" ht="12" customHeight="1" x14ac:dyDescent="0.15">
      <c r="B501" s="2"/>
      <c r="C501" s="4"/>
      <c r="D501" s="4"/>
      <c r="E501" s="4"/>
      <c r="I501" s="135"/>
      <c r="J501" s="135"/>
      <c r="K501" s="135"/>
      <c r="L501" s="135"/>
    </row>
    <row r="502" spans="2:12" ht="12" customHeight="1" x14ac:dyDescent="0.15">
      <c r="B502" s="2"/>
      <c r="C502" s="4"/>
      <c r="D502" s="4"/>
      <c r="E502" s="4"/>
      <c r="I502" s="135"/>
      <c r="J502" s="135"/>
      <c r="K502" s="135"/>
      <c r="L502" s="135"/>
    </row>
    <row r="503" spans="2:12" ht="12" customHeight="1" x14ac:dyDescent="0.15">
      <c r="B503" s="2"/>
      <c r="C503" s="4"/>
      <c r="D503" s="4"/>
      <c r="E503" s="4"/>
      <c r="I503" s="135"/>
      <c r="J503" s="135"/>
      <c r="K503" s="135"/>
      <c r="L503" s="135"/>
    </row>
    <row r="504" spans="2:12" ht="12" customHeight="1" x14ac:dyDescent="0.15">
      <c r="B504" s="2"/>
      <c r="C504" s="4"/>
      <c r="D504" s="4"/>
      <c r="E504" s="4"/>
      <c r="I504" s="135"/>
      <c r="J504" s="135"/>
      <c r="K504" s="135"/>
      <c r="L504" s="135"/>
    </row>
    <row r="505" spans="2:12" ht="12" customHeight="1" x14ac:dyDescent="0.15">
      <c r="B505" s="2"/>
      <c r="C505" s="4"/>
      <c r="D505" s="4"/>
      <c r="E505" s="4"/>
      <c r="I505" s="135"/>
      <c r="J505" s="135"/>
      <c r="K505" s="135"/>
      <c r="L505" s="135"/>
    </row>
    <row r="506" spans="2:12" ht="12" customHeight="1" x14ac:dyDescent="0.15">
      <c r="B506" s="2"/>
      <c r="C506" s="4"/>
      <c r="D506" s="4"/>
      <c r="E506" s="4"/>
      <c r="I506" s="135"/>
      <c r="J506" s="135"/>
      <c r="K506" s="135"/>
      <c r="L506" s="135"/>
    </row>
    <row r="507" spans="2:12" ht="12" customHeight="1" x14ac:dyDescent="0.15">
      <c r="B507" s="2"/>
      <c r="C507" s="4"/>
      <c r="D507" s="4"/>
      <c r="E507" s="4"/>
      <c r="I507" s="135"/>
      <c r="J507" s="135"/>
      <c r="K507" s="135"/>
      <c r="L507" s="135"/>
    </row>
    <row r="508" spans="2:12" ht="12" customHeight="1" x14ac:dyDescent="0.15">
      <c r="B508" s="2"/>
      <c r="C508" s="4"/>
      <c r="D508" s="4"/>
      <c r="E508" s="4"/>
      <c r="I508" s="135"/>
      <c r="J508" s="135"/>
      <c r="K508" s="135"/>
      <c r="L508" s="135"/>
    </row>
    <row r="509" spans="2:12" ht="12" customHeight="1" x14ac:dyDescent="0.15">
      <c r="B509" s="2"/>
      <c r="C509" s="4"/>
      <c r="D509" s="4"/>
      <c r="E509" s="4"/>
      <c r="I509" s="135"/>
      <c r="J509" s="135"/>
      <c r="K509" s="135"/>
      <c r="L509" s="135"/>
    </row>
    <row r="510" spans="2:12" ht="12" customHeight="1" x14ac:dyDescent="0.15">
      <c r="B510" s="2"/>
      <c r="C510" s="4"/>
      <c r="D510" s="4"/>
      <c r="E510" s="4"/>
      <c r="I510" s="135"/>
      <c r="J510" s="135"/>
      <c r="K510" s="135"/>
      <c r="L510" s="135"/>
    </row>
    <row r="511" spans="2:12" ht="12" customHeight="1" x14ac:dyDescent="0.15">
      <c r="B511" s="2"/>
      <c r="C511" s="4"/>
      <c r="D511" s="4"/>
      <c r="E511" s="4"/>
      <c r="I511" s="135"/>
      <c r="J511" s="135"/>
      <c r="K511" s="135"/>
      <c r="L511" s="135"/>
    </row>
    <row r="512" spans="2:12" ht="12" customHeight="1" x14ac:dyDescent="0.15">
      <c r="B512" s="2"/>
      <c r="C512" s="4"/>
      <c r="D512" s="4"/>
      <c r="E512" s="4"/>
      <c r="I512" s="135"/>
      <c r="J512" s="135"/>
      <c r="K512" s="135"/>
      <c r="L512" s="135"/>
    </row>
    <row r="513" spans="2:12" ht="12" customHeight="1" x14ac:dyDescent="0.15">
      <c r="B513" s="2"/>
      <c r="C513" s="4"/>
      <c r="D513" s="4"/>
      <c r="E513" s="4"/>
      <c r="I513" s="135"/>
      <c r="J513" s="135"/>
      <c r="K513" s="135"/>
      <c r="L513" s="135"/>
    </row>
    <row r="514" spans="2:12" ht="12" customHeight="1" x14ac:dyDescent="0.15">
      <c r="B514" s="2"/>
      <c r="C514" s="4"/>
      <c r="D514" s="4"/>
      <c r="E514" s="4"/>
      <c r="I514" s="135"/>
      <c r="J514" s="135"/>
      <c r="K514" s="135"/>
      <c r="L514" s="135"/>
    </row>
    <row r="515" spans="2:12" ht="12" customHeight="1" x14ac:dyDescent="0.15">
      <c r="B515" s="2"/>
      <c r="C515" s="4"/>
      <c r="D515" s="4"/>
      <c r="E515" s="4"/>
      <c r="I515" s="135"/>
      <c r="J515" s="135"/>
      <c r="K515" s="135"/>
      <c r="L515" s="135"/>
    </row>
    <row r="516" spans="2:12" ht="12" customHeight="1" x14ac:dyDescent="0.15">
      <c r="B516" s="2"/>
      <c r="C516" s="4"/>
      <c r="D516" s="4"/>
      <c r="E516" s="4"/>
      <c r="I516" s="135"/>
      <c r="J516" s="135"/>
      <c r="K516" s="135"/>
      <c r="L516" s="135"/>
    </row>
    <row r="517" spans="2:12" ht="12" customHeight="1" x14ac:dyDescent="0.15">
      <c r="B517" s="2"/>
      <c r="C517" s="4"/>
      <c r="D517" s="4"/>
      <c r="E517" s="4"/>
      <c r="I517" s="135"/>
      <c r="J517" s="135"/>
      <c r="K517" s="135"/>
      <c r="L517" s="135"/>
    </row>
    <row r="518" spans="2:12" ht="12" customHeight="1" x14ac:dyDescent="0.15">
      <c r="B518" s="2"/>
      <c r="C518" s="4"/>
      <c r="D518" s="4"/>
      <c r="E518" s="4"/>
      <c r="I518" s="135"/>
      <c r="J518" s="135"/>
      <c r="K518" s="135"/>
      <c r="L518" s="135"/>
    </row>
    <row r="519" spans="2:12" ht="12" customHeight="1" x14ac:dyDescent="0.15">
      <c r="B519" s="2"/>
      <c r="C519" s="4"/>
      <c r="D519" s="4"/>
      <c r="E519" s="4"/>
      <c r="I519" s="135"/>
      <c r="J519" s="135"/>
      <c r="K519" s="135"/>
      <c r="L519" s="135"/>
    </row>
    <row r="520" spans="2:12" ht="12" customHeight="1" x14ac:dyDescent="0.15">
      <c r="B520" s="2"/>
      <c r="C520" s="4"/>
      <c r="D520" s="4"/>
      <c r="E520" s="4"/>
      <c r="I520" s="135"/>
      <c r="J520" s="135"/>
      <c r="K520" s="135"/>
      <c r="L520" s="135"/>
    </row>
    <row r="521" spans="2:12" ht="12" customHeight="1" x14ac:dyDescent="0.15">
      <c r="B521" s="2"/>
      <c r="C521" s="4"/>
      <c r="D521" s="4"/>
      <c r="E521" s="4"/>
      <c r="I521" s="135"/>
      <c r="J521" s="135"/>
      <c r="K521" s="135"/>
      <c r="L521" s="135"/>
    </row>
    <row r="522" spans="2:12" ht="12" customHeight="1" x14ac:dyDescent="0.15">
      <c r="B522" s="2"/>
      <c r="C522" s="4"/>
      <c r="D522" s="4"/>
      <c r="E522" s="4"/>
      <c r="I522" s="135"/>
      <c r="J522" s="135"/>
      <c r="K522" s="135"/>
      <c r="L522" s="135"/>
    </row>
    <row r="523" spans="2:12" ht="12" customHeight="1" x14ac:dyDescent="0.15">
      <c r="B523" s="2"/>
      <c r="C523" s="4"/>
      <c r="D523" s="4"/>
      <c r="E523" s="4"/>
      <c r="I523" s="135"/>
      <c r="J523" s="135"/>
      <c r="K523" s="135"/>
      <c r="L523" s="135"/>
    </row>
    <row r="524" spans="2:12" ht="12" customHeight="1" x14ac:dyDescent="0.15">
      <c r="B524" s="2"/>
      <c r="C524" s="4"/>
      <c r="D524" s="4"/>
      <c r="E524" s="4"/>
      <c r="I524" s="135"/>
      <c r="J524" s="135"/>
      <c r="K524" s="135"/>
      <c r="L524" s="135"/>
    </row>
    <row r="525" spans="2:12" ht="12" customHeight="1" x14ac:dyDescent="0.15">
      <c r="B525" s="2"/>
      <c r="C525" s="4"/>
      <c r="D525" s="4"/>
      <c r="E525" s="4"/>
      <c r="I525" s="135"/>
      <c r="J525" s="135"/>
      <c r="K525" s="135"/>
      <c r="L525" s="135"/>
    </row>
    <row r="526" spans="2:12" ht="12" customHeight="1" x14ac:dyDescent="0.15">
      <c r="B526" s="2"/>
      <c r="C526" s="4"/>
      <c r="D526" s="4"/>
      <c r="E526" s="4"/>
      <c r="I526" s="135"/>
      <c r="J526" s="135"/>
      <c r="K526" s="135"/>
      <c r="L526" s="135"/>
    </row>
    <row r="527" spans="2:12" ht="12" customHeight="1" x14ac:dyDescent="0.15">
      <c r="B527" s="2"/>
      <c r="C527" s="4"/>
      <c r="D527" s="4"/>
      <c r="E527" s="4"/>
      <c r="I527" s="135"/>
      <c r="J527" s="135"/>
      <c r="K527" s="135"/>
      <c r="L527" s="135"/>
    </row>
    <row r="528" spans="2:12" ht="12" customHeight="1" x14ac:dyDescent="0.15">
      <c r="B528" s="2"/>
      <c r="C528" s="4"/>
      <c r="D528" s="4"/>
      <c r="E528" s="4"/>
      <c r="I528" s="135"/>
      <c r="J528" s="135"/>
      <c r="K528" s="135"/>
      <c r="L528" s="135"/>
    </row>
    <row r="529" spans="2:12" ht="12" customHeight="1" x14ac:dyDescent="0.15">
      <c r="B529" s="2"/>
      <c r="C529" s="4"/>
      <c r="D529" s="4"/>
      <c r="E529" s="4"/>
      <c r="I529" s="135"/>
      <c r="J529" s="135"/>
      <c r="K529" s="135"/>
      <c r="L529" s="135"/>
    </row>
    <row r="530" spans="2:12" ht="12" customHeight="1" x14ac:dyDescent="0.15">
      <c r="B530" s="2"/>
      <c r="C530" s="4"/>
      <c r="D530" s="4"/>
      <c r="E530" s="4"/>
      <c r="I530" s="135"/>
      <c r="J530" s="135"/>
      <c r="K530" s="135"/>
      <c r="L530" s="135"/>
    </row>
    <row r="531" spans="2:12" ht="12" customHeight="1" x14ac:dyDescent="0.15">
      <c r="B531" s="2"/>
      <c r="C531" s="4"/>
      <c r="D531" s="4"/>
      <c r="E531" s="4"/>
      <c r="I531" s="135"/>
      <c r="J531" s="135"/>
      <c r="K531" s="135"/>
      <c r="L531" s="135"/>
    </row>
    <row r="532" spans="2:12" ht="12" customHeight="1" x14ac:dyDescent="0.15">
      <c r="B532" s="2"/>
      <c r="C532" s="4"/>
      <c r="D532" s="4"/>
      <c r="E532" s="4"/>
      <c r="I532" s="135"/>
      <c r="J532" s="135"/>
      <c r="K532" s="135"/>
      <c r="L532" s="135"/>
    </row>
    <row r="533" spans="2:12" ht="12" customHeight="1" x14ac:dyDescent="0.15">
      <c r="B533" s="2"/>
      <c r="C533" s="4"/>
      <c r="D533" s="4"/>
      <c r="E533" s="4"/>
      <c r="I533" s="135"/>
      <c r="J533" s="135"/>
      <c r="K533" s="135"/>
      <c r="L533" s="135"/>
    </row>
    <row r="534" spans="2:12" ht="12" customHeight="1" x14ac:dyDescent="0.15">
      <c r="B534" s="2"/>
      <c r="C534" s="4"/>
      <c r="D534" s="4"/>
      <c r="E534" s="4"/>
      <c r="I534" s="135"/>
      <c r="J534" s="135"/>
      <c r="K534" s="135"/>
      <c r="L534" s="135"/>
    </row>
    <row r="535" spans="2:12" ht="12" customHeight="1" x14ac:dyDescent="0.15">
      <c r="B535" s="2"/>
      <c r="C535" s="4"/>
      <c r="D535" s="4"/>
      <c r="E535" s="4"/>
      <c r="I535" s="135"/>
      <c r="J535" s="135"/>
      <c r="K535" s="135"/>
      <c r="L535" s="135"/>
    </row>
    <row r="536" spans="2:12" ht="12" customHeight="1" x14ac:dyDescent="0.15">
      <c r="B536" s="2"/>
      <c r="C536" s="4"/>
      <c r="D536" s="4"/>
      <c r="E536" s="4"/>
      <c r="I536" s="135"/>
      <c r="J536" s="135"/>
      <c r="K536" s="135"/>
      <c r="L536" s="135"/>
    </row>
    <row r="537" spans="2:12" ht="12" customHeight="1" x14ac:dyDescent="0.15">
      <c r="B537" s="2"/>
      <c r="C537" s="4"/>
      <c r="D537" s="4"/>
      <c r="E537" s="4"/>
      <c r="I537" s="135"/>
      <c r="J537" s="135"/>
      <c r="K537" s="135"/>
      <c r="L537" s="135"/>
    </row>
    <row r="538" spans="2:12" ht="12" customHeight="1" x14ac:dyDescent="0.15">
      <c r="B538" s="2"/>
      <c r="C538" s="4"/>
      <c r="D538" s="4"/>
      <c r="E538" s="4"/>
      <c r="I538" s="135"/>
      <c r="J538" s="135"/>
      <c r="K538" s="135"/>
      <c r="L538" s="135"/>
    </row>
    <row r="539" spans="2:12" ht="12" customHeight="1" x14ac:dyDescent="0.15">
      <c r="B539" s="2"/>
      <c r="C539" s="4"/>
      <c r="D539" s="4"/>
      <c r="E539" s="4"/>
      <c r="I539" s="135"/>
      <c r="J539" s="135"/>
      <c r="K539" s="135"/>
      <c r="L539" s="135"/>
    </row>
    <row r="540" spans="2:12" ht="12" customHeight="1" x14ac:dyDescent="0.15">
      <c r="B540" s="2"/>
      <c r="C540" s="4"/>
      <c r="D540" s="4"/>
      <c r="E540" s="4"/>
      <c r="I540" s="135"/>
      <c r="J540" s="135"/>
      <c r="K540" s="135"/>
      <c r="L540" s="135"/>
    </row>
    <row r="541" spans="2:12" ht="12" customHeight="1" x14ac:dyDescent="0.15">
      <c r="B541" s="2"/>
      <c r="C541" s="4"/>
      <c r="D541" s="4"/>
      <c r="E541" s="4"/>
      <c r="I541" s="135"/>
      <c r="J541" s="135"/>
      <c r="K541" s="135"/>
      <c r="L541" s="135"/>
    </row>
    <row r="542" spans="2:12" ht="12" customHeight="1" x14ac:dyDescent="0.15">
      <c r="B542" s="2"/>
      <c r="C542" s="4"/>
      <c r="D542" s="4"/>
      <c r="E542" s="4"/>
      <c r="I542" s="135"/>
      <c r="J542" s="135"/>
      <c r="K542" s="135"/>
      <c r="L542" s="135"/>
    </row>
    <row r="543" spans="2:12" ht="12" customHeight="1" x14ac:dyDescent="0.15">
      <c r="B543" s="2"/>
      <c r="C543" s="4"/>
      <c r="D543" s="4"/>
      <c r="E543" s="4"/>
      <c r="I543" s="135"/>
      <c r="J543" s="135"/>
      <c r="K543" s="135"/>
      <c r="L543" s="135"/>
    </row>
    <row r="544" spans="2:12" ht="12" customHeight="1" x14ac:dyDescent="0.15">
      <c r="B544" s="2"/>
      <c r="C544" s="4"/>
      <c r="D544" s="4"/>
      <c r="E544" s="4"/>
      <c r="I544" s="135"/>
      <c r="J544" s="135"/>
      <c r="K544" s="135"/>
      <c r="L544" s="135"/>
    </row>
    <row r="545" spans="2:12" ht="12" customHeight="1" x14ac:dyDescent="0.15">
      <c r="B545" s="2"/>
      <c r="C545" s="4"/>
      <c r="D545" s="4"/>
      <c r="E545" s="4"/>
      <c r="I545" s="135"/>
      <c r="J545" s="135"/>
      <c r="K545" s="135"/>
      <c r="L545" s="135"/>
    </row>
    <row r="546" spans="2:12" ht="12" customHeight="1" x14ac:dyDescent="0.15">
      <c r="B546" s="2"/>
      <c r="C546" s="4"/>
      <c r="D546" s="4"/>
      <c r="E546" s="4"/>
      <c r="I546" s="135"/>
      <c r="J546" s="135"/>
      <c r="K546" s="135"/>
      <c r="L546" s="135"/>
    </row>
    <row r="547" spans="2:12" ht="12" customHeight="1" x14ac:dyDescent="0.15">
      <c r="B547" s="2"/>
      <c r="C547" s="4"/>
      <c r="D547" s="4"/>
      <c r="E547" s="4"/>
      <c r="I547" s="135"/>
      <c r="J547" s="135"/>
      <c r="K547" s="135"/>
      <c r="L547" s="135"/>
    </row>
    <row r="548" spans="2:12" ht="12" customHeight="1" x14ac:dyDescent="0.15">
      <c r="B548" s="2"/>
      <c r="C548" s="4"/>
      <c r="D548" s="4"/>
      <c r="E548" s="4"/>
      <c r="I548" s="135"/>
      <c r="J548" s="135"/>
      <c r="K548" s="135"/>
      <c r="L548" s="135"/>
    </row>
    <row r="549" spans="2:12" ht="12" customHeight="1" x14ac:dyDescent="0.15">
      <c r="B549" s="2"/>
      <c r="C549" s="4"/>
      <c r="D549" s="4"/>
      <c r="E549" s="4"/>
      <c r="I549" s="135"/>
      <c r="J549" s="135"/>
      <c r="K549" s="135"/>
      <c r="L549" s="135"/>
    </row>
    <row r="550" spans="2:12" ht="12" customHeight="1" x14ac:dyDescent="0.15">
      <c r="B550" s="2"/>
      <c r="C550" s="4"/>
      <c r="D550" s="4"/>
      <c r="E550" s="4"/>
      <c r="I550" s="135"/>
      <c r="J550" s="135"/>
      <c r="K550" s="135"/>
      <c r="L550" s="135"/>
    </row>
    <row r="551" spans="2:12" ht="12" customHeight="1" x14ac:dyDescent="0.15">
      <c r="B551" s="2"/>
      <c r="C551" s="4"/>
      <c r="D551" s="4"/>
      <c r="E551" s="4"/>
      <c r="I551" s="135"/>
      <c r="J551" s="135"/>
      <c r="K551" s="135"/>
      <c r="L551" s="135"/>
    </row>
    <row r="552" spans="2:12" ht="12" customHeight="1" x14ac:dyDescent="0.15">
      <c r="B552" s="2"/>
      <c r="C552" s="4"/>
      <c r="D552" s="4"/>
      <c r="E552" s="4"/>
      <c r="I552" s="135"/>
      <c r="J552" s="135"/>
      <c r="K552" s="135"/>
      <c r="L552" s="135"/>
    </row>
    <row r="553" spans="2:12" ht="12" customHeight="1" x14ac:dyDescent="0.15">
      <c r="B553" s="2"/>
      <c r="C553" s="4"/>
      <c r="D553" s="4"/>
      <c r="E553" s="4"/>
      <c r="I553" s="135"/>
      <c r="J553" s="135"/>
      <c r="K553" s="135"/>
      <c r="L553" s="135"/>
    </row>
    <row r="554" spans="2:12" ht="12" customHeight="1" x14ac:dyDescent="0.15">
      <c r="B554" s="2"/>
      <c r="C554" s="4"/>
      <c r="D554" s="4"/>
      <c r="E554" s="4"/>
      <c r="I554" s="135"/>
      <c r="J554" s="135"/>
      <c r="K554" s="135"/>
      <c r="L554" s="135"/>
    </row>
    <row r="555" spans="2:12" ht="12" customHeight="1" x14ac:dyDescent="0.15">
      <c r="B555" s="2"/>
      <c r="C555" s="4"/>
      <c r="D555" s="4"/>
      <c r="E555" s="4"/>
      <c r="I555" s="135"/>
      <c r="J555" s="135"/>
      <c r="K555" s="135"/>
      <c r="L555" s="135"/>
    </row>
    <row r="556" spans="2:12" ht="12" customHeight="1" x14ac:dyDescent="0.15">
      <c r="B556" s="2"/>
      <c r="C556" s="4"/>
      <c r="D556" s="4"/>
      <c r="E556" s="4"/>
      <c r="I556" s="135"/>
      <c r="J556" s="135"/>
      <c r="K556" s="135"/>
      <c r="L556" s="135"/>
    </row>
    <row r="557" spans="2:12" ht="12" customHeight="1" x14ac:dyDescent="0.15">
      <c r="B557" s="2"/>
      <c r="C557" s="4"/>
      <c r="D557" s="4"/>
      <c r="E557" s="4"/>
      <c r="I557" s="135"/>
      <c r="J557" s="135"/>
      <c r="K557" s="135"/>
      <c r="L557" s="135"/>
    </row>
    <row r="558" spans="2:12" ht="12" customHeight="1" x14ac:dyDescent="0.15">
      <c r="B558" s="2"/>
      <c r="C558" s="4"/>
      <c r="D558" s="4"/>
      <c r="E558" s="4"/>
      <c r="I558" s="135"/>
      <c r="J558" s="135"/>
      <c r="K558" s="135"/>
      <c r="L558" s="135"/>
    </row>
    <row r="559" spans="2:12" ht="12" customHeight="1" x14ac:dyDescent="0.15">
      <c r="B559" s="2"/>
      <c r="C559" s="4"/>
      <c r="D559" s="4"/>
      <c r="E559" s="4"/>
      <c r="I559" s="135"/>
      <c r="J559" s="135"/>
      <c r="K559" s="135"/>
      <c r="L559" s="135"/>
    </row>
    <row r="560" spans="2:12" ht="12" customHeight="1" x14ac:dyDescent="0.15">
      <c r="B560" s="2"/>
      <c r="C560" s="4"/>
      <c r="D560" s="4"/>
      <c r="E560" s="4"/>
      <c r="I560" s="135"/>
      <c r="J560" s="135"/>
      <c r="K560" s="135"/>
      <c r="L560" s="135"/>
    </row>
    <row r="561" spans="2:12" ht="12" customHeight="1" x14ac:dyDescent="0.15">
      <c r="B561" s="2"/>
      <c r="C561" s="4"/>
      <c r="D561" s="4"/>
      <c r="E561" s="4"/>
      <c r="I561" s="135"/>
      <c r="J561" s="135"/>
      <c r="K561" s="135"/>
      <c r="L561" s="135"/>
    </row>
    <row r="562" spans="2:12" ht="12" customHeight="1" x14ac:dyDescent="0.15">
      <c r="B562" s="2"/>
      <c r="C562" s="4"/>
      <c r="D562" s="4"/>
      <c r="E562" s="4"/>
      <c r="I562" s="135"/>
      <c r="J562" s="135"/>
      <c r="K562" s="135"/>
      <c r="L562" s="135"/>
    </row>
    <row r="563" spans="2:12" ht="12" customHeight="1" x14ac:dyDescent="0.15">
      <c r="B563" s="2"/>
      <c r="C563" s="4"/>
      <c r="D563" s="4"/>
      <c r="E563" s="4"/>
      <c r="I563" s="135"/>
      <c r="J563" s="135"/>
      <c r="K563" s="135"/>
      <c r="L563" s="135"/>
    </row>
    <row r="564" spans="2:12" ht="12" customHeight="1" x14ac:dyDescent="0.15">
      <c r="B564" s="2"/>
      <c r="C564" s="4"/>
      <c r="D564" s="4"/>
      <c r="E564" s="4"/>
      <c r="I564" s="135"/>
      <c r="J564" s="135"/>
      <c r="K564" s="135"/>
      <c r="L564" s="135"/>
    </row>
    <row r="565" spans="2:12" ht="12" customHeight="1" x14ac:dyDescent="0.15">
      <c r="B565" s="2"/>
      <c r="C565" s="4"/>
      <c r="D565" s="4"/>
      <c r="E565" s="4"/>
      <c r="I565" s="135"/>
      <c r="J565" s="135"/>
      <c r="K565" s="135"/>
      <c r="L565" s="135"/>
    </row>
    <row r="566" spans="2:12" ht="12" customHeight="1" x14ac:dyDescent="0.15">
      <c r="B566" s="2"/>
      <c r="C566" s="4"/>
      <c r="D566" s="4"/>
      <c r="E566" s="4"/>
      <c r="I566" s="135"/>
      <c r="J566" s="135"/>
      <c r="K566" s="135"/>
      <c r="L566" s="135"/>
    </row>
    <row r="567" spans="2:12" ht="12" customHeight="1" x14ac:dyDescent="0.15">
      <c r="B567" s="2"/>
      <c r="C567" s="4"/>
      <c r="D567" s="4"/>
      <c r="E567" s="4"/>
      <c r="I567" s="135"/>
      <c r="J567" s="135"/>
      <c r="K567" s="135"/>
      <c r="L567" s="135"/>
    </row>
    <row r="568" spans="2:12" ht="12" customHeight="1" x14ac:dyDescent="0.15">
      <c r="B568" s="2"/>
      <c r="C568" s="4"/>
      <c r="D568" s="4"/>
      <c r="E568" s="4"/>
      <c r="I568" s="135"/>
      <c r="J568" s="135"/>
      <c r="K568" s="135"/>
      <c r="L568" s="135"/>
    </row>
    <row r="569" spans="2:12" ht="12" customHeight="1" x14ac:dyDescent="0.15">
      <c r="B569" s="2"/>
      <c r="C569" s="4"/>
      <c r="D569" s="4"/>
      <c r="E569" s="4"/>
      <c r="I569" s="135"/>
      <c r="J569" s="135"/>
      <c r="K569" s="135"/>
      <c r="L569" s="135"/>
    </row>
    <row r="570" spans="2:12" ht="12" customHeight="1" x14ac:dyDescent="0.15">
      <c r="B570" s="2"/>
      <c r="C570" s="4"/>
      <c r="D570" s="4"/>
      <c r="E570" s="4"/>
      <c r="I570" s="135"/>
      <c r="J570" s="135"/>
      <c r="K570" s="135"/>
      <c r="L570" s="135"/>
    </row>
    <row r="571" spans="2:12" ht="12" customHeight="1" x14ac:dyDescent="0.15">
      <c r="B571" s="2"/>
      <c r="C571" s="4"/>
      <c r="D571" s="4"/>
      <c r="E571" s="4"/>
      <c r="I571" s="135"/>
      <c r="J571" s="135"/>
      <c r="K571" s="135"/>
      <c r="L571" s="135"/>
    </row>
    <row r="572" spans="2:12" ht="12" customHeight="1" x14ac:dyDescent="0.15">
      <c r="B572" s="2"/>
      <c r="C572" s="4"/>
      <c r="D572" s="4"/>
      <c r="E572" s="4"/>
      <c r="I572" s="135"/>
      <c r="J572" s="135"/>
      <c r="K572" s="135"/>
      <c r="L572" s="135"/>
    </row>
    <row r="573" spans="2:12" ht="12" customHeight="1" x14ac:dyDescent="0.15">
      <c r="B573" s="2"/>
      <c r="C573" s="4"/>
      <c r="D573" s="4"/>
      <c r="E573" s="4"/>
      <c r="I573" s="135"/>
      <c r="J573" s="135"/>
      <c r="K573" s="135"/>
      <c r="L573" s="135"/>
    </row>
    <row r="574" spans="2:12" ht="12" customHeight="1" x14ac:dyDescent="0.15">
      <c r="B574" s="2"/>
      <c r="C574" s="4"/>
      <c r="D574" s="4"/>
      <c r="E574" s="4"/>
      <c r="I574" s="135"/>
      <c r="J574" s="135"/>
      <c r="K574" s="135"/>
      <c r="L574" s="135"/>
    </row>
    <row r="575" spans="2:12" ht="12" customHeight="1" x14ac:dyDescent="0.15">
      <c r="B575" s="2"/>
      <c r="C575" s="4"/>
      <c r="D575" s="4"/>
      <c r="E575" s="4"/>
      <c r="I575" s="135"/>
      <c r="J575" s="135"/>
      <c r="K575" s="135"/>
      <c r="L575" s="135"/>
    </row>
    <row r="576" spans="2:12" ht="12" customHeight="1" x14ac:dyDescent="0.15">
      <c r="B576" s="2"/>
      <c r="C576" s="4"/>
      <c r="D576" s="4"/>
      <c r="E576" s="4"/>
      <c r="I576" s="135"/>
      <c r="J576" s="135"/>
      <c r="K576" s="135"/>
      <c r="L576" s="135"/>
    </row>
    <row r="577" spans="2:12" ht="12" customHeight="1" x14ac:dyDescent="0.15">
      <c r="B577" s="2"/>
      <c r="C577" s="4"/>
      <c r="D577" s="4"/>
      <c r="E577" s="4"/>
      <c r="I577" s="135"/>
      <c r="J577" s="135"/>
      <c r="K577" s="135"/>
      <c r="L577" s="135"/>
    </row>
    <row r="578" spans="2:12" ht="12" customHeight="1" x14ac:dyDescent="0.15">
      <c r="B578" s="2"/>
      <c r="C578" s="4"/>
      <c r="D578" s="4"/>
      <c r="E578" s="4"/>
      <c r="I578" s="135"/>
      <c r="J578" s="135"/>
      <c r="K578" s="135"/>
      <c r="L578" s="135"/>
    </row>
    <row r="579" spans="2:12" ht="12" customHeight="1" x14ac:dyDescent="0.15">
      <c r="B579" s="2"/>
      <c r="C579" s="4"/>
      <c r="D579" s="4"/>
      <c r="E579" s="4"/>
      <c r="I579" s="135"/>
      <c r="J579" s="135"/>
      <c r="K579" s="135"/>
      <c r="L579" s="135"/>
    </row>
    <row r="580" spans="2:12" ht="12" customHeight="1" x14ac:dyDescent="0.15">
      <c r="B580" s="2"/>
      <c r="C580" s="4"/>
      <c r="D580" s="4"/>
      <c r="E580" s="4"/>
      <c r="I580" s="135"/>
      <c r="J580" s="135"/>
      <c r="K580" s="135"/>
      <c r="L580" s="135"/>
    </row>
    <row r="581" spans="2:12" ht="12" customHeight="1" x14ac:dyDescent="0.15">
      <c r="B581" s="2"/>
      <c r="C581" s="4"/>
      <c r="D581" s="4"/>
      <c r="E581" s="4"/>
      <c r="I581" s="135"/>
      <c r="J581" s="135"/>
      <c r="K581" s="135"/>
      <c r="L581" s="135"/>
    </row>
    <row r="582" spans="2:12" ht="12" customHeight="1" x14ac:dyDescent="0.15">
      <c r="B582" s="2"/>
      <c r="C582" s="4"/>
      <c r="D582" s="4"/>
      <c r="E582" s="4"/>
      <c r="I582" s="135"/>
      <c r="J582" s="135"/>
      <c r="K582" s="135"/>
      <c r="L582" s="135"/>
    </row>
    <row r="583" spans="2:12" ht="12" customHeight="1" x14ac:dyDescent="0.15">
      <c r="B583" s="2"/>
      <c r="C583" s="4"/>
      <c r="D583" s="4"/>
      <c r="E583" s="4"/>
      <c r="I583" s="135"/>
      <c r="J583" s="135"/>
      <c r="K583" s="135"/>
      <c r="L583" s="135"/>
    </row>
    <row r="584" spans="2:12" ht="12" customHeight="1" x14ac:dyDescent="0.15">
      <c r="B584" s="2"/>
      <c r="C584" s="4"/>
      <c r="D584" s="4"/>
      <c r="E584" s="4"/>
      <c r="I584" s="135"/>
      <c r="J584" s="135"/>
      <c r="K584" s="135"/>
      <c r="L584" s="135"/>
    </row>
    <row r="585" spans="2:12" ht="12" customHeight="1" x14ac:dyDescent="0.15">
      <c r="B585" s="2"/>
      <c r="C585" s="4"/>
      <c r="D585" s="4"/>
      <c r="E585" s="4"/>
      <c r="I585" s="135"/>
      <c r="J585" s="135"/>
      <c r="K585" s="135"/>
      <c r="L585" s="135"/>
    </row>
    <row r="586" spans="2:12" ht="12" customHeight="1" x14ac:dyDescent="0.15">
      <c r="B586" s="2"/>
      <c r="C586" s="4"/>
      <c r="D586" s="4"/>
      <c r="E586" s="4"/>
      <c r="I586" s="135"/>
      <c r="J586" s="135"/>
      <c r="K586" s="135"/>
      <c r="L586" s="135"/>
    </row>
    <row r="587" spans="2:12" ht="12" customHeight="1" x14ac:dyDescent="0.15">
      <c r="B587" s="2"/>
      <c r="C587" s="4"/>
      <c r="D587" s="4"/>
      <c r="E587" s="4"/>
      <c r="I587" s="135"/>
      <c r="J587" s="135"/>
      <c r="K587" s="135"/>
      <c r="L587" s="135"/>
    </row>
    <row r="588" spans="2:12" ht="12" customHeight="1" x14ac:dyDescent="0.15">
      <c r="B588" s="2"/>
      <c r="C588" s="4"/>
      <c r="D588" s="4"/>
      <c r="E588" s="4"/>
      <c r="I588" s="135"/>
      <c r="J588" s="135"/>
      <c r="K588" s="135"/>
      <c r="L588" s="135"/>
    </row>
    <row r="589" spans="2:12" ht="12" customHeight="1" x14ac:dyDescent="0.15">
      <c r="B589" s="2"/>
      <c r="C589" s="4"/>
      <c r="D589" s="4"/>
      <c r="E589" s="4"/>
      <c r="I589" s="135"/>
      <c r="J589" s="135"/>
      <c r="K589" s="135"/>
      <c r="L589" s="135"/>
    </row>
    <row r="590" spans="2:12" ht="12" customHeight="1" x14ac:dyDescent="0.15">
      <c r="B590" s="2"/>
      <c r="C590" s="4"/>
      <c r="D590" s="4"/>
      <c r="E590" s="4"/>
      <c r="I590" s="135"/>
      <c r="J590" s="135"/>
      <c r="K590" s="135"/>
      <c r="L590" s="135"/>
    </row>
    <row r="591" spans="2:12" ht="12" customHeight="1" x14ac:dyDescent="0.15">
      <c r="B591" s="2"/>
      <c r="C591" s="4"/>
      <c r="D591" s="4"/>
      <c r="E591" s="4"/>
      <c r="I591" s="135"/>
      <c r="J591" s="135"/>
      <c r="K591" s="135"/>
      <c r="L591" s="135"/>
    </row>
    <row r="592" spans="2:12" ht="12" customHeight="1" x14ac:dyDescent="0.15">
      <c r="B592" s="2"/>
      <c r="C592" s="4"/>
      <c r="D592" s="4"/>
      <c r="E592" s="4"/>
      <c r="I592" s="135"/>
      <c r="J592" s="135"/>
      <c r="K592" s="135"/>
      <c r="L592" s="135"/>
    </row>
    <row r="593" spans="2:12" ht="12" customHeight="1" x14ac:dyDescent="0.15">
      <c r="B593" s="2"/>
      <c r="C593" s="4"/>
      <c r="D593" s="4"/>
      <c r="E593" s="4"/>
      <c r="I593" s="135"/>
      <c r="J593" s="135"/>
      <c r="K593" s="135"/>
      <c r="L593" s="135"/>
    </row>
    <row r="594" spans="2:12" ht="12" customHeight="1" x14ac:dyDescent="0.15">
      <c r="B594" s="2"/>
      <c r="C594" s="4"/>
      <c r="D594" s="4"/>
      <c r="E594" s="4"/>
      <c r="I594" s="135"/>
      <c r="J594" s="135"/>
      <c r="K594" s="135"/>
      <c r="L594" s="135"/>
    </row>
    <row r="595" spans="2:12" ht="12" customHeight="1" x14ac:dyDescent="0.15">
      <c r="B595" s="2"/>
      <c r="C595" s="4"/>
      <c r="D595" s="4"/>
      <c r="E595" s="4"/>
      <c r="I595" s="135"/>
      <c r="J595" s="135"/>
      <c r="K595" s="135"/>
      <c r="L595" s="135"/>
    </row>
    <row r="596" spans="2:12" ht="12" customHeight="1" x14ac:dyDescent="0.15">
      <c r="B596" s="2"/>
      <c r="C596" s="4"/>
      <c r="D596" s="4"/>
      <c r="E596" s="4"/>
      <c r="I596" s="135"/>
      <c r="J596" s="135"/>
      <c r="K596" s="135"/>
      <c r="L596" s="135"/>
    </row>
    <row r="597" spans="2:12" ht="12" customHeight="1" x14ac:dyDescent="0.15">
      <c r="B597" s="2"/>
      <c r="C597" s="4"/>
      <c r="D597" s="4"/>
      <c r="E597" s="4"/>
      <c r="I597" s="135"/>
      <c r="J597" s="135"/>
      <c r="K597" s="135"/>
      <c r="L597" s="135"/>
    </row>
    <row r="598" spans="2:12" ht="12" customHeight="1" x14ac:dyDescent="0.15">
      <c r="B598" s="2"/>
      <c r="C598" s="4"/>
      <c r="D598" s="4"/>
      <c r="E598" s="4"/>
      <c r="I598" s="135"/>
      <c r="J598" s="135"/>
      <c r="K598" s="135"/>
      <c r="L598" s="135"/>
    </row>
    <row r="599" spans="2:12" ht="12" customHeight="1" x14ac:dyDescent="0.15">
      <c r="B599" s="2"/>
      <c r="C599" s="4"/>
      <c r="D599" s="4"/>
      <c r="E599" s="4"/>
      <c r="I599" s="135"/>
      <c r="J599" s="135"/>
      <c r="K599" s="135"/>
      <c r="L599" s="135"/>
    </row>
    <row r="600" spans="2:12" ht="12" customHeight="1" x14ac:dyDescent="0.15">
      <c r="B600" s="2"/>
      <c r="C600" s="4"/>
      <c r="D600" s="4"/>
      <c r="E600" s="4"/>
      <c r="I600" s="135"/>
      <c r="J600" s="135"/>
      <c r="K600" s="135"/>
      <c r="L600" s="135"/>
    </row>
    <row r="601" spans="2:12" ht="12" customHeight="1" x14ac:dyDescent="0.15">
      <c r="B601" s="2"/>
      <c r="C601" s="4"/>
      <c r="D601" s="4"/>
      <c r="E601" s="4"/>
      <c r="I601" s="135"/>
      <c r="J601" s="135"/>
      <c r="K601" s="135"/>
      <c r="L601" s="135"/>
    </row>
    <row r="602" spans="2:12" ht="12" customHeight="1" x14ac:dyDescent="0.15">
      <c r="B602" s="2"/>
      <c r="C602" s="4"/>
      <c r="D602" s="4"/>
      <c r="E602" s="4"/>
      <c r="I602" s="135"/>
      <c r="J602" s="135"/>
      <c r="K602" s="135"/>
      <c r="L602" s="135"/>
    </row>
    <row r="603" spans="2:12" ht="12" customHeight="1" x14ac:dyDescent="0.15">
      <c r="B603" s="2"/>
      <c r="C603" s="4"/>
      <c r="D603" s="4"/>
      <c r="E603" s="4"/>
      <c r="I603" s="135"/>
      <c r="J603" s="135"/>
      <c r="K603" s="135"/>
      <c r="L603" s="135"/>
    </row>
    <row r="604" spans="2:12" ht="12" customHeight="1" x14ac:dyDescent="0.15">
      <c r="B604" s="2"/>
      <c r="C604" s="4"/>
      <c r="D604" s="4"/>
      <c r="E604" s="4"/>
      <c r="I604" s="135"/>
      <c r="J604" s="135"/>
      <c r="K604" s="135"/>
      <c r="L604" s="135"/>
    </row>
    <row r="605" spans="2:12" ht="12" customHeight="1" x14ac:dyDescent="0.15">
      <c r="B605" s="2"/>
      <c r="C605" s="4"/>
      <c r="D605" s="4"/>
      <c r="E605" s="4"/>
      <c r="I605" s="135"/>
      <c r="J605" s="135"/>
      <c r="K605" s="135"/>
      <c r="L605" s="135"/>
    </row>
    <row r="606" spans="2:12" ht="12" customHeight="1" x14ac:dyDescent="0.15">
      <c r="B606" s="2"/>
      <c r="C606" s="4"/>
      <c r="D606" s="4"/>
      <c r="E606" s="4"/>
      <c r="I606" s="135"/>
      <c r="J606" s="135"/>
      <c r="K606" s="135"/>
      <c r="L606" s="135"/>
    </row>
    <row r="607" spans="2:12" ht="12" customHeight="1" x14ac:dyDescent="0.15">
      <c r="B607" s="2"/>
      <c r="C607" s="4"/>
      <c r="D607" s="4"/>
      <c r="E607" s="4"/>
      <c r="I607" s="135"/>
      <c r="J607" s="135"/>
      <c r="K607" s="135"/>
      <c r="L607" s="135"/>
    </row>
    <row r="608" spans="2:12" ht="12" customHeight="1" x14ac:dyDescent="0.15">
      <c r="B608" s="2"/>
      <c r="C608" s="4"/>
      <c r="D608" s="4"/>
      <c r="E608" s="4"/>
      <c r="I608" s="135"/>
      <c r="J608" s="135"/>
      <c r="K608" s="135"/>
      <c r="L608" s="135"/>
    </row>
    <row r="609" spans="2:12" ht="12" customHeight="1" x14ac:dyDescent="0.15">
      <c r="B609" s="2"/>
      <c r="C609" s="4"/>
      <c r="D609" s="4"/>
      <c r="E609" s="4"/>
      <c r="I609" s="135"/>
      <c r="J609" s="135"/>
      <c r="K609" s="135"/>
      <c r="L609" s="135"/>
    </row>
    <row r="610" spans="2:12" ht="12" customHeight="1" x14ac:dyDescent="0.15">
      <c r="B610" s="2"/>
      <c r="C610" s="4"/>
      <c r="D610" s="4"/>
      <c r="E610" s="4"/>
      <c r="I610" s="135"/>
      <c r="J610" s="135"/>
      <c r="K610" s="135"/>
      <c r="L610" s="135"/>
    </row>
    <row r="611" spans="2:12" ht="12" customHeight="1" x14ac:dyDescent="0.15">
      <c r="B611" s="2"/>
      <c r="C611" s="4"/>
      <c r="D611" s="4"/>
      <c r="E611" s="4"/>
      <c r="I611" s="135"/>
      <c r="J611" s="135"/>
      <c r="K611" s="135"/>
      <c r="L611" s="135"/>
    </row>
    <row r="612" spans="2:12" ht="12" customHeight="1" x14ac:dyDescent="0.15">
      <c r="B612" s="2"/>
      <c r="C612" s="4"/>
      <c r="D612" s="4"/>
      <c r="E612" s="4"/>
      <c r="I612" s="135"/>
      <c r="J612" s="135"/>
      <c r="K612" s="135"/>
      <c r="L612" s="135"/>
    </row>
    <row r="613" spans="2:12" ht="12" customHeight="1" x14ac:dyDescent="0.15">
      <c r="B613" s="2"/>
      <c r="C613" s="4"/>
      <c r="D613" s="4"/>
      <c r="E613" s="4"/>
      <c r="I613" s="135"/>
      <c r="J613" s="135"/>
      <c r="K613" s="135"/>
      <c r="L613" s="135"/>
    </row>
    <row r="614" spans="2:12" ht="12" customHeight="1" x14ac:dyDescent="0.15">
      <c r="B614" s="2"/>
      <c r="C614" s="4"/>
      <c r="D614" s="4"/>
      <c r="E614" s="4"/>
      <c r="I614" s="135"/>
      <c r="J614" s="135"/>
      <c r="K614" s="135"/>
      <c r="L614" s="135"/>
    </row>
    <row r="615" spans="2:12" ht="12" customHeight="1" x14ac:dyDescent="0.15">
      <c r="B615" s="2"/>
      <c r="C615" s="4"/>
      <c r="D615" s="4"/>
      <c r="E615" s="4"/>
      <c r="I615" s="135"/>
      <c r="J615" s="135"/>
      <c r="K615" s="135"/>
      <c r="L615" s="135"/>
    </row>
    <row r="616" spans="2:12" ht="12" customHeight="1" x14ac:dyDescent="0.15">
      <c r="B616" s="2"/>
      <c r="C616" s="4"/>
      <c r="D616" s="4"/>
      <c r="E616" s="4"/>
      <c r="I616" s="135"/>
      <c r="J616" s="135"/>
      <c r="K616" s="135"/>
      <c r="L616" s="135"/>
    </row>
    <row r="617" spans="2:12" ht="12" customHeight="1" x14ac:dyDescent="0.15">
      <c r="B617" s="2"/>
      <c r="C617" s="4"/>
      <c r="D617" s="4"/>
      <c r="E617" s="4"/>
      <c r="I617" s="135"/>
      <c r="J617" s="135"/>
      <c r="K617" s="135"/>
      <c r="L617" s="135"/>
    </row>
    <row r="618" spans="2:12" ht="12" customHeight="1" x14ac:dyDescent="0.15">
      <c r="B618" s="2"/>
      <c r="C618" s="4"/>
      <c r="D618" s="4"/>
      <c r="E618" s="4"/>
      <c r="I618" s="135"/>
      <c r="J618" s="135"/>
      <c r="K618" s="135"/>
      <c r="L618" s="135"/>
    </row>
    <row r="619" spans="2:12" ht="12" customHeight="1" x14ac:dyDescent="0.15">
      <c r="B619" s="2"/>
      <c r="C619" s="4"/>
      <c r="D619" s="4"/>
      <c r="E619" s="4"/>
      <c r="I619" s="135"/>
      <c r="J619" s="135"/>
      <c r="K619" s="135"/>
      <c r="L619" s="135"/>
    </row>
    <row r="620" spans="2:12" ht="12" customHeight="1" x14ac:dyDescent="0.15">
      <c r="B620" s="2"/>
      <c r="C620" s="4"/>
      <c r="D620" s="4"/>
      <c r="E620" s="4"/>
      <c r="I620" s="135"/>
      <c r="J620" s="135"/>
      <c r="K620" s="135"/>
      <c r="L620" s="135"/>
    </row>
    <row r="621" spans="2:12" ht="12" customHeight="1" x14ac:dyDescent="0.15">
      <c r="B621" s="2"/>
      <c r="C621" s="4"/>
      <c r="D621" s="4"/>
      <c r="E621" s="4"/>
      <c r="I621" s="135"/>
      <c r="J621" s="135"/>
      <c r="K621" s="135"/>
      <c r="L621" s="135"/>
    </row>
    <row r="622" spans="2:12" ht="12" customHeight="1" x14ac:dyDescent="0.15">
      <c r="B622" s="2"/>
      <c r="C622" s="4"/>
      <c r="D622" s="4"/>
      <c r="E622" s="4"/>
      <c r="I622" s="135"/>
      <c r="J622" s="135"/>
      <c r="K622" s="135"/>
      <c r="L622" s="135"/>
    </row>
    <row r="623" spans="2:12" ht="12" customHeight="1" x14ac:dyDescent="0.15">
      <c r="B623" s="2"/>
      <c r="C623" s="4"/>
      <c r="D623" s="4"/>
      <c r="E623" s="4"/>
      <c r="I623" s="135"/>
      <c r="J623" s="135"/>
      <c r="K623" s="135"/>
      <c r="L623" s="135"/>
    </row>
    <row r="624" spans="2:12" ht="12" customHeight="1" x14ac:dyDescent="0.15">
      <c r="B624" s="2"/>
      <c r="C624" s="4"/>
      <c r="D624" s="4"/>
      <c r="E624" s="4"/>
      <c r="I624" s="135"/>
      <c r="J624" s="135"/>
      <c r="K624" s="135"/>
      <c r="L624" s="135"/>
    </row>
    <row r="625" spans="2:12" ht="12" customHeight="1" x14ac:dyDescent="0.15">
      <c r="B625" s="2"/>
      <c r="C625" s="4"/>
      <c r="D625" s="4"/>
      <c r="E625" s="4"/>
      <c r="I625" s="135"/>
      <c r="J625" s="135"/>
      <c r="K625" s="135"/>
      <c r="L625" s="135"/>
    </row>
    <row r="626" spans="2:12" ht="12" customHeight="1" x14ac:dyDescent="0.15">
      <c r="B626" s="2"/>
      <c r="C626" s="4"/>
      <c r="D626" s="4"/>
      <c r="E626" s="4"/>
      <c r="I626" s="135"/>
      <c r="J626" s="135"/>
      <c r="K626" s="135"/>
      <c r="L626" s="135"/>
    </row>
    <row r="627" spans="2:12" ht="12" customHeight="1" x14ac:dyDescent="0.15">
      <c r="B627" s="2"/>
      <c r="C627" s="4"/>
      <c r="D627" s="4"/>
      <c r="E627" s="4"/>
      <c r="I627" s="135"/>
      <c r="J627" s="135"/>
      <c r="K627" s="135"/>
      <c r="L627" s="135"/>
    </row>
    <row r="628" spans="2:12" ht="12" customHeight="1" x14ac:dyDescent="0.15">
      <c r="B628" s="2"/>
      <c r="C628" s="4"/>
      <c r="D628" s="4"/>
      <c r="E628" s="4"/>
      <c r="I628" s="135"/>
      <c r="J628" s="135"/>
      <c r="K628" s="135"/>
      <c r="L628" s="135"/>
    </row>
    <row r="629" spans="2:12" ht="12" customHeight="1" x14ac:dyDescent="0.15">
      <c r="B629" s="2"/>
      <c r="C629" s="4"/>
      <c r="D629" s="4"/>
      <c r="E629" s="4"/>
      <c r="I629" s="135"/>
      <c r="J629" s="135"/>
      <c r="K629" s="135"/>
      <c r="L629" s="135"/>
    </row>
    <row r="630" spans="2:12" ht="12" customHeight="1" x14ac:dyDescent="0.15">
      <c r="B630" s="2"/>
      <c r="C630" s="4"/>
      <c r="D630" s="4"/>
      <c r="E630" s="4"/>
      <c r="I630" s="135"/>
      <c r="J630" s="135"/>
      <c r="K630" s="135"/>
      <c r="L630" s="135"/>
    </row>
    <row r="631" spans="2:12" ht="12" customHeight="1" x14ac:dyDescent="0.15">
      <c r="B631" s="2"/>
      <c r="C631" s="4"/>
      <c r="D631" s="4"/>
      <c r="E631" s="4"/>
      <c r="I631" s="135"/>
      <c r="J631" s="135"/>
      <c r="K631" s="135"/>
      <c r="L631" s="135"/>
    </row>
    <row r="632" spans="2:12" ht="12" customHeight="1" x14ac:dyDescent="0.15">
      <c r="B632" s="2"/>
      <c r="C632" s="4"/>
      <c r="D632" s="4"/>
      <c r="E632" s="4"/>
      <c r="I632" s="135"/>
      <c r="J632" s="135"/>
      <c r="K632" s="135"/>
      <c r="L632" s="135"/>
    </row>
    <row r="633" spans="2:12" ht="12" customHeight="1" x14ac:dyDescent="0.15">
      <c r="B633" s="2"/>
      <c r="C633" s="4"/>
      <c r="D633" s="4"/>
      <c r="E633" s="4"/>
      <c r="I633" s="135"/>
      <c r="J633" s="135"/>
      <c r="K633" s="135"/>
      <c r="L633" s="135"/>
    </row>
    <row r="634" spans="2:12" ht="12" customHeight="1" x14ac:dyDescent="0.15">
      <c r="B634" s="2"/>
      <c r="C634" s="4"/>
      <c r="D634" s="4"/>
      <c r="E634" s="4"/>
      <c r="I634" s="135"/>
      <c r="J634" s="135"/>
      <c r="K634" s="135"/>
      <c r="L634" s="135"/>
    </row>
    <row r="635" spans="2:12" ht="12" customHeight="1" x14ac:dyDescent="0.15">
      <c r="B635" s="2"/>
      <c r="C635" s="4"/>
      <c r="D635" s="4"/>
      <c r="E635" s="4"/>
      <c r="I635" s="135"/>
      <c r="J635" s="135"/>
      <c r="K635" s="135"/>
      <c r="L635" s="135"/>
    </row>
    <row r="636" spans="2:12" ht="12" customHeight="1" x14ac:dyDescent="0.15">
      <c r="B636" s="2"/>
      <c r="C636" s="4"/>
      <c r="D636" s="4"/>
      <c r="E636" s="4"/>
      <c r="I636" s="135"/>
      <c r="J636" s="135"/>
      <c r="K636" s="135"/>
      <c r="L636" s="135"/>
    </row>
    <row r="637" spans="2:12" ht="12" customHeight="1" x14ac:dyDescent="0.15">
      <c r="B637" s="2"/>
      <c r="C637" s="4"/>
      <c r="D637" s="4"/>
      <c r="E637" s="4"/>
      <c r="I637" s="135"/>
      <c r="J637" s="135"/>
      <c r="K637" s="135"/>
      <c r="L637" s="135"/>
    </row>
    <row r="638" spans="2:12" ht="12" customHeight="1" x14ac:dyDescent="0.15">
      <c r="B638" s="2"/>
      <c r="C638" s="4"/>
      <c r="D638" s="4"/>
      <c r="E638" s="4"/>
      <c r="I638" s="135"/>
      <c r="J638" s="135"/>
      <c r="K638" s="135"/>
      <c r="L638" s="135"/>
    </row>
    <row r="639" spans="2:12" ht="12" customHeight="1" x14ac:dyDescent="0.15">
      <c r="B639" s="2"/>
      <c r="C639" s="4"/>
      <c r="D639" s="4"/>
      <c r="E639" s="4"/>
      <c r="I639" s="135"/>
      <c r="J639" s="135"/>
      <c r="K639" s="135"/>
      <c r="L639" s="135"/>
    </row>
    <row r="640" spans="2:12" ht="12" customHeight="1" x14ac:dyDescent="0.15">
      <c r="B640" s="2"/>
      <c r="C640" s="4"/>
      <c r="D640" s="4"/>
      <c r="E640" s="4"/>
      <c r="I640" s="135"/>
      <c r="J640" s="135"/>
      <c r="K640" s="135"/>
      <c r="L640" s="135"/>
    </row>
    <row r="641" spans="2:12" ht="12" customHeight="1" x14ac:dyDescent="0.15">
      <c r="B641" s="2"/>
      <c r="C641" s="4"/>
      <c r="D641" s="4"/>
      <c r="E641" s="4"/>
      <c r="I641" s="135"/>
      <c r="J641" s="135"/>
      <c r="K641" s="135"/>
      <c r="L641" s="135"/>
    </row>
    <row r="642" spans="2:12" ht="12" customHeight="1" x14ac:dyDescent="0.15">
      <c r="B642" s="2"/>
      <c r="C642" s="4"/>
      <c r="D642" s="4"/>
      <c r="E642" s="4"/>
      <c r="I642" s="135"/>
      <c r="J642" s="135"/>
      <c r="K642" s="135"/>
      <c r="L642" s="135"/>
    </row>
    <row r="643" spans="2:12" ht="12" customHeight="1" x14ac:dyDescent="0.15">
      <c r="B643" s="2"/>
      <c r="C643" s="4"/>
      <c r="D643" s="4"/>
      <c r="E643" s="4"/>
      <c r="I643" s="135"/>
      <c r="J643" s="135"/>
      <c r="K643" s="135"/>
      <c r="L643" s="135"/>
    </row>
    <row r="644" spans="2:12" ht="12" customHeight="1" x14ac:dyDescent="0.15">
      <c r="B644" s="2"/>
      <c r="C644" s="4"/>
      <c r="D644" s="4"/>
      <c r="E644" s="4"/>
      <c r="I644" s="135"/>
      <c r="J644" s="135"/>
      <c r="K644" s="135"/>
      <c r="L644" s="135"/>
    </row>
    <row r="645" spans="2:12" ht="12" customHeight="1" x14ac:dyDescent="0.15">
      <c r="B645" s="2"/>
      <c r="C645" s="4"/>
      <c r="D645" s="4"/>
      <c r="E645" s="4"/>
      <c r="I645" s="135"/>
      <c r="J645" s="135"/>
      <c r="K645" s="135"/>
      <c r="L645" s="135"/>
    </row>
    <row r="646" spans="2:12" ht="12" customHeight="1" x14ac:dyDescent="0.15">
      <c r="B646" s="2"/>
      <c r="C646" s="4"/>
      <c r="D646" s="4"/>
      <c r="E646" s="4"/>
      <c r="I646" s="135"/>
      <c r="J646" s="135"/>
      <c r="K646" s="135"/>
      <c r="L646" s="135"/>
    </row>
    <row r="647" spans="2:12" ht="12" customHeight="1" x14ac:dyDescent="0.15">
      <c r="B647" s="2"/>
      <c r="C647" s="4"/>
      <c r="D647" s="4"/>
      <c r="E647" s="4"/>
      <c r="I647" s="135"/>
      <c r="J647" s="135"/>
      <c r="K647" s="135"/>
      <c r="L647" s="135"/>
    </row>
    <row r="648" spans="2:12" ht="12" customHeight="1" x14ac:dyDescent="0.15">
      <c r="B648" s="2"/>
      <c r="C648" s="4"/>
      <c r="D648" s="4"/>
      <c r="E648" s="4"/>
      <c r="I648" s="135"/>
      <c r="J648" s="135"/>
      <c r="K648" s="135"/>
      <c r="L648" s="135"/>
    </row>
    <row r="649" spans="2:12" ht="12" customHeight="1" x14ac:dyDescent="0.15">
      <c r="B649" s="2"/>
      <c r="C649" s="4"/>
      <c r="D649" s="4"/>
      <c r="E649" s="4"/>
      <c r="I649" s="135"/>
      <c r="J649" s="135"/>
      <c r="K649" s="135"/>
      <c r="L649" s="135"/>
    </row>
    <row r="650" spans="2:12" ht="12" customHeight="1" x14ac:dyDescent="0.15">
      <c r="B650" s="2"/>
      <c r="C650" s="4"/>
      <c r="D650" s="4"/>
      <c r="E650" s="4"/>
      <c r="I650" s="135"/>
      <c r="J650" s="135"/>
      <c r="K650" s="135"/>
      <c r="L650" s="135"/>
    </row>
    <row r="651" spans="2:12" ht="12" customHeight="1" x14ac:dyDescent="0.15">
      <c r="B651" s="2"/>
      <c r="C651" s="4"/>
      <c r="D651" s="4"/>
      <c r="E651" s="4"/>
      <c r="I651" s="135"/>
      <c r="J651" s="135"/>
      <c r="K651" s="135"/>
      <c r="L651" s="135"/>
    </row>
    <row r="652" spans="2:12" ht="12" customHeight="1" x14ac:dyDescent="0.15">
      <c r="B652" s="2"/>
      <c r="C652" s="4"/>
      <c r="D652" s="4"/>
      <c r="E652" s="4"/>
      <c r="I652" s="135"/>
      <c r="J652" s="135"/>
      <c r="K652" s="135"/>
      <c r="L652" s="135"/>
    </row>
    <row r="653" spans="2:12" ht="12" customHeight="1" x14ac:dyDescent="0.15">
      <c r="B653" s="2"/>
      <c r="C653" s="4"/>
      <c r="D653" s="4"/>
      <c r="E653" s="4"/>
      <c r="I653" s="135"/>
      <c r="J653" s="135"/>
      <c r="K653" s="135"/>
      <c r="L653" s="135"/>
    </row>
    <row r="654" spans="2:12" ht="12" customHeight="1" x14ac:dyDescent="0.15">
      <c r="B654" s="2"/>
      <c r="C654" s="4"/>
      <c r="D654" s="4"/>
      <c r="E654" s="4"/>
      <c r="I654" s="135"/>
      <c r="J654" s="135"/>
      <c r="K654" s="135"/>
      <c r="L654" s="135"/>
    </row>
    <row r="655" spans="2:12" ht="12" customHeight="1" x14ac:dyDescent="0.15">
      <c r="B655" s="2"/>
      <c r="C655" s="4"/>
      <c r="D655" s="4"/>
      <c r="E655" s="4"/>
      <c r="I655" s="135"/>
      <c r="J655" s="135"/>
      <c r="K655" s="135"/>
      <c r="L655" s="135"/>
    </row>
    <row r="656" spans="2:12" ht="12" customHeight="1" x14ac:dyDescent="0.15">
      <c r="B656" s="2"/>
      <c r="C656" s="4"/>
      <c r="D656" s="4"/>
      <c r="E656" s="4"/>
      <c r="I656" s="135"/>
      <c r="J656" s="135"/>
      <c r="K656" s="135"/>
      <c r="L656" s="135"/>
    </row>
    <row r="657" spans="2:12" ht="12" customHeight="1" x14ac:dyDescent="0.15">
      <c r="B657" s="2"/>
      <c r="C657" s="4"/>
      <c r="D657" s="4"/>
      <c r="E657" s="4"/>
      <c r="I657" s="135"/>
      <c r="J657" s="135"/>
      <c r="K657" s="135"/>
      <c r="L657" s="135"/>
    </row>
    <row r="658" spans="2:12" ht="12" customHeight="1" x14ac:dyDescent="0.15">
      <c r="B658" s="2"/>
      <c r="C658" s="4"/>
      <c r="D658" s="4"/>
      <c r="E658" s="4"/>
      <c r="I658" s="135"/>
      <c r="J658" s="135"/>
      <c r="K658" s="135"/>
      <c r="L658" s="135"/>
    </row>
    <row r="659" spans="2:12" ht="12" customHeight="1" x14ac:dyDescent="0.15">
      <c r="B659" s="2"/>
      <c r="C659" s="4"/>
      <c r="D659" s="4"/>
      <c r="E659" s="4"/>
      <c r="I659" s="135"/>
      <c r="J659" s="135"/>
      <c r="K659" s="135"/>
      <c r="L659" s="135"/>
    </row>
    <row r="660" spans="2:12" ht="12" customHeight="1" x14ac:dyDescent="0.15">
      <c r="B660" s="2"/>
      <c r="C660" s="4"/>
      <c r="D660" s="4"/>
      <c r="E660" s="4"/>
      <c r="I660" s="135"/>
      <c r="J660" s="135"/>
      <c r="K660" s="135"/>
      <c r="L660" s="135"/>
    </row>
    <row r="661" spans="2:12" ht="12" customHeight="1" x14ac:dyDescent="0.15">
      <c r="B661" s="2"/>
      <c r="C661" s="4"/>
      <c r="D661" s="4"/>
      <c r="E661" s="4"/>
      <c r="I661" s="135"/>
      <c r="J661" s="135"/>
      <c r="K661" s="135"/>
      <c r="L661" s="135"/>
    </row>
    <row r="662" spans="2:12" ht="12" customHeight="1" x14ac:dyDescent="0.15">
      <c r="B662" s="2"/>
      <c r="C662" s="4"/>
      <c r="D662" s="4"/>
      <c r="E662" s="4"/>
      <c r="I662" s="135"/>
      <c r="J662" s="135"/>
      <c r="K662" s="135"/>
      <c r="L662" s="135"/>
    </row>
    <row r="663" spans="2:12" ht="12" customHeight="1" x14ac:dyDescent="0.15">
      <c r="B663" s="2"/>
      <c r="C663" s="4"/>
      <c r="D663" s="4"/>
      <c r="E663" s="4"/>
      <c r="I663" s="135"/>
      <c r="J663" s="135"/>
      <c r="K663" s="135"/>
      <c r="L663" s="135"/>
    </row>
    <row r="664" spans="2:12" ht="12" customHeight="1" x14ac:dyDescent="0.15">
      <c r="B664" s="2"/>
      <c r="C664" s="4"/>
      <c r="D664" s="4"/>
      <c r="E664" s="4"/>
      <c r="I664" s="135"/>
      <c r="J664" s="135"/>
      <c r="K664" s="135"/>
      <c r="L664" s="135"/>
    </row>
    <row r="665" spans="2:12" ht="12" customHeight="1" x14ac:dyDescent="0.15">
      <c r="B665" s="2"/>
      <c r="C665" s="4"/>
      <c r="D665" s="4"/>
      <c r="E665" s="4"/>
      <c r="I665" s="135"/>
      <c r="J665" s="135"/>
      <c r="K665" s="135"/>
      <c r="L665" s="135"/>
    </row>
    <row r="666" spans="2:12" ht="12" customHeight="1" x14ac:dyDescent="0.15">
      <c r="B666" s="2"/>
      <c r="C666" s="4"/>
      <c r="D666" s="4"/>
      <c r="E666" s="4"/>
      <c r="I666" s="135"/>
      <c r="J666" s="135"/>
      <c r="K666" s="135"/>
      <c r="L666" s="135"/>
    </row>
    <row r="667" spans="2:12" ht="12" customHeight="1" x14ac:dyDescent="0.15">
      <c r="B667" s="2"/>
      <c r="C667" s="4"/>
      <c r="D667" s="4"/>
      <c r="E667" s="4"/>
      <c r="I667" s="135"/>
      <c r="J667" s="135"/>
      <c r="K667" s="135"/>
      <c r="L667" s="135"/>
    </row>
    <row r="668" spans="2:12" ht="12" customHeight="1" x14ac:dyDescent="0.15">
      <c r="B668" s="2"/>
      <c r="C668" s="4"/>
      <c r="D668" s="4"/>
      <c r="E668" s="4"/>
      <c r="I668" s="135"/>
      <c r="J668" s="135"/>
      <c r="K668" s="135"/>
      <c r="L668" s="135"/>
    </row>
    <row r="669" spans="2:12" ht="12" customHeight="1" x14ac:dyDescent="0.15">
      <c r="B669" s="2"/>
      <c r="C669" s="4"/>
      <c r="D669" s="4"/>
      <c r="E669" s="4"/>
      <c r="I669" s="135"/>
      <c r="J669" s="135"/>
      <c r="K669" s="135"/>
      <c r="L669" s="135"/>
    </row>
    <row r="670" spans="2:12" ht="12" customHeight="1" x14ac:dyDescent="0.15">
      <c r="B670" s="2"/>
      <c r="C670" s="4"/>
      <c r="D670" s="4"/>
      <c r="E670" s="4"/>
      <c r="I670" s="135"/>
      <c r="J670" s="135"/>
      <c r="K670" s="135"/>
      <c r="L670" s="135"/>
    </row>
    <row r="671" spans="2:12" ht="12" customHeight="1" x14ac:dyDescent="0.15">
      <c r="B671" s="2"/>
      <c r="C671" s="4"/>
      <c r="D671" s="4"/>
      <c r="E671" s="4"/>
      <c r="I671" s="135"/>
      <c r="J671" s="135"/>
      <c r="K671" s="135"/>
      <c r="L671" s="135"/>
    </row>
    <row r="672" spans="2:12" ht="12" customHeight="1" x14ac:dyDescent="0.15">
      <c r="B672" s="2"/>
      <c r="C672" s="4"/>
      <c r="D672" s="4"/>
      <c r="E672" s="4"/>
      <c r="I672" s="135"/>
      <c r="J672" s="135"/>
      <c r="K672" s="135"/>
      <c r="L672" s="135"/>
    </row>
    <row r="673" spans="2:12" ht="12" customHeight="1" x14ac:dyDescent="0.15">
      <c r="B673" s="2"/>
      <c r="C673" s="4"/>
      <c r="D673" s="4"/>
      <c r="E673" s="4"/>
      <c r="I673" s="135"/>
      <c r="J673" s="135"/>
      <c r="K673" s="135"/>
      <c r="L673" s="135"/>
    </row>
    <row r="674" spans="2:12" ht="12" customHeight="1" x14ac:dyDescent="0.15">
      <c r="B674" s="2"/>
      <c r="C674" s="4"/>
      <c r="D674" s="4"/>
      <c r="E674" s="4"/>
      <c r="I674" s="135"/>
      <c r="J674" s="135"/>
      <c r="K674" s="135"/>
      <c r="L674" s="135"/>
    </row>
    <row r="675" spans="2:12" ht="12" customHeight="1" x14ac:dyDescent="0.15">
      <c r="B675" s="2"/>
      <c r="C675" s="4"/>
      <c r="D675" s="4"/>
      <c r="E675" s="4"/>
      <c r="I675" s="135"/>
      <c r="J675" s="135"/>
      <c r="K675" s="135"/>
      <c r="L675" s="135"/>
    </row>
    <row r="676" spans="2:12" ht="12" customHeight="1" x14ac:dyDescent="0.15">
      <c r="B676" s="2"/>
      <c r="C676" s="4"/>
      <c r="D676" s="4"/>
      <c r="E676" s="4"/>
      <c r="I676" s="135"/>
      <c r="J676" s="135"/>
      <c r="K676" s="135"/>
      <c r="L676" s="135"/>
    </row>
    <row r="677" spans="2:12" ht="12" customHeight="1" x14ac:dyDescent="0.15">
      <c r="B677" s="2"/>
      <c r="C677" s="4"/>
      <c r="D677" s="4"/>
      <c r="E677" s="4"/>
      <c r="I677" s="135"/>
      <c r="J677" s="135"/>
      <c r="K677" s="135"/>
      <c r="L677" s="135"/>
    </row>
    <row r="678" spans="2:12" ht="12" customHeight="1" x14ac:dyDescent="0.15">
      <c r="B678" s="2"/>
      <c r="C678" s="4"/>
      <c r="D678" s="4"/>
      <c r="E678" s="4"/>
      <c r="I678" s="135"/>
      <c r="J678" s="135"/>
      <c r="K678" s="135"/>
      <c r="L678" s="135"/>
    </row>
    <row r="679" spans="2:12" ht="12" customHeight="1" x14ac:dyDescent="0.15">
      <c r="B679" s="2"/>
      <c r="C679" s="4"/>
      <c r="D679" s="4"/>
      <c r="E679" s="4"/>
      <c r="I679" s="135"/>
      <c r="J679" s="135"/>
      <c r="K679" s="135"/>
      <c r="L679" s="135"/>
    </row>
    <row r="680" spans="2:12" ht="12" customHeight="1" x14ac:dyDescent="0.15">
      <c r="B680" s="2"/>
      <c r="C680" s="4"/>
      <c r="D680" s="4"/>
      <c r="E680" s="4"/>
      <c r="I680" s="135"/>
      <c r="J680" s="135"/>
      <c r="K680" s="135"/>
      <c r="L680" s="135"/>
    </row>
    <row r="681" spans="2:12" ht="12" customHeight="1" x14ac:dyDescent="0.15">
      <c r="B681" s="2"/>
      <c r="C681" s="4"/>
      <c r="D681" s="4"/>
      <c r="E681" s="4"/>
      <c r="I681" s="135"/>
      <c r="J681" s="135"/>
      <c r="K681" s="135"/>
      <c r="L681" s="135"/>
    </row>
    <row r="682" spans="2:12" ht="12" customHeight="1" x14ac:dyDescent="0.15">
      <c r="B682" s="2"/>
      <c r="C682" s="4"/>
      <c r="D682" s="4"/>
      <c r="E682" s="4"/>
      <c r="I682" s="135"/>
      <c r="J682" s="135"/>
      <c r="K682" s="135"/>
      <c r="L682" s="135"/>
    </row>
    <row r="683" spans="2:12" ht="12" customHeight="1" x14ac:dyDescent="0.15">
      <c r="B683" s="2"/>
      <c r="C683" s="4"/>
      <c r="D683" s="4"/>
      <c r="E683" s="4"/>
      <c r="I683" s="135"/>
      <c r="J683" s="135"/>
      <c r="K683" s="135"/>
      <c r="L683" s="135"/>
    </row>
    <row r="684" spans="2:12" ht="12" customHeight="1" x14ac:dyDescent="0.15">
      <c r="B684" s="2"/>
      <c r="C684" s="4"/>
      <c r="D684" s="4"/>
      <c r="E684" s="4"/>
      <c r="I684" s="135"/>
      <c r="J684" s="135"/>
      <c r="K684" s="135"/>
      <c r="L684" s="135"/>
    </row>
    <row r="685" spans="2:12" ht="12" customHeight="1" x14ac:dyDescent="0.15">
      <c r="B685" s="2"/>
      <c r="C685" s="4"/>
      <c r="D685" s="4"/>
      <c r="E685" s="4"/>
      <c r="I685" s="135"/>
      <c r="J685" s="135"/>
      <c r="K685" s="135"/>
      <c r="L685" s="135"/>
    </row>
    <row r="686" spans="2:12" ht="12" customHeight="1" x14ac:dyDescent="0.15">
      <c r="B686" s="2"/>
      <c r="C686" s="4"/>
      <c r="D686" s="4"/>
      <c r="E686" s="4"/>
      <c r="I686" s="135"/>
      <c r="J686" s="135"/>
      <c r="K686" s="135"/>
      <c r="L686" s="135"/>
    </row>
    <row r="687" spans="2:12" ht="12" customHeight="1" x14ac:dyDescent="0.15">
      <c r="B687" s="2"/>
      <c r="C687" s="4"/>
      <c r="D687" s="4"/>
      <c r="E687" s="4"/>
      <c r="I687" s="135"/>
      <c r="J687" s="135"/>
      <c r="K687" s="135"/>
      <c r="L687" s="135"/>
    </row>
    <row r="688" spans="2:12" ht="12" customHeight="1" x14ac:dyDescent="0.15">
      <c r="B688" s="2"/>
      <c r="C688" s="4"/>
      <c r="D688" s="4"/>
      <c r="E688" s="4"/>
      <c r="I688" s="135"/>
      <c r="J688" s="135"/>
      <c r="K688" s="135"/>
      <c r="L688" s="135"/>
    </row>
    <row r="689" spans="2:12" ht="12" customHeight="1" x14ac:dyDescent="0.15">
      <c r="B689" s="2"/>
      <c r="C689" s="4"/>
      <c r="D689" s="4"/>
      <c r="E689" s="4"/>
      <c r="I689" s="135"/>
      <c r="J689" s="135"/>
      <c r="K689" s="135"/>
      <c r="L689" s="135"/>
    </row>
    <row r="690" spans="2:12" ht="12" customHeight="1" x14ac:dyDescent="0.15">
      <c r="B690" s="2"/>
      <c r="C690" s="4"/>
      <c r="D690" s="4"/>
      <c r="E690" s="4"/>
      <c r="I690" s="135"/>
      <c r="J690" s="135"/>
      <c r="K690" s="135"/>
      <c r="L690" s="135"/>
    </row>
    <row r="691" spans="2:12" ht="12" customHeight="1" x14ac:dyDescent="0.15">
      <c r="B691" s="2"/>
      <c r="C691" s="4"/>
      <c r="D691" s="4"/>
      <c r="E691" s="4"/>
      <c r="I691" s="135"/>
      <c r="J691" s="135"/>
      <c r="K691" s="135"/>
      <c r="L691" s="135"/>
    </row>
    <row r="692" spans="2:12" ht="12" customHeight="1" x14ac:dyDescent="0.15">
      <c r="B692" s="2"/>
      <c r="C692" s="4"/>
      <c r="D692" s="4"/>
      <c r="E692" s="4"/>
      <c r="I692" s="135"/>
      <c r="J692" s="135"/>
      <c r="K692" s="135"/>
      <c r="L692" s="135"/>
    </row>
    <row r="693" spans="2:12" ht="12" customHeight="1" x14ac:dyDescent="0.15">
      <c r="B693" s="2"/>
      <c r="C693" s="4"/>
      <c r="D693" s="4"/>
      <c r="E693" s="4"/>
      <c r="I693" s="135"/>
      <c r="J693" s="135"/>
      <c r="K693" s="135"/>
      <c r="L693" s="135"/>
    </row>
    <row r="694" spans="2:12" ht="12" customHeight="1" x14ac:dyDescent="0.15">
      <c r="B694" s="2"/>
      <c r="C694" s="4"/>
      <c r="D694" s="4"/>
      <c r="E694" s="4"/>
      <c r="I694" s="135"/>
      <c r="J694" s="135"/>
      <c r="K694" s="135"/>
      <c r="L694" s="135"/>
    </row>
    <row r="695" spans="2:12" ht="12" customHeight="1" x14ac:dyDescent="0.15">
      <c r="B695" s="2"/>
      <c r="C695" s="4"/>
      <c r="D695" s="4"/>
      <c r="E695" s="4"/>
      <c r="I695" s="135"/>
      <c r="J695" s="135"/>
      <c r="K695" s="135"/>
      <c r="L695" s="135"/>
    </row>
    <row r="696" spans="2:12" ht="12" customHeight="1" x14ac:dyDescent="0.15">
      <c r="B696" s="2"/>
      <c r="C696" s="4"/>
      <c r="D696" s="4"/>
      <c r="E696" s="4"/>
      <c r="I696" s="135"/>
      <c r="J696" s="135"/>
      <c r="K696" s="135"/>
      <c r="L696" s="135"/>
    </row>
    <row r="697" spans="2:12" ht="12" customHeight="1" x14ac:dyDescent="0.15">
      <c r="B697" s="2"/>
      <c r="C697" s="4"/>
      <c r="D697" s="4"/>
      <c r="E697" s="4"/>
      <c r="I697" s="135"/>
      <c r="J697" s="135"/>
      <c r="K697" s="135"/>
      <c r="L697" s="135"/>
    </row>
    <row r="698" spans="2:12" ht="12" customHeight="1" x14ac:dyDescent="0.15">
      <c r="B698" s="2"/>
      <c r="C698" s="4"/>
      <c r="D698" s="4"/>
      <c r="E698" s="4"/>
      <c r="I698" s="135"/>
      <c r="J698" s="135"/>
      <c r="K698" s="135"/>
      <c r="L698" s="135"/>
    </row>
    <row r="699" spans="2:12" ht="12" customHeight="1" x14ac:dyDescent="0.15">
      <c r="B699" s="2"/>
      <c r="C699" s="4"/>
      <c r="D699" s="4"/>
      <c r="E699" s="4"/>
      <c r="I699" s="135"/>
      <c r="J699" s="135"/>
      <c r="K699" s="135"/>
      <c r="L699" s="135"/>
    </row>
    <row r="700" spans="2:12" ht="12" customHeight="1" x14ac:dyDescent="0.15">
      <c r="B700" s="2"/>
      <c r="C700" s="4"/>
      <c r="D700" s="4"/>
      <c r="E700" s="4"/>
      <c r="I700" s="135"/>
      <c r="J700" s="135"/>
      <c r="K700" s="135"/>
      <c r="L700" s="135"/>
    </row>
    <row r="701" spans="2:12" ht="12" customHeight="1" x14ac:dyDescent="0.15">
      <c r="B701" s="2"/>
      <c r="C701" s="4"/>
      <c r="D701" s="4"/>
      <c r="E701" s="4"/>
      <c r="I701" s="135"/>
      <c r="J701" s="135"/>
      <c r="K701" s="135"/>
      <c r="L701" s="135"/>
    </row>
    <row r="702" spans="2:12" ht="12" customHeight="1" x14ac:dyDescent="0.15">
      <c r="B702" s="2"/>
      <c r="C702" s="4"/>
      <c r="D702" s="4"/>
      <c r="E702" s="4"/>
      <c r="I702" s="135"/>
      <c r="J702" s="135"/>
      <c r="K702" s="135"/>
      <c r="L702" s="135"/>
    </row>
    <row r="703" spans="2:12" ht="12" customHeight="1" x14ac:dyDescent="0.15">
      <c r="B703" s="2"/>
      <c r="C703" s="4"/>
      <c r="D703" s="4"/>
      <c r="E703" s="4"/>
      <c r="I703" s="135"/>
      <c r="J703" s="135"/>
      <c r="K703" s="135"/>
      <c r="L703" s="135"/>
    </row>
    <row r="704" spans="2:12" ht="12" customHeight="1" x14ac:dyDescent="0.15">
      <c r="B704" s="2"/>
      <c r="C704" s="4"/>
      <c r="D704" s="4"/>
      <c r="E704" s="4"/>
      <c r="I704" s="135"/>
      <c r="J704" s="135"/>
      <c r="K704" s="135"/>
      <c r="L704" s="135"/>
    </row>
    <row r="705" spans="2:12" ht="12" customHeight="1" x14ac:dyDescent="0.15">
      <c r="B705" s="2"/>
      <c r="C705" s="4"/>
      <c r="D705" s="4"/>
      <c r="E705" s="4"/>
      <c r="I705" s="135"/>
      <c r="J705" s="135"/>
      <c r="K705" s="135"/>
      <c r="L705" s="135"/>
    </row>
    <row r="706" spans="2:12" ht="12" customHeight="1" x14ac:dyDescent="0.15">
      <c r="B706" s="2"/>
      <c r="C706" s="4"/>
      <c r="D706" s="4"/>
      <c r="E706" s="4"/>
      <c r="I706" s="135"/>
      <c r="J706" s="135"/>
      <c r="K706" s="135"/>
      <c r="L706" s="135"/>
    </row>
    <row r="707" spans="2:12" ht="12" customHeight="1" x14ac:dyDescent="0.15">
      <c r="B707" s="2"/>
      <c r="C707" s="4"/>
      <c r="D707" s="4"/>
      <c r="E707" s="4"/>
      <c r="I707" s="135"/>
      <c r="J707" s="135"/>
      <c r="K707" s="135"/>
      <c r="L707" s="135"/>
    </row>
    <row r="708" spans="2:12" ht="12" customHeight="1" x14ac:dyDescent="0.15">
      <c r="B708" s="2"/>
      <c r="C708" s="4"/>
      <c r="D708" s="4"/>
      <c r="E708" s="4"/>
      <c r="I708" s="135"/>
      <c r="J708" s="135"/>
      <c r="K708" s="135"/>
      <c r="L708" s="135"/>
    </row>
    <row r="709" spans="2:12" ht="12" customHeight="1" x14ac:dyDescent="0.15">
      <c r="B709" s="2"/>
      <c r="C709" s="4"/>
      <c r="D709" s="4"/>
      <c r="E709" s="4"/>
      <c r="I709" s="135"/>
      <c r="J709" s="135"/>
      <c r="K709" s="135"/>
      <c r="L709" s="135"/>
    </row>
    <row r="710" spans="2:12" ht="12" customHeight="1" x14ac:dyDescent="0.15">
      <c r="B710" s="2"/>
      <c r="C710" s="4"/>
      <c r="D710" s="4"/>
      <c r="E710" s="4"/>
      <c r="I710" s="135"/>
      <c r="J710" s="135"/>
      <c r="K710" s="135"/>
      <c r="L710" s="135"/>
    </row>
    <row r="711" spans="2:12" ht="12" customHeight="1" x14ac:dyDescent="0.15">
      <c r="B711" s="2"/>
      <c r="C711" s="4"/>
      <c r="D711" s="4"/>
      <c r="E711" s="4"/>
      <c r="I711" s="135"/>
      <c r="J711" s="135"/>
      <c r="K711" s="135"/>
      <c r="L711" s="135"/>
    </row>
    <row r="712" spans="2:12" ht="12" customHeight="1" x14ac:dyDescent="0.15">
      <c r="B712" s="2"/>
      <c r="C712" s="4"/>
      <c r="D712" s="4"/>
      <c r="E712" s="4"/>
      <c r="I712" s="135"/>
      <c r="J712" s="135"/>
      <c r="K712" s="135"/>
      <c r="L712" s="135"/>
    </row>
    <row r="713" spans="2:12" ht="12" customHeight="1" x14ac:dyDescent="0.15">
      <c r="B713" s="2"/>
      <c r="C713" s="4"/>
      <c r="D713" s="4"/>
      <c r="E713" s="4"/>
      <c r="I713" s="135"/>
      <c r="J713" s="135"/>
      <c r="K713" s="135"/>
      <c r="L713" s="135"/>
    </row>
    <row r="714" spans="2:12" ht="12" customHeight="1" x14ac:dyDescent="0.15">
      <c r="B714" s="2"/>
      <c r="C714" s="4"/>
      <c r="D714" s="4"/>
      <c r="E714" s="4"/>
      <c r="I714" s="135"/>
      <c r="J714" s="135"/>
      <c r="K714" s="135"/>
      <c r="L714" s="135"/>
    </row>
    <row r="715" spans="2:12" ht="12" customHeight="1" x14ac:dyDescent="0.15">
      <c r="B715" s="2"/>
      <c r="C715" s="4"/>
      <c r="D715" s="4"/>
      <c r="E715" s="4"/>
      <c r="I715" s="135"/>
      <c r="J715" s="135"/>
      <c r="K715" s="135"/>
      <c r="L715" s="135"/>
    </row>
    <row r="716" spans="2:12" ht="12" customHeight="1" x14ac:dyDescent="0.15">
      <c r="B716" s="2"/>
      <c r="C716" s="4"/>
      <c r="D716" s="4"/>
      <c r="E716" s="4"/>
      <c r="I716" s="135"/>
      <c r="J716" s="135"/>
      <c r="K716" s="135"/>
      <c r="L716" s="135"/>
    </row>
    <row r="717" spans="2:12" ht="12" customHeight="1" x14ac:dyDescent="0.15">
      <c r="B717" s="2"/>
      <c r="C717" s="4"/>
      <c r="D717" s="4"/>
      <c r="E717" s="4"/>
      <c r="I717" s="135"/>
      <c r="J717" s="135"/>
      <c r="K717" s="135"/>
      <c r="L717" s="135"/>
    </row>
    <row r="718" spans="2:12" ht="12" customHeight="1" x14ac:dyDescent="0.15">
      <c r="B718" s="2"/>
      <c r="C718" s="4"/>
      <c r="D718" s="4"/>
      <c r="E718" s="4"/>
      <c r="I718" s="135"/>
      <c r="J718" s="135"/>
      <c r="K718" s="135"/>
      <c r="L718" s="135"/>
    </row>
    <row r="719" spans="2:12" ht="12" customHeight="1" x14ac:dyDescent="0.15">
      <c r="B719" s="2"/>
      <c r="C719" s="4"/>
      <c r="D719" s="4"/>
      <c r="E719" s="4"/>
      <c r="I719" s="135"/>
      <c r="J719" s="135"/>
      <c r="K719" s="135"/>
      <c r="L719" s="135"/>
    </row>
    <row r="720" spans="2:12" ht="12" customHeight="1" x14ac:dyDescent="0.15">
      <c r="B720" s="2"/>
      <c r="C720" s="4"/>
      <c r="D720" s="4"/>
      <c r="E720" s="4"/>
      <c r="I720" s="135"/>
      <c r="J720" s="135"/>
      <c r="K720" s="135"/>
      <c r="L720" s="135"/>
    </row>
    <row r="721" spans="2:12" ht="12" customHeight="1" x14ac:dyDescent="0.15">
      <c r="B721" s="2"/>
      <c r="C721" s="4"/>
      <c r="D721" s="4"/>
      <c r="E721" s="4"/>
      <c r="I721" s="135"/>
      <c r="J721" s="135"/>
      <c r="K721" s="135"/>
      <c r="L721" s="135"/>
    </row>
    <row r="722" spans="2:12" ht="12" customHeight="1" x14ac:dyDescent="0.15">
      <c r="B722" s="2"/>
      <c r="C722" s="4"/>
      <c r="D722" s="4"/>
      <c r="E722" s="4"/>
      <c r="I722" s="135"/>
      <c r="J722" s="135"/>
      <c r="K722" s="135"/>
      <c r="L722" s="135"/>
    </row>
    <row r="723" spans="2:12" ht="12" customHeight="1" x14ac:dyDescent="0.15">
      <c r="B723" s="2"/>
      <c r="C723" s="4"/>
      <c r="D723" s="4"/>
      <c r="E723" s="4"/>
      <c r="I723" s="135"/>
      <c r="J723" s="135"/>
      <c r="K723" s="135"/>
      <c r="L723" s="135"/>
    </row>
    <row r="724" spans="2:12" ht="12" customHeight="1" x14ac:dyDescent="0.15">
      <c r="B724" s="2"/>
      <c r="C724" s="4"/>
      <c r="D724" s="4"/>
      <c r="E724" s="4"/>
      <c r="I724" s="135"/>
      <c r="J724" s="135"/>
      <c r="K724" s="135"/>
      <c r="L724" s="135"/>
    </row>
    <row r="725" spans="2:12" ht="12" customHeight="1" x14ac:dyDescent="0.15">
      <c r="B725" s="2"/>
      <c r="C725" s="4"/>
      <c r="D725" s="4"/>
      <c r="E725" s="4"/>
      <c r="I725" s="135"/>
      <c r="J725" s="135"/>
      <c r="K725" s="135"/>
      <c r="L725" s="135"/>
    </row>
    <row r="726" spans="2:12" ht="12" customHeight="1" x14ac:dyDescent="0.15">
      <c r="B726" s="2"/>
      <c r="C726" s="4"/>
      <c r="D726" s="4"/>
      <c r="E726" s="4"/>
      <c r="I726" s="135"/>
      <c r="J726" s="135"/>
      <c r="K726" s="135"/>
      <c r="L726" s="135"/>
    </row>
    <row r="727" spans="2:12" ht="12" customHeight="1" x14ac:dyDescent="0.15">
      <c r="B727" s="2"/>
      <c r="C727" s="4"/>
      <c r="D727" s="4"/>
      <c r="E727" s="4"/>
      <c r="I727" s="135"/>
      <c r="J727" s="135"/>
      <c r="K727" s="135"/>
      <c r="L727" s="135"/>
    </row>
    <row r="728" spans="2:12" ht="12" customHeight="1" x14ac:dyDescent="0.15">
      <c r="B728" s="2"/>
      <c r="C728" s="4"/>
      <c r="D728" s="4"/>
      <c r="E728" s="4"/>
      <c r="I728" s="135"/>
      <c r="J728" s="135"/>
      <c r="K728" s="135"/>
      <c r="L728" s="135"/>
    </row>
    <row r="729" spans="2:12" ht="12" customHeight="1" x14ac:dyDescent="0.15">
      <c r="B729" s="2"/>
      <c r="C729" s="4"/>
      <c r="D729" s="4"/>
      <c r="E729" s="4"/>
      <c r="I729" s="135"/>
      <c r="J729" s="135"/>
      <c r="K729" s="135"/>
      <c r="L729" s="135"/>
    </row>
    <row r="730" spans="2:12" ht="12" customHeight="1" x14ac:dyDescent="0.15">
      <c r="B730" s="2"/>
      <c r="C730" s="4"/>
      <c r="D730" s="4"/>
      <c r="E730" s="4"/>
      <c r="I730" s="135"/>
      <c r="J730" s="135"/>
      <c r="K730" s="135"/>
      <c r="L730" s="135"/>
    </row>
    <row r="731" spans="2:12" ht="12" customHeight="1" x14ac:dyDescent="0.15">
      <c r="B731" s="2"/>
      <c r="C731" s="4"/>
      <c r="D731" s="4"/>
      <c r="E731" s="4"/>
      <c r="I731" s="135"/>
      <c r="J731" s="135"/>
      <c r="K731" s="135"/>
      <c r="L731" s="135"/>
    </row>
    <row r="732" spans="2:12" ht="12" customHeight="1" x14ac:dyDescent="0.15">
      <c r="B732" s="2"/>
      <c r="C732" s="4"/>
      <c r="D732" s="4"/>
      <c r="E732" s="4"/>
      <c r="I732" s="135"/>
      <c r="J732" s="135"/>
      <c r="K732" s="135"/>
      <c r="L732" s="135"/>
    </row>
    <row r="733" spans="2:12" ht="12" customHeight="1" x14ac:dyDescent="0.15">
      <c r="B733" s="2"/>
      <c r="C733" s="4"/>
      <c r="D733" s="4"/>
      <c r="E733" s="4"/>
      <c r="I733" s="135"/>
      <c r="J733" s="135"/>
      <c r="K733" s="135"/>
      <c r="L733" s="135"/>
    </row>
    <row r="734" spans="2:12" ht="12" customHeight="1" x14ac:dyDescent="0.15">
      <c r="B734" s="2"/>
      <c r="C734" s="4"/>
      <c r="D734" s="4"/>
      <c r="E734" s="4"/>
      <c r="I734" s="135"/>
      <c r="J734" s="135"/>
      <c r="K734" s="135"/>
      <c r="L734" s="135"/>
    </row>
    <row r="735" spans="2:12" ht="12" customHeight="1" x14ac:dyDescent="0.15">
      <c r="B735" s="2"/>
      <c r="C735" s="4"/>
      <c r="D735" s="4"/>
      <c r="E735" s="4"/>
      <c r="I735" s="135"/>
      <c r="J735" s="135"/>
      <c r="K735" s="135"/>
      <c r="L735" s="135"/>
    </row>
    <row r="736" spans="2:12" ht="12" customHeight="1" x14ac:dyDescent="0.15">
      <c r="B736" s="2"/>
      <c r="C736" s="4"/>
      <c r="D736" s="4"/>
      <c r="E736" s="4"/>
      <c r="I736" s="135"/>
      <c r="J736" s="135"/>
      <c r="K736" s="135"/>
      <c r="L736" s="135"/>
    </row>
    <row r="737" spans="2:12" ht="12" customHeight="1" x14ac:dyDescent="0.15">
      <c r="B737" s="2"/>
      <c r="C737" s="4"/>
      <c r="D737" s="4"/>
      <c r="E737" s="4"/>
      <c r="I737" s="135"/>
      <c r="J737" s="135"/>
      <c r="K737" s="135"/>
      <c r="L737" s="135"/>
    </row>
    <row r="738" spans="2:12" ht="12" customHeight="1" x14ac:dyDescent="0.15">
      <c r="B738" s="2"/>
      <c r="C738" s="4"/>
      <c r="D738" s="4"/>
      <c r="E738" s="4"/>
      <c r="I738" s="135"/>
      <c r="J738" s="135"/>
      <c r="K738" s="135"/>
      <c r="L738" s="135"/>
    </row>
    <row r="739" spans="2:12" ht="12" customHeight="1" x14ac:dyDescent="0.15">
      <c r="B739" s="2"/>
      <c r="C739" s="4"/>
      <c r="D739" s="4"/>
      <c r="E739" s="4"/>
      <c r="I739" s="135"/>
      <c r="J739" s="135"/>
      <c r="K739" s="135"/>
      <c r="L739" s="135"/>
    </row>
    <row r="740" spans="2:12" ht="12" customHeight="1" x14ac:dyDescent="0.15">
      <c r="B740" s="2"/>
      <c r="C740" s="4"/>
      <c r="D740" s="4"/>
      <c r="E740" s="4"/>
      <c r="I740" s="135"/>
      <c r="J740" s="135"/>
      <c r="K740" s="135"/>
      <c r="L740" s="135"/>
    </row>
    <row r="741" spans="2:12" ht="12" customHeight="1" x14ac:dyDescent="0.15">
      <c r="B741" s="2"/>
      <c r="C741" s="4"/>
      <c r="D741" s="4"/>
      <c r="E741" s="4"/>
      <c r="I741" s="135"/>
      <c r="J741" s="135"/>
      <c r="K741" s="135"/>
      <c r="L741" s="135"/>
    </row>
    <row r="742" spans="2:12" ht="12" customHeight="1" x14ac:dyDescent="0.15">
      <c r="B742" s="2"/>
      <c r="C742" s="4"/>
      <c r="D742" s="4"/>
      <c r="E742" s="4"/>
      <c r="I742" s="135"/>
      <c r="J742" s="135"/>
      <c r="K742" s="135"/>
      <c r="L742" s="135"/>
    </row>
    <row r="743" spans="2:12" ht="12" customHeight="1" x14ac:dyDescent="0.15">
      <c r="B743" s="2"/>
      <c r="C743" s="4"/>
      <c r="D743" s="4"/>
      <c r="E743" s="4"/>
      <c r="I743" s="135"/>
      <c r="J743" s="135"/>
      <c r="K743" s="135"/>
      <c r="L743" s="135"/>
    </row>
    <row r="744" spans="2:12" ht="12" customHeight="1" x14ac:dyDescent="0.15">
      <c r="B744" s="2"/>
      <c r="C744" s="4"/>
      <c r="D744" s="4"/>
      <c r="E744" s="4"/>
      <c r="I744" s="135"/>
      <c r="J744" s="135"/>
      <c r="K744" s="135"/>
      <c r="L744" s="135"/>
    </row>
    <row r="745" spans="2:12" ht="12" customHeight="1" x14ac:dyDescent="0.15">
      <c r="B745" s="2"/>
      <c r="C745" s="4"/>
      <c r="D745" s="4"/>
      <c r="E745" s="4"/>
      <c r="I745" s="135"/>
      <c r="J745" s="135"/>
      <c r="K745" s="135"/>
      <c r="L745" s="135"/>
    </row>
    <row r="746" spans="2:12" ht="12" customHeight="1" x14ac:dyDescent="0.15">
      <c r="B746" s="2"/>
      <c r="C746" s="4"/>
      <c r="D746" s="4"/>
      <c r="E746" s="4"/>
      <c r="I746" s="135"/>
      <c r="J746" s="135"/>
      <c r="K746" s="135"/>
      <c r="L746" s="135"/>
    </row>
    <row r="747" spans="2:12" ht="12" customHeight="1" x14ac:dyDescent="0.15">
      <c r="B747" s="2"/>
      <c r="C747" s="4"/>
      <c r="D747" s="4"/>
      <c r="E747" s="4"/>
      <c r="I747" s="135"/>
      <c r="J747" s="135"/>
      <c r="K747" s="135"/>
      <c r="L747" s="135"/>
    </row>
    <row r="748" spans="2:12" ht="12" customHeight="1" x14ac:dyDescent="0.15">
      <c r="B748" s="2"/>
      <c r="C748" s="4"/>
      <c r="D748" s="4"/>
      <c r="E748" s="4"/>
      <c r="I748" s="135"/>
      <c r="J748" s="135"/>
      <c r="K748" s="135"/>
      <c r="L748" s="135"/>
    </row>
    <row r="749" spans="2:12" ht="12" customHeight="1" x14ac:dyDescent="0.15">
      <c r="B749" s="2"/>
      <c r="C749" s="4"/>
      <c r="D749" s="4"/>
      <c r="E749" s="4"/>
      <c r="I749" s="135"/>
      <c r="J749" s="135"/>
      <c r="K749" s="135"/>
      <c r="L749" s="135"/>
    </row>
    <row r="750" spans="2:12" ht="12" customHeight="1" x14ac:dyDescent="0.15">
      <c r="B750" s="2"/>
      <c r="C750" s="4"/>
      <c r="D750" s="4"/>
      <c r="E750" s="4"/>
      <c r="I750" s="135"/>
      <c r="J750" s="135"/>
      <c r="K750" s="135"/>
      <c r="L750" s="135"/>
    </row>
    <row r="751" spans="2:12" ht="12" customHeight="1" x14ac:dyDescent="0.15">
      <c r="B751" s="2"/>
      <c r="C751" s="4"/>
      <c r="D751" s="4"/>
      <c r="E751" s="4"/>
      <c r="I751" s="135"/>
      <c r="J751" s="135"/>
      <c r="K751" s="135"/>
      <c r="L751" s="135"/>
    </row>
    <row r="752" spans="2:12" ht="12" customHeight="1" x14ac:dyDescent="0.15">
      <c r="B752" s="2"/>
      <c r="C752" s="4"/>
      <c r="D752" s="4"/>
      <c r="E752" s="4"/>
      <c r="I752" s="135"/>
      <c r="J752" s="135"/>
      <c r="K752" s="135"/>
      <c r="L752" s="135"/>
    </row>
    <row r="753" spans="2:12" ht="12" customHeight="1" x14ac:dyDescent="0.15">
      <c r="B753" s="2"/>
      <c r="C753" s="4"/>
      <c r="D753" s="4"/>
      <c r="E753" s="4"/>
      <c r="I753" s="135"/>
      <c r="J753" s="135"/>
      <c r="K753" s="135"/>
      <c r="L753" s="135"/>
    </row>
    <row r="754" spans="2:12" ht="12" customHeight="1" x14ac:dyDescent="0.15">
      <c r="B754" s="2"/>
      <c r="C754" s="4"/>
      <c r="D754" s="4"/>
      <c r="E754" s="4"/>
      <c r="I754" s="135"/>
      <c r="J754" s="135"/>
      <c r="K754" s="135"/>
      <c r="L754" s="135"/>
    </row>
    <row r="755" spans="2:12" ht="12" customHeight="1" x14ac:dyDescent="0.15">
      <c r="B755" s="2"/>
      <c r="C755" s="4"/>
      <c r="D755" s="4"/>
      <c r="E755" s="4"/>
      <c r="I755" s="135"/>
      <c r="J755" s="135"/>
      <c r="K755" s="135"/>
      <c r="L755" s="135"/>
    </row>
    <row r="756" spans="2:12" ht="12" customHeight="1" x14ac:dyDescent="0.15">
      <c r="B756" s="2"/>
      <c r="C756" s="4"/>
      <c r="D756" s="4"/>
      <c r="E756" s="4"/>
      <c r="I756" s="135"/>
      <c r="J756" s="135"/>
      <c r="K756" s="135"/>
      <c r="L756" s="135"/>
    </row>
    <row r="757" spans="2:12" ht="12" customHeight="1" x14ac:dyDescent="0.15">
      <c r="B757" s="2"/>
      <c r="C757" s="4"/>
      <c r="D757" s="4"/>
      <c r="E757" s="4"/>
      <c r="I757" s="135"/>
      <c r="J757" s="135"/>
      <c r="K757" s="135"/>
      <c r="L757" s="135"/>
    </row>
    <row r="758" spans="2:12" ht="12" customHeight="1" x14ac:dyDescent="0.15">
      <c r="B758" s="2"/>
      <c r="C758" s="4"/>
      <c r="D758" s="4"/>
      <c r="E758" s="4"/>
      <c r="I758" s="135"/>
      <c r="J758" s="135"/>
      <c r="K758" s="135"/>
      <c r="L758" s="135"/>
    </row>
    <row r="759" spans="2:12" ht="12" customHeight="1" x14ac:dyDescent="0.15">
      <c r="B759" s="2"/>
      <c r="C759" s="4"/>
      <c r="D759" s="4"/>
      <c r="E759" s="4"/>
      <c r="I759" s="135"/>
      <c r="J759" s="135"/>
      <c r="K759" s="135"/>
      <c r="L759" s="135"/>
    </row>
    <row r="760" spans="2:12" ht="12" customHeight="1" x14ac:dyDescent="0.15">
      <c r="B760" s="2"/>
      <c r="C760" s="4"/>
      <c r="D760" s="4"/>
      <c r="E760" s="4"/>
      <c r="I760" s="135"/>
      <c r="J760" s="135"/>
      <c r="K760" s="135"/>
      <c r="L760" s="135"/>
    </row>
    <row r="761" spans="2:12" ht="12" customHeight="1" x14ac:dyDescent="0.15">
      <c r="B761" s="2"/>
      <c r="C761" s="4"/>
      <c r="D761" s="4"/>
      <c r="E761" s="4"/>
      <c r="I761" s="135"/>
      <c r="J761" s="135"/>
      <c r="K761" s="135"/>
      <c r="L761" s="135"/>
    </row>
    <row r="762" spans="2:12" ht="12" customHeight="1" x14ac:dyDescent="0.15">
      <c r="B762" s="2"/>
      <c r="C762" s="4"/>
      <c r="D762" s="4"/>
      <c r="E762" s="4"/>
      <c r="I762" s="135"/>
      <c r="J762" s="135"/>
      <c r="K762" s="135"/>
      <c r="L762" s="135"/>
    </row>
    <row r="763" spans="2:12" ht="12" customHeight="1" x14ac:dyDescent="0.15">
      <c r="B763" s="2"/>
      <c r="C763" s="4"/>
      <c r="D763" s="4"/>
      <c r="E763" s="4"/>
      <c r="I763" s="135"/>
      <c r="J763" s="135"/>
      <c r="K763" s="135"/>
      <c r="L763" s="135"/>
    </row>
    <row r="764" spans="2:12" ht="12" customHeight="1" x14ac:dyDescent="0.15">
      <c r="B764" s="2"/>
      <c r="C764" s="4"/>
      <c r="D764" s="4"/>
      <c r="E764" s="4"/>
      <c r="I764" s="135"/>
      <c r="J764" s="135"/>
      <c r="K764" s="135"/>
      <c r="L764" s="135"/>
    </row>
    <row r="765" spans="2:12" ht="12" customHeight="1" x14ac:dyDescent="0.15">
      <c r="B765" s="2"/>
      <c r="C765" s="4"/>
      <c r="D765" s="4"/>
      <c r="E765" s="4"/>
      <c r="I765" s="135"/>
      <c r="J765" s="135"/>
      <c r="K765" s="135"/>
      <c r="L765" s="135"/>
    </row>
    <row r="766" spans="2:12" ht="12" customHeight="1" x14ac:dyDescent="0.15">
      <c r="B766" s="2"/>
      <c r="C766" s="4"/>
      <c r="D766" s="4"/>
      <c r="E766" s="4"/>
      <c r="I766" s="135"/>
      <c r="J766" s="135"/>
      <c r="K766" s="135"/>
      <c r="L766" s="135"/>
    </row>
    <row r="767" spans="2:12" ht="12" customHeight="1" x14ac:dyDescent="0.15">
      <c r="B767" s="2"/>
      <c r="C767" s="4"/>
      <c r="D767" s="4"/>
      <c r="E767" s="4"/>
      <c r="I767" s="135"/>
      <c r="J767" s="135"/>
      <c r="K767" s="135"/>
      <c r="L767" s="135"/>
    </row>
    <row r="768" spans="2:12" ht="12" customHeight="1" x14ac:dyDescent="0.15">
      <c r="B768" s="2"/>
      <c r="C768" s="4"/>
      <c r="D768" s="4"/>
      <c r="E768" s="4"/>
      <c r="I768" s="135"/>
      <c r="J768" s="135"/>
      <c r="K768" s="135"/>
      <c r="L768" s="135"/>
    </row>
    <row r="769" spans="2:12" ht="12" customHeight="1" x14ac:dyDescent="0.15">
      <c r="B769" s="2"/>
      <c r="C769" s="4"/>
      <c r="D769" s="4"/>
      <c r="E769" s="4"/>
      <c r="I769" s="135"/>
      <c r="J769" s="135"/>
      <c r="K769" s="135"/>
      <c r="L769" s="135"/>
    </row>
    <row r="770" spans="2:12" ht="12" customHeight="1" x14ac:dyDescent="0.15">
      <c r="B770" s="2"/>
      <c r="C770" s="4"/>
      <c r="D770" s="4"/>
      <c r="E770" s="4"/>
      <c r="I770" s="135"/>
      <c r="J770" s="135"/>
      <c r="K770" s="135"/>
      <c r="L770" s="135"/>
    </row>
    <row r="771" spans="2:12" ht="12" customHeight="1" x14ac:dyDescent="0.15">
      <c r="B771" s="2"/>
      <c r="C771" s="4"/>
      <c r="D771" s="4"/>
      <c r="E771" s="4"/>
      <c r="I771" s="135"/>
      <c r="J771" s="135"/>
      <c r="K771" s="135"/>
      <c r="L771" s="135"/>
    </row>
    <row r="772" spans="2:12" ht="12" customHeight="1" x14ac:dyDescent="0.15">
      <c r="B772" s="2"/>
      <c r="C772" s="4"/>
      <c r="D772" s="4"/>
      <c r="E772" s="4"/>
      <c r="I772" s="135"/>
      <c r="J772" s="135"/>
      <c r="K772" s="135"/>
      <c r="L772" s="135"/>
    </row>
    <row r="773" spans="2:12" ht="12" customHeight="1" x14ac:dyDescent="0.15">
      <c r="B773" s="2"/>
      <c r="C773" s="4"/>
      <c r="D773" s="4"/>
      <c r="E773" s="4"/>
      <c r="I773" s="135"/>
      <c r="J773" s="135"/>
      <c r="K773" s="135"/>
      <c r="L773" s="135"/>
    </row>
    <row r="774" spans="2:12" ht="12" customHeight="1" x14ac:dyDescent="0.15">
      <c r="B774" s="2"/>
      <c r="C774" s="4"/>
      <c r="D774" s="4"/>
      <c r="E774" s="4"/>
      <c r="I774" s="135"/>
      <c r="J774" s="135"/>
      <c r="K774" s="135"/>
      <c r="L774" s="135"/>
    </row>
    <row r="775" spans="2:12" ht="12" customHeight="1" x14ac:dyDescent="0.15">
      <c r="B775" s="2"/>
      <c r="C775" s="4"/>
      <c r="D775" s="4"/>
      <c r="E775" s="4"/>
      <c r="I775" s="135"/>
      <c r="J775" s="135"/>
      <c r="K775" s="135"/>
      <c r="L775" s="135"/>
    </row>
    <row r="776" spans="2:12" ht="12" customHeight="1" x14ac:dyDescent="0.15">
      <c r="B776" s="2"/>
      <c r="C776" s="4"/>
      <c r="D776" s="4"/>
      <c r="E776" s="4"/>
      <c r="I776" s="135"/>
      <c r="J776" s="135"/>
      <c r="K776" s="135"/>
      <c r="L776" s="135"/>
    </row>
    <row r="777" spans="2:12" ht="12" customHeight="1" x14ac:dyDescent="0.15">
      <c r="B777" s="2"/>
      <c r="C777" s="4"/>
      <c r="D777" s="4"/>
      <c r="E777" s="4"/>
      <c r="I777" s="135"/>
      <c r="J777" s="135"/>
      <c r="K777" s="135"/>
      <c r="L777" s="135"/>
    </row>
    <row r="778" spans="2:12" ht="12" customHeight="1" x14ac:dyDescent="0.15">
      <c r="B778" s="2"/>
      <c r="C778" s="4"/>
      <c r="D778" s="4"/>
      <c r="E778" s="4"/>
      <c r="I778" s="135"/>
      <c r="J778" s="135"/>
      <c r="K778" s="135"/>
      <c r="L778" s="135"/>
    </row>
    <row r="779" spans="2:12" ht="12" customHeight="1" x14ac:dyDescent="0.15">
      <c r="B779" s="2"/>
      <c r="C779" s="4"/>
      <c r="D779" s="4"/>
      <c r="E779" s="4"/>
      <c r="I779" s="135"/>
      <c r="J779" s="135"/>
      <c r="K779" s="135"/>
      <c r="L779" s="135"/>
    </row>
    <row r="780" spans="2:12" ht="12" customHeight="1" x14ac:dyDescent="0.15">
      <c r="B780" s="2"/>
      <c r="C780" s="4"/>
      <c r="D780" s="4"/>
      <c r="E780" s="4"/>
      <c r="I780" s="135"/>
      <c r="J780" s="135"/>
      <c r="K780" s="135"/>
      <c r="L780" s="135"/>
    </row>
    <row r="781" spans="2:12" ht="12" customHeight="1" x14ac:dyDescent="0.15">
      <c r="B781" s="2"/>
      <c r="C781" s="4"/>
      <c r="D781" s="4"/>
      <c r="E781" s="4"/>
      <c r="I781" s="135"/>
      <c r="J781" s="135"/>
      <c r="K781" s="135"/>
      <c r="L781" s="135"/>
    </row>
    <row r="782" spans="2:12" ht="12" customHeight="1" x14ac:dyDescent="0.15">
      <c r="B782" s="2"/>
      <c r="C782" s="4"/>
      <c r="D782" s="4"/>
      <c r="E782" s="4"/>
      <c r="I782" s="135"/>
      <c r="J782" s="135"/>
      <c r="K782" s="135"/>
      <c r="L782" s="135"/>
    </row>
    <row r="783" spans="2:12" ht="12" customHeight="1" x14ac:dyDescent="0.15">
      <c r="B783" s="2"/>
      <c r="C783" s="4"/>
      <c r="D783" s="4"/>
      <c r="E783" s="4"/>
      <c r="I783" s="135"/>
      <c r="J783" s="135"/>
      <c r="K783" s="135"/>
      <c r="L783" s="135"/>
    </row>
    <row r="784" spans="2:12" ht="12" customHeight="1" x14ac:dyDescent="0.15">
      <c r="B784" s="2"/>
      <c r="C784" s="4"/>
      <c r="D784" s="4"/>
      <c r="E784" s="4"/>
      <c r="I784" s="135"/>
      <c r="J784" s="135"/>
      <c r="K784" s="135"/>
      <c r="L784" s="135"/>
    </row>
    <row r="785" spans="2:12" ht="12" customHeight="1" x14ac:dyDescent="0.15">
      <c r="B785" s="2"/>
      <c r="C785" s="4"/>
      <c r="D785" s="4"/>
      <c r="E785" s="4"/>
      <c r="I785" s="135"/>
      <c r="J785" s="135"/>
      <c r="K785" s="135"/>
      <c r="L785" s="135"/>
    </row>
    <row r="786" spans="2:12" ht="12" customHeight="1" x14ac:dyDescent="0.15">
      <c r="B786" s="2"/>
      <c r="C786" s="4"/>
      <c r="D786" s="4"/>
      <c r="E786" s="4"/>
      <c r="I786" s="135"/>
      <c r="J786" s="135"/>
      <c r="K786" s="135"/>
      <c r="L786" s="135"/>
    </row>
    <row r="787" spans="2:12" ht="12" customHeight="1" x14ac:dyDescent="0.15">
      <c r="B787" s="2"/>
      <c r="C787" s="4"/>
      <c r="D787" s="4"/>
      <c r="E787" s="4"/>
      <c r="I787" s="135"/>
      <c r="J787" s="135"/>
      <c r="K787" s="135"/>
      <c r="L787" s="135"/>
    </row>
    <row r="788" spans="2:12" ht="12" customHeight="1" x14ac:dyDescent="0.15">
      <c r="B788" s="2"/>
      <c r="C788" s="4"/>
      <c r="D788" s="4"/>
      <c r="E788" s="4"/>
      <c r="I788" s="135"/>
      <c r="J788" s="135"/>
      <c r="K788" s="135"/>
      <c r="L788" s="135"/>
    </row>
    <row r="789" spans="2:12" ht="12" customHeight="1" x14ac:dyDescent="0.15">
      <c r="B789" s="2"/>
      <c r="C789" s="4"/>
      <c r="D789" s="4"/>
      <c r="E789" s="4"/>
      <c r="I789" s="135"/>
      <c r="J789" s="135"/>
      <c r="K789" s="135"/>
      <c r="L789" s="135"/>
    </row>
    <row r="790" spans="2:12" ht="12" customHeight="1" x14ac:dyDescent="0.15">
      <c r="B790" s="2"/>
      <c r="C790" s="4"/>
      <c r="D790" s="4"/>
      <c r="E790" s="4"/>
      <c r="I790" s="135"/>
      <c r="J790" s="135"/>
      <c r="K790" s="135"/>
      <c r="L790" s="135"/>
    </row>
    <row r="791" spans="2:12" ht="12" customHeight="1" x14ac:dyDescent="0.15">
      <c r="B791" s="2"/>
      <c r="C791" s="4"/>
      <c r="D791" s="4"/>
      <c r="E791" s="4"/>
      <c r="I791" s="135"/>
      <c r="J791" s="135"/>
      <c r="K791" s="135"/>
      <c r="L791" s="135"/>
    </row>
    <row r="792" spans="2:12" ht="12" customHeight="1" x14ac:dyDescent="0.15">
      <c r="B792" s="2"/>
      <c r="C792" s="4"/>
      <c r="D792" s="4"/>
      <c r="E792" s="4"/>
      <c r="I792" s="135"/>
      <c r="J792" s="135"/>
      <c r="K792" s="135"/>
      <c r="L792" s="135"/>
    </row>
    <row r="793" spans="2:12" ht="12" customHeight="1" x14ac:dyDescent="0.15">
      <c r="B793" s="2"/>
      <c r="C793" s="4"/>
      <c r="D793" s="4"/>
      <c r="E793" s="4"/>
      <c r="I793" s="135"/>
      <c r="J793" s="135"/>
      <c r="K793" s="135"/>
      <c r="L793" s="135"/>
    </row>
    <row r="794" spans="2:12" ht="12" customHeight="1" x14ac:dyDescent="0.15">
      <c r="B794" s="2"/>
      <c r="C794" s="4"/>
      <c r="D794" s="4"/>
      <c r="E794" s="4"/>
      <c r="I794" s="135"/>
      <c r="J794" s="135"/>
      <c r="K794" s="135"/>
      <c r="L794" s="135"/>
    </row>
    <row r="795" spans="2:12" ht="12" customHeight="1" x14ac:dyDescent="0.15">
      <c r="B795" s="2"/>
      <c r="C795" s="4"/>
      <c r="D795" s="4"/>
      <c r="E795" s="4"/>
      <c r="I795" s="135"/>
      <c r="J795" s="135"/>
      <c r="K795" s="135"/>
      <c r="L795" s="135"/>
    </row>
    <row r="796" spans="2:12" ht="12" customHeight="1" x14ac:dyDescent="0.15">
      <c r="B796" s="2"/>
      <c r="C796" s="4"/>
      <c r="D796" s="4"/>
      <c r="E796" s="4"/>
      <c r="I796" s="135"/>
      <c r="J796" s="135"/>
      <c r="K796" s="135"/>
      <c r="L796" s="135"/>
    </row>
    <row r="797" spans="2:12" ht="12" customHeight="1" x14ac:dyDescent="0.15">
      <c r="B797" s="2"/>
      <c r="C797" s="4"/>
      <c r="D797" s="4"/>
      <c r="E797" s="4"/>
      <c r="I797" s="135"/>
      <c r="J797" s="135"/>
      <c r="K797" s="135"/>
      <c r="L797" s="135"/>
    </row>
    <row r="798" spans="2:12" ht="12" customHeight="1" x14ac:dyDescent="0.15">
      <c r="B798" s="2"/>
      <c r="C798" s="4"/>
      <c r="D798" s="4"/>
      <c r="E798" s="4"/>
      <c r="I798" s="135"/>
      <c r="J798" s="135"/>
      <c r="K798" s="135"/>
      <c r="L798" s="135"/>
    </row>
    <row r="799" spans="2:12" ht="12" customHeight="1" x14ac:dyDescent="0.15">
      <c r="B799" s="2"/>
      <c r="C799" s="4"/>
      <c r="D799" s="4"/>
      <c r="E799" s="4"/>
      <c r="I799" s="135"/>
      <c r="J799" s="135"/>
      <c r="K799" s="135"/>
      <c r="L799" s="135"/>
    </row>
    <row r="800" spans="2:12" ht="12" customHeight="1" x14ac:dyDescent="0.15">
      <c r="B800" s="2"/>
      <c r="C800" s="4"/>
      <c r="D800" s="4"/>
      <c r="E800" s="4"/>
      <c r="I800" s="135"/>
      <c r="J800" s="135"/>
      <c r="K800" s="135"/>
      <c r="L800" s="135"/>
    </row>
    <row r="801" spans="2:12" ht="12" customHeight="1" x14ac:dyDescent="0.15">
      <c r="B801" s="2"/>
      <c r="C801" s="4"/>
      <c r="D801" s="4"/>
      <c r="E801" s="4"/>
      <c r="I801" s="135"/>
      <c r="J801" s="135"/>
      <c r="K801" s="135"/>
      <c r="L801" s="135"/>
    </row>
    <row r="802" spans="2:12" ht="12" customHeight="1" x14ac:dyDescent="0.15">
      <c r="B802" s="2"/>
      <c r="C802" s="4"/>
      <c r="D802" s="4"/>
      <c r="E802" s="4"/>
      <c r="I802" s="135"/>
      <c r="J802" s="135"/>
      <c r="K802" s="135"/>
      <c r="L802" s="135"/>
    </row>
    <row r="803" spans="2:12" ht="12" customHeight="1" x14ac:dyDescent="0.15">
      <c r="B803" s="2"/>
      <c r="C803" s="4"/>
      <c r="D803" s="4"/>
      <c r="E803" s="4"/>
      <c r="I803" s="135"/>
      <c r="J803" s="135"/>
      <c r="K803" s="135"/>
      <c r="L803" s="135"/>
    </row>
    <row r="804" spans="2:12" ht="12" customHeight="1" x14ac:dyDescent="0.15">
      <c r="B804" s="2"/>
      <c r="C804" s="4"/>
      <c r="D804" s="4"/>
      <c r="E804" s="4"/>
      <c r="I804" s="135"/>
      <c r="J804" s="135"/>
      <c r="K804" s="135"/>
      <c r="L804" s="135"/>
    </row>
    <row r="805" spans="2:12" ht="12" customHeight="1" x14ac:dyDescent="0.15">
      <c r="B805" s="2"/>
      <c r="C805" s="4"/>
      <c r="D805" s="4"/>
      <c r="E805" s="4"/>
      <c r="I805" s="135"/>
      <c r="J805" s="135"/>
      <c r="K805" s="135"/>
      <c r="L805" s="135"/>
    </row>
    <row r="806" spans="2:12" ht="12" customHeight="1" x14ac:dyDescent="0.15">
      <c r="B806" s="2"/>
      <c r="C806" s="4"/>
      <c r="D806" s="4"/>
      <c r="E806" s="4"/>
      <c r="I806" s="135"/>
      <c r="J806" s="135"/>
      <c r="K806" s="135"/>
      <c r="L806" s="135"/>
    </row>
    <row r="807" spans="2:12" ht="12" customHeight="1" x14ac:dyDescent="0.15">
      <c r="B807" s="2"/>
      <c r="C807" s="4"/>
      <c r="D807" s="4"/>
      <c r="E807" s="4"/>
      <c r="I807" s="135"/>
      <c r="J807" s="135"/>
      <c r="K807" s="135"/>
      <c r="L807" s="135"/>
    </row>
    <row r="808" spans="2:12" ht="12" customHeight="1" x14ac:dyDescent="0.15">
      <c r="B808" s="2"/>
      <c r="C808" s="4"/>
      <c r="D808" s="4"/>
      <c r="E808" s="4"/>
      <c r="I808" s="135"/>
      <c r="J808" s="135"/>
      <c r="K808" s="135"/>
      <c r="L808" s="135"/>
    </row>
    <row r="809" spans="2:12" ht="12" customHeight="1" x14ac:dyDescent="0.15">
      <c r="B809" s="2"/>
      <c r="C809" s="4"/>
      <c r="D809" s="4"/>
      <c r="E809" s="4"/>
      <c r="I809" s="135"/>
      <c r="J809" s="135"/>
      <c r="K809" s="135"/>
      <c r="L809" s="135"/>
    </row>
    <row r="810" spans="2:12" ht="12" customHeight="1" x14ac:dyDescent="0.15">
      <c r="B810" s="2"/>
      <c r="C810" s="4"/>
      <c r="D810" s="4"/>
      <c r="E810" s="4"/>
      <c r="I810" s="135"/>
      <c r="J810" s="135"/>
      <c r="K810" s="135"/>
      <c r="L810" s="135"/>
    </row>
    <row r="811" spans="2:12" ht="12" customHeight="1" x14ac:dyDescent="0.15">
      <c r="B811" s="2"/>
      <c r="C811" s="4"/>
      <c r="D811" s="4"/>
      <c r="E811" s="4"/>
      <c r="I811" s="135"/>
      <c r="J811" s="135"/>
      <c r="K811" s="135"/>
      <c r="L811" s="135"/>
    </row>
    <row r="812" spans="2:12" ht="12" customHeight="1" x14ac:dyDescent="0.15">
      <c r="B812" s="2"/>
      <c r="C812" s="4"/>
      <c r="D812" s="4"/>
      <c r="E812" s="4"/>
      <c r="I812" s="135"/>
      <c r="J812" s="135"/>
      <c r="K812" s="135"/>
      <c r="L812" s="135"/>
    </row>
    <row r="813" spans="2:12" ht="12" customHeight="1" x14ac:dyDescent="0.15">
      <c r="B813" s="2"/>
      <c r="C813" s="4"/>
      <c r="D813" s="4"/>
      <c r="E813" s="4"/>
      <c r="I813" s="135"/>
      <c r="J813" s="135"/>
      <c r="K813" s="135"/>
      <c r="L813" s="135"/>
    </row>
    <row r="814" spans="2:12" ht="12" customHeight="1" x14ac:dyDescent="0.15">
      <c r="B814" s="2"/>
      <c r="C814" s="4"/>
      <c r="D814" s="4"/>
      <c r="E814" s="4"/>
      <c r="I814" s="135"/>
      <c r="J814" s="135"/>
      <c r="K814" s="135"/>
      <c r="L814" s="135"/>
    </row>
    <row r="815" spans="2:12" ht="12" customHeight="1" x14ac:dyDescent="0.15">
      <c r="B815" s="2"/>
      <c r="C815" s="4"/>
      <c r="D815" s="4"/>
      <c r="E815" s="4"/>
      <c r="I815" s="135"/>
      <c r="J815" s="135"/>
      <c r="K815" s="135"/>
      <c r="L815" s="135"/>
    </row>
    <row r="816" spans="2:12" ht="12" customHeight="1" x14ac:dyDescent="0.15">
      <c r="B816" s="2"/>
      <c r="C816" s="4"/>
      <c r="D816" s="4"/>
      <c r="E816" s="4"/>
      <c r="I816" s="135"/>
      <c r="J816" s="135"/>
      <c r="K816" s="135"/>
      <c r="L816" s="135"/>
    </row>
    <row r="817" spans="2:12" ht="12" customHeight="1" x14ac:dyDescent="0.15">
      <c r="B817" s="2"/>
      <c r="C817" s="4"/>
      <c r="D817" s="4"/>
      <c r="E817" s="4"/>
      <c r="I817" s="135"/>
      <c r="J817" s="135"/>
      <c r="K817" s="135"/>
      <c r="L817" s="135"/>
    </row>
    <row r="818" spans="2:12" ht="12" customHeight="1" x14ac:dyDescent="0.15">
      <c r="B818" s="2"/>
      <c r="C818" s="4"/>
      <c r="D818" s="4"/>
      <c r="E818" s="4"/>
      <c r="I818" s="135"/>
      <c r="J818" s="135"/>
      <c r="K818" s="135"/>
      <c r="L818" s="135"/>
    </row>
    <row r="819" spans="2:12" ht="12" customHeight="1" x14ac:dyDescent="0.15">
      <c r="B819" s="2"/>
      <c r="C819" s="4"/>
      <c r="D819" s="4"/>
      <c r="E819" s="4"/>
      <c r="I819" s="135"/>
      <c r="J819" s="135"/>
      <c r="K819" s="135"/>
      <c r="L819" s="135"/>
    </row>
    <row r="820" spans="2:12" ht="12" customHeight="1" x14ac:dyDescent="0.15">
      <c r="B820" s="2"/>
      <c r="C820" s="4"/>
      <c r="D820" s="4"/>
      <c r="E820" s="4"/>
      <c r="I820" s="135"/>
      <c r="J820" s="135"/>
      <c r="K820" s="135"/>
      <c r="L820" s="135"/>
    </row>
    <row r="821" spans="2:12" ht="12" customHeight="1" x14ac:dyDescent="0.15">
      <c r="B821" s="2"/>
      <c r="C821" s="4"/>
      <c r="D821" s="4"/>
      <c r="E821" s="4"/>
      <c r="I821" s="135"/>
      <c r="J821" s="135"/>
      <c r="K821" s="135"/>
      <c r="L821" s="135"/>
    </row>
    <row r="822" spans="2:12" ht="12" customHeight="1" x14ac:dyDescent="0.15">
      <c r="B822" s="2"/>
      <c r="C822" s="4"/>
      <c r="D822" s="4"/>
      <c r="E822" s="4"/>
      <c r="I822" s="135"/>
      <c r="J822" s="135"/>
      <c r="K822" s="135"/>
      <c r="L822" s="135"/>
    </row>
    <row r="823" spans="2:12" ht="12" customHeight="1" x14ac:dyDescent="0.15">
      <c r="B823" s="2"/>
      <c r="C823" s="4"/>
      <c r="D823" s="4"/>
      <c r="E823" s="4"/>
      <c r="I823" s="135"/>
      <c r="J823" s="135"/>
      <c r="K823" s="135"/>
      <c r="L823" s="135"/>
    </row>
    <row r="824" spans="2:12" ht="12" customHeight="1" x14ac:dyDescent="0.15">
      <c r="B824" s="2"/>
      <c r="C824" s="4"/>
      <c r="D824" s="4"/>
      <c r="E824" s="4"/>
      <c r="I824" s="135"/>
      <c r="J824" s="135"/>
      <c r="K824" s="135"/>
      <c r="L824" s="135"/>
    </row>
    <row r="825" spans="2:12" ht="12" customHeight="1" x14ac:dyDescent="0.15">
      <c r="B825" s="2"/>
      <c r="C825" s="4"/>
      <c r="D825" s="4"/>
      <c r="E825" s="4"/>
      <c r="I825" s="135"/>
      <c r="J825" s="135"/>
      <c r="K825" s="135"/>
      <c r="L825" s="135"/>
    </row>
    <row r="826" spans="2:12" ht="12" customHeight="1" x14ac:dyDescent="0.15">
      <c r="B826" s="2"/>
      <c r="C826" s="4"/>
      <c r="D826" s="4"/>
      <c r="E826" s="4"/>
      <c r="I826" s="135"/>
      <c r="J826" s="135"/>
      <c r="K826" s="135"/>
      <c r="L826" s="135"/>
    </row>
    <row r="827" spans="2:12" ht="12" customHeight="1" x14ac:dyDescent="0.15">
      <c r="B827" s="2"/>
      <c r="C827" s="4"/>
      <c r="D827" s="4"/>
      <c r="E827" s="4"/>
      <c r="I827" s="135"/>
      <c r="J827" s="135"/>
      <c r="K827" s="135"/>
      <c r="L827" s="135"/>
    </row>
    <row r="828" spans="2:12" ht="12" customHeight="1" x14ac:dyDescent="0.15">
      <c r="B828" s="2"/>
      <c r="C828" s="4"/>
      <c r="D828" s="4"/>
      <c r="E828" s="4"/>
      <c r="I828" s="135"/>
      <c r="J828" s="135"/>
      <c r="K828" s="135"/>
      <c r="L828" s="135"/>
    </row>
    <row r="829" spans="2:12" ht="12" customHeight="1" x14ac:dyDescent="0.15">
      <c r="B829" s="2"/>
      <c r="C829" s="4"/>
      <c r="D829" s="4"/>
      <c r="E829" s="4"/>
      <c r="I829" s="135"/>
      <c r="J829" s="135"/>
      <c r="K829" s="135"/>
      <c r="L829" s="135"/>
    </row>
    <row r="830" spans="2:12" ht="12" customHeight="1" x14ac:dyDescent="0.15">
      <c r="B830" s="2"/>
      <c r="C830" s="4"/>
      <c r="D830" s="4"/>
      <c r="E830" s="4"/>
      <c r="I830" s="135"/>
      <c r="J830" s="135"/>
      <c r="K830" s="135"/>
      <c r="L830" s="135"/>
    </row>
    <row r="831" spans="2:12" ht="12" customHeight="1" x14ac:dyDescent="0.15">
      <c r="B831" s="2"/>
      <c r="C831" s="4"/>
      <c r="D831" s="4"/>
      <c r="E831" s="4"/>
      <c r="I831" s="135"/>
      <c r="J831" s="135"/>
      <c r="K831" s="135"/>
      <c r="L831" s="135"/>
    </row>
    <row r="832" spans="2:12" ht="12" customHeight="1" x14ac:dyDescent="0.15">
      <c r="B832" s="2"/>
      <c r="C832" s="4"/>
      <c r="D832" s="4"/>
      <c r="E832" s="4"/>
      <c r="I832" s="135"/>
      <c r="J832" s="135"/>
      <c r="K832" s="135"/>
      <c r="L832" s="135"/>
    </row>
    <row r="833" spans="2:12" ht="12" customHeight="1" x14ac:dyDescent="0.15">
      <c r="B833" s="2"/>
      <c r="C833" s="4"/>
      <c r="D833" s="4"/>
      <c r="E833" s="4"/>
      <c r="I833" s="135"/>
      <c r="J833" s="135"/>
      <c r="K833" s="135"/>
      <c r="L833" s="135"/>
    </row>
    <row r="834" spans="2:12" ht="12" customHeight="1" x14ac:dyDescent="0.15">
      <c r="B834" s="2"/>
      <c r="C834" s="4"/>
      <c r="D834" s="4"/>
      <c r="E834" s="4"/>
      <c r="I834" s="135"/>
      <c r="J834" s="135"/>
      <c r="K834" s="135"/>
      <c r="L834" s="135"/>
    </row>
    <row r="835" spans="2:12" ht="12" customHeight="1" x14ac:dyDescent="0.15">
      <c r="B835" s="2"/>
      <c r="C835" s="4"/>
      <c r="D835" s="4"/>
      <c r="E835" s="4"/>
      <c r="I835" s="135"/>
      <c r="J835" s="135"/>
      <c r="K835" s="135"/>
      <c r="L835" s="135"/>
    </row>
    <row r="836" spans="2:12" ht="12" customHeight="1" x14ac:dyDescent="0.15">
      <c r="B836" s="2"/>
      <c r="C836" s="4"/>
      <c r="D836" s="4"/>
      <c r="E836" s="4"/>
      <c r="I836" s="135"/>
      <c r="J836" s="135"/>
      <c r="K836" s="135"/>
      <c r="L836" s="135"/>
    </row>
    <row r="837" spans="2:12" ht="12" customHeight="1" x14ac:dyDescent="0.15">
      <c r="B837" s="2"/>
      <c r="C837" s="4"/>
      <c r="D837" s="4"/>
      <c r="E837" s="4"/>
      <c r="I837" s="135"/>
      <c r="J837" s="135"/>
      <c r="K837" s="135"/>
      <c r="L837" s="135"/>
    </row>
    <row r="838" spans="2:12" ht="12" customHeight="1" x14ac:dyDescent="0.15">
      <c r="B838" s="2"/>
      <c r="C838" s="4"/>
      <c r="D838" s="4"/>
      <c r="E838" s="4"/>
      <c r="I838" s="135"/>
      <c r="J838" s="135"/>
      <c r="K838" s="135"/>
      <c r="L838" s="135"/>
    </row>
    <row r="839" spans="2:12" ht="12" customHeight="1" x14ac:dyDescent="0.15">
      <c r="B839" s="2"/>
      <c r="C839" s="4"/>
      <c r="D839" s="4"/>
      <c r="E839" s="4"/>
      <c r="I839" s="135"/>
      <c r="J839" s="135"/>
      <c r="K839" s="135"/>
      <c r="L839" s="135"/>
    </row>
    <row r="840" spans="2:12" ht="12" customHeight="1" x14ac:dyDescent="0.15">
      <c r="B840" s="2"/>
      <c r="C840" s="4"/>
      <c r="D840" s="4"/>
      <c r="E840" s="4"/>
      <c r="I840" s="135"/>
      <c r="J840" s="135"/>
      <c r="K840" s="135"/>
      <c r="L840" s="135"/>
    </row>
    <row r="841" spans="2:12" ht="12" customHeight="1" x14ac:dyDescent="0.15">
      <c r="B841" s="2"/>
      <c r="C841" s="4"/>
      <c r="D841" s="4"/>
      <c r="E841" s="4"/>
      <c r="I841" s="135"/>
      <c r="J841" s="135"/>
      <c r="K841" s="135"/>
      <c r="L841" s="135"/>
    </row>
    <row r="842" spans="2:12" ht="12" customHeight="1" x14ac:dyDescent="0.15">
      <c r="B842" s="2"/>
      <c r="C842" s="4"/>
      <c r="D842" s="4"/>
      <c r="E842" s="4"/>
      <c r="I842" s="135"/>
      <c r="J842" s="135"/>
      <c r="K842" s="135"/>
      <c r="L842" s="135"/>
    </row>
    <row r="843" spans="2:12" ht="12" customHeight="1" x14ac:dyDescent="0.15">
      <c r="B843" s="2"/>
      <c r="C843" s="4"/>
      <c r="D843" s="4"/>
      <c r="E843" s="4"/>
      <c r="I843" s="135"/>
      <c r="J843" s="135"/>
      <c r="K843" s="135"/>
      <c r="L843" s="135"/>
    </row>
    <row r="844" spans="2:12" ht="12" customHeight="1" x14ac:dyDescent="0.15">
      <c r="B844" s="2"/>
      <c r="C844" s="4"/>
      <c r="D844" s="4"/>
      <c r="E844" s="4"/>
      <c r="I844" s="135"/>
      <c r="J844" s="135"/>
      <c r="K844" s="135"/>
      <c r="L844" s="135"/>
    </row>
    <row r="845" spans="2:12" ht="12" customHeight="1" x14ac:dyDescent="0.15">
      <c r="B845" s="2"/>
      <c r="C845" s="4"/>
      <c r="D845" s="4"/>
      <c r="E845" s="4"/>
      <c r="I845" s="135"/>
      <c r="J845" s="135"/>
      <c r="K845" s="135"/>
      <c r="L845" s="135"/>
    </row>
    <row r="846" spans="2:12" ht="12" customHeight="1" x14ac:dyDescent="0.15">
      <c r="B846" s="2"/>
      <c r="C846" s="4"/>
      <c r="D846" s="4"/>
      <c r="E846" s="4"/>
      <c r="I846" s="135"/>
      <c r="J846" s="135"/>
      <c r="K846" s="135"/>
      <c r="L846" s="135"/>
    </row>
    <row r="847" spans="2:12" ht="12" customHeight="1" x14ac:dyDescent="0.15">
      <c r="B847" s="2"/>
      <c r="C847" s="4"/>
      <c r="D847" s="4"/>
      <c r="E847" s="4"/>
      <c r="I847" s="135"/>
      <c r="J847" s="135"/>
      <c r="K847" s="135"/>
      <c r="L847" s="135"/>
    </row>
    <row r="848" spans="2:12" ht="12" customHeight="1" x14ac:dyDescent="0.15">
      <c r="B848" s="2"/>
      <c r="C848" s="4"/>
      <c r="D848" s="4"/>
      <c r="E848" s="4"/>
      <c r="I848" s="135"/>
      <c r="J848" s="135"/>
      <c r="K848" s="135"/>
      <c r="L848" s="135"/>
    </row>
    <row r="849" spans="2:12" ht="12" customHeight="1" x14ac:dyDescent="0.15">
      <c r="B849" s="2"/>
      <c r="C849" s="4"/>
      <c r="D849" s="4"/>
      <c r="E849" s="4"/>
      <c r="I849" s="135"/>
      <c r="J849" s="135"/>
      <c r="K849" s="135"/>
      <c r="L849" s="135"/>
    </row>
    <row r="850" spans="2:12" ht="12" customHeight="1" x14ac:dyDescent="0.15">
      <c r="B850" s="2"/>
      <c r="C850" s="4"/>
      <c r="D850" s="4"/>
      <c r="E850" s="4"/>
      <c r="I850" s="135"/>
      <c r="J850" s="135"/>
      <c r="K850" s="135"/>
      <c r="L850" s="135"/>
    </row>
    <row r="851" spans="2:12" ht="12" customHeight="1" x14ac:dyDescent="0.15">
      <c r="B851" s="2"/>
      <c r="C851" s="4"/>
      <c r="D851" s="4"/>
      <c r="E851" s="4"/>
      <c r="I851" s="135"/>
      <c r="J851" s="135"/>
      <c r="K851" s="135"/>
      <c r="L851" s="135"/>
    </row>
    <row r="852" spans="2:12" ht="12" customHeight="1" x14ac:dyDescent="0.15">
      <c r="B852" s="2"/>
      <c r="C852" s="4"/>
      <c r="D852" s="4"/>
      <c r="E852" s="4"/>
      <c r="I852" s="135"/>
      <c r="J852" s="135"/>
      <c r="K852" s="135"/>
      <c r="L852" s="135"/>
    </row>
    <row r="853" spans="2:12" ht="12" customHeight="1" x14ac:dyDescent="0.15">
      <c r="B853" s="2"/>
      <c r="C853" s="4"/>
      <c r="D853" s="4"/>
      <c r="E853" s="4"/>
      <c r="I853" s="135"/>
      <c r="J853" s="135"/>
      <c r="K853" s="135"/>
      <c r="L853" s="135"/>
    </row>
    <row r="854" spans="2:12" ht="12" customHeight="1" x14ac:dyDescent="0.15">
      <c r="B854" s="2"/>
      <c r="C854" s="4"/>
      <c r="D854" s="4"/>
      <c r="E854" s="4"/>
      <c r="I854" s="135"/>
      <c r="J854" s="135"/>
      <c r="K854" s="135"/>
      <c r="L854" s="135"/>
    </row>
    <row r="855" spans="2:12" ht="12" customHeight="1" x14ac:dyDescent="0.15">
      <c r="B855" s="2"/>
      <c r="C855" s="4"/>
      <c r="D855" s="4"/>
      <c r="E855" s="4"/>
      <c r="I855" s="135"/>
      <c r="J855" s="135"/>
      <c r="K855" s="135"/>
      <c r="L855" s="135"/>
    </row>
    <row r="856" spans="2:12" ht="12" customHeight="1" x14ac:dyDescent="0.15">
      <c r="B856" s="2"/>
      <c r="C856" s="4"/>
      <c r="D856" s="4"/>
      <c r="E856" s="4"/>
      <c r="I856" s="135"/>
      <c r="J856" s="135"/>
      <c r="K856" s="135"/>
      <c r="L856" s="135"/>
    </row>
    <row r="857" spans="2:12" ht="12" customHeight="1" x14ac:dyDescent="0.15">
      <c r="B857" s="2"/>
      <c r="C857" s="4"/>
      <c r="D857" s="4"/>
      <c r="E857" s="4"/>
      <c r="I857" s="135"/>
      <c r="J857" s="135"/>
      <c r="K857" s="135"/>
      <c r="L857" s="135"/>
    </row>
    <row r="858" spans="2:12" ht="12" customHeight="1" x14ac:dyDescent="0.15">
      <c r="B858" s="2"/>
      <c r="C858" s="4"/>
      <c r="D858" s="4"/>
      <c r="E858" s="4"/>
      <c r="I858" s="135"/>
      <c r="J858" s="135"/>
      <c r="K858" s="135"/>
      <c r="L858" s="135"/>
    </row>
    <row r="859" spans="2:12" ht="12" customHeight="1" x14ac:dyDescent="0.15">
      <c r="B859" s="2"/>
      <c r="C859" s="4"/>
      <c r="D859" s="4"/>
      <c r="E859" s="4"/>
      <c r="I859" s="135"/>
      <c r="J859" s="135"/>
      <c r="K859" s="135"/>
      <c r="L859" s="135"/>
    </row>
    <row r="860" spans="2:12" ht="12" customHeight="1" x14ac:dyDescent="0.15">
      <c r="B860" s="2"/>
      <c r="C860" s="4"/>
      <c r="D860" s="4"/>
      <c r="E860" s="4"/>
      <c r="I860" s="135"/>
      <c r="J860" s="135"/>
      <c r="K860" s="135"/>
      <c r="L860" s="135"/>
    </row>
    <row r="861" spans="2:12" ht="12" customHeight="1" x14ac:dyDescent="0.15">
      <c r="B861" s="2"/>
      <c r="C861" s="4"/>
      <c r="D861" s="4"/>
      <c r="E861" s="4"/>
      <c r="I861" s="135"/>
      <c r="J861" s="135"/>
      <c r="K861" s="135"/>
      <c r="L861" s="135"/>
    </row>
    <row r="862" spans="2:12" ht="12" customHeight="1" x14ac:dyDescent="0.15">
      <c r="B862" s="2"/>
      <c r="C862" s="4"/>
      <c r="D862" s="4"/>
      <c r="E862" s="4"/>
      <c r="I862" s="135"/>
      <c r="J862" s="135"/>
      <c r="K862" s="135"/>
      <c r="L862" s="135"/>
    </row>
    <row r="863" spans="2:12" ht="12" customHeight="1" x14ac:dyDescent="0.15">
      <c r="B863" s="2"/>
      <c r="C863" s="4"/>
      <c r="D863" s="4"/>
      <c r="E863" s="4"/>
      <c r="I863" s="135"/>
      <c r="J863" s="135"/>
      <c r="K863" s="135"/>
      <c r="L863" s="135"/>
    </row>
    <row r="864" spans="2:12" ht="12" customHeight="1" x14ac:dyDescent="0.15">
      <c r="B864" s="2"/>
      <c r="C864" s="4"/>
      <c r="D864" s="4"/>
      <c r="E864" s="4"/>
      <c r="I864" s="135"/>
      <c r="J864" s="135"/>
      <c r="K864" s="135"/>
      <c r="L864" s="135"/>
    </row>
    <row r="865" spans="2:12" ht="12" customHeight="1" x14ac:dyDescent="0.15">
      <c r="B865" s="2"/>
      <c r="C865" s="4"/>
      <c r="D865" s="4"/>
      <c r="E865" s="4"/>
      <c r="I865" s="135"/>
      <c r="J865" s="135"/>
      <c r="K865" s="135"/>
      <c r="L865" s="135"/>
    </row>
    <row r="866" spans="2:12" ht="12" customHeight="1" x14ac:dyDescent="0.15">
      <c r="B866" s="2"/>
      <c r="C866" s="4"/>
      <c r="D866" s="4"/>
      <c r="E866" s="4"/>
      <c r="I866" s="135"/>
      <c r="J866" s="135"/>
      <c r="K866" s="135"/>
      <c r="L866" s="135"/>
    </row>
    <row r="867" spans="2:12" ht="12" customHeight="1" x14ac:dyDescent="0.15">
      <c r="B867" s="2"/>
      <c r="C867" s="4"/>
      <c r="D867" s="4"/>
      <c r="E867" s="4"/>
      <c r="I867" s="135"/>
      <c r="J867" s="135"/>
      <c r="K867" s="135"/>
      <c r="L867" s="135"/>
    </row>
    <row r="868" spans="2:12" ht="12" customHeight="1" x14ac:dyDescent="0.15">
      <c r="B868" s="2"/>
      <c r="C868" s="4"/>
      <c r="D868" s="4"/>
      <c r="E868" s="4"/>
      <c r="I868" s="135"/>
      <c r="J868" s="135"/>
      <c r="K868" s="135"/>
      <c r="L868" s="135"/>
    </row>
    <row r="869" spans="2:12" ht="12" customHeight="1" x14ac:dyDescent="0.15">
      <c r="B869" s="2"/>
      <c r="C869" s="4"/>
      <c r="D869" s="4"/>
      <c r="E869" s="4"/>
      <c r="I869" s="135"/>
      <c r="J869" s="135"/>
      <c r="K869" s="135"/>
      <c r="L869" s="135"/>
    </row>
    <row r="870" spans="2:12" ht="12" customHeight="1" x14ac:dyDescent="0.15">
      <c r="B870" s="2"/>
      <c r="C870" s="4"/>
      <c r="D870" s="4"/>
      <c r="E870" s="4"/>
      <c r="I870" s="135"/>
      <c r="J870" s="135"/>
      <c r="K870" s="135"/>
      <c r="L870" s="135"/>
    </row>
    <row r="871" spans="2:12" ht="12" customHeight="1" x14ac:dyDescent="0.15">
      <c r="B871" s="2"/>
      <c r="C871" s="4"/>
      <c r="D871" s="4"/>
      <c r="E871" s="4"/>
      <c r="I871" s="135"/>
      <c r="J871" s="135"/>
      <c r="K871" s="135"/>
      <c r="L871" s="135"/>
    </row>
    <row r="872" spans="2:12" ht="12" customHeight="1" x14ac:dyDescent="0.15">
      <c r="B872" s="2"/>
      <c r="C872" s="4"/>
      <c r="D872" s="4"/>
      <c r="E872" s="4"/>
      <c r="I872" s="135"/>
      <c r="J872" s="135"/>
      <c r="K872" s="135"/>
      <c r="L872" s="135"/>
    </row>
    <row r="873" spans="2:12" ht="12" customHeight="1" x14ac:dyDescent="0.15">
      <c r="B873" s="2"/>
      <c r="C873" s="4"/>
      <c r="D873" s="4"/>
      <c r="E873" s="4"/>
      <c r="I873" s="135"/>
      <c r="J873" s="135"/>
      <c r="K873" s="135"/>
      <c r="L873" s="135"/>
    </row>
    <row r="874" spans="2:12" ht="12" customHeight="1" x14ac:dyDescent="0.15">
      <c r="B874" s="2"/>
      <c r="C874" s="4"/>
      <c r="D874" s="4"/>
      <c r="E874" s="4"/>
      <c r="I874" s="135"/>
      <c r="J874" s="135"/>
      <c r="K874" s="135"/>
      <c r="L874" s="135"/>
    </row>
    <row r="875" spans="2:12" ht="12" customHeight="1" x14ac:dyDescent="0.15">
      <c r="B875" s="2"/>
      <c r="C875" s="4"/>
      <c r="D875" s="4"/>
      <c r="E875" s="4"/>
      <c r="I875" s="135"/>
      <c r="J875" s="135"/>
      <c r="K875" s="135"/>
      <c r="L875" s="135"/>
    </row>
    <row r="876" spans="2:12" ht="12" customHeight="1" x14ac:dyDescent="0.15">
      <c r="B876" s="2"/>
      <c r="C876" s="4"/>
      <c r="D876" s="4"/>
      <c r="E876" s="4"/>
      <c r="I876" s="135"/>
      <c r="J876" s="135"/>
      <c r="K876" s="135"/>
      <c r="L876" s="135"/>
    </row>
    <row r="877" spans="2:12" ht="12" customHeight="1" x14ac:dyDescent="0.15">
      <c r="B877" s="2"/>
      <c r="C877" s="4"/>
      <c r="D877" s="4"/>
      <c r="E877" s="4"/>
      <c r="I877" s="135"/>
      <c r="J877" s="135"/>
      <c r="K877" s="135"/>
      <c r="L877" s="135"/>
    </row>
    <row r="878" spans="2:12" ht="12" customHeight="1" x14ac:dyDescent="0.15">
      <c r="B878" s="2"/>
      <c r="C878" s="4"/>
      <c r="D878" s="4"/>
      <c r="E878" s="4"/>
      <c r="I878" s="135"/>
      <c r="J878" s="135"/>
      <c r="K878" s="135"/>
      <c r="L878" s="135"/>
    </row>
    <row r="879" spans="2:12" ht="12" customHeight="1" x14ac:dyDescent="0.15">
      <c r="B879" s="2"/>
      <c r="C879" s="4"/>
      <c r="D879" s="4"/>
      <c r="E879" s="4"/>
      <c r="I879" s="135"/>
      <c r="J879" s="135"/>
      <c r="K879" s="135"/>
      <c r="L879" s="135"/>
    </row>
    <row r="880" spans="2:12" ht="12" customHeight="1" x14ac:dyDescent="0.15">
      <c r="B880" s="2"/>
      <c r="C880" s="4"/>
      <c r="D880" s="4"/>
      <c r="E880" s="4"/>
      <c r="I880" s="135"/>
      <c r="J880" s="135"/>
      <c r="K880" s="135"/>
      <c r="L880" s="135"/>
    </row>
    <row r="881" spans="2:12" ht="12" customHeight="1" x14ac:dyDescent="0.15">
      <c r="B881" s="2"/>
      <c r="C881" s="4"/>
      <c r="D881" s="4"/>
      <c r="E881" s="4"/>
      <c r="I881" s="135"/>
      <c r="J881" s="135"/>
      <c r="K881" s="135"/>
      <c r="L881" s="135"/>
    </row>
    <row r="882" spans="2:12" ht="12" customHeight="1" x14ac:dyDescent="0.15">
      <c r="B882" s="2"/>
      <c r="C882" s="4"/>
      <c r="D882" s="4"/>
      <c r="E882" s="4"/>
      <c r="I882" s="135"/>
      <c r="J882" s="135"/>
      <c r="K882" s="135"/>
      <c r="L882" s="135"/>
    </row>
    <row r="883" spans="2:12" ht="12" customHeight="1" x14ac:dyDescent="0.15">
      <c r="B883" s="2"/>
      <c r="C883" s="4"/>
      <c r="D883" s="4"/>
      <c r="E883" s="4"/>
      <c r="I883" s="135"/>
      <c r="J883" s="135"/>
      <c r="K883" s="135"/>
      <c r="L883" s="135"/>
    </row>
    <row r="884" spans="2:12" ht="12" customHeight="1" x14ac:dyDescent="0.15">
      <c r="B884" s="2"/>
      <c r="C884" s="4"/>
      <c r="D884" s="4"/>
      <c r="E884" s="4"/>
      <c r="I884" s="135"/>
      <c r="J884" s="135"/>
      <c r="K884" s="135"/>
      <c r="L884" s="135"/>
    </row>
    <row r="885" spans="2:12" ht="12" customHeight="1" x14ac:dyDescent="0.15">
      <c r="B885" s="2"/>
      <c r="C885" s="4"/>
      <c r="D885" s="4"/>
      <c r="E885" s="4"/>
      <c r="I885" s="135"/>
      <c r="J885" s="135"/>
      <c r="K885" s="135"/>
      <c r="L885" s="135"/>
    </row>
    <row r="886" spans="2:12" ht="12" customHeight="1" x14ac:dyDescent="0.15">
      <c r="B886" s="2"/>
      <c r="C886" s="4"/>
      <c r="D886" s="4"/>
      <c r="E886" s="4"/>
      <c r="I886" s="135"/>
      <c r="J886" s="135"/>
      <c r="K886" s="135"/>
      <c r="L886" s="135"/>
    </row>
    <row r="887" spans="2:12" ht="12" customHeight="1" x14ac:dyDescent="0.15">
      <c r="B887" s="2"/>
      <c r="C887" s="4"/>
      <c r="D887" s="4"/>
      <c r="E887" s="4"/>
      <c r="I887" s="135"/>
      <c r="J887" s="135"/>
      <c r="K887" s="135"/>
      <c r="L887" s="135"/>
    </row>
    <row r="888" spans="2:12" ht="12" customHeight="1" x14ac:dyDescent="0.15">
      <c r="B888" s="2"/>
      <c r="C888" s="4"/>
      <c r="D888" s="4"/>
      <c r="E888" s="4"/>
      <c r="I888" s="135"/>
      <c r="J888" s="135"/>
      <c r="K888" s="135"/>
      <c r="L888" s="135"/>
    </row>
    <row r="889" spans="2:12" ht="12" customHeight="1" x14ac:dyDescent="0.15">
      <c r="B889" s="2"/>
      <c r="C889" s="4"/>
      <c r="D889" s="4"/>
      <c r="E889" s="4"/>
      <c r="I889" s="135"/>
      <c r="J889" s="135"/>
      <c r="K889" s="135"/>
      <c r="L889" s="135"/>
    </row>
    <row r="890" spans="2:12" ht="12" customHeight="1" x14ac:dyDescent="0.15">
      <c r="B890" s="2"/>
      <c r="C890" s="4"/>
      <c r="D890" s="4"/>
      <c r="E890" s="4"/>
      <c r="I890" s="135"/>
      <c r="J890" s="135"/>
      <c r="K890" s="135"/>
      <c r="L890" s="135"/>
    </row>
    <row r="891" spans="2:12" ht="12" customHeight="1" x14ac:dyDescent="0.15">
      <c r="B891" s="2"/>
      <c r="C891" s="4"/>
      <c r="D891" s="4"/>
      <c r="E891" s="4"/>
      <c r="I891" s="135"/>
      <c r="J891" s="135"/>
      <c r="K891" s="135"/>
      <c r="L891" s="135"/>
    </row>
    <row r="892" spans="2:12" ht="12" customHeight="1" x14ac:dyDescent="0.15">
      <c r="B892" s="2"/>
      <c r="C892" s="4"/>
      <c r="D892" s="4"/>
      <c r="E892" s="4"/>
      <c r="I892" s="135"/>
      <c r="J892" s="135"/>
      <c r="K892" s="135"/>
      <c r="L892" s="135"/>
    </row>
    <row r="893" spans="2:12" ht="12" customHeight="1" x14ac:dyDescent="0.15">
      <c r="B893" s="2"/>
      <c r="C893" s="4"/>
      <c r="D893" s="4"/>
      <c r="E893" s="4"/>
      <c r="I893" s="135"/>
      <c r="J893" s="135"/>
      <c r="K893" s="135"/>
      <c r="L893" s="135"/>
    </row>
    <row r="894" spans="2:12" ht="12" customHeight="1" x14ac:dyDescent="0.15">
      <c r="B894" s="2"/>
      <c r="C894" s="4"/>
      <c r="D894" s="4"/>
      <c r="E894" s="4"/>
      <c r="I894" s="135"/>
      <c r="J894" s="135"/>
      <c r="K894" s="135"/>
      <c r="L894" s="135"/>
    </row>
    <row r="895" spans="2:12" ht="12" customHeight="1" x14ac:dyDescent="0.15">
      <c r="B895" s="2"/>
      <c r="C895" s="4"/>
      <c r="D895" s="4"/>
      <c r="E895" s="4"/>
      <c r="I895" s="135"/>
      <c r="J895" s="135"/>
      <c r="K895" s="135"/>
      <c r="L895" s="135"/>
    </row>
    <row r="896" spans="2:12" ht="12" customHeight="1" x14ac:dyDescent="0.15">
      <c r="B896" s="2"/>
      <c r="C896" s="4"/>
      <c r="D896" s="4"/>
      <c r="E896" s="4"/>
      <c r="I896" s="135"/>
      <c r="J896" s="135"/>
      <c r="K896" s="135"/>
      <c r="L896" s="135"/>
    </row>
    <row r="897" spans="2:12" ht="12" customHeight="1" x14ac:dyDescent="0.15">
      <c r="B897" s="2"/>
      <c r="C897" s="4"/>
      <c r="D897" s="4"/>
      <c r="E897" s="4"/>
      <c r="I897" s="135"/>
      <c r="J897" s="135"/>
      <c r="K897" s="135"/>
      <c r="L897" s="135"/>
    </row>
    <row r="898" spans="2:12" ht="12" customHeight="1" x14ac:dyDescent="0.15">
      <c r="B898" s="2"/>
      <c r="C898" s="4"/>
      <c r="D898" s="4"/>
      <c r="E898" s="4"/>
      <c r="I898" s="135"/>
      <c r="J898" s="135"/>
      <c r="K898" s="135"/>
      <c r="L898" s="135"/>
    </row>
    <row r="899" spans="2:12" ht="12" customHeight="1" x14ac:dyDescent="0.15">
      <c r="B899" s="2"/>
      <c r="C899" s="4"/>
      <c r="D899" s="4"/>
      <c r="E899" s="4"/>
      <c r="I899" s="135"/>
      <c r="J899" s="135"/>
      <c r="K899" s="135"/>
      <c r="L899" s="135"/>
    </row>
    <row r="900" spans="2:12" ht="12" customHeight="1" x14ac:dyDescent="0.15">
      <c r="B900" s="2"/>
      <c r="C900" s="4"/>
      <c r="D900" s="4"/>
      <c r="E900" s="4"/>
      <c r="I900" s="135"/>
      <c r="J900" s="135"/>
      <c r="K900" s="135"/>
      <c r="L900" s="135"/>
    </row>
    <row r="901" spans="2:12" ht="12" customHeight="1" x14ac:dyDescent="0.15">
      <c r="B901" s="2"/>
      <c r="C901" s="4"/>
      <c r="D901" s="4"/>
      <c r="E901" s="4"/>
      <c r="I901" s="135"/>
      <c r="J901" s="135"/>
      <c r="K901" s="135"/>
      <c r="L901" s="135"/>
    </row>
    <row r="902" spans="2:12" ht="12" customHeight="1" x14ac:dyDescent="0.15">
      <c r="B902" s="2"/>
      <c r="C902" s="4"/>
      <c r="D902" s="4"/>
      <c r="E902" s="4"/>
      <c r="I902" s="135"/>
      <c r="J902" s="135"/>
      <c r="K902" s="135"/>
      <c r="L902" s="135"/>
    </row>
    <row r="903" spans="2:12" ht="12" customHeight="1" x14ac:dyDescent="0.15">
      <c r="B903" s="2"/>
      <c r="C903" s="4"/>
      <c r="D903" s="4"/>
      <c r="E903" s="4"/>
      <c r="I903" s="135"/>
      <c r="J903" s="135"/>
      <c r="K903" s="135"/>
      <c r="L903" s="135"/>
    </row>
    <row r="904" spans="2:12" ht="12" customHeight="1" x14ac:dyDescent="0.15">
      <c r="B904" s="2"/>
      <c r="C904" s="4"/>
      <c r="D904" s="4"/>
      <c r="E904" s="4"/>
      <c r="I904" s="135"/>
      <c r="J904" s="135"/>
      <c r="K904" s="135"/>
      <c r="L904" s="135"/>
    </row>
    <row r="905" spans="2:12" ht="12" customHeight="1" x14ac:dyDescent="0.15">
      <c r="B905" s="2"/>
      <c r="C905" s="4"/>
      <c r="D905" s="4"/>
      <c r="E905" s="4"/>
      <c r="I905" s="135"/>
      <c r="J905" s="135"/>
      <c r="K905" s="135"/>
      <c r="L905" s="135"/>
    </row>
    <row r="906" spans="2:12" ht="12" customHeight="1" x14ac:dyDescent="0.15">
      <c r="B906" s="2"/>
      <c r="C906" s="4"/>
      <c r="D906" s="4"/>
      <c r="E906" s="4"/>
      <c r="I906" s="135"/>
      <c r="J906" s="135"/>
      <c r="K906" s="135"/>
      <c r="L906" s="135"/>
    </row>
    <row r="907" spans="2:12" ht="12" customHeight="1" x14ac:dyDescent="0.15">
      <c r="B907" s="2"/>
      <c r="C907" s="4"/>
      <c r="D907" s="4"/>
      <c r="E907" s="4"/>
      <c r="I907" s="135"/>
      <c r="J907" s="135"/>
      <c r="K907" s="135"/>
      <c r="L907" s="135"/>
    </row>
    <row r="908" spans="2:12" ht="12" customHeight="1" x14ac:dyDescent="0.15">
      <c r="B908" s="2"/>
      <c r="C908" s="4"/>
      <c r="D908" s="4"/>
      <c r="E908" s="4"/>
      <c r="I908" s="135"/>
      <c r="J908" s="135"/>
      <c r="K908" s="135"/>
      <c r="L908" s="135"/>
    </row>
    <row r="909" spans="2:12" ht="12" customHeight="1" x14ac:dyDescent="0.15">
      <c r="B909" s="2"/>
      <c r="C909" s="4"/>
      <c r="D909" s="4"/>
      <c r="E909" s="4"/>
      <c r="I909" s="135"/>
      <c r="J909" s="135"/>
      <c r="K909" s="135"/>
      <c r="L909" s="135"/>
    </row>
    <row r="910" spans="2:12" ht="12" customHeight="1" x14ac:dyDescent="0.15">
      <c r="B910" s="2"/>
      <c r="C910" s="4"/>
      <c r="D910" s="4"/>
      <c r="E910" s="4"/>
      <c r="I910" s="135"/>
      <c r="J910" s="135"/>
      <c r="K910" s="135"/>
      <c r="L910" s="135"/>
    </row>
    <row r="911" spans="2:12" ht="12" customHeight="1" x14ac:dyDescent="0.15">
      <c r="B911" s="2"/>
      <c r="C911" s="4"/>
      <c r="D911" s="4"/>
      <c r="E911" s="4"/>
      <c r="I911" s="135"/>
      <c r="J911" s="135"/>
      <c r="K911" s="135"/>
      <c r="L911" s="135"/>
    </row>
    <row r="912" spans="2:12" ht="12" customHeight="1" x14ac:dyDescent="0.15">
      <c r="B912" s="2"/>
      <c r="C912" s="4"/>
      <c r="D912" s="4"/>
      <c r="E912" s="4"/>
      <c r="I912" s="135"/>
      <c r="J912" s="135"/>
      <c r="K912" s="135"/>
      <c r="L912" s="135"/>
    </row>
    <row r="913" spans="2:12" ht="12" customHeight="1" x14ac:dyDescent="0.15">
      <c r="B913" s="2"/>
      <c r="C913" s="4"/>
      <c r="D913" s="4"/>
      <c r="E913" s="4"/>
      <c r="I913" s="135"/>
      <c r="J913" s="135"/>
      <c r="K913" s="135"/>
      <c r="L913" s="135"/>
    </row>
    <row r="914" spans="2:12" ht="12" customHeight="1" x14ac:dyDescent="0.15">
      <c r="B914" s="2"/>
      <c r="C914" s="4"/>
      <c r="D914" s="4"/>
      <c r="E914" s="4"/>
      <c r="I914" s="135"/>
      <c r="J914" s="135"/>
      <c r="K914" s="135"/>
      <c r="L914" s="135"/>
    </row>
    <row r="915" spans="2:12" ht="12" customHeight="1" x14ac:dyDescent="0.15">
      <c r="B915" s="2"/>
      <c r="C915" s="4"/>
      <c r="D915" s="4"/>
      <c r="E915" s="4"/>
      <c r="I915" s="135"/>
      <c r="J915" s="135"/>
      <c r="K915" s="135"/>
      <c r="L915" s="135"/>
    </row>
    <row r="916" spans="2:12" ht="12" customHeight="1" x14ac:dyDescent="0.15">
      <c r="B916" s="2"/>
      <c r="C916" s="4"/>
      <c r="D916" s="4"/>
      <c r="E916" s="4"/>
      <c r="I916" s="135"/>
      <c r="J916" s="135"/>
      <c r="K916" s="135"/>
      <c r="L916" s="135"/>
    </row>
    <row r="917" spans="2:12" ht="12" customHeight="1" x14ac:dyDescent="0.15">
      <c r="B917" s="2"/>
      <c r="C917" s="4"/>
      <c r="D917" s="4"/>
      <c r="E917" s="4"/>
      <c r="I917" s="135"/>
      <c r="J917" s="135"/>
      <c r="K917" s="135"/>
      <c r="L917" s="135"/>
    </row>
    <row r="918" spans="2:12" ht="12" customHeight="1" x14ac:dyDescent="0.15">
      <c r="B918" s="2"/>
      <c r="C918" s="4"/>
      <c r="D918" s="4"/>
      <c r="E918" s="4"/>
      <c r="I918" s="135"/>
      <c r="J918" s="135"/>
      <c r="K918" s="135"/>
      <c r="L918" s="135"/>
    </row>
    <row r="919" spans="2:12" ht="12" customHeight="1" x14ac:dyDescent="0.15">
      <c r="B919" s="2"/>
      <c r="C919" s="4"/>
      <c r="D919" s="4"/>
      <c r="E919" s="4"/>
      <c r="I919" s="135"/>
      <c r="J919" s="135"/>
      <c r="K919" s="135"/>
      <c r="L919" s="135"/>
    </row>
    <row r="920" spans="2:12" ht="12" customHeight="1" x14ac:dyDescent="0.15">
      <c r="B920" s="2"/>
      <c r="C920" s="4"/>
      <c r="D920" s="4"/>
      <c r="E920" s="4"/>
      <c r="I920" s="135"/>
      <c r="J920" s="135"/>
      <c r="K920" s="135"/>
      <c r="L920" s="135"/>
    </row>
    <row r="921" spans="2:12" ht="12" customHeight="1" x14ac:dyDescent="0.15">
      <c r="B921" s="2"/>
      <c r="C921" s="4"/>
      <c r="D921" s="4"/>
      <c r="E921" s="4"/>
      <c r="I921" s="135"/>
      <c r="J921" s="135"/>
      <c r="K921" s="135"/>
      <c r="L921" s="135"/>
    </row>
    <row r="922" spans="2:12" ht="12" customHeight="1" x14ac:dyDescent="0.15">
      <c r="B922" s="2"/>
      <c r="C922" s="4"/>
      <c r="D922" s="4"/>
      <c r="E922" s="4"/>
      <c r="I922" s="135"/>
      <c r="J922" s="135"/>
      <c r="K922" s="135"/>
      <c r="L922" s="135"/>
    </row>
    <row r="923" spans="2:12" ht="12" customHeight="1" x14ac:dyDescent="0.15">
      <c r="B923" s="2"/>
      <c r="C923" s="4"/>
      <c r="D923" s="4"/>
      <c r="E923" s="4"/>
      <c r="I923" s="135"/>
      <c r="J923" s="135"/>
      <c r="K923" s="135"/>
      <c r="L923" s="135"/>
    </row>
    <row r="924" spans="2:12" ht="12" customHeight="1" x14ac:dyDescent="0.15">
      <c r="B924" s="2"/>
      <c r="C924" s="4"/>
      <c r="D924" s="4"/>
      <c r="E924" s="4"/>
      <c r="I924" s="135"/>
      <c r="J924" s="135"/>
      <c r="K924" s="135"/>
      <c r="L924" s="135"/>
    </row>
    <row r="925" spans="2:12" ht="12" customHeight="1" x14ac:dyDescent="0.15">
      <c r="B925" s="2"/>
      <c r="C925" s="4"/>
      <c r="D925" s="4"/>
      <c r="E925" s="4"/>
      <c r="I925" s="135"/>
      <c r="J925" s="135"/>
      <c r="K925" s="135"/>
      <c r="L925" s="135"/>
    </row>
    <row r="926" spans="2:12" ht="12" customHeight="1" x14ac:dyDescent="0.15">
      <c r="B926" s="2"/>
      <c r="C926" s="4"/>
      <c r="D926" s="4"/>
      <c r="E926" s="4"/>
      <c r="I926" s="135"/>
      <c r="J926" s="135"/>
      <c r="K926" s="135"/>
      <c r="L926" s="135"/>
    </row>
    <row r="927" spans="2:12" ht="12" customHeight="1" x14ac:dyDescent="0.15">
      <c r="B927" s="2"/>
      <c r="C927" s="4"/>
      <c r="D927" s="4"/>
      <c r="E927" s="4"/>
      <c r="I927" s="135"/>
      <c r="J927" s="135"/>
      <c r="K927" s="135"/>
      <c r="L927" s="135"/>
    </row>
    <row r="928" spans="2:12" ht="12" customHeight="1" x14ac:dyDescent="0.15">
      <c r="B928" s="2"/>
      <c r="C928" s="4"/>
      <c r="D928" s="4"/>
      <c r="E928" s="4"/>
      <c r="I928" s="135"/>
      <c r="J928" s="135"/>
      <c r="K928" s="135"/>
      <c r="L928" s="135"/>
    </row>
    <row r="929" spans="2:12" ht="12" customHeight="1" x14ac:dyDescent="0.15">
      <c r="B929" s="2"/>
      <c r="C929" s="4"/>
      <c r="D929" s="4"/>
      <c r="E929" s="4"/>
      <c r="I929" s="135"/>
      <c r="J929" s="135"/>
      <c r="K929" s="135"/>
      <c r="L929" s="135"/>
    </row>
    <row r="930" spans="2:12" ht="12" customHeight="1" x14ac:dyDescent="0.15">
      <c r="B930" s="2"/>
      <c r="C930" s="4"/>
      <c r="D930" s="4"/>
      <c r="E930" s="4"/>
      <c r="I930" s="135"/>
      <c r="J930" s="135"/>
      <c r="K930" s="135"/>
      <c r="L930" s="135"/>
    </row>
    <row r="931" spans="2:12" ht="12" customHeight="1" x14ac:dyDescent="0.15">
      <c r="B931" s="2"/>
      <c r="C931" s="4"/>
      <c r="D931" s="4"/>
      <c r="E931" s="4"/>
      <c r="I931" s="135"/>
      <c r="J931" s="135"/>
      <c r="K931" s="135"/>
      <c r="L931" s="135"/>
    </row>
    <row r="932" spans="2:12" ht="12" customHeight="1" x14ac:dyDescent="0.15">
      <c r="B932" s="2"/>
      <c r="C932" s="4"/>
      <c r="D932" s="4"/>
      <c r="E932" s="4"/>
      <c r="I932" s="135"/>
      <c r="J932" s="135"/>
      <c r="K932" s="135"/>
      <c r="L932" s="135"/>
    </row>
    <row r="933" spans="2:12" ht="12" customHeight="1" x14ac:dyDescent="0.15">
      <c r="B933" s="2"/>
      <c r="C933" s="4"/>
      <c r="D933" s="4"/>
      <c r="E933" s="4"/>
      <c r="I933" s="135"/>
      <c r="J933" s="135"/>
      <c r="K933" s="135"/>
      <c r="L933" s="135"/>
    </row>
    <row r="934" spans="2:12" ht="12" customHeight="1" x14ac:dyDescent="0.15">
      <c r="B934" s="2"/>
      <c r="C934" s="4"/>
      <c r="D934" s="4"/>
      <c r="E934" s="4"/>
      <c r="I934" s="135"/>
      <c r="J934" s="135"/>
      <c r="K934" s="135"/>
      <c r="L934" s="135"/>
    </row>
    <row r="935" spans="2:12" ht="12" customHeight="1" x14ac:dyDescent="0.15">
      <c r="B935" s="2"/>
      <c r="C935" s="4"/>
      <c r="D935" s="4"/>
      <c r="E935" s="4"/>
      <c r="I935" s="135"/>
      <c r="J935" s="135"/>
      <c r="K935" s="135"/>
      <c r="L935" s="135"/>
    </row>
    <row r="936" spans="2:12" ht="12" customHeight="1" x14ac:dyDescent="0.15">
      <c r="B936" s="2"/>
      <c r="C936" s="4"/>
      <c r="D936" s="4"/>
      <c r="E936" s="4"/>
      <c r="I936" s="135"/>
      <c r="J936" s="135"/>
      <c r="K936" s="135"/>
      <c r="L936" s="135"/>
    </row>
    <row r="937" spans="2:12" ht="12" customHeight="1" x14ac:dyDescent="0.15">
      <c r="B937" s="2"/>
      <c r="C937" s="4"/>
      <c r="D937" s="4"/>
      <c r="E937" s="4"/>
      <c r="I937" s="135"/>
      <c r="J937" s="135"/>
      <c r="K937" s="135"/>
      <c r="L937" s="135"/>
    </row>
    <row r="938" spans="2:12" ht="12" customHeight="1" x14ac:dyDescent="0.15">
      <c r="B938" s="2"/>
      <c r="C938" s="4"/>
      <c r="D938" s="4"/>
      <c r="E938" s="4"/>
      <c r="I938" s="135"/>
      <c r="J938" s="135"/>
      <c r="K938" s="135"/>
      <c r="L938" s="135"/>
    </row>
    <row r="939" spans="2:12" ht="12" customHeight="1" x14ac:dyDescent="0.15">
      <c r="B939" s="2"/>
      <c r="C939" s="4"/>
      <c r="D939" s="4"/>
      <c r="E939" s="4"/>
      <c r="I939" s="135"/>
      <c r="J939" s="135"/>
      <c r="K939" s="135"/>
      <c r="L939" s="135"/>
    </row>
    <row r="940" spans="2:12" ht="12" customHeight="1" x14ac:dyDescent="0.15">
      <c r="B940" s="2"/>
      <c r="C940" s="4"/>
      <c r="D940" s="4"/>
      <c r="E940" s="4"/>
      <c r="I940" s="135"/>
      <c r="J940" s="135"/>
      <c r="K940" s="135"/>
      <c r="L940" s="135"/>
    </row>
    <row r="941" spans="2:12" ht="12" customHeight="1" x14ac:dyDescent="0.15">
      <c r="B941" s="2"/>
      <c r="C941" s="4"/>
      <c r="D941" s="4"/>
      <c r="E941" s="4"/>
      <c r="I941" s="135"/>
      <c r="J941" s="135"/>
      <c r="K941" s="135"/>
      <c r="L941" s="135"/>
    </row>
    <row r="942" spans="2:12" ht="12" customHeight="1" x14ac:dyDescent="0.15">
      <c r="B942" s="2"/>
      <c r="C942" s="4"/>
      <c r="D942" s="4"/>
      <c r="E942" s="4"/>
      <c r="I942" s="135"/>
      <c r="J942" s="135"/>
      <c r="K942" s="135"/>
      <c r="L942" s="135"/>
    </row>
    <row r="943" spans="2:12" ht="12" customHeight="1" x14ac:dyDescent="0.15">
      <c r="B943" s="2"/>
      <c r="C943" s="4"/>
      <c r="D943" s="4"/>
      <c r="E943" s="4"/>
      <c r="I943" s="135"/>
      <c r="J943" s="135"/>
      <c r="K943" s="135"/>
      <c r="L943" s="135"/>
    </row>
    <row r="944" spans="2:12" ht="12" customHeight="1" x14ac:dyDescent="0.15">
      <c r="B944" s="2"/>
      <c r="C944" s="4"/>
      <c r="D944" s="4"/>
      <c r="E944" s="4"/>
      <c r="I944" s="135"/>
      <c r="J944" s="135"/>
      <c r="K944" s="135"/>
      <c r="L944" s="135"/>
    </row>
    <row r="945" spans="2:12" ht="12" customHeight="1" x14ac:dyDescent="0.15">
      <c r="B945" s="2"/>
      <c r="C945" s="4"/>
      <c r="D945" s="4"/>
      <c r="E945" s="4"/>
      <c r="I945" s="135"/>
      <c r="J945" s="135"/>
      <c r="K945" s="135"/>
      <c r="L945" s="135"/>
    </row>
    <row r="946" spans="2:12" ht="12" customHeight="1" x14ac:dyDescent="0.15">
      <c r="B946" s="2"/>
      <c r="C946" s="4"/>
      <c r="D946" s="4"/>
      <c r="E946" s="4"/>
      <c r="I946" s="135"/>
      <c r="J946" s="135"/>
      <c r="K946" s="135"/>
      <c r="L946" s="135"/>
    </row>
    <row r="947" spans="2:12" ht="12" customHeight="1" x14ac:dyDescent="0.15">
      <c r="B947" s="2"/>
      <c r="C947" s="4"/>
      <c r="D947" s="4"/>
      <c r="E947" s="4"/>
      <c r="I947" s="135"/>
      <c r="J947" s="135"/>
      <c r="K947" s="135"/>
      <c r="L947" s="135"/>
    </row>
    <row r="948" spans="2:12" ht="12" customHeight="1" x14ac:dyDescent="0.15">
      <c r="B948" s="2"/>
      <c r="C948" s="4"/>
      <c r="D948" s="4"/>
      <c r="E948" s="4"/>
      <c r="I948" s="135"/>
      <c r="J948" s="135"/>
      <c r="K948" s="135"/>
      <c r="L948" s="135"/>
    </row>
    <row r="949" spans="2:12" ht="12" customHeight="1" x14ac:dyDescent="0.15">
      <c r="B949" s="2"/>
      <c r="C949" s="4"/>
      <c r="D949" s="4"/>
      <c r="E949" s="4"/>
      <c r="I949" s="135"/>
      <c r="J949" s="135"/>
      <c r="K949" s="135"/>
      <c r="L949" s="135"/>
    </row>
    <row r="950" spans="2:12" ht="12" customHeight="1" x14ac:dyDescent="0.15">
      <c r="B950" s="2"/>
      <c r="C950" s="4"/>
      <c r="D950" s="4"/>
      <c r="E950" s="4"/>
      <c r="I950" s="135"/>
      <c r="J950" s="135"/>
      <c r="K950" s="135"/>
      <c r="L950" s="135"/>
    </row>
    <row r="951" spans="2:12" ht="12" customHeight="1" x14ac:dyDescent="0.15">
      <c r="B951" s="2"/>
      <c r="C951" s="4"/>
      <c r="D951" s="4"/>
      <c r="E951" s="4"/>
      <c r="I951" s="135"/>
      <c r="J951" s="135"/>
      <c r="K951" s="135"/>
      <c r="L951" s="135"/>
    </row>
    <row r="952" spans="2:12" ht="12" customHeight="1" x14ac:dyDescent="0.15">
      <c r="B952" s="2"/>
      <c r="C952" s="4"/>
      <c r="D952" s="4"/>
      <c r="E952" s="4"/>
      <c r="I952" s="135"/>
      <c r="J952" s="135"/>
      <c r="K952" s="135"/>
      <c r="L952" s="135"/>
    </row>
    <row r="953" spans="2:12" ht="12" customHeight="1" x14ac:dyDescent="0.15">
      <c r="B953" s="2"/>
      <c r="C953" s="4"/>
      <c r="D953" s="4"/>
      <c r="E953" s="4"/>
      <c r="I953" s="135"/>
      <c r="J953" s="135"/>
      <c r="K953" s="135"/>
      <c r="L953" s="135"/>
    </row>
    <row r="954" spans="2:12" ht="12" customHeight="1" x14ac:dyDescent="0.15">
      <c r="B954" s="2"/>
      <c r="C954" s="4"/>
      <c r="D954" s="4"/>
      <c r="E954" s="4"/>
      <c r="I954" s="135"/>
      <c r="J954" s="135"/>
      <c r="K954" s="135"/>
      <c r="L954" s="135"/>
    </row>
    <row r="955" spans="2:12" ht="12" customHeight="1" x14ac:dyDescent="0.15">
      <c r="B955" s="2"/>
      <c r="C955" s="4"/>
      <c r="D955" s="4"/>
      <c r="E955" s="4"/>
      <c r="I955" s="135"/>
      <c r="J955" s="135"/>
      <c r="K955" s="135"/>
      <c r="L955" s="135"/>
    </row>
    <row r="956" spans="2:12" ht="12" customHeight="1" x14ac:dyDescent="0.15">
      <c r="B956" s="2"/>
      <c r="C956" s="4"/>
      <c r="D956" s="4"/>
      <c r="E956" s="4"/>
      <c r="I956" s="135"/>
      <c r="J956" s="135"/>
      <c r="K956" s="135"/>
      <c r="L956" s="135"/>
    </row>
    <row r="957" spans="2:12" ht="12" customHeight="1" x14ac:dyDescent="0.15">
      <c r="B957" s="2"/>
      <c r="C957" s="4"/>
      <c r="D957" s="4"/>
      <c r="E957" s="4"/>
      <c r="I957" s="135"/>
      <c r="J957" s="135"/>
      <c r="K957" s="135"/>
      <c r="L957" s="135"/>
    </row>
    <row r="958" spans="2:12" ht="12" customHeight="1" x14ac:dyDescent="0.15">
      <c r="B958" s="2"/>
      <c r="C958" s="4"/>
      <c r="D958" s="4"/>
      <c r="E958" s="4"/>
      <c r="I958" s="135"/>
      <c r="J958" s="135"/>
      <c r="K958" s="135"/>
      <c r="L958" s="135"/>
    </row>
    <row r="959" spans="2:12" ht="12" customHeight="1" x14ac:dyDescent="0.15">
      <c r="B959" s="2"/>
      <c r="C959" s="4"/>
      <c r="D959" s="4"/>
      <c r="E959" s="4"/>
      <c r="I959" s="135"/>
      <c r="J959" s="135"/>
      <c r="K959" s="135"/>
      <c r="L959" s="135"/>
    </row>
    <row r="960" spans="2:12" ht="12" customHeight="1" x14ac:dyDescent="0.15">
      <c r="B960" s="2"/>
      <c r="C960" s="4"/>
      <c r="D960" s="4"/>
      <c r="E960" s="4"/>
      <c r="I960" s="135"/>
      <c r="J960" s="135"/>
      <c r="K960" s="135"/>
      <c r="L960" s="135"/>
    </row>
    <row r="961" spans="2:12" ht="12" customHeight="1" x14ac:dyDescent="0.15">
      <c r="B961" s="2"/>
      <c r="C961" s="4"/>
      <c r="D961" s="4"/>
      <c r="E961" s="4"/>
      <c r="I961" s="135"/>
      <c r="J961" s="135"/>
      <c r="K961" s="135"/>
      <c r="L961" s="135"/>
    </row>
    <row r="962" spans="2:12" ht="12" customHeight="1" x14ac:dyDescent="0.15">
      <c r="B962" s="2"/>
      <c r="C962" s="4"/>
      <c r="D962" s="4"/>
      <c r="E962" s="4"/>
      <c r="I962" s="135"/>
      <c r="J962" s="135"/>
      <c r="K962" s="135"/>
      <c r="L962" s="135"/>
    </row>
    <row r="963" spans="2:12" ht="12" customHeight="1" x14ac:dyDescent="0.15">
      <c r="B963" s="2"/>
      <c r="C963" s="4"/>
      <c r="D963" s="4"/>
      <c r="E963" s="4"/>
      <c r="I963" s="135"/>
      <c r="J963" s="135"/>
      <c r="K963" s="135"/>
      <c r="L963" s="135"/>
    </row>
    <row r="964" spans="2:12" ht="12" customHeight="1" x14ac:dyDescent="0.15">
      <c r="B964" s="2"/>
      <c r="C964" s="4"/>
      <c r="D964" s="4"/>
      <c r="E964" s="4"/>
      <c r="I964" s="135"/>
      <c r="J964" s="135"/>
      <c r="K964" s="135"/>
      <c r="L964" s="135"/>
    </row>
    <row r="965" spans="2:12" ht="12" customHeight="1" x14ac:dyDescent="0.15">
      <c r="B965" s="2"/>
      <c r="C965" s="4"/>
      <c r="D965" s="4"/>
      <c r="E965" s="4"/>
      <c r="I965" s="135"/>
      <c r="J965" s="135"/>
      <c r="K965" s="135"/>
      <c r="L965" s="135"/>
    </row>
    <row r="966" spans="2:12" ht="12" customHeight="1" x14ac:dyDescent="0.15">
      <c r="B966" s="2"/>
      <c r="C966" s="4"/>
      <c r="D966" s="4"/>
      <c r="E966" s="4"/>
      <c r="I966" s="135"/>
      <c r="J966" s="135"/>
      <c r="K966" s="135"/>
      <c r="L966" s="135"/>
    </row>
    <row r="967" spans="2:12" ht="12" customHeight="1" x14ac:dyDescent="0.15">
      <c r="B967" s="2"/>
      <c r="C967" s="4"/>
      <c r="D967" s="4"/>
      <c r="E967" s="4"/>
      <c r="I967" s="135"/>
      <c r="J967" s="135"/>
      <c r="K967" s="135"/>
      <c r="L967" s="135"/>
    </row>
    <row r="968" spans="2:12" ht="12" customHeight="1" x14ac:dyDescent="0.15">
      <c r="B968" s="2"/>
      <c r="C968" s="4"/>
      <c r="D968" s="4"/>
      <c r="E968" s="4"/>
      <c r="I968" s="135"/>
      <c r="J968" s="135"/>
      <c r="K968" s="135"/>
      <c r="L968" s="135"/>
    </row>
    <row r="969" spans="2:12" ht="12" customHeight="1" x14ac:dyDescent="0.15">
      <c r="B969" s="2"/>
      <c r="C969" s="4"/>
      <c r="D969" s="4"/>
      <c r="E969" s="4"/>
      <c r="I969" s="135"/>
      <c r="J969" s="135"/>
      <c r="K969" s="135"/>
      <c r="L969" s="135"/>
    </row>
    <row r="970" spans="2:12" ht="12" customHeight="1" x14ac:dyDescent="0.15">
      <c r="B970" s="2"/>
      <c r="C970" s="4"/>
      <c r="D970" s="4"/>
      <c r="E970" s="4"/>
      <c r="I970" s="135"/>
      <c r="J970" s="135"/>
      <c r="K970" s="135"/>
      <c r="L970" s="135"/>
    </row>
    <row r="971" spans="2:12" ht="12" customHeight="1" x14ac:dyDescent="0.15">
      <c r="B971" s="2"/>
      <c r="C971" s="4"/>
      <c r="D971" s="4"/>
      <c r="E971" s="4"/>
      <c r="I971" s="135"/>
      <c r="J971" s="135"/>
      <c r="K971" s="135"/>
      <c r="L971" s="135"/>
    </row>
    <row r="972" spans="2:12" ht="12" customHeight="1" x14ac:dyDescent="0.15">
      <c r="B972" s="2"/>
      <c r="C972" s="4"/>
      <c r="D972" s="4"/>
      <c r="E972" s="4"/>
      <c r="I972" s="135"/>
      <c r="J972" s="135"/>
      <c r="K972" s="135"/>
      <c r="L972" s="135"/>
    </row>
    <row r="973" spans="2:12" ht="12" customHeight="1" x14ac:dyDescent="0.15">
      <c r="B973" s="2"/>
      <c r="C973" s="4"/>
      <c r="D973" s="4"/>
      <c r="E973" s="4"/>
      <c r="I973" s="135"/>
      <c r="J973" s="135"/>
      <c r="K973" s="135"/>
      <c r="L973" s="135"/>
    </row>
    <row r="974" spans="2:12" ht="12" customHeight="1" x14ac:dyDescent="0.15">
      <c r="B974" s="2"/>
      <c r="C974" s="4"/>
      <c r="D974" s="4"/>
      <c r="E974" s="4"/>
      <c r="I974" s="135"/>
      <c r="J974" s="135"/>
      <c r="K974" s="135"/>
      <c r="L974" s="135"/>
    </row>
    <row r="975" spans="2:12" ht="12" customHeight="1" x14ac:dyDescent="0.15">
      <c r="B975" s="2"/>
      <c r="C975" s="4"/>
      <c r="D975" s="4"/>
      <c r="E975" s="4"/>
      <c r="I975" s="135"/>
      <c r="J975" s="135"/>
      <c r="K975" s="135"/>
      <c r="L975" s="135"/>
    </row>
    <row r="976" spans="2:12" ht="12" customHeight="1" x14ac:dyDescent="0.15">
      <c r="B976" s="2"/>
      <c r="C976" s="4"/>
      <c r="D976" s="4"/>
      <c r="E976" s="4"/>
      <c r="I976" s="135"/>
      <c r="J976" s="135"/>
      <c r="K976" s="135"/>
      <c r="L976" s="135"/>
    </row>
    <row r="977" spans="2:12" ht="12" customHeight="1" x14ac:dyDescent="0.15">
      <c r="B977" s="2"/>
      <c r="C977" s="4"/>
      <c r="D977" s="4"/>
      <c r="E977" s="4"/>
      <c r="I977" s="135"/>
      <c r="J977" s="135"/>
      <c r="K977" s="135"/>
      <c r="L977" s="135"/>
    </row>
    <row r="978" spans="2:12" ht="12" customHeight="1" x14ac:dyDescent="0.15">
      <c r="B978" s="2"/>
      <c r="C978" s="4"/>
      <c r="D978" s="4"/>
      <c r="E978" s="4"/>
      <c r="I978" s="135"/>
      <c r="J978" s="135"/>
      <c r="K978" s="135"/>
      <c r="L978" s="135"/>
    </row>
    <row r="979" spans="2:12" ht="12" customHeight="1" x14ac:dyDescent="0.15">
      <c r="B979" s="2"/>
      <c r="C979" s="4"/>
      <c r="D979" s="4"/>
      <c r="E979" s="4"/>
      <c r="I979" s="135"/>
      <c r="J979" s="135"/>
      <c r="K979" s="135"/>
      <c r="L979" s="135"/>
    </row>
    <row r="980" spans="2:12" ht="12" customHeight="1" x14ac:dyDescent="0.15">
      <c r="B980" s="2"/>
      <c r="C980" s="4"/>
      <c r="D980" s="4"/>
      <c r="E980" s="4"/>
      <c r="I980" s="135"/>
      <c r="J980" s="135"/>
      <c r="K980" s="135"/>
      <c r="L980" s="135"/>
    </row>
    <row r="981" spans="2:12" ht="12" customHeight="1" x14ac:dyDescent="0.15">
      <c r="B981" s="2"/>
      <c r="C981" s="4"/>
      <c r="D981" s="4"/>
      <c r="E981" s="4"/>
      <c r="I981" s="135"/>
      <c r="J981" s="135"/>
      <c r="K981" s="135"/>
      <c r="L981" s="135"/>
    </row>
    <row r="982" spans="2:12" ht="12" customHeight="1" x14ac:dyDescent="0.15">
      <c r="B982" s="2"/>
      <c r="C982" s="4"/>
      <c r="D982" s="4"/>
      <c r="E982" s="4"/>
      <c r="I982" s="135"/>
      <c r="J982" s="135"/>
      <c r="K982" s="135"/>
      <c r="L982" s="135"/>
    </row>
    <row r="983" spans="2:12" ht="12" customHeight="1" x14ac:dyDescent="0.15">
      <c r="B983" s="2"/>
      <c r="C983" s="4"/>
      <c r="D983" s="4"/>
      <c r="E983" s="4"/>
      <c r="I983" s="135"/>
      <c r="J983" s="135"/>
      <c r="K983" s="135"/>
      <c r="L983" s="135"/>
    </row>
    <row r="984" spans="2:12" ht="12" customHeight="1" x14ac:dyDescent="0.15">
      <c r="B984" s="2"/>
      <c r="C984" s="4"/>
      <c r="D984" s="4"/>
      <c r="E984" s="4"/>
      <c r="I984" s="135"/>
      <c r="J984" s="135"/>
      <c r="K984" s="135"/>
      <c r="L984" s="135"/>
    </row>
    <row r="985" spans="2:12" ht="12" customHeight="1" x14ac:dyDescent="0.15">
      <c r="B985" s="2"/>
      <c r="C985" s="4"/>
      <c r="D985" s="4"/>
      <c r="E985" s="4"/>
      <c r="I985" s="135"/>
      <c r="J985" s="135"/>
      <c r="K985" s="135"/>
      <c r="L985" s="135"/>
    </row>
    <row r="986" spans="2:12" ht="12" customHeight="1" x14ac:dyDescent="0.15">
      <c r="B986" s="2"/>
      <c r="C986" s="4"/>
      <c r="D986" s="4"/>
      <c r="E986" s="4"/>
      <c r="I986" s="135"/>
      <c r="J986" s="135"/>
      <c r="K986" s="135"/>
      <c r="L986" s="135"/>
    </row>
    <row r="987" spans="2:12" ht="12" customHeight="1" x14ac:dyDescent="0.15">
      <c r="B987" s="2"/>
      <c r="C987" s="4"/>
      <c r="D987" s="4"/>
      <c r="E987" s="4"/>
      <c r="I987" s="135"/>
      <c r="J987" s="135"/>
      <c r="K987" s="135"/>
      <c r="L987" s="135"/>
    </row>
    <row r="988" spans="2:12" ht="12" customHeight="1" x14ac:dyDescent="0.15">
      <c r="B988" s="2"/>
      <c r="C988" s="4"/>
      <c r="D988" s="4"/>
      <c r="E988" s="4"/>
      <c r="I988" s="135"/>
      <c r="J988" s="135"/>
      <c r="K988" s="135"/>
      <c r="L988" s="135"/>
    </row>
    <row r="989" spans="2:12" ht="12" customHeight="1" x14ac:dyDescent="0.15">
      <c r="B989" s="2"/>
      <c r="C989" s="4"/>
      <c r="D989" s="4"/>
      <c r="E989" s="4"/>
      <c r="I989" s="135"/>
      <c r="J989" s="135"/>
      <c r="K989" s="135"/>
      <c r="L989" s="135"/>
    </row>
    <row r="990" spans="2:12" ht="12" customHeight="1" x14ac:dyDescent="0.15">
      <c r="B990" s="2"/>
      <c r="C990" s="4"/>
      <c r="D990" s="4"/>
      <c r="E990" s="4"/>
      <c r="I990" s="135"/>
      <c r="J990" s="135"/>
      <c r="K990" s="135"/>
      <c r="L990" s="135"/>
    </row>
    <row r="991" spans="2:12" ht="12" customHeight="1" x14ac:dyDescent="0.15">
      <c r="B991" s="2"/>
      <c r="C991" s="4"/>
      <c r="D991" s="4"/>
      <c r="E991" s="4"/>
      <c r="I991" s="135"/>
      <c r="J991" s="135"/>
      <c r="K991" s="135"/>
      <c r="L991" s="135"/>
    </row>
    <row r="992" spans="2:12" ht="12" customHeight="1" x14ac:dyDescent="0.15">
      <c r="B992" s="2"/>
      <c r="C992" s="4"/>
      <c r="D992" s="4"/>
      <c r="E992" s="4"/>
      <c r="I992" s="135"/>
      <c r="J992" s="135"/>
      <c r="K992" s="135"/>
      <c r="L992" s="135"/>
    </row>
    <row r="993" spans="2:12" ht="12" customHeight="1" x14ac:dyDescent="0.15">
      <c r="B993" s="2"/>
      <c r="C993" s="4"/>
      <c r="D993" s="4"/>
      <c r="E993" s="4"/>
      <c r="I993" s="135"/>
      <c r="J993" s="135"/>
      <c r="K993" s="135"/>
      <c r="L993" s="135"/>
    </row>
    <row r="994" spans="2:12" ht="12" customHeight="1" x14ac:dyDescent="0.15">
      <c r="B994" s="2"/>
      <c r="C994" s="4"/>
      <c r="D994" s="4"/>
      <c r="E994" s="4"/>
      <c r="I994" s="135"/>
      <c r="J994" s="135"/>
      <c r="K994" s="135"/>
      <c r="L994" s="135"/>
    </row>
    <row r="995" spans="2:12" ht="12" customHeight="1" x14ac:dyDescent="0.15">
      <c r="B995" s="2"/>
      <c r="C995" s="4"/>
      <c r="D995" s="4"/>
      <c r="E995" s="4"/>
      <c r="I995" s="135"/>
      <c r="J995" s="135"/>
      <c r="K995" s="135"/>
      <c r="L995" s="135"/>
    </row>
    <row r="996" spans="2:12" ht="12" customHeight="1" x14ac:dyDescent="0.15">
      <c r="B996" s="2"/>
      <c r="C996" s="4"/>
      <c r="D996" s="4"/>
      <c r="E996" s="4"/>
      <c r="I996" s="135"/>
      <c r="J996" s="135"/>
      <c r="K996" s="135"/>
      <c r="L996" s="135"/>
    </row>
    <row r="997" spans="2:12" ht="12" customHeight="1" x14ac:dyDescent="0.15">
      <c r="B997" s="2"/>
      <c r="C997" s="4"/>
      <c r="D997" s="4"/>
      <c r="E997" s="4"/>
      <c r="I997" s="135"/>
      <c r="J997" s="135"/>
      <c r="K997" s="135"/>
      <c r="L997" s="135"/>
    </row>
    <row r="998" spans="2:12" ht="12" customHeight="1" x14ac:dyDescent="0.15">
      <c r="B998" s="2"/>
      <c r="C998" s="4"/>
      <c r="D998" s="4"/>
      <c r="E998" s="4"/>
      <c r="I998" s="135"/>
      <c r="J998" s="135"/>
      <c r="K998" s="135"/>
      <c r="L998" s="135"/>
    </row>
    <row r="999" spans="2:12" ht="12" customHeight="1" x14ac:dyDescent="0.15">
      <c r="B999" s="2"/>
      <c r="C999" s="4"/>
      <c r="D999" s="4"/>
      <c r="E999" s="4"/>
      <c r="I999" s="135"/>
      <c r="J999" s="135"/>
      <c r="K999" s="135"/>
      <c r="L999" s="135"/>
    </row>
    <row r="1000" spans="2:12" ht="12" customHeight="1" x14ac:dyDescent="0.15">
      <c r="B1000" s="2"/>
      <c r="C1000" s="4"/>
      <c r="D1000" s="4"/>
      <c r="E1000" s="4"/>
      <c r="I1000" s="135"/>
      <c r="J1000" s="135"/>
      <c r="K1000" s="135"/>
      <c r="L1000" s="135"/>
    </row>
  </sheetData>
  <mergeCells count="1">
    <mergeCell ref="C20:D20"/>
  </mergeCells>
  <printOptions horizontalCentered="1"/>
  <pageMargins left="0.47222222222222199" right="0.47222222222222199" top="0.61944444444444402" bottom="0.35416666666666702" header="0" footer="0"/>
  <pageSetup scale="81" orientation="portrait"/>
  <headerFooter>
    <oddHeader>&amp;C&amp;A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pageSetUpPr fitToPage="1"/>
  </sheetPr>
  <dimension ref="A1:Z1011"/>
  <sheetViews>
    <sheetView topLeftCell="A12" workbookViewId="0">
      <selection activeCell="B64" sqref="B64"/>
    </sheetView>
  </sheetViews>
  <sheetFormatPr baseColWidth="10" defaultColWidth="12.6640625" defaultRowHeight="15" customHeight="1" x14ac:dyDescent="0.15"/>
  <cols>
    <col min="1" max="1" width="4.5" customWidth="1"/>
    <col min="2" max="2" width="49.1640625" customWidth="1"/>
    <col min="3" max="3" width="13.1640625" customWidth="1"/>
    <col min="4" max="4" width="16.83203125" customWidth="1"/>
    <col min="5" max="5" width="13" customWidth="1"/>
    <col min="6" max="6" width="18.33203125" customWidth="1"/>
    <col min="7" max="7" width="4.5" customWidth="1"/>
  </cols>
  <sheetData>
    <row r="1" spans="1:26" ht="54" customHeight="1" x14ac:dyDescent="0.15">
      <c r="A1" s="434"/>
      <c r="B1" s="435"/>
      <c r="C1" s="435"/>
      <c r="D1" s="435"/>
      <c r="E1" s="435"/>
      <c r="F1" s="435"/>
    </row>
    <row r="2" spans="1:26" ht="12" customHeight="1" x14ac:dyDescent="0.15">
      <c r="B2" s="2"/>
      <c r="C2" s="3"/>
      <c r="D2" s="3"/>
      <c r="E2" s="3"/>
      <c r="F2" s="4"/>
    </row>
    <row r="3" spans="1:26" ht="18.75" customHeight="1" x14ac:dyDescent="0.2">
      <c r="A3" s="5" t="s">
        <v>0</v>
      </c>
      <c r="C3" s="3"/>
      <c r="D3" s="3"/>
      <c r="E3" s="3"/>
      <c r="F3" s="4"/>
    </row>
    <row r="4" spans="1:26" ht="12" customHeight="1" x14ac:dyDescent="0.15">
      <c r="A4" s="2" t="s">
        <v>1</v>
      </c>
      <c r="C4" s="3"/>
      <c r="D4" s="3"/>
      <c r="E4" s="3"/>
      <c r="F4" s="4"/>
    </row>
    <row r="5" spans="1:26" ht="12" customHeight="1" x14ac:dyDescent="0.15">
      <c r="A5" s="2"/>
      <c r="B5" s="274" t="s">
        <v>360</v>
      </c>
      <c r="C5" s="3"/>
      <c r="D5" s="3"/>
      <c r="E5" s="3"/>
      <c r="F5" s="4"/>
    </row>
    <row r="6" spans="1:26" ht="12" customHeight="1" x14ac:dyDescent="0.15">
      <c r="A6" s="2"/>
      <c r="B6" s="275" t="s">
        <v>361</v>
      </c>
      <c r="C6" s="438" t="s">
        <v>510</v>
      </c>
      <c r="D6" s="435"/>
      <c r="E6" s="276"/>
      <c r="F6" s="4"/>
    </row>
    <row r="7" spans="1:26" ht="12" customHeight="1" x14ac:dyDescent="0.15">
      <c r="A7" s="2"/>
      <c r="B7" s="115" t="s">
        <v>362</v>
      </c>
      <c r="C7" s="3"/>
      <c r="D7" s="3"/>
      <c r="E7" s="3"/>
      <c r="F7" s="4"/>
    </row>
    <row r="8" spans="1:26" ht="12" customHeight="1" x14ac:dyDescent="0.15">
      <c r="B8" s="2"/>
      <c r="C8" s="3"/>
      <c r="D8" s="3"/>
      <c r="E8" s="3"/>
      <c r="F8" s="4"/>
    </row>
    <row r="9" spans="1:26" ht="12" customHeight="1" x14ac:dyDescent="0.15">
      <c r="B9" s="6"/>
      <c r="C9" s="3"/>
      <c r="D9" s="3"/>
      <c r="E9" s="3"/>
      <c r="F9" s="4"/>
      <c r="G9" s="277" t="s">
        <v>511</v>
      </c>
    </row>
    <row r="10" spans="1:26" ht="17.25" customHeight="1" x14ac:dyDescent="0.15">
      <c r="A10" s="8"/>
      <c r="B10" s="125" t="s">
        <v>363</v>
      </c>
      <c r="C10" s="126"/>
      <c r="D10" s="126"/>
      <c r="E10" s="126"/>
      <c r="F10" s="12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" customHeight="1" x14ac:dyDescent="0.15">
      <c r="B11" s="2"/>
      <c r="C11" s="3"/>
      <c r="D11" s="3"/>
      <c r="E11" s="3"/>
      <c r="F11" s="4"/>
    </row>
    <row r="12" spans="1:26" ht="13.5" customHeight="1" x14ac:dyDescent="0.15">
      <c r="B12" s="278" t="s">
        <v>4</v>
      </c>
      <c r="C12" s="279" t="s">
        <v>5</v>
      </c>
      <c r="D12" s="279" t="s">
        <v>364</v>
      </c>
      <c r="E12" s="280" t="s">
        <v>365</v>
      </c>
      <c r="F12" s="280" t="s">
        <v>366</v>
      </c>
    </row>
    <row r="13" spans="1:26" ht="10.5" hidden="1" customHeight="1" x14ac:dyDescent="0.15">
      <c r="B13" s="281" t="s">
        <v>367</v>
      </c>
      <c r="C13" s="282">
        <v>45117</v>
      </c>
      <c r="D13" s="283"/>
      <c r="E13" s="283">
        <v>5900</v>
      </c>
      <c r="F13" s="284">
        <f>E13</f>
        <v>5900</v>
      </c>
    </row>
    <row r="14" spans="1:26" ht="24.75" hidden="1" customHeight="1" x14ac:dyDescent="0.15">
      <c r="B14" s="281" t="s">
        <v>367</v>
      </c>
      <c r="C14" s="282">
        <v>45117</v>
      </c>
      <c r="D14" s="283"/>
      <c r="E14" s="283">
        <v>5901</v>
      </c>
      <c r="F14" s="284">
        <f t="shared" ref="F14:F18" si="0">F13-D14+E14</f>
        <v>11801</v>
      </c>
    </row>
    <row r="15" spans="1:26" ht="19.5" hidden="1" customHeight="1" x14ac:dyDescent="0.15">
      <c r="B15" s="281" t="s">
        <v>367</v>
      </c>
      <c r="C15" s="282">
        <v>45205</v>
      </c>
      <c r="D15" s="283"/>
      <c r="E15" s="283">
        <v>25100</v>
      </c>
      <c r="F15" s="284">
        <f t="shared" si="0"/>
        <v>36901</v>
      </c>
    </row>
    <row r="16" spans="1:26" ht="13.5" hidden="1" customHeight="1" x14ac:dyDescent="0.15">
      <c r="B16" s="281" t="s">
        <v>367</v>
      </c>
      <c r="C16" s="282">
        <v>45266</v>
      </c>
      <c r="D16" s="283"/>
      <c r="E16" s="283">
        <v>48373</v>
      </c>
      <c r="F16" s="284">
        <f t="shared" si="0"/>
        <v>85274</v>
      </c>
    </row>
    <row r="17" spans="2:6" ht="19.5" hidden="1" customHeight="1" x14ac:dyDescent="0.15">
      <c r="B17" s="281" t="s">
        <v>367</v>
      </c>
      <c r="C17" s="282">
        <v>45266</v>
      </c>
      <c r="D17" s="283"/>
      <c r="E17" s="283">
        <v>1341</v>
      </c>
      <c r="F17" s="284">
        <f t="shared" si="0"/>
        <v>86615</v>
      </c>
    </row>
    <row r="18" spans="2:6" ht="24.75" hidden="1" customHeight="1" x14ac:dyDescent="0.15">
      <c r="B18" s="58" t="s">
        <v>368</v>
      </c>
      <c r="C18" s="285">
        <v>45266</v>
      </c>
      <c r="D18" s="286">
        <v>530.98</v>
      </c>
      <c r="E18" s="283"/>
      <c r="F18" s="284">
        <f t="shared" si="0"/>
        <v>86084.02</v>
      </c>
    </row>
    <row r="19" spans="2:6" ht="12" customHeight="1" x14ac:dyDescent="0.15">
      <c r="B19" s="287" t="s">
        <v>369</v>
      </c>
      <c r="C19" s="288">
        <v>45657</v>
      </c>
      <c r="D19" s="289"/>
      <c r="E19" s="290"/>
      <c r="F19" s="291">
        <v>86084.02</v>
      </c>
    </row>
    <row r="20" spans="2:6" ht="12" customHeight="1" x14ac:dyDescent="0.15">
      <c r="B20" s="58" t="s">
        <v>368</v>
      </c>
      <c r="C20" s="285">
        <v>45297</v>
      </c>
      <c r="D20" s="286">
        <v>530.98</v>
      </c>
      <c r="E20" s="283"/>
      <c r="F20" s="284">
        <f>F18-D20+E20</f>
        <v>85553.040000000008</v>
      </c>
    </row>
    <row r="21" spans="2:6" ht="12" customHeight="1" x14ac:dyDescent="0.15">
      <c r="B21" s="28" t="s">
        <v>370</v>
      </c>
      <c r="C21" s="282">
        <v>45321</v>
      </c>
      <c r="D21" s="283">
        <v>20110.009999999998</v>
      </c>
      <c r="E21" s="283"/>
      <c r="F21" s="284">
        <f t="shared" ref="F21:F67" si="1">F20-D21+E21</f>
        <v>65443.030000000013</v>
      </c>
    </row>
    <row r="22" spans="2:6" ht="12" customHeight="1" x14ac:dyDescent="0.15">
      <c r="B22" s="28" t="s">
        <v>371</v>
      </c>
      <c r="C22" s="282">
        <v>45330</v>
      </c>
      <c r="D22" s="283">
        <v>4000</v>
      </c>
      <c r="E22" s="283"/>
      <c r="F22" s="284">
        <f t="shared" si="1"/>
        <v>61443.030000000013</v>
      </c>
    </row>
    <row r="23" spans="2:6" ht="12" customHeight="1" x14ac:dyDescent="0.15">
      <c r="B23" s="28" t="s">
        <v>372</v>
      </c>
      <c r="C23" s="282">
        <v>45331</v>
      </c>
      <c r="D23" s="283"/>
      <c r="E23" s="283">
        <v>47720.9</v>
      </c>
      <c r="F23" s="284">
        <f t="shared" si="1"/>
        <v>109163.93000000002</v>
      </c>
    </row>
    <row r="24" spans="2:6" ht="12" customHeight="1" x14ac:dyDescent="0.15">
      <c r="B24" s="28" t="s">
        <v>373</v>
      </c>
      <c r="C24" s="282">
        <v>45335</v>
      </c>
      <c r="D24" s="283">
        <v>104280.83</v>
      </c>
      <c r="E24" s="283"/>
      <c r="F24" s="284">
        <f t="shared" si="1"/>
        <v>4883.1000000000204</v>
      </c>
    </row>
    <row r="25" spans="2:6" ht="12" customHeight="1" x14ac:dyDescent="0.15">
      <c r="B25" s="28" t="s">
        <v>374</v>
      </c>
      <c r="C25" s="282">
        <v>45335</v>
      </c>
      <c r="D25" s="283">
        <v>5162.6400000000003</v>
      </c>
      <c r="E25" s="283"/>
      <c r="F25" s="284">
        <f t="shared" si="1"/>
        <v>-279.53999999997995</v>
      </c>
    </row>
    <row r="26" spans="2:6" ht="12" customHeight="1" x14ac:dyDescent="0.15">
      <c r="B26" s="28" t="s">
        <v>375</v>
      </c>
      <c r="C26" s="282">
        <v>45336</v>
      </c>
      <c r="D26" s="283">
        <v>16108.65</v>
      </c>
      <c r="E26" s="283"/>
      <c r="F26" s="284">
        <f t="shared" si="1"/>
        <v>-16388.189999999981</v>
      </c>
    </row>
    <row r="27" spans="2:6" ht="12" customHeight="1" x14ac:dyDescent="0.15">
      <c r="B27" s="28" t="s">
        <v>376</v>
      </c>
      <c r="C27" s="282">
        <v>45336</v>
      </c>
      <c r="D27" s="283">
        <v>1290.6600000000001</v>
      </c>
      <c r="E27" s="283"/>
      <c r="F27" s="284">
        <f t="shared" si="1"/>
        <v>-17678.84999999998</v>
      </c>
    </row>
    <row r="28" spans="2:6" ht="12" customHeight="1" x14ac:dyDescent="0.15">
      <c r="B28" s="28" t="s">
        <v>367</v>
      </c>
      <c r="C28" s="282">
        <v>45339</v>
      </c>
      <c r="D28" s="283"/>
      <c r="E28" s="283">
        <v>35005.599999999999</v>
      </c>
      <c r="F28" s="284">
        <f t="shared" si="1"/>
        <v>17326.750000000018</v>
      </c>
    </row>
    <row r="29" spans="2:6" ht="12" customHeight="1" x14ac:dyDescent="0.15">
      <c r="B29" s="58" t="s">
        <v>377</v>
      </c>
      <c r="C29" s="292">
        <v>45343</v>
      </c>
      <c r="D29" s="293"/>
      <c r="E29" s="293">
        <v>72.56</v>
      </c>
      <c r="F29" s="284">
        <f t="shared" si="1"/>
        <v>17399.310000000019</v>
      </c>
    </row>
    <row r="30" spans="2:6" ht="12" customHeight="1" x14ac:dyDescent="0.15">
      <c r="B30" s="28" t="s">
        <v>378</v>
      </c>
      <c r="C30" s="285">
        <v>45383</v>
      </c>
      <c r="D30" s="286">
        <v>16108.65</v>
      </c>
      <c r="E30" s="294"/>
      <c r="F30" s="284">
        <f t="shared" si="1"/>
        <v>1290.6600000000199</v>
      </c>
    </row>
    <row r="31" spans="2:6" ht="12" customHeight="1" x14ac:dyDescent="0.15">
      <c r="B31" s="28" t="s">
        <v>379</v>
      </c>
      <c r="C31" s="285">
        <v>45383</v>
      </c>
      <c r="D31" s="286">
        <v>1290.6600000000001</v>
      </c>
      <c r="E31" s="283"/>
      <c r="F31" s="295">
        <f t="shared" si="1"/>
        <v>1.9781509763561189E-11</v>
      </c>
    </row>
    <row r="32" spans="2:6" ht="12" customHeight="1" x14ac:dyDescent="0.15">
      <c r="B32" s="296" t="s">
        <v>380</v>
      </c>
      <c r="C32" s="55">
        <v>45397</v>
      </c>
      <c r="D32" s="297">
        <v>10082.012726136585</v>
      </c>
      <c r="E32" s="283"/>
      <c r="F32" s="284">
        <f t="shared" si="1"/>
        <v>-10082.012726136565</v>
      </c>
    </row>
    <row r="33" spans="2:6" ht="12" customHeight="1" x14ac:dyDescent="0.15">
      <c r="B33" s="54" t="s">
        <v>381</v>
      </c>
      <c r="C33" s="55">
        <v>45418</v>
      </c>
      <c r="D33" s="297">
        <f>D32*2%</f>
        <v>201.64025452273171</v>
      </c>
      <c r="E33" s="283"/>
      <c r="F33" s="284">
        <f t="shared" si="1"/>
        <v>-10283.652980659297</v>
      </c>
    </row>
    <row r="34" spans="2:6" ht="25.5" customHeight="1" x14ac:dyDescent="0.15">
      <c r="B34" s="298" t="s">
        <v>382</v>
      </c>
      <c r="C34" s="55">
        <v>45425</v>
      </c>
      <c r="D34" s="297">
        <v>24574</v>
      </c>
      <c r="E34" s="283"/>
      <c r="F34" s="284">
        <f t="shared" si="1"/>
        <v>-34857.652980659295</v>
      </c>
    </row>
    <row r="35" spans="2:6" ht="13.5" customHeight="1" x14ac:dyDescent="0.15">
      <c r="B35" s="432" t="s">
        <v>383</v>
      </c>
      <c r="C35" s="57">
        <v>45443</v>
      </c>
      <c r="D35" s="297">
        <f>D34*2%</f>
        <v>491.48</v>
      </c>
      <c r="E35" s="283"/>
      <c r="F35" s="284">
        <f t="shared" si="1"/>
        <v>-35349.132980659298</v>
      </c>
    </row>
    <row r="36" spans="2:6" ht="13.5" customHeight="1" x14ac:dyDescent="0.15">
      <c r="B36" s="54" t="s">
        <v>384</v>
      </c>
      <c r="C36" s="55">
        <v>45449</v>
      </c>
      <c r="D36" s="297">
        <f>D32*2%</f>
        <v>201.64025452273171</v>
      </c>
      <c r="E36" s="283"/>
      <c r="F36" s="284">
        <f t="shared" si="1"/>
        <v>-35550.77323518203</v>
      </c>
    </row>
    <row r="37" spans="2:6" ht="13.5" customHeight="1" x14ac:dyDescent="0.15">
      <c r="B37" s="54" t="s">
        <v>383</v>
      </c>
      <c r="C37" s="299">
        <v>45473</v>
      </c>
      <c r="D37" s="297">
        <f>D34*2%</f>
        <v>491.48</v>
      </c>
      <c r="E37" s="283"/>
      <c r="F37" s="284">
        <f t="shared" si="1"/>
        <v>-36042.253235182034</v>
      </c>
    </row>
    <row r="38" spans="2:6" ht="12" customHeight="1" x14ac:dyDescent="0.15">
      <c r="B38" s="296" t="s">
        <v>385</v>
      </c>
      <c r="C38" s="55">
        <v>45474</v>
      </c>
      <c r="D38" s="50">
        <f>'Presupuesto 2024 Aprobado'!C50</f>
        <v>16108.65</v>
      </c>
      <c r="E38" s="283"/>
      <c r="F38" s="284">
        <f t="shared" si="1"/>
        <v>-52150.903235182035</v>
      </c>
    </row>
    <row r="39" spans="2:6" ht="12" customHeight="1" x14ac:dyDescent="0.15">
      <c r="B39" s="296" t="s">
        <v>386</v>
      </c>
      <c r="C39" s="55">
        <v>45474</v>
      </c>
      <c r="D39" s="297">
        <f>'Presupuesto 2024 Aprobado'!D50</f>
        <v>1290.6600000000001</v>
      </c>
      <c r="E39" s="283"/>
      <c r="F39" s="284">
        <f t="shared" si="1"/>
        <v>-53441.563235182039</v>
      </c>
    </row>
    <row r="40" spans="2:6" ht="12" customHeight="1" x14ac:dyDescent="0.15">
      <c r="B40" s="54" t="s">
        <v>384</v>
      </c>
      <c r="C40" s="55">
        <v>45479</v>
      </c>
      <c r="D40" s="297">
        <f>D32*2%</f>
        <v>201.64025452273171</v>
      </c>
      <c r="E40" s="283"/>
      <c r="F40" s="284">
        <f t="shared" si="1"/>
        <v>-53643.203489704771</v>
      </c>
    </row>
    <row r="41" spans="2:6" ht="12" customHeight="1" x14ac:dyDescent="0.15">
      <c r="B41" s="54" t="s">
        <v>387</v>
      </c>
      <c r="C41" s="55">
        <v>45490</v>
      </c>
      <c r="D41" s="297">
        <v>347.98</v>
      </c>
      <c r="E41" s="283"/>
      <c r="F41" s="284">
        <f t="shared" si="1"/>
        <v>-53991.183489704774</v>
      </c>
    </row>
    <row r="42" spans="2:6" ht="12" customHeight="1" x14ac:dyDescent="0.15">
      <c r="B42" s="54" t="s">
        <v>388</v>
      </c>
      <c r="C42" s="55">
        <v>45504</v>
      </c>
      <c r="D42" s="297">
        <f>D34*2%</f>
        <v>491.48</v>
      </c>
      <c r="E42" s="283"/>
      <c r="F42" s="284">
        <f t="shared" si="1"/>
        <v>-54482.663489704777</v>
      </c>
    </row>
    <row r="43" spans="2:6" ht="12" customHeight="1" x14ac:dyDescent="0.15">
      <c r="B43" s="54" t="s">
        <v>389</v>
      </c>
      <c r="C43" s="55">
        <v>45510</v>
      </c>
      <c r="D43" s="297">
        <f>D32*2%</f>
        <v>201.64025452273171</v>
      </c>
      <c r="E43" s="283"/>
      <c r="F43" s="284">
        <f t="shared" si="1"/>
        <v>-54684.303744227509</v>
      </c>
    </row>
    <row r="44" spans="2:6" ht="12" customHeight="1" x14ac:dyDescent="0.15">
      <c r="B44" s="296" t="s">
        <v>390</v>
      </c>
      <c r="C44" s="55">
        <v>45510</v>
      </c>
      <c r="D44" s="300">
        <v>9252.8799999999992</v>
      </c>
      <c r="E44" s="283"/>
      <c r="F44" s="284">
        <f t="shared" si="1"/>
        <v>-63937.183744227506</v>
      </c>
    </row>
    <row r="45" spans="2:6" ht="12" customHeight="1" x14ac:dyDescent="0.15">
      <c r="B45" s="296" t="s">
        <v>367</v>
      </c>
      <c r="C45" s="55">
        <v>45510</v>
      </c>
      <c r="D45" s="300"/>
      <c r="E45" s="283">
        <v>17400</v>
      </c>
      <c r="F45" s="284">
        <f t="shared" si="1"/>
        <v>-46537.183744227506</v>
      </c>
    </row>
    <row r="46" spans="2:6" ht="12" customHeight="1" x14ac:dyDescent="0.15">
      <c r="B46" s="54" t="s">
        <v>388</v>
      </c>
      <c r="C46" s="55">
        <v>45535</v>
      </c>
      <c r="D46" s="300">
        <f>D34*2%</f>
        <v>491.48</v>
      </c>
      <c r="E46" s="283"/>
      <c r="F46" s="284">
        <f t="shared" si="1"/>
        <v>-47028.66374422751</v>
      </c>
    </row>
    <row r="47" spans="2:6" ht="12" customHeight="1" x14ac:dyDescent="0.15">
      <c r="B47" s="54" t="s">
        <v>389</v>
      </c>
      <c r="C47" s="55">
        <v>45541</v>
      </c>
      <c r="D47" s="300">
        <v>201.64</v>
      </c>
      <c r="E47" s="283"/>
      <c r="F47" s="284">
        <f t="shared" si="1"/>
        <v>-47230.303744227509</v>
      </c>
    </row>
    <row r="48" spans="2:6" ht="12" customHeight="1" x14ac:dyDescent="0.15">
      <c r="B48" s="54" t="s">
        <v>391</v>
      </c>
      <c r="C48" s="55">
        <v>45541</v>
      </c>
      <c r="D48" s="300">
        <f>D44*2%</f>
        <v>185.05759999999998</v>
      </c>
      <c r="E48" s="283"/>
      <c r="F48" s="284">
        <f t="shared" si="1"/>
        <v>-47415.361344227509</v>
      </c>
    </row>
    <row r="49" spans="2:6" ht="12" customHeight="1" x14ac:dyDescent="0.15">
      <c r="B49" s="54" t="s">
        <v>388</v>
      </c>
      <c r="C49" s="55">
        <v>45565</v>
      </c>
      <c r="D49" s="300">
        <f>D34*2%</f>
        <v>491.48</v>
      </c>
      <c r="E49" s="283"/>
      <c r="F49" s="284">
        <f t="shared" si="1"/>
        <v>-47906.841344227512</v>
      </c>
    </row>
    <row r="50" spans="2:6" ht="12" customHeight="1" x14ac:dyDescent="0.15">
      <c r="B50" s="296" t="s">
        <v>392</v>
      </c>
      <c r="C50" s="55">
        <v>45566</v>
      </c>
      <c r="D50" s="300">
        <f>'Presupuesto 2024 Aprobado'!C50</f>
        <v>16108.65</v>
      </c>
      <c r="E50" s="283"/>
      <c r="F50" s="284">
        <f t="shared" si="1"/>
        <v>-64015.491344227514</v>
      </c>
    </row>
    <row r="51" spans="2:6" ht="12" customHeight="1" x14ac:dyDescent="0.15">
      <c r="B51" s="296" t="s">
        <v>393</v>
      </c>
      <c r="C51" s="55">
        <v>45566</v>
      </c>
      <c r="D51" s="300">
        <f>'Presupuesto 2024 Aprobado'!D50</f>
        <v>1290.6600000000001</v>
      </c>
      <c r="E51" s="283"/>
      <c r="F51" s="284">
        <f t="shared" si="1"/>
        <v>-65306.151344227517</v>
      </c>
    </row>
    <row r="52" spans="2:6" ht="12" customHeight="1" x14ac:dyDescent="0.15">
      <c r="B52" s="296" t="s">
        <v>367</v>
      </c>
      <c r="C52" s="55">
        <v>45572</v>
      </c>
      <c r="D52" s="300"/>
      <c r="E52" s="283">
        <v>16108.65</v>
      </c>
      <c r="F52" s="284">
        <f t="shared" si="1"/>
        <v>-49197.501344227516</v>
      </c>
    </row>
    <row r="53" spans="2:6" ht="12" customHeight="1" x14ac:dyDescent="0.15">
      <c r="B53" s="54" t="s">
        <v>384</v>
      </c>
      <c r="C53" s="55">
        <v>45572</v>
      </c>
      <c r="D53" s="300">
        <v>201.64</v>
      </c>
      <c r="E53" s="283"/>
      <c r="F53" s="284">
        <f t="shared" si="1"/>
        <v>-49399.141344227515</v>
      </c>
    </row>
    <row r="54" spans="2:6" ht="12" customHeight="1" x14ac:dyDescent="0.15">
      <c r="B54" s="54" t="s">
        <v>391</v>
      </c>
      <c r="C54" s="55">
        <v>45572</v>
      </c>
      <c r="D54" s="300">
        <v>185.96</v>
      </c>
      <c r="E54" s="283"/>
      <c r="F54" s="284">
        <f t="shared" si="1"/>
        <v>-49585.101344227514</v>
      </c>
    </row>
    <row r="55" spans="2:6" ht="12" customHeight="1" x14ac:dyDescent="0.15">
      <c r="B55" s="54" t="s">
        <v>394</v>
      </c>
      <c r="C55" s="55">
        <v>45582</v>
      </c>
      <c r="D55" s="300">
        <f>D51*2%</f>
        <v>25.813200000000002</v>
      </c>
      <c r="E55" s="283"/>
      <c r="F55" s="284">
        <f t="shared" si="1"/>
        <v>-49610.914544227511</v>
      </c>
    </row>
    <row r="56" spans="2:6" ht="12" customHeight="1" x14ac:dyDescent="0.15">
      <c r="B56" s="54" t="s">
        <v>388</v>
      </c>
      <c r="C56" s="55">
        <v>45595</v>
      </c>
      <c r="D56" s="300">
        <v>491.48</v>
      </c>
      <c r="E56" s="283"/>
      <c r="F56" s="284">
        <f t="shared" si="1"/>
        <v>-50102.394544227514</v>
      </c>
    </row>
    <row r="57" spans="2:6" s="429" customFormat="1" ht="12" customHeight="1" x14ac:dyDescent="0.15">
      <c r="B57" s="54" t="s">
        <v>384</v>
      </c>
      <c r="C57" s="431">
        <v>45603</v>
      </c>
      <c r="D57" s="300">
        <v>201.64</v>
      </c>
      <c r="E57" s="283"/>
      <c r="F57" s="284">
        <f t="shared" si="1"/>
        <v>-50304.034544227514</v>
      </c>
    </row>
    <row r="58" spans="2:6" s="429" customFormat="1" ht="12" customHeight="1" x14ac:dyDescent="0.15">
      <c r="B58" s="54" t="s">
        <v>391</v>
      </c>
      <c r="C58" s="431">
        <v>45603</v>
      </c>
      <c r="D58" s="300">
        <v>185.96</v>
      </c>
      <c r="E58" s="283"/>
      <c r="F58" s="284">
        <f t="shared" si="1"/>
        <v>-50489.994544227513</v>
      </c>
    </row>
    <row r="59" spans="2:6" s="429" customFormat="1" ht="12" customHeight="1" x14ac:dyDescent="0.15">
      <c r="B59" s="54" t="s">
        <v>394</v>
      </c>
      <c r="C59" s="431">
        <v>45613</v>
      </c>
      <c r="D59" s="300">
        <v>25.81</v>
      </c>
      <c r="E59" s="283"/>
      <c r="F59" s="284">
        <f t="shared" si="1"/>
        <v>-50515.804544227511</v>
      </c>
    </row>
    <row r="60" spans="2:6" s="429" customFormat="1" ht="12" customHeight="1" x14ac:dyDescent="0.15">
      <c r="B60" s="54" t="s">
        <v>388</v>
      </c>
      <c r="C60" s="431">
        <v>45626</v>
      </c>
      <c r="D60" s="300">
        <v>491.48</v>
      </c>
      <c r="E60" s="283"/>
      <c r="F60" s="284">
        <f t="shared" si="1"/>
        <v>-51007.284544227514</v>
      </c>
    </row>
    <row r="61" spans="2:6" s="429" customFormat="1" ht="12" customHeight="1" x14ac:dyDescent="0.15">
      <c r="B61" s="54" t="s">
        <v>384</v>
      </c>
      <c r="C61" s="431">
        <v>45633</v>
      </c>
      <c r="D61" s="300">
        <v>201.64</v>
      </c>
      <c r="E61" s="283"/>
      <c r="F61" s="284">
        <f t="shared" si="1"/>
        <v>-51208.924544227513</v>
      </c>
    </row>
    <row r="62" spans="2:6" s="429" customFormat="1" ht="12" customHeight="1" x14ac:dyDescent="0.15">
      <c r="B62" s="54" t="s">
        <v>391</v>
      </c>
      <c r="C62" s="431">
        <v>45633</v>
      </c>
      <c r="D62" s="300">
        <v>185.96</v>
      </c>
      <c r="E62" s="283"/>
      <c r="F62" s="284">
        <f t="shared" si="1"/>
        <v>-51394.884544227512</v>
      </c>
    </row>
    <row r="63" spans="2:6" s="429" customFormat="1" ht="12" customHeight="1" x14ac:dyDescent="0.15">
      <c r="B63" s="54" t="s">
        <v>394</v>
      </c>
      <c r="C63" s="431">
        <v>45643</v>
      </c>
      <c r="D63" s="300">
        <v>25.81</v>
      </c>
      <c r="E63" s="283"/>
      <c r="F63" s="284">
        <f t="shared" si="1"/>
        <v>-51420.69454422751</v>
      </c>
    </row>
    <row r="64" spans="2:6" s="429" customFormat="1" ht="12" customHeight="1" x14ac:dyDescent="0.15">
      <c r="B64" s="54" t="s">
        <v>388</v>
      </c>
      <c r="C64" s="431">
        <v>45656</v>
      </c>
      <c r="D64" s="300">
        <v>491.48</v>
      </c>
      <c r="E64" s="283"/>
      <c r="F64" s="284">
        <f t="shared" si="1"/>
        <v>-51912.174544227513</v>
      </c>
    </row>
    <row r="65" spans="2:6" s="429" customFormat="1" ht="32" customHeight="1" x14ac:dyDescent="0.15">
      <c r="B65" s="296" t="s">
        <v>512</v>
      </c>
      <c r="C65" s="431">
        <v>45664</v>
      </c>
      <c r="D65" s="300">
        <f>'PedidoVotoElec-11-10'!E31</f>
        <v>6072.3928329751707</v>
      </c>
      <c r="E65" s="283"/>
      <c r="F65" s="284">
        <f t="shared" si="1"/>
        <v>-57984.567377202686</v>
      </c>
    </row>
    <row r="66" spans="2:6" s="429" customFormat="1" ht="24" customHeight="1" x14ac:dyDescent="0.15">
      <c r="B66" s="296" t="s">
        <v>513</v>
      </c>
      <c r="C66" s="431">
        <v>45664</v>
      </c>
      <c r="D66" s="300">
        <f>'PedidoVotoElec-09-12'!E32</f>
        <v>14452.815932056143</v>
      </c>
      <c r="E66" s="283"/>
      <c r="F66" s="284">
        <f t="shared" si="1"/>
        <v>-72437.383309258832</v>
      </c>
    </row>
    <row r="67" spans="2:6" s="429" customFormat="1" ht="22" customHeight="1" x14ac:dyDescent="0.15">
      <c r="B67" s="439" t="s">
        <v>514</v>
      </c>
      <c r="C67" s="431">
        <v>45664</v>
      </c>
      <c r="D67" s="300">
        <f>'Pedido Exceptional - ENERO2025'!E25</f>
        <v>5445.3745249417016</v>
      </c>
      <c r="E67" s="283"/>
      <c r="F67" s="284">
        <f t="shared" si="1"/>
        <v>-77882.757834200529</v>
      </c>
    </row>
    <row r="68" spans="2:6" ht="15" customHeight="1" x14ac:dyDescent="0.15">
      <c r="B68" s="301"/>
      <c r="C68" s="302" t="s">
        <v>395</v>
      </c>
      <c r="D68" s="297">
        <f>SUM(D13:D67)</f>
        <v>280805.46783420071</v>
      </c>
      <c r="E68" s="286">
        <f>SUM(E13:E67)</f>
        <v>202922.71</v>
      </c>
      <c r="F68" s="303">
        <f>E68-D68</f>
        <v>-77882.757834200718</v>
      </c>
    </row>
    <row r="69" spans="2:6" ht="12" customHeight="1" x14ac:dyDescent="0.15">
      <c r="D69" s="304"/>
      <c r="F69" s="305"/>
    </row>
    <row r="70" spans="2:6" ht="12" customHeight="1" x14ac:dyDescent="0.15">
      <c r="D70" s="304"/>
      <c r="F70" s="305"/>
    </row>
    <row r="71" spans="2:6" ht="12" customHeight="1" x14ac:dyDescent="0.15">
      <c r="B71" s="306" t="s">
        <v>396</v>
      </c>
      <c r="C71" s="8"/>
      <c r="D71" s="307"/>
      <c r="E71" s="8"/>
      <c r="F71" s="8"/>
    </row>
    <row r="72" spans="2:6" ht="12" customHeight="1" x14ac:dyDescent="0.15">
      <c r="B72" s="54" t="s">
        <v>82</v>
      </c>
      <c r="C72" s="55">
        <v>45418</v>
      </c>
      <c r="D72" s="308">
        <v>-1000</v>
      </c>
      <c r="E72" s="309"/>
      <c r="F72" s="310"/>
    </row>
    <row r="73" spans="2:6" ht="12" customHeight="1" x14ac:dyDescent="0.15">
      <c r="B73" s="54" t="s">
        <v>91</v>
      </c>
      <c r="C73" s="57">
        <v>45443</v>
      </c>
      <c r="D73" s="308">
        <v>-1000</v>
      </c>
      <c r="F73" s="311"/>
    </row>
    <row r="74" spans="2:6" ht="12" customHeight="1" x14ac:dyDescent="0.15">
      <c r="B74" s="54" t="s">
        <v>397</v>
      </c>
      <c r="C74" s="299">
        <v>45473</v>
      </c>
      <c r="D74" s="308">
        <v>-3000</v>
      </c>
      <c r="F74" s="311"/>
    </row>
    <row r="75" spans="2:6" ht="12" customHeight="1" x14ac:dyDescent="0.15">
      <c r="B75" s="54" t="s">
        <v>398</v>
      </c>
      <c r="C75" s="299">
        <v>45473</v>
      </c>
      <c r="D75" s="308">
        <v>-3000</v>
      </c>
      <c r="E75" s="3"/>
      <c r="F75" s="4"/>
    </row>
    <row r="76" spans="2:6" ht="12" customHeight="1" x14ac:dyDescent="0.15">
      <c r="B76" s="58" t="s">
        <v>399</v>
      </c>
      <c r="C76" s="285">
        <v>45481</v>
      </c>
      <c r="D76" s="308">
        <v>-5000</v>
      </c>
      <c r="E76" s="3"/>
      <c r="F76" s="4"/>
    </row>
    <row r="77" spans="2:6" ht="12" customHeight="1" x14ac:dyDescent="0.15">
      <c r="B77" s="58" t="s">
        <v>400</v>
      </c>
      <c r="C77" s="285">
        <v>45540</v>
      </c>
      <c r="D77" s="308">
        <v>-1000</v>
      </c>
      <c r="E77" s="3"/>
      <c r="F77" s="4"/>
    </row>
    <row r="78" spans="2:6" ht="12" customHeight="1" x14ac:dyDescent="0.15">
      <c r="B78" s="58"/>
      <c r="C78" s="285"/>
      <c r="D78" s="312"/>
      <c r="E78" s="3"/>
      <c r="F78" s="4"/>
    </row>
    <row r="79" spans="2:6" ht="12" customHeight="1" x14ac:dyDescent="0.15">
      <c r="B79" s="313"/>
      <c r="C79" s="314"/>
      <c r="D79" s="315"/>
      <c r="E79" s="3"/>
      <c r="F79" s="4"/>
    </row>
    <row r="80" spans="2:6" ht="12" customHeight="1" x14ac:dyDescent="0.15">
      <c r="B80" s="316" t="s">
        <v>401</v>
      </c>
      <c r="C80" s="314"/>
      <c r="D80" s="317">
        <f>SUM(D72:D78)</f>
        <v>-14000</v>
      </c>
      <c r="E80" s="3"/>
      <c r="F80" s="4"/>
    </row>
    <row r="81" spans="2:10" ht="12" customHeight="1" x14ac:dyDescent="0.15">
      <c r="B81" s="313"/>
      <c r="C81" s="314"/>
      <c r="D81" s="315"/>
      <c r="E81" s="3"/>
      <c r="F81" s="4"/>
    </row>
    <row r="82" spans="2:10" ht="12" customHeight="1" x14ac:dyDescent="0.15">
      <c r="B82" s="318"/>
      <c r="C82" s="3"/>
      <c r="D82" s="48"/>
      <c r="E82" s="3"/>
      <c r="F82" s="319">
        <f>F68+D80</f>
        <v>-91882.757834200718</v>
      </c>
    </row>
    <row r="83" spans="2:10" ht="12" customHeight="1" x14ac:dyDescent="0.15">
      <c r="B83" s="320" t="s">
        <v>402</v>
      </c>
      <c r="C83" s="3"/>
      <c r="D83" s="3"/>
      <c r="E83" s="3"/>
      <c r="F83" s="90" t="s">
        <v>403</v>
      </c>
    </row>
    <row r="84" spans="2:10" ht="12" customHeight="1" x14ac:dyDescent="0.15">
      <c r="B84" s="2" t="s">
        <v>404</v>
      </c>
      <c r="C84" s="3"/>
      <c r="D84" s="3"/>
      <c r="E84" s="3"/>
      <c r="F84" s="4"/>
    </row>
    <row r="85" spans="2:10" ht="12" customHeight="1" x14ac:dyDescent="0.15">
      <c r="B85" s="321"/>
      <c r="C85" s="3"/>
      <c r="D85" s="3"/>
      <c r="E85" s="3"/>
      <c r="F85" s="4"/>
    </row>
    <row r="86" spans="2:10" ht="12" customHeight="1" x14ac:dyDescent="0.15">
      <c r="B86" s="322" t="s">
        <v>405</v>
      </c>
      <c r="C86" s="323"/>
      <c r="D86" s="324"/>
      <c r="E86" s="3"/>
      <c r="F86" s="4"/>
    </row>
    <row r="87" spans="2:10" ht="12" customHeight="1" x14ac:dyDescent="0.15">
      <c r="B87" s="325" t="s">
        <v>406</v>
      </c>
      <c r="C87" s="3"/>
      <c r="D87" s="48"/>
      <c r="E87" s="3"/>
      <c r="F87" s="4"/>
    </row>
    <row r="88" spans="2:10" ht="12" customHeight="1" x14ac:dyDescent="0.15">
      <c r="B88" s="325" t="s">
        <v>407</v>
      </c>
      <c r="C88" s="3"/>
      <c r="D88" s="48"/>
      <c r="E88" s="3"/>
      <c r="F88" s="4"/>
      <c r="J88" s="326"/>
    </row>
    <row r="89" spans="2:10" ht="12" customHeight="1" x14ac:dyDescent="0.15">
      <c r="B89" s="327" t="s">
        <v>408</v>
      </c>
      <c r="C89" s="328"/>
      <c r="D89" s="329"/>
      <c r="E89" s="3"/>
      <c r="F89" s="4"/>
      <c r="J89" s="326"/>
    </row>
    <row r="90" spans="2:10" ht="12" customHeight="1" x14ac:dyDescent="0.15">
      <c r="B90" s="2"/>
      <c r="C90" s="3"/>
      <c r="D90" s="3"/>
      <c r="E90" s="3"/>
      <c r="F90" s="4"/>
      <c r="J90" s="326"/>
    </row>
    <row r="91" spans="2:10" ht="12" customHeight="1" x14ac:dyDescent="0.15">
      <c r="B91" s="2"/>
      <c r="C91" s="3"/>
      <c r="D91" s="3"/>
      <c r="E91" s="3"/>
      <c r="F91" s="4"/>
      <c r="J91" s="326"/>
    </row>
    <row r="92" spans="2:10" ht="12" customHeight="1" x14ac:dyDescent="0.15">
      <c r="B92" s="2"/>
      <c r="C92" s="3"/>
      <c r="D92" s="3"/>
      <c r="E92" s="3"/>
      <c r="F92" s="4"/>
    </row>
    <row r="93" spans="2:10" ht="12" customHeight="1" x14ac:dyDescent="0.15">
      <c r="B93" s="2"/>
      <c r="C93" s="3"/>
      <c r="D93" s="3"/>
      <c r="E93" s="3"/>
      <c r="F93" s="4"/>
    </row>
    <row r="94" spans="2:10" ht="12" customHeight="1" x14ac:dyDescent="0.15">
      <c r="B94" s="2"/>
      <c r="C94" s="3"/>
      <c r="D94" s="3"/>
      <c r="E94" s="3"/>
      <c r="F94" s="4"/>
    </row>
    <row r="95" spans="2:10" ht="12" customHeight="1" x14ac:dyDescent="0.15">
      <c r="B95" s="2"/>
      <c r="C95" s="3"/>
      <c r="D95" s="3"/>
      <c r="E95" s="3"/>
      <c r="F95" s="4"/>
    </row>
    <row r="96" spans="2:10" ht="12" customHeight="1" x14ac:dyDescent="0.15">
      <c r="B96" s="2"/>
      <c r="C96" s="3"/>
      <c r="D96" s="3"/>
      <c r="E96" s="3"/>
      <c r="F96" s="4"/>
    </row>
    <row r="97" spans="2:6" ht="12" customHeight="1" x14ac:dyDescent="0.15">
      <c r="B97" s="2"/>
      <c r="C97" s="3"/>
      <c r="D97" s="3"/>
      <c r="E97" s="3"/>
      <c r="F97" s="4"/>
    </row>
    <row r="98" spans="2:6" ht="12" customHeight="1" x14ac:dyDescent="0.15">
      <c r="B98" s="2"/>
      <c r="C98" s="3"/>
      <c r="D98" s="3"/>
      <c r="E98" s="3"/>
      <c r="F98" s="4"/>
    </row>
    <row r="99" spans="2:6" ht="12" customHeight="1" x14ac:dyDescent="0.15">
      <c r="B99" s="2"/>
      <c r="C99" s="3"/>
      <c r="D99" s="3"/>
      <c r="E99" s="3"/>
      <c r="F99" s="4"/>
    </row>
    <row r="100" spans="2:6" ht="12" customHeight="1" x14ac:dyDescent="0.15">
      <c r="B100" s="2"/>
      <c r="C100" s="3"/>
      <c r="D100" s="3"/>
      <c r="E100" s="3"/>
      <c r="F100" s="4"/>
    </row>
    <row r="101" spans="2:6" ht="12" customHeight="1" x14ac:dyDescent="0.15">
      <c r="B101" s="2"/>
      <c r="C101" s="3"/>
      <c r="D101" s="3"/>
      <c r="E101" s="3"/>
      <c r="F101" s="4"/>
    </row>
    <row r="102" spans="2:6" ht="12" customHeight="1" x14ac:dyDescent="0.15">
      <c r="B102" s="2"/>
      <c r="C102" s="3"/>
      <c r="D102" s="3"/>
      <c r="E102" s="3"/>
      <c r="F102" s="4"/>
    </row>
    <row r="103" spans="2:6" ht="12" customHeight="1" x14ac:dyDescent="0.15">
      <c r="B103" s="2"/>
      <c r="C103" s="3"/>
      <c r="D103" s="3"/>
      <c r="E103" s="3"/>
      <c r="F103" s="4"/>
    </row>
    <row r="104" spans="2:6" ht="12" customHeight="1" x14ac:dyDescent="0.15">
      <c r="B104" s="2"/>
      <c r="C104" s="3"/>
      <c r="D104" s="3"/>
      <c r="E104" s="3"/>
      <c r="F104" s="4"/>
    </row>
    <row r="105" spans="2:6" ht="12" customHeight="1" x14ac:dyDescent="0.15">
      <c r="B105" s="2"/>
      <c r="C105" s="3"/>
      <c r="D105" s="3"/>
      <c r="E105" s="3"/>
      <c r="F105" s="4"/>
    </row>
    <row r="106" spans="2:6" ht="12" customHeight="1" x14ac:dyDescent="0.15">
      <c r="B106" s="2"/>
      <c r="C106" s="3"/>
      <c r="D106" s="3"/>
      <c r="E106" s="3"/>
      <c r="F106" s="4"/>
    </row>
    <row r="107" spans="2:6" ht="12" customHeight="1" x14ac:dyDescent="0.15">
      <c r="B107" s="2"/>
      <c r="C107" s="3"/>
      <c r="D107" s="3"/>
      <c r="E107" s="3"/>
      <c r="F107" s="4"/>
    </row>
    <row r="108" spans="2:6" ht="12" customHeight="1" x14ac:dyDescent="0.15">
      <c r="B108" s="2"/>
      <c r="C108" s="3"/>
      <c r="D108" s="3"/>
      <c r="E108" s="3"/>
      <c r="F108" s="4"/>
    </row>
    <row r="109" spans="2:6" ht="12" customHeight="1" x14ac:dyDescent="0.15">
      <c r="B109" s="2"/>
      <c r="C109" s="3"/>
      <c r="D109" s="3"/>
      <c r="E109" s="3"/>
      <c r="F109" s="4"/>
    </row>
    <row r="110" spans="2:6" ht="12" customHeight="1" x14ac:dyDescent="0.15">
      <c r="B110" s="2"/>
      <c r="C110" s="3"/>
      <c r="D110" s="3"/>
      <c r="E110" s="3"/>
      <c r="F110" s="4"/>
    </row>
    <row r="111" spans="2:6" ht="12" customHeight="1" x14ac:dyDescent="0.15">
      <c r="B111" s="2"/>
      <c r="C111" s="3"/>
      <c r="D111" s="3"/>
      <c r="E111" s="3"/>
      <c r="F111" s="4"/>
    </row>
    <row r="112" spans="2:6" ht="12" customHeight="1" x14ac:dyDescent="0.15">
      <c r="B112" s="2"/>
      <c r="C112" s="3"/>
      <c r="D112" s="3"/>
      <c r="E112" s="3"/>
      <c r="F112" s="4"/>
    </row>
    <row r="113" spans="2:6" ht="12" customHeight="1" x14ac:dyDescent="0.15">
      <c r="B113" s="2"/>
      <c r="C113" s="3"/>
      <c r="D113" s="3"/>
      <c r="E113" s="3"/>
      <c r="F113" s="4"/>
    </row>
    <row r="114" spans="2:6" ht="12" customHeight="1" x14ac:dyDescent="0.15">
      <c r="B114" s="2"/>
      <c r="C114" s="3"/>
      <c r="D114" s="3"/>
      <c r="E114" s="3"/>
      <c r="F114" s="4"/>
    </row>
    <row r="115" spans="2:6" ht="12" customHeight="1" x14ac:dyDescent="0.15">
      <c r="B115" s="2"/>
      <c r="C115" s="3"/>
      <c r="D115" s="3"/>
      <c r="E115" s="3"/>
      <c r="F115" s="4"/>
    </row>
    <row r="116" spans="2:6" ht="12" customHeight="1" x14ac:dyDescent="0.15">
      <c r="B116" s="2"/>
      <c r="C116" s="3"/>
      <c r="D116" s="3"/>
      <c r="E116" s="3"/>
      <c r="F116" s="4"/>
    </row>
    <row r="117" spans="2:6" ht="12" customHeight="1" x14ac:dyDescent="0.15">
      <c r="B117" s="2"/>
      <c r="C117" s="3"/>
      <c r="D117" s="3"/>
      <c r="E117" s="3"/>
      <c r="F117" s="4"/>
    </row>
    <row r="118" spans="2:6" ht="12" customHeight="1" x14ac:dyDescent="0.15">
      <c r="B118" s="2"/>
      <c r="C118" s="3"/>
      <c r="D118" s="3"/>
      <c r="E118" s="3"/>
      <c r="F118" s="4"/>
    </row>
    <row r="119" spans="2:6" ht="12" customHeight="1" x14ac:dyDescent="0.15">
      <c r="B119" s="2"/>
      <c r="C119" s="3"/>
      <c r="D119" s="3"/>
      <c r="E119" s="3"/>
      <c r="F119" s="4"/>
    </row>
    <row r="120" spans="2:6" ht="12" customHeight="1" x14ac:dyDescent="0.15">
      <c r="B120" s="2"/>
      <c r="C120" s="3"/>
      <c r="D120" s="3"/>
      <c r="E120" s="3"/>
      <c r="F120" s="4"/>
    </row>
    <row r="121" spans="2:6" ht="12" customHeight="1" x14ac:dyDescent="0.15">
      <c r="B121" s="2"/>
      <c r="C121" s="3"/>
      <c r="D121" s="3"/>
      <c r="E121" s="3"/>
      <c r="F121" s="4"/>
    </row>
    <row r="122" spans="2:6" ht="12" customHeight="1" x14ac:dyDescent="0.15">
      <c r="B122" s="2"/>
      <c r="C122" s="3"/>
      <c r="D122" s="3"/>
      <c r="E122" s="3"/>
      <c r="F122" s="4"/>
    </row>
    <row r="123" spans="2:6" ht="12" customHeight="1" x14ac:dyDescent="0.15">
      <c r="B123" s="2"/>
      <c r="C123" s="3"/>
      <c r="D123" s="3"/>
      <c r="E123" s="3"/>
      <c r="F123" s="4"/>
    </row>
    <row r="124" spans="2:6" ht="12" customHeight="1" x14ac:dyDescent="0.15">
      <c r="B124" s="2"/>
      <c r="C124" s="3"/>
      <c r="D124" s="3"/>
      <c r="E124" s="3"/>
      <c r="F124" s="4"/>
    </row>
    <row r="125" spans="2:6" ht="12" customHeight="1" x14ac:dyDescent="0.15">
      <c r="B125" s="2"/>
      <c r="C125" s="3"/>
      <c r="D125" s="3"/>
      <c r="E125" s="3"/>
      <c r="F125" s="4"/>
    </row>
    <row r="126" spans="2:6" ht="12" customHeight="1" x14ac:dyDescent="0.15">
      <c r="B126" s="2"/>
      <c r="C126" s="3"/>
      <c r="D126" s="3"/>
      <c r="E126" s="3"/>
      <c r="F126" s="4"/>
    </row>
    <row r="127" spans="2:6" ht="12" customHeight="1" x14ac:dyDescent="0.15">
      <c r="B127" s="2"/>
      <c r="C127" s="3"/>
      <c r="D127" s="3"/>
      <c r="E127" s="3"/>
      <c r="F127" s="4"/>
    </row>
    <row r="128" spans="2:6" ht="12" customHeight="1" x14ac:dyDescent="0.15">
      <c r="B128" s="2"/>
      <c r="C128" s="3"/>
      <c r="D128" s="3"/>
      <c r="E128" s="3"/>
      <c r="F128" s="4"/>
    </row>
    <row r="129" spans="2:6" ht="12" customHeight="1" x14ac:dyDescent="0.15">
      <c r="B129" s="2"/>
      <c r="C129" s="3"/>
      <c r="D129" s="3"/>
      <c r="E129" s="3"/>
      <c r="F129" s="4"/>
    </row>
    <row r="130" spans="2:6" ht="12" customHeight="1" x14ac:dyDescent="0.15">
      <c r="B130" s="2"/>
      <c r="C130" s="3"/>
      <c r="D130" s="3"/>
      <c r="E130" s="3"/>
      <c r="F130" s="4"/>
    </row>
    <row r="131" spans="2:6" ht="12" customHeight="1" x14ac:dyDescent="0.15">
      <c r="B131" s="2"/>
      <c r="C131" s="3"/>
      <c r="D131" s="3"/>
      <c r="E131" s="3"/>
      <c r="F131" s="4"/>
    </row>
    <row r="132" spans="2:6" ht="12" customHeight="1" x14ac:dyDescent="0.15">
      <c r="B132" s="2"/>
      <c r="C132" s="3"/>
      <c r="D132" s="3"/>
      <c r="E132" s="3"/>
      <c r="F132" s="4"/>
    </row>
    <row r="133" spans="2:6" ht="12" customHeight="1" x14ac:dyDescent="0.15">
      <c r="B133" s="2"/>
      <c r="C133" s="3"/>
      <c r="D133" s="3"/>
      <c r="E133" s="3"/>
      <c r="F133" s="4"/>
    </row>
    <row r="134" spans="2:6" ht="12" customHeight="1" x14ac:dyDescent="0.15">
      <c r="B134" s="2"/>
      <c r="C134" s="3"/>
      <c r="D134" s="3"/>
      <c r="E134" s="3"/>
      <c r="F134" s="4"/>
    </row>
    <row r="135" spans="2:6" ht="12" customHeight="1" x14ac:dyDescent="0.15">
      <c r="B135" s="2"/>
      <c r="C135" s="3"/>
      <c r="D135" s="3"/>
      <c r="E135" s="3"/>
      <c r="F135" s="4"/>
    </row>
    <row r="136" spans="2:6" ht="12" customHeight="1" x14ac:dyDescent="0.15">
      <c r="B136" s="2"/>
      <c r="C136" s="3"/>
      <c r="D136" s="3"/>
      <c r="E136" s="3"/>
      <c r="F136" s="4"/>
    </row>
    <row r="137" spans="2:6" ht="12" customHeight="1" x14ac:dyDescent="0.15">
      <c r="B137" s="2"/>
      <c r="C137" s="3"/>
      <c r="D137" s="3"/>
      <c r="E137" s="3"/>
      <c r="F137" s="4"/>
    </row>
    <row r="138" spans="2:6" ht="12" customHeight="1" x14ac:dyDescent="0.15">
      <c r="B138" s="2"/>
      <c r="C138" s="3"/>
      <c r="D138" s="3"/>
      <c r="E138" s="3"/>
      <c r="F138" s="4"/>
    </row>
    <row r="139" spans="2:6" ht="12" customHeight="1" x14ac:dyDescent="0.15">
      <c r="B139" s="2"/>
      <c r="C139" s="3"/>
      <c r="D139" s="3"/>
      <c r="E139" s="3"/>
      <c r="F139" s="4"/>
    </row>
    <row r="140" spans="2:6" ht="12" customHeight="1" x14ac:dyDescent="0.15">
      <c r="B140" s="2"/>
      <c r="C140" s="3"/>
      <c r="D140" s="3"/>
      <c r="E140" s="3"/>
      <c r="F140" s="4"/>
    </row>
    <row r="141" spans="2:6" ht="12" customHeight="1" x14ac:dyDescent="0.15">
      <c r="B141" s="2"/>
      <c r="C141" s="3"/>
      <c r="D141" s="3"/>
      <c r="E141" s="3"/>
      <c r="F141" s="4"/>
    </row>
    <row r="142" spans="2:6" ht="12" customHeight="1" x14ac:dyDescent="0.15">
      <c r="B142" s="2"/>
      <c r="C142" s="3"/>
      <c r="D142" s="3"/>
      <c r="E142" s="3"/>
      <c r="F142" s="4"/>
    </row>
    <row r="143" spans="2:6" ht="12" customHeight="1" x14ac:dyDescent="0.15">
      <c r="B143" s="2"/>
      <c r="C143" s="3"/>
      <c r="D143" s="3"/>
      <c r="E143" s="3"/>
      <c r="F143" s="4"/>
    </row>
    <row r="144" spans="2:6" ht="12" customHeight="1" x14ac:dyDescent="0.15">
      <c r="B144" s="2"/>
      <c r="C144" s="3"/>
      <c r="D144" s="3"/>
      <c r="E144" s="3"/>
      <c r="F144" s="4"/>
    </row>
    <row r="145" spans="2:6" ht="12" customHeight="1" x14ac:dyDescent="0.15">
      <c r="B145" s="2"/>
      <c r="C145" s="3"/>
      <c r="D145" s="3"/>
      <c r="E145" s="3"/>
      <c r="F145" s="4"/>
    </row>
    <row r="146" spans="2:6" ht="12" customHeight="1" x14ac:dyDescent="0.15">
      <c r="B146" s="2"/>
      <c r="C146" s="3"/>
      <c r="D146" s="3"/>
      <c r="E146" s="3"/>
      <c r="F146" s="4"/>
    </row>
    <row r="147" spans="2:6" ht="12" customHeight="1" x14ac:dyDescent="0.15">
      <c r="B147" s="2"/>
      <c r="C147" s="3"/>
      <c r="D147" s="3"/>
      <c r="E147" s="3"/>
      <c r="F147" s="4"/>
    </row>
    <row r="148" spans="2:6" ht="12" customHeight="1" x14ac:dyDescent="0.15">
      <c r="B148" s="2"/>
      <c r="C148" s="3"/>
      <c r="D148" s="3"/>
      <c r="E148" s="3"/>
      <c r="F148" s="4"/>
    </row>
    <row r="149" spans="2:6" ht="12" customHeight="1" x14ac:dyDescent="0.15">
      <c r="B149" s="2"/>
      <c r="C149" s="3"/>
      <c r="D149" s="3"/>
      <c r="E149" s="3"/>
      <c r="F149" s="4"/>
    </row>
    <row r="150" spans="2:6" ht="12" customHeight="1" x14ac:dyDescent="0.15">
      <c r="B150" s="2"/>
      <c r="C150" s="3"/>
      <c r="D150" s="3"/>
      <c r="E150" s="3"/>
      <c r="F150" s="4"/>
    </row>
    <row r="151" spans="2:6" ht="12" customHeight="1" x14ac:dyDescent="0.15">
      <c r="B151" s="2"/>
      <c r="C151" s="3"/>
      <c r="D151" s="3"/>
      <c r="E151" s="3"/>
      <c r="F151" s="4"/>
    </row>
    <row r="152" spans="2:6" ht="12" customHeight="1" x14ac:dyDescent="0.15">
      <c r="B152" s="2"/>
      <c r="C152" s="3"/>
      <c r="D152" s="3"/>
      <c r="E152" s="3"/>
      <c r="F152" s="4"/>
    </row>
    <row r="153" spans="2:6" ht="12" customHeight="1" x14ac:dyDescent="0.15">
      <c r="B153" s="2"/>
      <c r="C153" s="3"/>
      <c r="D153" s="3"/>
      <c r="E153" s="3"/>
      <c r="F153" s="4"/>
    </row>
    <row r="154" spans="2:6" ht="12" customHeight="1" x14ac:dyDescent="0.15">
      <c r="B154" s="2"/>
      <c r="C154" s="3"/>
      <c r="D154" s="3"/>
      <c r="E154" s="3"/>
      <c r="F154" s="4"/>
    </row>
    <row r="155" spans="2:6" ht="12" customHeight="1" x14ac:dyDescent="0.15">
      <c r="B155" s="2"/>
      <c r="C155" s="3"/>
      <c r="D155" s="3"/>
      <c r="E155" s="3"/>
      <c r="F155" s="4"/>
    </row>
    <row r="156" spans="2:6" ht="12" customHeight="1" x14ac:dyDescent="0.15">
      <c r="B156" s="2"/>
      <c r="C156" s="3"/>
      <c r="D156" s="3"/>
      <c r="E156" s="3"/>
      <c r="F156" s="4"/>
    </row>
    <row r="157" spans="2:6" ht="12" customHeight="1" x14ac:dyDescent="0.15">
      <c r="B157" s="2"/>
      <c r="C157" s="3"/>
      <c r="D157" s="3"/>
      <c r="E157" s="3"/>
      <c r="F157" s="4"/>
    </row>
    <row r="158" spans="2:6" ht="12" customHeight="1" x14ac:dyDescent="0.15">
      <c r="B158" s="2"/>
      <c r="C158" s="3"/>
      <c r="D158" s="3"/>
      <c r="E158" s="3"/>
      <c r="F158" s="4"/>
    </row>
    <row r="159" spans="2:6" ht="12" customHeight="1" x14ac:dyDescent="0.15">
      <c r="B159" s="2"/>
      <c r="C159" s="3"/>
      <c r="D159" s="3"/>
      <c r="E159" s="3"/>
      <c r="F159" s="4"/>
    </row>
    <row r="160" spans="2:6" ht="12" customHeight="1" x14ac:dyDescent="0.15">
      <c r="B160" s="2"/>
      <c r="C160" s="3"/>
      <c r="D160" s="3"/>
      <c r="E160" s="3"/>
      <c r="F160" s="4"/>
    </row>
    <row r="161" spans="2:6" ht="12" customHeight="1" x14ac:dyDescent="0.15">
      <c r="B161" s="2"/>
      <c r="C161" s="3"/>
      <c r="D161" s="3"/>
      <c r="E161" s="3"/>
      <c r="F161" s="4"/>
    </row>
    <row r="162" spans="2:6" ht="12" customHeight="1" x14ac:dyDescent="0.15">
      <c r="B162" s="2"/>
      <c r="C162" s="3"/>
      <c r="D162" s="3"/>
      <c r="E162" s="3"/>
      <c r="F162" s="4"/>
    </row>
    <row r="163" spans="2:6" ht="12" customHeight="1" x14ac:dyDescent="0.15">
      <c r="B163" s="2"/>
      <c r="C163" s="3"/>
      <c r="D163" s="3"/>
      <c r="E163" s="3"/>
      <c r="F163" s="4"/>
    </row>
    <row r="164" spans="2:6" ht="12" customHeight="1" x14ac:dyDescent="0.15">
      <c r="B164" s="2"/>
      <c r="C164" s="3"/>
      <c r="D164" s="3"/>
      <c r="E164" s="3"/>
      <c r="F164" s="4"/>
    </row>
    <row r="165" spans="2:6" ht="12" customHeight="1" x14ac:dyDescent="0.15">
      <c r="B165" s="2"/>
      <c r="C165" s="3"/>
      <c r="D165" s="3"/>
      <c r="E165" s="3"/>
      <c r="F165" s="4"/>
    </row>
    <row r="166" spans="2:6" ht="12" customHeight="1" x14ac:dyDescent="0.15">
      <c r="B166" s="2"/>
      <c r="C166" s="3"/>
      <c r="D166" s="3"/>
      <c r="E166" s="3"/>
      <c r="F166" s="4"/>
    </row>
    <row r="167" spans="2:6" ht="12" customHeight="1" x14ac:dyDescent="0.15">
      <c r="B167" s="2"/>
      <c r="C167" s="3"/>
      <c r="D167" s="3"/>
      <c r="E167" s="3"/>
      <c r="F167" s="4"/>
    </row>
    <row r="168" spans="2:6" ht="12" customHeight="1" x14ac:dyDescent="0.15">
      <c r="B168" s="2"/>
      <c r="C168" s="3"/>
      <c r="D168" s="3"/>
      <c r="E168" s="3"/>
      <c r="F168" s="4"/>
    </row>
    <row r="169" spans="2:6" ht="12" customHeight="1" x14ac:dyDescent="0.15">
      <c r="B169" s="2"/>
      <c r="C169" s="3"/>
      <c r="D169" s="3"/>
      <c r="E169" s="3"/>
      <c r="F169" s="4"/>
    </row>
    <row r="170" spans="2:6" ht="12" customHeight="1" x14ac:dyDescent="0.15">
      <c r="B170" s="2"/>
      <c r="C170" s="3"/>
      <c r="D170" s="3"/>
      <c r="E170" s="3"/>
      <c r="F170" s="4"/>
    </row>
    <row r="171" spans="2:6" ht="12" customHeight="1" x14ac:dyDescent="0.15">
      <c r="B171" s="2"/>
      <c r="C171" s="3"/>
      <c r="D171" s="3"/>
      <c r="E171" s="3"/>
      <c r="F171" s="4"/>
    </row>
    <row r="172" spans="2:6" ht="12" customHeight="1" x14ac:dyDescent="0.15">
      <c r="B172" s="2"/>
      <c r="C172" s="3"/>
      <c r="D172" s="3"/>
      <c r="E172" s="3"/>
      <c r="F172" s="4"/>
    </row>
    <row r="173" spans="2:6" ht="12" customHeight="1" x14ac:dyDescent="0.15">
      <c r="B173" s="2"/>
      <c r="C173" s="3"/>
      <c r="D173" s="3"/>
      <c r="E173" s="3"/>
      <c r="F173" s="4"/>
    </row>
    <row r="174" spans="2:6" ht="12" customHeight="1" x14ac:dyDescent="0.15">
      <c r="B174" s="2"/>
      <c r="C174" s="3"/>
      <c r="D174" s="3"/>
      <c r="E174" s="3"/>
      <c r="F174" s="4"/>
    </row>
    <row r="175" spans="2:6" ht="12" customHeight="1" x14ac:dyDescent="0.15">
      <c r="B175" s="2"/>
      <c r="C175" s="3"/>
      <c r="D175" s="3"/>
      <c r="E175" s="3"/>
      <c r="F175" s="4"/>
    </row>
    <row r="176" spans="2:6" ht="12" customHeight="1" x14ac:dyDescent="0.15">
      <c r="B176" s="2"/>
      <c r="C176" s="3"/>
      <c r="D176" s="3"/>
      <c r="E176" s="3"/>
      <c r="F176" s="4"/>
    </row>
    <row r="177" spans="2:6" ht="12" customHeight="1" x14ac:dyDescent="0.15">
      <c r="B177" s="2"/>
      <c r="C177" s="3"/>
      <c r="D177" s="3"/>
      <c r="E177" s="3"/>
      <c r="F177" s="4"/>
    </row>
    <row r="178" spans="2:6" ht="12" customHeight="1" x14ac:dyDescent="0.15">
      <c r="B178" s="2"/>
      <c r="C178" s="3"/>
      <c r="D178" s="3"/>
      <c r="E178" s="3"/>
      <c r="F178" s="4"/>
    </row>
    <row r="179" spans="2:6" ht="12" customHeight="1" x14ac:dyDescent="0.15">
      <c r="B179" s="2"/>
      <c r="C179" s="3"/>
      <c r="D179" s="3"/>
      <c r="E179" s="3"/>
      <c r="F179" s="4"/>
    </row>
    <row r="180" spans="2:6" ht="12" customHeight="1" x14ac:dyDescent="0.15">
      <c r="B180" s="2"/>
      <c r="C180" s="3"/>
      <c r="D180" s="3"/>
      <c r="E180" s="3"/>
      <c r="F180" s="4"/>
    </row>
    <row r="181" spans="2:6" ht="12" customHeight="1" x14ac:dyDescent="0.15">
      <c r="B181" s="2"/>
      <c r="C181" s="3"/>
      <c r="D181" s="3"/>
      <c r="E181" s="3"/>
      <c r="F181" s="4"/>
    </row>
    <row r="182" spans="2:6" ht="12" customHeight="1" x14ac:dyDescent="0.15">
      <c r="B182" s="2"/>
      <c r="C182" s="3"/>
      <c r="D182" s="3"/>
      <c r="E182" s="3"/>
      <c r="F182" s="4"/>
    </row>
    <row r="183" spans="2:6" ht="12" customHeight="1" x14ac:dyDescent="0.15">
      <c r="B183" s="2"/>
      <c r="C183" s="3"/>
      <c r="D183" s="3"/>
      <c r="E183" s="3"/>
      <c r="F183" s="4"/>
    </row>
    <row r="184" spans="2:6" ht="12" customHeight="1" x14ac:dyDescent="0.15">
      <c r="B184" s="2"/>
      <c r="C184" s="3"/>
      <c r="D184" s="3"/>
      <c r="E184" s="3"/>
      <c r="F184" s="4"/>
    </row>
    <row r="185" spans="2:6" ht="12" customHeight="1" x14ac:dyDescent="0.15">
      <c r="B185" s="2"/>
      <c r="C185" s="3"/>
      <c r="D185" s="3"/>
      <c r="E185" s="3"/>
      <c r="F185" s="4"/>
    </row>
    <row r="186" spans="2:6" ht="12" customHeight="1" x14ac:dyDescent="0.15">
      <c r="B186" s="2"/>
      <c r="C186" s="3"/>
      <c r="D186" s="3"/>
      <c r="E186" s="3"/>
      <c r="F186" s="4"/>
    </row>
    <row r="187" spans="2:6" ht="12" customHeight="1" x14ac:dyDescent="0.15">
      <c r="B187" s="2"/>
      <c r="C187" s="3"/>
      <c r="D187" s="3"/>
      <c r="E187" s="3"/>
      <c r="F187" s="4"/>
    </row>
    <row r="188" spans="2:6" ht="12" customHeight="1" x14ac:dyDescent="0.15">
      <c r="B188" s="2"/>
      <c r="C188" s="3"/>
      <c r="D188" s="3"/>
      <c r="E188" s="3"/>
      <c r="F188" s="4"/>
    </row>
    <row r="189" spans="2:6" ht="12" customHeight="1" x14ac:dyDescent="0.15">
      <c r="B189" s="2"/>
      <c r="C189" s="3"/>
      <c r="D189" s="3"/>
      <c r="E189" s="3"/>
      <c r="F189" s="4"/>
    </row>
    <row r="190" spans="2:6" ht="12" customHeight="1" x14ac:dyDescent="0.15">
      <c r="B190" s="2"/>
      <c r="C190" s="3"/>
      <c r="D190" s="3"/>
      <c r="E190" s="3"/>
      <c r="F190" s="4"/>
    </row>
    <row r="191" spans="2:6" ht="12" customHeight="1" x14ac:dyDescent="0.15">
      <c r="B191" s="2"/>
      <c r="C191" s="3"/>
      <c r="D191" s="3"/>
      <c r="E191" s="3"/>
      <c r="F191" s="4"/>
    </row>
    <row r="192" spans="2:6" ht="12" customHeight="1" x14ac:dyDescent="0.15">
      <c r="B192" s="2"/>
      <c r="C192" s="3"/>
      <c r="D192" s="3"/>
      <c r="E192" s="3"/>
      <c r="F192" s="4"/>
    </row>
    <row r="193" spans="2:6" ht="12" customHeight="1" x14ac:dyDescent="0.15">
      <c r="B193" s="2"/>
      <c r="C193" s="3"/>
      <c r="D193" s="3"/>
      <c r="E193" s="3"/>
      <c r="F193" s="4"/>
    </row>
    <row r="194" spans="2:6" ht="12" customHeight="1" x14ac:dyDescent="0.15">
      <c r="B194" s="2"/>
      <c r="C194" s="3"/>
      <c r="D194" s="3"/>
      <c r="E194" s="3"/>
      <c r="F194" s="4"/>
    </row>
    <row r="195" spans="2:6" ht="12" customHeight="1" x14ac:dyDescent="0.15">
      <c r="B195" s="2"/>
      <c r="C195" s="3"/>
      <c r="D195" s="3"/>
      <c r="E195" s="3"/>
      <c r="F195" s="4"/>
    </row>
    <row r="196" spans="2:6" ht="12" customHeight="1" x14ac:dyDescent="0.15">
      <c r="B196" s="2"/>
      <c r="C196" s="3"/>
      <c r="D196" s="3"/>
      <c r="E196" s="3"/>
      <c r="F196" s="4"/>
    </row>
    <row r="197" spans="2:6" ht="12" customHeight="1" x14ac:dyDescent="0.15">
      <c r="B197" s="2"/>
      <c r="C197" s="3"/>
      <c r="D197" s="3"/>
      <c r="E197" s="3"/>
      <c r="F197" s="4"/>
    </row>
    <row r="198" spans="2:6" ht="12" customHeight="1" x14ac:dyDescent="0.15">
      <c r="B198" s="2"/>
      <c r="C198" s="3"/>
      <c r="D198" s="3"/>
      <c r="E198" s="3"/>
      <c r="F198" s="4"/>
    </row>
    <row r="199" spans="2:6" ht="12" customHeight="1" x14ac:dyDescent="0.15">
      <c r="B199" s="2"/>
      <c r="C199" s="3"/>
      <c r="D199" s="3"/>
      <c r="E199" s="3"/>
      <c r="F199" s="4"/>
    </row>
    <row r="200" spans="2:6" ht="12" customHeight="1" x14ac:dyDescent="0.15">
      <c r="B200" s="2"/>
      <c r="C200" s="3"/>
      <c r="D200" s="3"/>
      <c r="E200" s="3"/>
      <c r="F200" s="4"/>
    </row>
    <row r="201" spans="2:6" ht="12" customHeight="1" x14ac:dyDescent="0.15">
      <c r="B201" s="2"/>
      <c r="C201" s="3"/>
      <c r="D201" s="3"/>
      <c r="E201" s="3"/>
      <c r="F201" s="4"/>
    </row>
    <row r="202" spans="2:6" ht="12" customHeight="1" x14ac:dyDescent="0.15">
      <c r="B202" s="2"/>
      <c r="C202" s="3"/>
      <c r="D202" s="3"/>
      <c r="E202" s="3"/>
      <c r="F202" s="4"/>
    </row>
    <row r="203" spans="2:6" ht="12" customHeight="1" x14ac:dyDescent="0.15">
      <c r="B203" s="2"/>
      <c r="C203" s="3"/>
      <c r="D203" s="3"/>
      <c r="E203" s="3"/>
      <c r="F203" s="4"/>
    </row>
    <row r="204" spans="2:6" ht="12" customHeight="1" x14ac:dyDescent="0.15">
      <c r="B204" s="2"/>
      <c r="C204" s="3"/>
      <c r="D204" s="3"/>
      <c r="E204" s="3"/>
      <c r="F204" s="4"/>
    </row>
    <row r="205" spans="2:6" ht="12" customHeight="1" x14ac:dyDescent="0.15">
      <c r="B205" s="2"/>
      <c r="C205" s="3"/>
      <c r="D205" s="3"/>
      <c r="E205" s="3"/>
      <c r="F205" s="4"/>
    </row>
    <row r="206" spans="2:6" ht="12" customHeight="1" x14ac:dyDescent="0.15">
      <c r="B206" s="2"/>
      <c r="C206" s="3"/>
      <c r="D206" s="3"/>
      <c r="E206" s="3"/>
      <c r="F206" s="4"/>
    </row>
    <row r="207" spans="2:6" ht="12" customHeight="1" x14ac:dyDescent="0.15">
      <c r="B207" s="2"/>
      <c r="C207" s="3"/>
      <c r="D207" s="3"/>
      <c r="E207" s="3"/>
      <c r="F207" s="4"/>
    </row>
    <row r="208" spans="2:6" ht="12" customHeight="1" x14ac:dyDescent="0.15">
      <c r="B208" s="2"/>
      <c r="C208" s="3"/>
      <c r="D208" s="3"/>
      <c r="E208" s="3"/>
      <c r="F208" s="4"/>
    </row>
    <row r="209" spans="2:6" ht="12" customHeight="1" x14ac:dyDescent="0.15">
      <c r="B209" s="2"/>
      <c r="C209" s="3"/>
      <c r="D209" s="3"/>
      <c r="E209" s="3"/>
      <c r="F209" s="4"/>
    </row>
    <row r="210" spans="2:6" ht="12" customHeight="1" x14ac:dyDescent="0.15">
      <c r="B210" s="2"/>
      <c r="C210" s="3"/>
      <c r="D210" s="3"/>
      <c r="E210" s="3"/>
      <c r="F210" s="4"/>
    </row>
    <row r="211" spans="2:6" ht="12" customHeight="1" x14ac:dyDescent="0.15">
      <c r="B211" s="2"/>
      <c r="C211" s="3"/>
      <c r="D211" s="3"/>
      <c r="E211" s="3"/>
      <c r="F211" s="4"/>
    </row>
    <row r="212" spans="2:6" ht="12" customHeight="1" x14ac:dyDescent="0.15">
      <c r="B212" s="2"/>
      <c r="C212" s="3"/>
      <c r="D212" s="3"/>
      <c r="E212" s="3"/>
      <c r="F212" s="4"/>
    </row>
    <row r="213" spans="2:6" ht="12" customHeight="1" x14ac:dyDescent="0.15">
      <c r="B213" s="2"/>
      <c r="C213" s="3"/>
      <c r="D213" s="3"/>
      <c r="E213" s="3"/>
      <c r="F213" s="4"/>
    </row>
    <row r="214" spans="2:6" ht="12" customHeight="1" x14ac:dyDescent="0.15">
      <c r="B214" s="2"/>
      <c r="C214" s="3"/>
      <c r="D214" s="3"/>
      <c r="E214" s="3"/>
      <c r="F214" s="4"/>
    </row>
    <row r="215" spans="2:6" ht="12" customHeight="1" x14ac:dyDescent="0.15">
      <c r="B215" s="2"/>
      <c r="C215" s="3"/>
      <c r="D215" s="3"/>
      <c r="E215" s="3"/>
      <c r="F215" s="4"/>
    </row>
    <row r="216" spans="2:6" ht="12" customHeight="1" x14ac:dyDescent="0.15">
      <c r="B216" s="2"/>
      <c r="C216" s="3"/>
      <c r="D216" s="3"/>
      <c r="E216" s="3"/>
      <c r="F216" s="4"/>
    </row>
    <row r="217" spans="2:6" ht="12" customHeight="1" x14ac:dyDescent="0.15">
      <c r="B217" s="2"/>
      <c r="C217" s="3"/>
      <c r="D217" s="3"/>
      <c r="E217" s="3"/>
      <c r="F217" s="4"/>
    </row>
    <row r="218" spans="2:6" ht="12" customHeight="1" x14ac:dyDescent="0.15">
      <c r="B218" s="2"/>
      <c r="C218" s="3"/>
      <c r="D218" s="3"/>
      <c r="E218" s="3"/>
      <c r="F218" s="4"/>
    </row>
    <row r="219" spans="2:6" ht="12" customHeight="1" x14ac:dyDescent="0.15">
      <c r="B219" s="2"/>
      <c r="C219" s="3"/>
      <c r="D219" s="3"/>
      <c r="E219" s="3"/>
      <c r="F219" s="4"/>
    </row>
    <row r="220" spans="2:6" ht="12" customHeight="1" x14ac:dyDescent="0.15">
      <c r="B220" s="2"/>
      <c r="C220" s="3"/>
      <c r="D220" s="3"/>
      <c r="E220" s="3"/>
      <c r="F220" s="4"/>
    </row>
    <row r="221" spans="2:6" ht="12" customHeight="1" x14ac:dyDescent="0.15">
      <c r="B221" s="2"/>
      <c r="C221" s="3"/>
      <c r="D221" s="3"/>
      <c r="E221" s="3"/>
      <c r="F221" s="4"/>
    </row>
    <row r="222" spans="2:6" ht="12" customHeight="1" x14ac:dyDescent="0.15">
      <c r="B222" s="2"/>
      <c r="C222" s="3"/>
      <c r="D222" s="3"/>
      <c r="E222" s="3"/>
      <c r="F222" s="4"/>
    </row>
    <row r="223" spans="2:6" ht="12" customHeight="1" x14ac:dyDescent="0.15">
      <c r="B223" s="2"/>
      <c r="C223" s="3"/>
      <c r="D223" s="3"/>
      <c r="E223" s="3"/>
      <c r="F223" s="4"/>
    </row>
    <row r="224" spans="2:6" ht="12" customHeight="1" x14ac:dyDescent="0.15">
      <c r="B224" s="2"/>
      <c r="C224" s="3"/>
      <c r="D224" s="3"/>
      <c r="E224" s="3"/>
      <c r="F224" s="4"/>
    </row>
    <row r="225" spans="2:6" ht="12" customHeight="1" x14ac:dyDescent="0.15">
      <c r="B225" s="2"/>
      <c r="C225" s="3"/>
      <c r="D225" s="3"/>
      <c r="E225" s="3"/>
      <c r="F225" s="4"/>
    </row>
    <row r="226" spans="2:6" ht="12" customHeight="1" x14ac:dyDescent="0.15">
      <c r="B226" s="2"/>
      <c r="C226" s="3"/>
      <c r="D226" s="3"/>
      <c r="E226" s="3"/>
      <c r="F226" s="4"/>
    </row>
    <row r="227" spans="2:6" ht="12" customHeight="1" x14ac:dyDescent="0.15">
      <c r="B227" s="2"/>
      <c r="C227" s="3"/>
      <c r="D227" s="3"/>
      <c r="E227" s="3"/>
      <c r="F227" s="4"/>
    </row>
    <row r="228" spans="2:6" ht="12" customHeight="1" x14ac:dyDescent="0.15">
      <c r="B228" s="2"/>
      <c r="C228" s="3"/>
      <c r="D228" s="3"/>
      <c r="E228" s="3"/>
      <c r="F228" s="4"/>
    </row>
    <row r="229" spans="2:6" ht="12" customHeight="1" x14ac:dyDescent="0.15">
      <c r="B229" s="2"/>
      <c r="C229" s="3"/>
      <c r="D229" s="3"/>
      <c r="E229" s="3"/>
      <c r="F229" s="4"/>
    </row>
    <row r="230" spans="2:6" ht="12" customHeight="1" x14ac:dyDescent="0.15">
      <c r="B230" s="2"/>
      <c r="C230" s="3"/>
      <c r="D230" s="3"/>
      <c r="E230" s="3"/>
      <c r="F230" s="4"/>
    </row>
    <row r="231" spans="2:6" ht="12" customHeight="1" x14ac:dyDescent="0.15">
      <c r="B231" s="2"/>
      <c r="C231" s="3"/>
      <c r="D231" s="3"/>
      <c r="E231" s="3"/>
      <c r="F231" s="4"/>
    </row>
    <row r="232" spans="2:6" ht="12" customHeight="1" x14ac:dyDescent="0.15">
      <c r="B232" s="2"/>
      <c r="C232" s="3"/>
      <c r="D232" s="3"/>
      <c r="E232" s="3"/>
      <c r="F232" s="4"/>
    </row>
    <row r="233" spans="2:6" ht="12" customHeight="1" x14ac:dyDescent="0.15">
      <c r="B233" s="2"/>
      <c r="C233" s="3"/>
      <c r="D233" s="3"/>
      <c r="E233" s="3"/>
      <c r="F233" s="4"/>
    </row>
    <row r="234" spans="2:6" ht="12" customHeight="1" x14ac:dyDescent="0.15">
      <c r="B234" s="2"/>
      <c r="C234" s="3"/>
      <c r="D234" s="3"/>
      <c r="E234" s="3"/>
      <c r="F234" s="4"/>
    </row>
    <row r="235" spans="2:6" ht="12" customHeight="1" x14ac:dyDescent="0.15">
      <c r="B235" s="2"/>
      <c r="C235" s="3"/>
      <c r="D235" s="3"/>
      <c r="E235" s="3"/>
      <c r="F235" s="4"/>
    </row>
    <row r="236" spans="2:6" ht="12" customHeight="1" x14ac:dyDescent="0.15">
      <c r="B236" s="2"/>
      <c r="C236" s="3"/>
      <c r="D236" s="3"/>
      <c r="E236" s="3"/>
      <c r="F236" s="4"/>
    </row>
    <row r="237" spans="2:6" ht="12" customHeight="1" x14ac:dyDescent="0.15">
      <c r="B237" s="2"/>
      <c r="C237" s="3"/>
      <c r="D237" s="3"/>
      <c r="E237" s="3"/>
      <c r="F237" s="4"/>
    </row>
    <row r="238" spans="2:6" ht="12" customHeight="1" x14ac:dyDescent="0.15">
      <c r="B238" s="2"/>
      <c r="C238" s="3"/>
      <c r="D238" s="3"/>
      <c r="E238" s="3"/>
      <c r="F238" s="4"/>
    </row>
    <row r="239" spans="2:6" ht="12" customHeight="1" x14ac:dyDescent="0.15">
      <c r="B239" s="2"/>
      <c r="C239" s="3"/>
      <c r="D239" s="3"/>
      <c r="E239" s="3"/>
      <c r="F239" s="4"/>
    </row>
    <row r="240" spans="2:6" ht="12" customHeight="1" x14ac:dyDescent="0.15">
      <c r="B240" s="2"/>
      <c r="C240" s="3"/>
      <c r="D240" s="3"/>
      <c r="E240" s="3"/>
      <c r="F240" s="4"/>
    </row>
    <row r="241" spans="2:6" ht="12" customHeight="1" x14ac:dyDescent="0.15">
      <c r="B241" s="2"/>
      <c r="C241" s="3"/>
      <c r="D241" s="3"/>
      <c r="E241" s="3"/>
      <c r="F241" s="4"/>
    </row>
    <row r="242" spans="2:6" ht="12" customHeight="1" x14ac:dyDescent="0.15">
      <c r="B242" s="2"/>
      <c r="C242" s="3"/>
      <c r="D242" s="3"/>
      <c r="E242" s="3"/>
      <c r="F242" s="4"/>
    </row>
    <row r="243" spans="2:6" ht="12" customHeight="1" x14ac:dyDescent="0.15">
      <c r="B243" s="2"/>
      <c r="C243" s="3"/>
      <c r="D243" s="3"/>
      <c r="E243" s="3"/>
      <c r="F243" s="4"/>
    </row>
    <row r="244" spans="2:6" ht="12" customHeight="1" x14ac:dyDescent="0.15">
      <c r="B244" s="2"/>
      <c r="C244" s="3"/>
      <c r="D244" s="3"/>
      <c r="E244" s="3"/>
      <c r="F244" s="4"/>
    </row>
    <row r="245" spans="2:6" ht="12" customHeight="1" x14ac:dyDescent="0.15">
      <c r="B245" s="2"/>
      <c r="C245" s="3"/>
      <c r="D245" s="3"/>
      <c r="E245" s="3"/>
      <c r="F245" s="4"/>
    </row>
    <row r="246" spans="2:6" ht="12" customHeight="1" x14ac:dyDescent="0.15">
      <c r="B246" s="2"/>
      <c r="C246" s="3"/>
      <c r="D246" s="3"/>
      <c r="E246" s="3"/>
      <c r="F246" s="4"/>
    </row>
    <row r="247" spans="2:6" ht="12" customHeight="1" x14ac:dyDescent="0.15">
      <c r="B247" s="2"/>
      <c r="C247" s="3"/>
      <c r="D247" s="3"/>
      <c r="E247" s="3"/>
      <c r="F247" s="4"/>
    </row>
    <row r="248" spans="2:6" ht="12" customHeight="1" x14ac:dyDescent="0.15">
      <c r="B248" s="2"/>
      <c r="C248" s="3"/>
      <c r="D248" s="3"/>
      <c r="E248" s="3"/>
      <c r="F248" s="4"/>
    </row>
    <row r="249" spans="2:6" ht="12" customHeight="1" x14ac:dyDescent="0.15">
      <c r="B249" s="2"/>
      <c r="C249" s="3"/>
      <c r="D249" s="3"/>
      <c r="E249" s="3"/>
      <c r="F249" s="4"/>
    </row>
    <row r="250" spans="2:6" ht="12" customHeight="1" x14ac:dyDescent="0.15">
      <c r="B250" s="2"/>
      <c r="C250" s="3"/>
      <c r="D250" s="3"/>
      <c r="E250" s="3"/>
      <c r="F250" s="4"/>
    </row>
    <row r="251" spans="2:6" ht="12" customHeight="1" x14ac:dyDescent="0.15">
      <c r="B251" s="2"/>
      <c r="C251" s="3"/>
      <c r="D251" s="3"/>
      <c r="E251" s="3"/>
      <c r="F251" s="4"/>
    </row>
    <row r="252" spans="2:6" ht="12" customHeight="1" x14ac:dyDescent="0.15">
      <c r="B252" s="2"/>
      <c r="C252" s="3"/>
      <c r="D252" s="3"/>
      <c r="E252" s="3"/>
      <c r="F252" s="4"/>
    </row>
    <row r="253" spans="2:6" ht="12" customHeight="1" x14ac:dyDescent="0.15">
      <c r="B253" s="2"/>
      <c r="C253" s="3"/>
      <c r="D253" s="3"/>
      <c r="E253" s="3"/>
      <c r="F253" s="4"/>
    </row>
    <row r="254" spans="2:6" ht="12" customHeight="1" x14ac:dyDescent="0.15">
      <c r="B254" s="2"/>
      <c r="C254" s="3"/>
      <c r="D254" s="3"/>
      <c r="E254" s="3"/>
      <c r="F254" s="4"/>
    </row>
    <row r="255" spans="2:6" ht="12" customHeight="1" x14ac:dyDescent="0.15">
      <c r="B255" s="2"/>
      <c r="C255" s="3"/>
      <c r="D255" s="3"/>
      <c r="E255" s="3"/>
      <c r="F255" s="4"/>
    </row>
    <row r="256" spans="2:6" ht="12" customHeight="1" x14ac:dyDescent="0.15">
      <c r="B256" s="2"/>
      <c r="C256" s="3"/>
      <c r="D256" s="3"/>
      <c r="E256" s="3"/>
      <c r="F256" s="4"/>
    </row>
    <row r="257" spans="2:6" ht="12" customHeight="1" x14ac:dyDescent="0.15">
      <c r="B257" s="2"/>
      <c r="C257" s="3"/>
      <c r="D257" s="3"/>
      <c r="E257" s="3"/>
      <c r="F257" s="4"/>
    </row>
    <row r="258" spans="2:6" ht="12" customHeight="1" x14ac:dyDescent="0.15">
      <c r="B258" s="2"/>
      <c r="C258" s="3"/>
      <c r="D258" s="3"/>
      <c r="E258" s="3"/>
      <c r="F258" s="4"/>
    </row>
    <row r="259" spans="2:6" ht="12" customHeight="1" x14ac:dyDescent="0.15">
      <c r="B259" s="2"/>
      <c r="C259" s="3"/>
      <c r="D259" s="3"/>
      <c r="E259" s="3"/>
      <c r="F259" s="4"/>
    </row>
    <row r="260" spans="2:6" ht="12" customHeight="1" x14ac:dyDescent="0.15">
      <c r="B260" s="2"/>
      <c r="C260" s="3"/>
      <c r="D260" s="3"/>
      <c r="E260" s="3"/>
      <c r="F260" s="4"/>
    </row>
    <row r="261" spans="2:6" ht="12" customHeight="1" x14ac:dyDescent="0.15">
      <c r="B261" s="2"/>
      <c r="C261" s="3"/>
      <c r="D261" s="3"/>
      <c r="E261" s="3"/>
      <c r="F261" s="4"/>
    </row>
    <row r="262" spans="2:6" ht="12" customHeight="1" x14ac:dyDescent="0.15">
      <c r="B262" s="2"/>
      <c r="C262" s="3"/>
      <c r="D262" s="3"/>
      <c r="E262" s="3"/>
      <c r="F262" s="4"/>
    </row>
    <row r="263" spans="2:6" ht="12" customHeight="1" x14ac:dyDescent="0.15">
      <c r="B263" s="2"/>
      <c r="C263" s="3"/>
      <c r="D263" s="3"/>
      <c r="E263" s="3"/>
      <c r="F263" s="4"/>
    </row>
    <row r="264" spans="2:6" ht="12" customHeight="1" x14ac:dyDescent="0.15">
      <c r="B264" s="2"/>
      <c r="C264" s="3"/>
      <c r="D264" s="3"/>
      <c r="E264" s="3"/>
      <c r="F264" s="4"/>
    </row>
    <row r="265" spans="2:6" ht="12" customHeight="1" x14ac:dyDescent="0.15">
      <c r="B265" s="2"/>
      <c r="C265" s="3"/>
      <c r="D265" s="3"/>
      <c r="E265" s="3"/>
      <c r="F265" s="4"/>
    </row>
    <row r="266" spans="2:6" ht="12" customHeight="1" x14ac:dyDescent="0.15">
      <c r="B266" s="2"/>
      <c r="C266" s="3"/>
      <c r="D266" s="3"/>
      <c r="E266" s="3"/>
      <c r="F266" s="4"/>
    </row>
    <row r="267" spans="2:6" ht="12" customHeight="1" x14ac:dyDescent="0.15">
      <c r="B267" s="2"/>
      <c r="C267" s="3"/>
      <c r="D267" s="3"/>
      <c r="E267" s="3"/>
      <c r="F267" s="4"/>
    </row>
    <row r="268" spans="2:6" ht="12" customHeight="1" x14ac:dyDescent="0.15">
      <c r="B268" s="2"/>
      <c r="C268" s="3"/>
      <c r="D268" s="3"/>
      <c r="E268" s="3"/>
      <c r="F268" s="4"/>
    </row>
    <row r="269" spans="2:6" ht="12" customHeight="1" x14ac:dyDescent="0.15">
      <c r="B269" s="2"/>
      <c r="C269" s="3"/>
      <c r="D269" s="3"/>
      <c r="E269" s="3"/>
      <c r="F269" s="4"/>
    </row>
    <row r="270" spans="2:6" ht="12" customHeight="1" x14ac:dyDescent="0.15">
      <c r="B270" s="2"/>
      <c r="C270" s="3"/>
      <c r="D270" s="3"/>
      <c r="E270" s="3"/>
      <c r="F270" s="4"/>
    </row>
    <row r="271" spans="2:6" ht="12" customHeight="1" x14ac:dyDescent="0.15">
      <c r="B271" s="2"/>
      <c r="C271" s="3"/>
      <c r="D271" s="3"/>
      <c r="E271" s="3"/>
      <c r="F271" s="4"/>
    </row>
    <row r="272" spans="2:6" ht="12" customHeight="1" x14ac:dyDescent="0.15">
      <c r="B272" s="2"/>
      <c r="C272" s="3"/>
      <c r="D272" s="3"/>
      <c r="E272" s="3"/>
      <c r="F272" s="4"/>
    </row>
    <row r="273" spans="2:6" ht="12" customHeight="1" x14ac:dyDescent="0.15">
      <c r="B273" s="2"/>
      <c r="C273" s="3"/>
      <c r="D273" s="3"/>
      <c r="E273" s="3"/>
      <c r="F273" s="4"/>
    </row>
    <row r="274" spans="2:6" ht="12" customHeight="1" x14ac:dyDescent="0.15">
      <c r="B274" s="2"/>
      <c r="C274" s="3"/>
      <c r="D274" s="3"/>
      <c r="E274" s="3"/>
      <c r="F274" s="4"/>
    </row>
    <row r="275" spans="2:6" ht="12" customHeight="1" x14ac:dyDescent="0.15">
      <c r="B275" s="2"/>
      <c r="C275" s="3"/>
      <c r="D275" s="3"/>
      <c r="E275" s="3"/>
      <c r="F275" s="4"/>
    </row>
    <row r="276" spans="2:6" ht="12" customHeight="1" x14ac:dyDescent="0.15">
      <c r="B276" s="2"/>
      <c r="C276" s="3"/>
      <c r="D276" s="3"/>
      <c r="E276" s="3"/>
      <c r="F276" s="4"/>
    </row>
    <row r="277" spans="2:6" ht="12" customHeight="1" x14ac:dyDescent="0.15">
      <c r="B277" s="2"/>
      <c r="C277" s="3"/>
      <c r="D277" s="3"/>
      <c r="E277" s="3"/>
      <c r="F277" s="4"/>
    </row>
    <row r="278" spans="2:6" ht="12" customHeight="1" x14ac:dyDescent="0.15">
      <c r="B278" s="2"/>
      <c r="C278" s="3"/>
      <c r="D278" s="3"/>
      <c r="E278" s="3"/>
      <c r="F278" s="4"/>
    </row>
    <row r="279" spans="2:6" ht="12" customHeight="1" x14ac:dyDescent="0.15">
      <c r="B279" s="2"/>
      <c r="C279" s="3"/>
      <c r="D279" s="3"/>
      <c r="E279" s="3"/>
      <c r="F279" s="4"/>
    </row>
    <row r="280" spans="2:6" ht="12" customHeight="1" x14ac:dyDescent="0.15">
      <c r="B280" s="2"/>
      <c r="C280" s="3"/>
      <c r="D280" s="3"/>
      <c r="E280" s="3"/>
      <c r="F280" s="4"/>
    </row>
    <row r="281" spans="2:6" ht="12" customHeight="1" x14ac:dyDescent="0.15">
      <c r="B281" s="2"/>
      <c r="C281" s="3"/>
      <c r="D281" s="3"/>
      <c r="E281" s="3"/>
      <c r="F281" s="4"/>
    </row>
    <row r="282" spans="2:6" ht="12" customHeight="1" x14ac:dyDescent="0.15">
      <c r="B282" s="2"/>
      <c r="C282" s="3"/>
      <c r="D282" s="3"/>
      <c r="E282" s="3"/>
      <c r="F282" s="4"/>
    </row>
    <row r="283" spans="2:6" ht="12" customHeight="1" x14ac:dyDescent="0.15">
      <c r="B283" s="2"/>
      <c r="C283" s="3"/>
      <c r="D283" s="3"/>
      <c r="E283" s="3"/>
      <c r="F283" s="4"/>
    </row>
    <row r="284" spans="2:6" ht="12" customHeight="1" x14ac:dyDescent="0.15">
      <c r="B284" s="2"/>
      <c r="C284" s="3"/>
      <c r="D284" s="3"/>
      <c r="E284" s="3"/>
      <c r="F284" s="4"/>
    </row>
    <row r="285" spans="2:6" ht="12" customHeight="1" x14ac:dyDescent="0.15">
      <c r="B285" s="2"/>
      <c r="C285" s="3"/>
      <c r="D285" s="3"/>
      <c r="E285" s="3"/>
      <c r="F285" s="4"/>
    </row>
    <row r="286" spans="2:6" ht="12" customHeight="1" x14ac:dyDescent="0.15">
      <c r="B286" s="2"/>
      <c r="C286" s="3"/>
      <c r="D286" s="3"/>
      <c r="E286" s="3"/>
      <c r="F286" s="4"/>
    </row>
    <row r="287" spans="2:6" ht="12" customHeight="1" x14ac:dyDescent="0.15">
      <c r="B287" s="2"/>
      <c r="C287" s="3"/>
      <c r="D287" s="3"/>
      <c r="E287" s="3"/>
      <c r="F287" s="4"/>
    </row>
    <row r="288" spans="2:6" ht="12" customHeight="1" x14ac:dyDescent="0.15">
      <c r="B288" s="2"/>
      <c r="C288" s="3"/>
      <c r="D288" s="3"/>
      <c r="E288" s="3"/>
      <c r="F288" s="4"/>
    </row>
    <row r="289" spans="2:6" ht="12" customHeight="1" x14ac:dyDescent="0.15">
      <c r="B289" s="2"/>
      <c r="C289" s="3"/>
      <c r="D289" s="3"/>
      <c r="E289" s="3"/>
      <c r="F289" s="4"/>
    </row>
    <row r="290" spans="2:6" ht="12" customHeight="1" x14ac:dyDescent="0.15">
      <c r="B290" s="2"/>
      <c r="C290" s="3"/>
      <c r="D290" s="3"/>
      <c r="E290" s="3"/>
      <c r="F290" s="4"/>
    </row>
    <row r="291" spans="2:6" ht="12" customHeight="1" x14ac:dyDescent="0.15">
      <c r="B291" s="2"/>
      <c r="C291" s="3"/>
      <c r="D291" s="3"/>
      <c r="E291" s="3"/>
      <c r="F291" s="4"/>
    </row>
    <row r="292" spans="2:6" ht="12" customHeight="1" x14ac:dyDescent="0.15">
      <c r="B292" s="2"/>
      <c r="C292" s="3"/>
      <c r="D292" s="3"/>
      <c r="E292" s="3"/>
      <c r="F292" s="4"/>
    </row>
    <row r="293" spans="2:6" ht="12" customHeight="1" x14ac:dyDescent="0.15">
      <c r="B293" s="2"/>
      <c r="C293" s="3"/>
      <c r="D293" s="3"/>
      <c r="E293" s="3"/>
      <c r="F293" s="4"/>
    </row>
    <row r="294" spans="2:6" ht="12" customHeight="1" x14ac:dyDescent="0.15">
      <c r="B294" s="2"/>
      <c r="C294" s="3"/>
      <c r="D294" s="3"/>
      <c r="E294" s="3"/>
      <c r="F294" s="4"/>
    </row>
    <row r="295" spans="2:6" ht="12" customHeight="1" x14ac:dyDescent="0.15">
      <c r="B295" s="2"/>
      <c r="C295" s="3"/>
      <c r="D295" s="3"/>
      <c r="E295" s="3"/>
      <c r="F295" s="4"/>
    </row>
    <row r="296" spans="2:6" ht="12" customHeight="1" x14ac:dyDescent="0.15">
      <c r="B296" s="2"/>
      <c r="C296" s="3"/>
      <c r="D296" s="3"/>
      <c r="E296" s="3"/>
      <c r="F296" s="4"/>
    </row>
    <row r="297" spans="2:6" ht="12" customHeight="1" x14ac:dyDescent="0.15">
      <c r="B297" s="2"/>
      <c r="C297" s="3"/>
      <c r="D297" s="3"/>
      <c r="E297" s="3"/>
      <c r="F297" s="4"/>
    </row>
    <row r="298" spans="2:6" ht="12" customHeight="1" x14ac:dyDescent="0.15">
      <c r="B298" s="2"/>
      <c r="C298" s="3"/>
      <c r="D298" s="3"/>
      <c r="E298" s="3"/>
      <c r="F298" s="4"/>
    </row>
    <row r="299" spans="2:6" ht="12" customHeight="1" x14ac:dyDescent="0.15">
      <c r="B299" s="2"/>
      <c r="C299" s="3"/>
      <c r="D299" s="3"/>
      <c r="E299" s="3"/>
      <c r="F299" s="4"/>
    </row>
    <row r="300" spans="2:6" ht="12" customHeight="1" x14ac:dyDescent="0.15">
      <c r="B300" s="2"/>
      <c r="C300" s="3"/>
      <c r="D300" s="3"/>
      <c r="E300" s="3"/>
      <c r="F300" s="4"/>
    </row>
    <row r="301" spans="2:6" ht="12" customHeight="1" x14ac:dyDescent="0.15">
      <c r="B301" s="2"/>
      <c r="C301" s="3"/>
      <c r="D301" s="3"/>
      <c r="E301" s="3"/>
      <c r="F301" s="4"/>
    </row>
    <row r="302" spans="2:6" ht="12" customHeight="1" x14ac:dyDescent="0.15">
      <c r="B302" s="2"/>
      <c r="C302" s="3"/>
      <c r="D302" s="3"/>
      <c r="E302" s="3"/>
      <c r="F302" s="4"/>
    </row>
    <row r="303" spans="2:6" ht="12" customHeight="1" x14ac:dyDescent="0.15">
      <c r="B303" s="2"/>
      <c r="C303" s="3"/>
      <c r="D303" s="3"/>
      <c r="E303" s="3"/>
      <c r="F303" s="4"/>
    </row>
    <row r="304" spans="2:6" ht="12" customHeight="1" x14ac:dyDescent="0.15">
      <c r="B304" s="2"/>
      <c r="C304" s="3"/>
      <c r="D304" s="3"/>
      <c r="E304" s="3"/>
      <c r="F304" s="4"/>
    </row>
    <row r="305" spans="2:6" ht="12" customHeight="1" x14ac:dyDescent="0.15">
      <c r="B305" s="2"/>
      <c r="C305" s="3"/>
      <c r="D305" s="3"/>
      <c r="E305" s="3"/>
      <c r="F305" s="4"/>
    </row>
    <row r="306" spans="2:6" ht="12" customHeight="1" x14ac:dyDescent="0.15">
      <c r="B306" s="2"/>
      <c r="C306" s="3"/>
      <c r="D306" s="3"/>
      <c r="E306" s="3"/>
      <c r="F306" s="4"/>
    </row>
    <row r="307" spans="2:6" ht="12" customHeight="1" x14ac:dyDescent="0.15">
      <c r="B307" s="2"/>
      <c r="C307" s="3"/>
      <c r="D307" s="3"/>
      <c r="E307" s="3"/>
      <c r="F307" s="4"/>
    </row>
    <row r="308" spans="2:6" ht="12" customHeight="1" x14ac:dyDescent="0.15">
      <c r="B308" s="2"/>
      <c r="C308" s="3"/>
      <c r="D308" s="3"/>
      <c r="E308" s="3"/>
      <c r="F308" s="4"/>
    </row>
    <row r="309" spans="2:6" ht="12" customHeight="1" x14ac:dyDescent="0.15">
      <c r="B309" s="2"/>
      <c r="C309" s="3"/>
      <c r="D309" s="3"/>
      <c r="E309" s="3"/>
      <c r="F309" s="4"/>
    </row>
    <row r="310" spans="2:6" ht="12" customHeight="1" x14ac:dyDescent="0.15">
      <c r="B310" s="2"/>
      <c r="C310" s="3"/>
      <c r="D310" s="3"/>
      <c r="E310" s="3"/>
      <c r="F310" s="4"/>
    </row>
    <row r="311" spans="2:6" ht="12" customHeight="1" x14ac:dyDescent="0.15">
      <c r="B311" s="2"/>
      <c r="C311" s="3"/>
      <c r="D311" s="3"/>
      <c r="E311" s="3"/>
      <c r="F311" s="4"/>
    </row>
    <row r="312" spans="2:6" ht="12" customHeight="1" x14ac:dyDescent="0.15">
      <c r="B312" s="2"/>
      <c r="C312" s="3"/>
      <c r="D312" s="3"/>
      <c r="E312" s="3"/>
      <c r="F312" s="4"/>
    </row>
    <row r="313" spans="2:6" ht="12" customHeight="1" x14ac:dyDescent="0.15">
      <c r="B313" s="2"/>
      <c r="C313" s="3"/>
      <c r="D313" s="3"/>
      <c r="E313" s="3"/>
      <c r="F313" s="4"/>
    </row>
    <row r="314" spans="2:6" ht="12" customHeight="1" x14ac:dyDescent="0.15">
      <c r="B314" s="2"/>
      <c r="C314" s="3"/>
      <c r="D314" s="3"/>
      <c r="E314" s="3"/>
      <c r="F314" s="4"/>
    </row>
    <row r="315" spans="2:6" ht="12" customHeight="1" x14ac:dyDescent="0.15">
      <c r="B315" s="2"/>
      <c r="C315" s="3"/>
      <c r="D315" s="3"/>
      <c r="E315" s="3"/>
      <c r="F315" s="4"/>
    </row>
    <row r="316" spans="2:6" ht="12" customHeight="1" x14ac:dyDescent="0.15">
      <c r="B316" s="2"/>
      <c r="C316" s="3"/>
      <c r="D316" s="3"/>
      <c r="E316" s="3"/>
      <c r="F316" s="4"/>
    </row>
    <row r="317" spans="2:6" ht="12" customHeight="1" x14ac:dyDescent="0.15">
      <c r="B317" s="2"/>
      <c r="C317" s="3"/>
      <c r="D317" s="3"/>
      <c r="E317" s="3"/>
      <c r="F317" s="4"/>
    </row>
    <row r="318" spans="2:6" ht="12" customHeight="1" x14ac:dyDescent="0.15">
      <c r="B318" s="2"/>
      <c r="C318" s="3"/>
      <c r="D318" s="3"/>
      <c r="E318" s="3"/>
      <c r="F318" s="4"/>
    </row>
    <row r="319" spans="2:6" ht="12" customHeight="1" x14ac:dyDescent="0.15">
      <c r="B319" s="2"/>
      <c r="C319" s="3"/>
      <c r="D319" s="3"/>
      <c r="E319" s="3"/>
      <c r="F319" s="4"/>
    </row>
    <row r="320" spans="2:6" ht="12" customHeight="1" x14ac:dyDescent="0.15">
      <c r="B320" s="2"/>
      <c r="C320" s="3"/>
      <c r="D320" s="3"/>
      <c r="E320" s="3"/>
      <c r="F320" s="4"/>
    </row>
    <row r="321" spans="2:6" ht="12" customHeight="1" x14ac:dyDescent="0.15">
      <c r="B321" s="2"/>
      <c r="C321" s="3"/>
      <c r="D321" s="3"/>
      <c r="E321" s="3"/>
      <c r="F321" s="4"/>
    </row>
    <row r="322" spans="2:6" ht="12" customHeight="1" x14ac:dyDescent="0.15">
      <c r="B322" s="2"/>
      <c r="C322" s="3"/>
      <c r="D322" s="3"/>
      <c r="E322" s="3"/>
      <c r="F322" s="4"/>
    </row>
    <row r="323" spans="2:6" ht="12" customHeight="1" x14ac:dyDescent="0.15">
      <c r="B323" s="2"/>
      <c r="C323" s="3"/>
      <c r="D323" s="3"/>
      <c r="E323" s="3"/>
      <c r="F323" s="4"/>
    </row>
    <row r="324" spans="2:6" ht="12" customHeight="1" x14ac:dyDescent="0.15">
      <c r="B324" s="2"/>
      <c r="C324" s="3"/>
      <c r="D324" s="3"/>
      <c r="E324" s="3"/>
      <c r="F324" s="4"/>
    </row>
    <row r="325" spans="2:6" ht="12" customHeight="1" x14ac:dyDescent="0.15">
      <c r="B325" s="2"/>
      <c r="C325" s="3"/>
      <c r="D325" s="3"/>
      <c r="E325" s="3"/>
      <c r="F325" s="4"/>
    </row>
    <row r="326" spans="2:6" ht="12" customHeight="1" x14ac:dyDescent="0.15">
      <c r="B326" s="2"/>
      <c r="C326" s="3"/>
      <c r="D326" s="3"/>
      <c r="E326" s="3"/>
      <c r="F326" s="4"/>
    </row>
    <row r="327" spans="2:6" ht="12" customHeight="1" x14ac:dyDescent="0.15">
      <c r="B327" s="2"/>
      <c r="C327" s="3"/>
      <c r="D327" s="3"/>
      <c r="E327" s="3"/>
      <c r="F327" s="4"/>
    </row>
    <row r="328" spans="2:6" ht="12" customHeight="1" x14ac:dyDescent="0.15">
      <c r="B328" s="2"/>
      <c r="C328" s="3"/>
      <c r="D328" s="3"/>
      <c r="E328" s="3"/>
      <c r="F328" s="4"/>
    </row>
    <row r="329" spans="2:6" ht="12" customHeight="1" x14ac:dyDescent="0.15">
      <c r="B329" s="2"/>
      <c r="C329" s="3"/>
      <c r="D329" s="3"/>
      <c r="E329" s="3"/>
      <c r="F329" s="4"/>
    </row>
    <row r="330" spans="2:6" ht="12" customHeight="1" x14ac:dyDescent="0.15">
      <c r="B330" s="2"/>
      <c r="C330" s="3"/>
      <c r="D330" s="3"/>
      <c r="E330" s="3"/>
      <c r="F330" s="4"/>
    </row>
    <row r="331" spans="2:6" ht="12" customHeight="1" x14ac:dyDescent="0.15">
      <c r="B331" s="2"/>
      <c r="C331" s="3"/>
      <c r="D331" s="3"/>
      <c r="E331" s="3"/>
      <c r="F331" s="4"/>
    </row>
    <row r="332" spans="2:6" ht="12" customHeight="1" x14ac:dyDescent="0.15">
      <c r="B332" s="2"/>
      <c r="C332" s="3"/>
      <c r="D332" s="3"/>
      <c r="E332" s="3"/>
      <c r="F332" s="4"/>
    </row>
    <row r="333" spans="2:6" ht="12" customHeight="1" x14ac:dyDescent="0.15">
      <c r="B333" s="2"/>
      <c r="C333" s="3"/>
      <c r="D333" s="3"/>
      <c r="E333" s="3"/>
      <c r="F333" s="4"/>
    </row>
    <row r="334" spans="2:6" ht="12" customHeight="1" x14ac:dyDescent="0.15">
      <c r="B334" s="2"/>
      <c r="C334" s="3"/>
      <c r="D334" s="3"/>
      <c r="E334" s="3"/>
      <c r="F334" s="4"/>
    </row>
    <row r="335" spans="2:6" ht="12" customHeight="1" x14ac:dyDescent="0.15">
      <c r="B335" s="2"/>
      <c r="C335" s="3"/>
      <c r="D335" s="3"/>
      <c r="E335" s="3"/>
      <c r="F335" s="4"/>
    </row>
    <row r="336" spans="2:6" ht="12" customHeight="1" x14ac:dyDescent="0.15">
      <c r="B336" s="2"/>
      <c r="C336" s="3"/>
      <c r="D336" s="3"/>
      <c r="E336" s="3"/>
      <c r="F336" s="4"/>
    </row>
    <row r="337" spans="2:6" ht="12" customHeight="1" x14ac:dyDescent="0.15">
      <c r="B337" s="2"/>
      <c r="C337" s="3"/>
      <c r="D337" s="3"/>
      <c r="E337" s="3"/>
      <c r="F337" s="4"/>
    </row>
    <row r="338" spans="2:6" ht="12" customHeight="1" x14ac:dyDescent="0.15">
      <c r="B338" s="2"/>
      <c r="C338" s="3"/>
      <c r="D338" s="3"/>
      <c r="E338" s="3"/>
      <c r="F338" s="4"/>
    </row>
    <row r="339" spans="2:6" ht="12" customHeight="1" x14ac:dyDescent="0.15">
      <c r="B339" s="2"/>
      <c r="C339" s="3"/>
      <c r="D339" s="3"/>
      <c r="E339" s="3"/>
      <c r="F339" s="4"/>
    </row>
    <row r="340" spans="2:6" ht="12" customHeight="1" x14ac:dyDescent="0.15">
      <c r="B340" s="2"/>
      <c r="C340" s="3"/>
      <c r="D340" s="3"/>
      <c r="E340" s="3"/>
      <c r="F340" s="4"/>
    </row>
    <row r="341" spans="2:6" ht="12" customHeight="1" x14ac:dyDescent="0.15">
      <c r="B341" s="2"/>
      <c r="C341" s="3"/>
      <c r="D341" s="3"/>
      <c r="E341" s="3"/>
      <c r="F341" s="4"/>
    </row>
    <row r="342" spans="2:6" ht="12" customHeight="1" x14ac:dyDescent="0.15">
      <c r="B342" s="2"/>
      <c r="C342" s="3"/>
      <c r="D342" s="3"/>
      <c r="E342" s="3"/>
      <c r="F342" s="4"/>
    </row>
    <row r="343" spans="2:6" ht="12" customHeight="1" x14ac:dyDescent="0.15">
      <c r="B343" s="2"/>
      <c r="C343" s="3"/>
      <c r="D343" s="3"/>
      <c r="E343" s="3"/>
      <c r="F343" s="4"/>
    </row>
    <row r="344" spans="2:6" ht="12" customHeight="1" x14ac:dyDescent="0.15">
      <c r="B344" s="2"/>
      <c r="C344" s="3"/>
      <c r="D344" s="3"/>
      <c r="E344" s="3"/>
      <c r="F344" s="4"/>
    </row>
    <row r="345" spans="2:6" ht="12" customHeight="1" x14ac:dyDescent="0.15">
      <c r="B345" s="2"/>
      <c r="C345" s="3"/>
      <c r="D345" s="3"/>
      <c r="E345" s="3"/>
      <c r="F345" s="4"/>
    </row>
    <row r="346" spans="2:6" ht="12" customHeight="1" x14ac:dyDescent="0.15">
      <c r="B346" s="2"/>
      <c r="C346" s="3"/>
      <c r="D346" s="3"/>
      <c r="E346" s="3"/>
      <c r="F346" s="4"/>
    </row>
    <row r="347" spans="2:6" ht="12" customHeight="1" x14ac:dyDescent="0.15">
      <c r="B347" s="2"/>
      <c r="C347" s="3"/>
      <c r="D347" s="3"/>
      <c r="E347" s="3"/>
      <c r="F347" s="4"/>
    </row>
    <row r="348" spans="2:6" ht="12" customHeight="1" x14ac:dyDescent="0.15">
      <c r="B348" s="2"/>
      <c r="C348" s="3"/>
      <c r="D348" s="3"/>
      <c r="E348" s="3"/>
      <c r="F348" s="4"/>
    </row>
    <row r="349" spans="2:6" ht="12" customHeight="1" x14ac:dyDescent="0.15">
      <c r="B349" s="2"/>
      <c r="C349" s="3"/>
      <c r="D349" s="3"/>
      <c r="E349" s="3"/>
      <c r="F349" s="4"/>
    </row>
    <row r="350" spans="2:6" ht="12" customHeight="1" x14ac:dyDescent="0.15">
      <c r="B350" s="2"/>
      <c r="C350" s="3"/>
      <c r="D350" s="3"/>
      <c r="E350" s="3"/>
      <c r="F350" s="4"/>
    </row>
    <row r="351" spans="2:6" ht="12" customHeight="1" x14ac:dyDescent="0.15">
      <c r="B351" s="2"/>
      <c r="C351" s="3"/>
      <c r="D351" s="3"/>
      <c r="E351" s="3"/>
      <c r="F351" s="4"/>
    </row>
    <row r="352" spans="2:6" ht="12" customHeight="1" x14ac:dyDescent="0.15">
      <c r="B352" s="2"/>
      <c r="C352" s="3"/>
      <c r="D352" s="3"/>
      <c r="E352" s="3"/>
      <c r="F352" s="4"/>
    </row>
    <row r="353" spans="2:6" ht="12" customHeight="1" x14ac:dyDescent="0.15">
      <c r="B353" s="2"/>
      <c r="C353" s="3"/>
      <c r="D353" s="3"/>
      <c r="E353" s="3"/>
      <c r="F353" s="4"/>
    </row>
    <row r="354" spans="2:6" ht="12" customHeight="1" x14ac:dyDescent="0.15">
      <c r="B354" s="2"/>
      <c r="C354" s="3"/>
      <c r="D354" s="3"/>
      <c r="E354" s="3"/>
      <c r="F354" s="4"/>
    </row>
    <row r="355" spans="2:6" ht="12" customHeight="1" x14ac:dyDescent="0.15">
      <c r="B355" s="2"/>
      <c r="C355" s="3"/>
      <c r="D355" s="3"/>
      <c r="E355" s="3"/>
      <c r="F355" s="4"/>
    </row>
    <row r="356" spans="2:6" ht="12" customHeight="1" x14ac:dyDescent="0.15">
      <c r="B356" s="2"/>
      <c r="C356" s="3"/>
      <c r="D356" s="3"/>
      <c r="E356" s="3"/>
      <c r="F356" s="4"/>
    </row>
    <row r="357" spans="2:6" ht="12" customHeight="1" x14ac:dyDescent="0.15">
      <c r="B357" s="2"/>
      <c r="C357" s="3"/>
      <c r="D357" s="3"/>
      <c r="E357" s="3"/>
      <c r="F357" s="4"/>
    </row>
    <row r="358" spans="2:6" ht="12" customHeight="1" x14ac:dyDescent="0.15">
      <c r="B358" s="2"/>
      <c r="C358" s="3"/>
      <c r="D358" s="3"/>
      <c r="E358" s="3"/>
      <c r="F358" s="4"/>
    </row>
    <row r="359" spans="2:6" ht="12" customHeight="1" x14ac:dyDescent="0.15">
      <c r="B359" s="2"/>
      <c r="C359" s="3"/>
      <c r="D359" s="3"/>
      <c r="E359" s="3"/>
      <c r="F359" s="4"/>
    </row>
    <row r="360" spans="2:6" ht="12" customHeight="1" x14ac:dyDescent="0.15">
      <c r="B360" s="2"/>
      <c r="C360" s="3"/>
      <c r="D360" s="3"/>
      <c r="E360" s="3"/>
      <c r="F360" s="4"/>
    </row>
    <row r="361" spans="2:6" ht="12" customHeight="1" x14ac:dyDescent="0.15">
      <c r="B361" s="2"/>
      <c r="C361" s="3"/>
      <c r="D361" s="3"/>
      <c r="E361" s="3"/>
      <c r="F361" s="4"/>
    </row>
    <row r="362" spans="2:6" ht="12" customHeight="1" x14ac:dyDescent="0.15">
      <c r="B362" s="2"/>
      <c r="C362" s="3"/>
      <c r="D362" s="3"/>
      <c r="E362" s="3"/>
      <c r="F362" s="4"/>
    </row>
    <row r="363" spans="2:6" ht="12" customHeight="1" x14ac:dyDescent="0.15">
      <c r="B363" s="2"/>
      <c r="C363" s="3"/>
      <c r="D363" s="3"/>
      <c r="E363" s="3"/>
      <c r="F363" s="4"/>
    </row>
    <row r="364" spans="2:6" ht="12" customHeight="1" x14ac:dyDescent="0.15">
      <c r="B364" s="2"/>
      <c r="C364" s="3"/>
      <c r="D364" s="3"/>
      <c r="E364" s="3"/>
      <c r="F364" s="4"/>
    </row>
    <row r="365" spans="2:6" ht="12" customHeight="1" x14ac:dyDescent="0.15">
      <c r="B365" s="2"/>
      <c r="C365" s="3"/>
      <c r="D365" s="3"/>
      <c r="E365" s="3"/>
      <c r="F365" s="4"/>
    </row>
    <row r="366" spans="2:6" ht="12" customHeight="1" x14ac:dyDescent="0.15">
      <c r="B366" s="2"/>
      <c r="C366" s="3"/>
      <c r="D366" s="3"/>
      <c r="E366" s="3"/>
      <c r="F366" s="4"/>
    </row>
    <row r="367" spans="2:6" ht="12" customHeight="1" x14ac:dyDescent="0.15">
      <c r="B367" s="2"/>
      <c r="C367" s="3"/>
      <c r="D367" s="3"/>
      <c r="E367" s="3"/>
      <c r="F367" s="4"/>
    </row>
    <row r="368" spans="2:6" ht="12" customHeight="1" x14ac:dyDescent="0.15">
      <c r="B368" s="2"/>
      <c r="C368" s="3"/>
      <c r="D368" s="3"/>
      <c r="E368" s="3"/>
      <c r="F368" s="4"/>
    </row>
    <row r="369" spans="2:6" ht="12" customHeight="1" x14ac:dyDescent="0.15">
      <c r="B369" s="2"/>
      <c r="C369" s="3"/>
      <c r="D369" s="3"/>
      <c r="E369" s="3"/>
      <c r="F369" s="4"/>
    </row>
    <row r="370" spans="2:6" ht="12" customHeight="1" x14ac:dyDescent="0.15">
      <c r="B370" s="2"/>
      <c r="C370" s="3"/>
      <c r="D370" s="3"/>
      <c r="E370" s="3"/>
      <c r="F370" s="4"/>
    </row>
    <row r="371" spans="2:6" ht="12" customHeight="1" x14ac:dyDescent="0.15">
      <c r="B371" s="2"/>
      <c r="C371" s="3"/>
      <c r="D371" s="3"/>
      <c r="E371" s="3"/>
      <c r="F371" s="4"/>
    </row>
    <row r="372" spans="2:6" ht="12" customHeight="1" x14ac:dyDescent="0.15">
      <c r="B372" s="2"/>
      <c r="C372" s="3"/>
      <c r="D372" s="3"/>
      <c r="E372" s="3"/>
      <c r="F372" s="4"/>
    </row>
    <row r="373" spans="2:6" ht="12" customHeight="1" x14ac:dyDescent="0.15">
      <c r="B373" s="2"/>
      <c r="C373" s="3"/>
      <c r="D373" s="3"/>
      <c r="E373" s="3"/>
      <c r="F373" s="4"/>
    </row>
    <row r="374" spans="2:6" ht="12" customHeight="1" x14ac:dyDescent="0.15">
      <c r="B374" s="2"/>
      <c r="C374" s="3"/>
      <c r="D374" s="3"/>
      <c r="E374" s="3"/>
      <c r="F374" s="4"/>
    </row>
    <row r="375" spans="2:6" ht="12" customHeight="1" x14ac:dyDescent="0.15">
      <c r="B375" s="2"/>
      <c r="C375" s="3"/>
      <c r="D375" s="3"/>
      <c r="E375" s="3"/>
      <c r="F375" s="4"/>
    </row>
    <row r="376" spans="2:6" ht="12" customHeight="1" x14ac:dyDescent="0.15">
      <c r="B376" s="2"/>
      <c r="C376" s="3"/>
      <c r="D376" s="3"/>
      <c r="E376" s="3"/>
      <c r="F376" s="4"/>
    </row>
    <row r="377" spans="2:6" ht="12" customHeight="1" x14ac:dyDescent="0.15">
      <c r="B377" s="2"/>
      <c r="C377" s="3"/>
      <c r="D377" s="3"/>
      <c r="E377" s="3"/>
      <c r="F377" s="4"/>
    </row>
    <row r="378" spans="2:6" ht="12" customHeight="1" x14ac:dyDescent="0.15">
      <c r="B378" s="2"/>
      <c r="C378" s="3"/>
      <c r="D378" s="3"/>
      <c r="E378" s="3"/>
      <c r="F378" s="4"/>
    </row>
    <row r="379" spans="2:6" ht="12" customHeight="1" x14ac:dyDescent="0.15">
      <c r="B379" s="2"/>
      <c r="C379" s="3"/>
      <c r="D379" s="3"/>
      <c r="E379" s="3"/>
      <c r="F379" s="4"/>
    </row>
    <row r="380" spans="2:6" ht="12" customHeight="1" x14ac:dyDescent="0.15">
      <c r="B380" s="2"/>
      <c r="C380" s="3"/>
      <c r="D380" s="3"/>
      <c r="E380" s="3"/>
      <c r="F380" s="4"/>
    </row>
    <row r="381" spans="2:6" ht="12" customHeight="1" x14ac:dyDescent="0.15">
      <c r="B381" s="2"/>
      <c r="C381" s="3"/>
      <c r="D381" s="3"/>
      <c r="E381" s="3"/>
      <c r="F381" s="4"/>
    </row>
    <row r="382" spans="2:6" ht="12" customHeight="1" x14ac:dyDescent="0.15">
      <c r="B382" s="2"/>
      <c r="C382" s="3"/>
      <c r="D382" s="3"/>
      <c r="E382" s="3"/>
      <c r="F382" s="4"/>
    </row>
    <row r="383" spans="2:6" ht="12" customHeight="1" x14ac:dyDescent="0.15">
      <c r="B383" s="2"/>
      <c r="C383" s="3"/>
      <c r="D383" s="3"/>
      <c r="E383" s="3"/>
      <c r="F383" s="4"/>
    </row>
    <row r="384" spans="2:6" ht="12" customHeight="1" x14ac:dyDescent="0.15">
      <c r="B384" s="2"/>
      <c r="C384" s="3"/>
      <c r="D384" s="3"/>
      <c r="E384" s="3"/>
      <c r="F384" s="4"/>
    </row>
    <row r="385" spans="2:6" ht="12" customHeight="1" x14ac:dyDescent="0.15">
      <c r="B385" s="2"/>
      <c r="C385" s="3"/>
      <c r="D385" s="3"/>
      <c r="E385" s="3"/>
      <c r="F385" s="4"/>
    </row>
    <row r="386" spans="2:6" ht="12" customHeight="1" x14ac:dyDescent="0.15">
      <c r="B386" s="2"/>
      <c r="C386" s="3"/>
      <c r="D386" s="3"/>
      <c r="E386" s="3"/>
      <c r="F386" s="4"/>
    </row>
    <row r="387" spans="2:6" ht="12" customHeight="1" x14ac:dyDescent="0.15">
      <c r="B387" s="2"/>
      <c r="C387" s="3"/>
      <c r="D387" s="3"/>
      <c r="E387" s="3"/>
      <c r="F387" s="4"/>
    </row>
    <row r="388" spans="2:6" ht="12" customHeight="1" x14ac:dyDescent="0.15">
      <c r="B388" s="2"/>
      <c r="C388" s="3"/>
      <c r="D388" s="3"/>
      <c r="E388" s="3"/>
      <c r="F388" s="4"/>
    </row>
    <row r="389" spans="2:6" ht="12" customHeight="1" x14ac:dyDescent="0.15">
      <c r="B389" s="2"/>
      <c r="C389" s="3"/>
      <c r="D389" s="3"/>
      <c r="E389" s="3"/>
      <c r="F389" s="4"/>
    </row>
    <row r="390" spans="2:6" ht="12" customHeight="1" x14ac:dyDescent="0.15">
      <c r="B390" s="2"/>
      <c r="C390" s="3"/>
      <c r="D390" s="3"/>
      <c r="E390" s="3"/>
      <c r="F390" s="4"/>
    </row>
    <row r="391" spans="2:6" ht="12" customHeight="1" x14ac:dyDescent="0.15">
      <c r="B391" s="2"/>
      <c r="C391" s="3"/>
      <c r="D391" s="3"/>
      <c r="E391" s="3"/>
      <c r="F391" s="4"/>
    </row>
    <row r="392" spans="2:6" ht="12" customHeight="1" x14ac:dyDescent="0.15">
      <c r="B392" s="2"/>
      <c r="C392" s="3"/>
      <c r="D392" s="3"/>
      <c r="E392" s="3"/>
      <c r="F392" s="4"/>
    </row>
    <row r="393" spans="2:6" ht="12" customHeight="1" x14ac:dyDescent="0.15">
      <c r="B393" s="2"/>
      <c r="C393" s="3"/>
      <c r="D393" s="3"/>
      <c r="E393" s="3"/>
      <c r="F393" s="4"/>
    </row>
    <row r="394" spans="2:6" ht="12" customHeight="1" x14ac:dyDescent="0.15">
      <c r="B394" s="2"/>
      <c r="C394" s="3"/>
      <c r="D394" s="3"/>
      <c r="E394" s="3"/>
      <c r="F394" s="4"/>
    </row>
    <row r="395" spans="2:6" ht="12" customHeight="1" x14ac:dyDescent="0.15">
      <c r="B395" s="2"/>
      <c r="C395" s="3"/>
      <c r="D395" s="3"/>
      <c r="E395" s="3"/>
      <c r="F395" s="4"/>
    </row>
    <row r="396" spans="2:6" ht="12" customHeight="1" x14ac:dyDescent="0.15">
      <c r="B396" s="2"/>
      <c r="C396" s="3"/>
      <c r="D396" s="3"/>
      <c r="E396" s="3"/>
      <c r="F396" s="4"/>
    </row>
    <row r="397" spans="2:6" ht="12" customHeight="1" x14ac:dyDescent="0.15">
      <c r="B397" s="2"/>
      <c r="C397" s="3"/>
      <c r="D397" s="3"/>
      <c r="E397" s="3"/>
      <c r="F397" s="4"/>
    </row>
    <row r="398" spans="2:6" ht="12" customHeight="1" x14ac:dyDescent="0.15">
      <c r="B398" s="2"/>
      <c r="C398" s="3"/>
      <c r="D398" s="3"/>
      <c r="E398" s="3"/>
      <c r="F398" s="4"/>
    </row>
    <row r="399" spans="2:6" ht="12" customHeight="1" x14ac:dyDescent="0.15">
      <c r="B399" s="2"/>
      <c r="C399" s="3"/>
      <c r="D399" s="3"/>
      <c r="E399" s="3"/>
      <c r="F399" s="4"/>
    </row>
    <row r="400" spans="2:6" ht="12" customHeight="1" x14ac:dyDescent="0.15">
      <c r="B400" s="2"/>
      <c r="C400" s="3"/>
      <c r="D400" s="3"/>
      <c r="E400" s="3"/>
      <c r="F400" s="4"/>
    </row>
    <row r="401" spans="2:6" ht="12" customHeight="1" x14ac:dyDescent="0.15">
      <c r="B401" s="2"/>
      <c r="C401" s="3"/>
      <c r="D401" s="3"/>
      <c r="E401" s="3"/>
      <c r="F401" s="4"/>
    </row>
    <row r="402" spans="2:6" ht="12" customHeight="1" x14ac:dyDescent="0.15">
      <c r="B402" s="2"/>
      <c r="C402" s="3"/>
      <c r="D402" s="3"/>
      <c r="E402" s="3"/>
      <c r="F402" s="4"/>
    </row>
    <row r="403" spans="2:6" ht="12" customHeight="1" x14ac:dyDescent="0.15">
      <c r="B403" s="2"/>
      <c r="C403" s="3"/>
      <c r="D403" s="3"/>
      <c r="E403" s="3"/>
      <c r="F403" s="4"/>
    </row>
    <row r="404" spans="2:6" ht="12" customHeight="1" x14ac:dyDescent="0.15">
      <c r="B404" s="2"/>
      <c r="C404" s="3"/>
      <c r="D404" s="3"/>
      <c r="E404" s="3"/>
      <c r="F404" s="4"/>
    </row>
    <row r="405" spans="2:6" ht="12" customHeight="1" x14ac:dyDescent="0.15">
      <c r="B405" s="2"/>
      <c r="C405" s="3"/>
      <c r="D405" s="3"/>
      <c r="E405" s="3"/>
      <c r="F405" s="4"/>
    </row>
    <row r="406" spans="2:6" ht="12" customHeight="1" x14ac:dyDescent="0.15">
      <c r="B406" s="2"/>
      <c r="C406" s="3"/>
      <c r="D406" s="3"/>
      <c r="E406" s="3"/>
      <c r="F406" s="4"/>
    </row>
    <row r="407" spans="2:6" ht="12" customHeight="1" x14ac:dyDescent="0.15">
      <c r="B407" s="2"/>
      <c r="C407" s="3"/>
      <c r="D407" s="3"/>
      <c r="E407" s="3"/>
      <c r="F407" s="4"/>
    </row>
    <row r="408" spans="2:6" ht="12" customHeight="1" x14ac:dyDescent="0.15">
      <c r="B408" s="2"/>
      <c r="C408" s="3"/>
      <c r="D408" s="3"/>
      <c r="E408" s="3"/>
      <c r="F408" s="4"/>
    </row>
    <row r="409" spans="2:6" ht="12" customHeight="1" x14ac:dyDescent="0.15">
      <c r="B409" s="2"/>
      <c r="C409" s="3"/>
      <c r="D409" s="3"/>
      <c r="E409" s="3"/>
      <c r="F409" s="4"/>
    </row>
    <row r="410" spans="2:6" ht="12" customHeight="1" x14ac:dyDescent="0.15">
      <c r="B410" s="2"/>
      <c r="C410" s="3"/>
      <c r="D410" s="3"/>
      <c r="E410" s="3"/>
      <c r="F410" s="4"/>
    </row>
    <row r="411" spans="2:6" ht="12" customHeight="1" x14ac:dyDescent="0.15">
      <c r="B411" s="2"/>
      <c r="C411" s="3"/>
      <c r="D411" s="3"/>
      <c r="E411" s="3"/>
      <c r="F411" s="4"/>
    </row>
    <row r="412" spans="2:6" ht="12" customHeight="1" x14ac:dyDescent="0.15">
      <c r="B412" s="2"/>
      <c r="C412" s="3"/>
      <c r="D412" s="3"/>
      <c r="E412" s="3"/>
      <c r="F412" s="4"/>
    </row>
    <row r="413" spans="2:6" ht="12" customHeight="1" x14ac:dyDescent="0.15">
      <c r="B413" s="2"/>
      <c r="C413" s="3"/>
      <c r="D413" s="3"/>
      <c r="E413" s="3"/>
      <c r="F413" s="4"/>
    </row>
    <row r="414" spans="2:6" ht="12" customHeight="1" x14ac:dyDescent="0.15">
      <c r="B414" s="2"/>
      <c r="C414" s="3"/>
      <c r="D414" s="3"/>
      <c r="E414" s="3"/>
      <c r="F414" s="4"/>
    </row>
    <row r="415" spans="2:6" ht="12" customHeight="1" x14ac:dyDescent="0.15">
      <c r="B415" s="2"/>
      <c r="C415" s="3"/>
      <c r="D415" s="3"/>
      <c r="E415" s="3"/>
      <c r="F415" s="4"/>
    </row>
    <row r="416" spans="2:6" ht="12" customHeight="1" x14ac:dyDescent="0.15">
      <c r="B416" s="2"/>
      <c r="C416" s="3"/>
      <c r="D416" s="3"/>
      <c r="E416" s="3"/>
      <c r="F416" s="4"/>
    </row>
    <row r="417" spans="2:6" ht="12" customHeight="1" x14ac:dyDescent="0.15">
      <c r="B417" s="2"/>
      <c r="C417" s="3"/>
      <c r="D417" s="3"/>
      <c r="E417" s="3"/>
      <c r="F417" s="4"/>
    </row>
    <row r="418" spans="2:6" ht="12" customHeight="1" x14ac:dyDescent="0.15">
      <c r="B418" s="2"/>
      <c r="C418" s="3"/>
      <c r="D418" s="3"/>
      <c r="E418" s="3"/>
      <c r="F418" s="4"/>
    </row>
    <row r="419" spans="2:6" ht="12" customHeight="1" x14ac:dyDescent="0.15">
      <c r="B419" s="2"/>
      <c r="C419" s="3"/>
      <c r="D419" s="3"/>
      <c r="E419" s="3"/>
      <c r="F419" s="4"/>
    </row>
    <row r="420" spans="2:6" ht="12" customHeight="1" x14ac:dyDescent="0.15">
      <c r="B420" s="2"/>
      <c r="C420" s="3"/>
      <c r="D420" s="3"/>
      <c r="E420" s="3"/>
      <c r="F420" s="4"/>
    </row>
    <row r="421" spans="2:6" ht="12" customHeight="1" x14ac:dyDescent="0.15">
      <c r="B421" s="2"/>
      <c r="C421" s="3"/>
      <c r="D421" s="3"/>
      <c r="E421" s="3"/>
      <c r="F421" s="4"/>
    </row>
    <row r="422" spans="2:6" ht="12" customHeight="1" x14ac:dyDescent="0.15">
      <c r="B422" s="2"/>
      <c r="C422" s="3"/>
      <c r="D422" s="3"/>
      <c r="E422" s="3"/>
      <c r="F422" s="4"/>
    </row>
    <row r="423" spans="2:6" ht="12" customHeight="1" x14ac:dyDescent="0.15">
      <c r="B423" s="2"/>
      <c r="C423" s="3"/>
      <c r="D423" s="3"/>
      <c r="E423" s="3"/>
      <c r="F423" s="4"/>
    </row>
    <row r="424" spans="2:6" ht="12" customHeight="1" x14ac:dyDescent="0.15">
      <c r="B424" s="2"/>
      <c r="C424" s="3"/>
      <c r="D424" s="3"/>
      <c r="E424" s="3"/>
      <c r="F424" s="4"/>
    </row>
    <row r="425" spans="2:6" ht="12" customHeight="1" x14ac:dyDescent="0.15">
      <c r="B425" s="2"/>
      <c r="C425" s="3"/>
      <c r="D425" s="3"/>
      <c r="E425" s="3"/>
      <c r="F425" s="4"/>
    </row>
    <row r="426" spans="2:6" ht="12" customHeight="1" x14ac:dyDescent="0.15">
      <c r="B426" s="2"/>
      <c r="C426" s="3"/>
      <c r="D426" s="3"/>
      <c r="E426" s="3"/>
      <c r="F426" s="4"/>
    </row>
    <row r="427" spans="2:6" ht="12" customHeight="1" x14ac:dyDescent="0.15">
      <c r="B427" s="2"/>
      <c r="C427" s="3"/>
      <c r="D427" s="3"/>
      <c r="E427" s="3"/>
      <c r="F427" s="4"/>
    </row>
    <row r="428" spans="2:6" ht="12" customHeight="1" x14ac:dyDescent="0.15">
      <c r="B428" s="2"/>
      <c r="C428" s="3"/>
      <c r="D428" s="3"/>
      <c r="E428" s="3"/>
      <c r="F428" s="4"/>
    </row>
    <row r="429" spans="2:6" ht="12" customHeight="1" x14ac:dyDescent="0.15">
      <c r="B429" s="2"/>
      <c r="C429" s="3"/>
      <c r="D429" s="3"/>
      <c r="E429" s="3"/>
      <c r="F429" s="4"/>
    </row>
    <row r="430" spans="2:6" ht="12" customHeight="1" x14ac:dyDescent="0.15">
      <c r="B430" s="2"/>
      <c r="C430" s="3"/>
      <c r="D430" s="3"/>
      <c r="E430" s="3"/>
      <c r="F430" s="4"/>
    </row>
    <row r="431" spans="2:6" ht="12" customHeight="1" x14ac:dyDescent="0.15">
      <c r="B431" s="2"/>
      <c r="C431" s="3"/>
      <c r="D431" s="3"/>
      <c r="E431" s="3"/>
      <c r="F431" s="4"/>
    </row>
    <row r="432" spans="2:6" ht="12" customHeight="1" x14ac:dyDescent="0.15">
      <c r="B432" s="2"/>
      <c r="C432" s="3"/>
      <c r="D432" s="3"/>
      <c r="E432" s="3"/>
      <c r="F432" s="4"/>
    </row>
    <row r="433" spans="2:6" ht="12" customHeight="1" x14ac:dyDescent="0.15">
      <c r="B433" s="2"/>
      <c r="C433" s="3"/>
      <c r="D433" s="3"/>
      <c r="E433" s="3"/>
      <c r="F433" s="4"/>
    </row>
    <row r="434" spans="2:6" ht="12" customHeight="1" x14ac:dyDescent="0.15">
      <c r="B434" s="2"/>
      <c r="C434" s="3"/>
      <c r="D434" s="3"/>
      <c r="E434" s="3"/>
      <c r="F434" s="4"/>
    </row>
    <row r="435" spans="2:6" ht="12" customHeight="1" x14ac:dyDescent="0.15">
      <c r="B435" s="2"/>
      <c r="C435" s="3"/>
      <c r="D435" s="3"/>
      <c r="E435" s="3"/>
      <c r="F435" s="4"/>
    </row>
    <row r="436" spans="2:6" ht="12" customHeight="1" x14ac:dyDescent="0.15">
      <c r="B436" s="2"/>
      <c r="C436" s="3"/>
      <c r="D436" s="3"/>
      <c r="E436" s="3"/>
      <c r="F436" s="4"/>
    </row>
    <row r="437" spans="2:6" ht="12" customHeight="1" x14ac:dyDescent="0.15">
      <c r="B437" s="2"/>
      <c r="C437" s="3"/>
      <c r="D437" s="3"/>
      <c r="E437" s="3"/>
      <c r="F437" s="4"/>
    </row>
    <row r="438" spans="2:6" ht="12" customHeight="1" x14ac:dyDescent="0.15">
      <c r="B438" s="2"/>
      <c r="C438" s="3"/>
      <c r="D438" s="3"/>
      <c r="E438" s="3"/>
      <c r="F438" s="4"/>
    </row>
    <row r="439" spans="2:6" ht="12" customHeight="1" x14ac:dyDescent="0.15">
      <c r="B439" s="2"/>
      <c r="C439" s="3"/>
      <c r="D439" s="3"/>
      <c r="E439" s="3"/>
      <c r="F439" s="4"/>
    </row>
    <row r="440" spans="2:6" ht="12" customHeight="1" x14ac:dyDescent="0.15">
      <c r="B440" s="2"/>
      <c r="C440" s="3"/>
      <c r="D440" s="3"/>
      <c r="E440" s="3"/>
      <c r="F440" s="4"/>
    </row>
    <row r="441" spans="2:6" ht="12" customHeight="1" x14ac:dyDescent="0.15">
      <c r="B441" s="2"/>
      <c r="C441" s="3"/>
      <c r="D441" s="3"/>
      <c r="E441" s="3"/>
      <c r="F441" s="4"/>
    </row>
    <row r="442" spans="2:6" ht="12" customHeight="1" x14ac:dyDescent="0.15">
      <c r="B442" s="2"/>
      <c r="C442" s="3"/>
      <c r="D442" s="3"/>
      <c r="E442" s="3"/>
      <c r="F442" s="4"/>
    </row>
    <row r="443" spans="2:6" ht="12" customHeight="1" x14ac:dyDescent="0.15">
      <c r="B443" s="2"/>
      <c r="C443" s="3"/>
      <c r="D443" s="3"/>
      <c r="E443" s="3"/>
      <c r="F443" s="4"/>
    </row>
    <row r="444" spans="2:6" ht="12" customHeight="1" x14ac:dyDescent="0.15">
      <c r="B444" s="2"/>
      <c r="C444" s="3"/>
      <c r="D444" s="3"/>
      <c r="E444" s="3"/>
      <c r="F444" s="4"/>
    </row>
    <row r="445" spans="2:6" ht="12" customHeight="1" x14ac:dyDescent="0.15">
      <c r="B445" s="2"/>
      <c r="C445" s="3"/>
      <c r="D445" s="3"/>
      <c r="E445" s="3"/>
      <c r="F445" s="4"/>
    </row>
    <row r="446" spans="2:6" ht="12" customHeight="1" x14ac:dyDescent="0.15">
      <c r="B446" s="2"/>
      <c r="C446" s="3"/>
      <c r="D446" s="3"/>
      <c r="E446" s="3"/>
      <c r="F446" s="4"/>
    </row>
    <row r="447" spans="2:6" ht="12" customHeight="1" x14ac:dyDescent="0.15">
      <c r="B447" s="2"/>
      <c r="C447" s="3"/>
      <c r="D447" s="3"/>
      <c r="E447" s="3"/>
      <c r="F447" s="4"/>
    </row>
    <row r="448" spans="2:6" ht="12" customHeight="1" x14ac:dyDescent="0.15">
      <c r="B448" s="2"/>
      <c r="C448" s="3"/>
      <c r="D448" s="3"/>
      <c r="E448" s="3"/>
      <c r="F448" s="4"/>
    </row>
    <row r="449" spans="2:6" ht="12" customHeight="1" x14ac:dyDescent="0.15">
      <c r="B449" s="2"/>
      <c r="C449" s="3"/>
      <c r="D449" s="3"/>
      <c r="E449" s="3"/>
      <c r="F449" s="4"/>
    </row>
    <row r="450" spans="2:6" ht="12" customHeight="1" x14ac:dyDescent="0.15">
      <c r="B450" s="2"/>
      <c r="C450" s="3"/>
      <c r="D450" s="3"/>
      <c r="E450" s="3"/>
      <c r="F450" s="4"/>
    </row>
    <row r="451" spans="2:6" ht="12" customHeight="1" x14ac:dyDescent="0.15">
      <c r="B451" s="2"/>
      <c r="C451" s="3"/>
      <c r="D451" s="3"/>
      <c r="E451" s="3"/>
      <c r="F451" s="4"/>
    </row>
    <row r="452" spans="2:6" ht="12" customHeight="1" x14ac:dyDescent="0.15">
      <c r="B452" s="2"/>
      <c r="C452" s="3"/>
      <c r="D452" s="3"/>
      <c r="E452" s="3"/>
      <c r="F452" s="4"/>
    </row>
    <row r="453" spans="2:6" ht="12" customHeight="1" x14ac:dyDescent="0.15">
      <c r="B453" s="2"/>
      <c r="C453" s="3"/>
      <c r="D453" s="3"/>
      <c r="E453" s="3"/>
      <c r="F453" s="4"/>
    </row>
    <row r="454" spans="2:6" ht="12" customHeight="1" x14ac:dyDescent="0.15">
      <c r="B454" s="2"/>
      <c r="C454" s="3"/>
      <c r="D454" s="3"/>
      <c r="E454" s="3"/>
      <c r="F454" s="4"/>
    </row>
    <row r="455" spans="2:6" ht="12" customHeight="1" x14ac:dyDescent="0.15">
      <c r="B455" s="2"/>
      <c r="C455" s="3"/>
      <c r="D455" s="3"/>
      <c r="E455" s="3"/>
      <c r="F455" s="4"/>
    </row>
    <row r="456" spans="2:6" ht="12" customHeight="1" x14ac:dyDescent="0.15">
      <c r="B456" s="2"/>
      <c r="C456" s="3"/>
      <c r="D456" s="3"/>
      <c r="E456" s="3"/>
      <c r="F456" s="4"/>
    </row>
    <row r="457" spans="2:6" ht="12" customHeight="1" x14ac:dyDescent="0.15">
      <c r="B457" s="2"/>
      <c r="C457" s="3"/>
      <c r="D457" s="3"/>
      <c r="E457" s="3"/>
      <c r="F457" s="4"/>
    </row>
    <row r="458" spans="2:6" ht="12" customHeight="1" x14ac:dyDescent="0.15">
      <c r="B458" s="2"/>
      <c r="C458" s="3"/>
      <c r="D458" s="3"/>
      <c r="E458" s="3"/>
      <c r="F458" s="4"/>
    </row>
    <row r="459" spans="2:6" ht="12" customHeight="1" x14ac:dyDescent="0.15">
      <c r="B459" s="2"/>
      <c r="C459" s="3"/>
      <c r="D459" s="3"/>
      <c r="E459" s="3"/>
      <c r="F459" s="4"/>
    </row>
    <row r="460" spans="2:6" ht="12" customHeight="1" x14ac:dyDescent="0.15">
      <c r="B460" s="2"/>
      <c r="C460" s="3"/>
      <c r="D460" s="3"/>
      <c r="E460" s="3"/>
      <c r="F460" s="4"/>
    </row>
    <row r="461" spans="2:6" ht="12" customHeight="1" x14ac:dyDescent="0.15">
      <c r="B461" s="2"/>
      <c r="C461" s="3"/>
      <c r="D461" s="3"/>
      <c r="E461" s="3"/>
      <c r="F461" s="4"/>
    </row>
    <row r="462" spans="2:6" ht="12" customHeight="1" x14ac:dyDescent="0.15">
      <c r="B462" s="2"/>
      <c r="C462" s="3"/>
      <c r="D462" s="3"/>
      <c r="E462" s="3"/>
      <c r="F462" s="4"/>
    </row>
    <row r="463" spans="2:6" ht="12" customHeight="1" x14ac:dyDescent="0.15">
      <c r="B463" s="2"/>
      <c r="C463" s="3"/>
      <c r="D463" s="3"/>
      <c r="E463" s="3"/>
      <c r="F463" s="4"/>
    </row>
    <row r="464" spans="2:6" ht="12" customHeight="1" x14ac:dyDescent="0.15">
      <c r="B464" s="2"/>
      <c r="C464" s="3"/>
      <c r="D464" s="3"/>
      <c r="E464" s="3"/>
      <c r="F464" s="4"/>
    </row>
    <row r="465" spans="2:6" ht="12" customHeight="1" x14ac:dyDescent="0.15">
      <c r="B465" s="2"/>
      <c r="C465" s="3"/>
      <c r="D465" s="3"/>
      <c r="E465" s="3"/>
      <c r="F465" s="4"/>
    </row>
    <row r="466" spans="2:6" ht="12" customHeight="1" x14ac:dyDescent="0.15">
      <c r="B466" s="2"/>
      <c r="C466" s="3"/>
      <c r="D466" s="3"/>
      <c r="E466" s="3"/>
      <c r="F466" s="4"/>
    </row>
    <row r="467" spans="2:6" ht="12" customHeight="1" x14ac:dyDescent="0.15">
      <c r="B467" s="2"/>
      <c r="C467" s="3"/>
      <c r="D467" s="3"/>
      <c r="E467" s="3"/>
      <c r="F467" s="4"/>
    </row>
    <row r="468" spans="2:6" ht="12" customHeight="1" x14ac:dyDescent="0.15">
      <c r="B468" s="2"/>
      <c r="C468" s="3"/>
      <c r="D468" s="3"/>
      <c r="E468" s="3"/>
      <c r="F468" s="4"/>
    </row>
    <row r="469" spans="2:6" ht="12" customHeight="1" x14ac:dyDescent="0.15">
      <c r="B469" s="2"/>
      <c r="C469" s="3"/>
      <c r="D469" s="3"/>
      <c r="E469" s="3"/>
      <c r="F469" s="4"/>
    </row>
    <row r="470" spans="2:6" ht="12" customHeight="1" x14ac:dyDescent="0.15">
      <c r="B470" s="2"/>
      <c r="C470" s="3"/>
      <c r="D470" s="3"/>
      <c r="E470" s="3"/>
      <c r="F470" s="4"/>
    </row>
    <row r="471" spans="2:6" ht="12" customHeight="1" x14ac:dyDescent="0.15">
      <c r="B471" s="2"/>
      <c r="C471" s="3"/>
      <c r="D471" s="3"/>
      <c r="E471" s="3"/>
      <c r="F471" s="4"/>
    </row>
    <row r="472" spans="2:6" ht="12" customHeight="1" x14ac:dyDescent="0.15">
      <c r="B472" s="2"/>
      <c r="C472" s="3"/>
      <c r="D472" s="3"/>
      <c r="E472" s="3"/>
      <c r="F472" s="4"/>
    </row>
    <row r="473" spans="2:6" ht="12" customHeight="1" x14ac:dyDescent="0.15">
      <c r="B473" s="2"/>
      <c r="C473" s="3"/>
      <c r="D473" s="3"/>
      <c r="E473" s="3"/>
      <c r="F473" s="4"/>
    </row>
    <row r="474" spans="2:6" ht="12" customHeight="1" x14ac:dyDescent="0.15">
      <c r="B474" s="2"/>
      <c r="C474" s="3"/>
      <c r="D474" s="3"/>
      <c r="E474" s="3"/>
      <c r="F474" s="4"/>
    </row>
    <row r="475" spans="2:6" ht="12" customHeight="1" x14ac:dyDescent="0.15">
      <c r="B475" s="2"/>
      <c r="C475" s="3"/>
      <c r="D475" s="3"/>
      <c r="E475" s="3"/>
      <c r="F475" s="4"/>
    </row>
    <row r="476" spans="2:6" ht="12" customHeight="1" x14ac:dyDescent="0.15">
      <c r="B476" s="2"/>
      <c r="C476" s="3"/>
      <c r="D476" s="3"/>
      <c r="E476" s="3"/>
      <c r="F476" s="4"/>
    </row>
    <row r="477" spans="2:6" ht="12" customHeight="1" x14ac:dyDescent="0.15">
      <c r="B477" s="2"/>
      <c r="C477" s="3"/>
      <c r="D477" s="3"/>
      <c r="E477" s="3"/>
      <c r="F477" s="4"/>
    </row>
    <row r="478" spans="2:6" ht="12" customHeight="1" x14ac:dyDescent="0.15">
      <c r="B478" s="2"/>
      <c r="C478" s="3"/>
      <c r="D478" s="3"/>
      <c r="E478" s="3"/>
      <c r="F478" s="4"/>
    </row>
    <row r="479" spans="2:6" ht="12" customHeight="1" x14ac:dyDescent="0.15">
      <c r="B479" s="2"/>
      <c r="C479" s="3"/>
      <c r="D479" s="3"/>
      <c r="E479" s="3"/>
      <c r="F479" s="4"/>
    </row>
    <row r="480" spans="2:6" ht="12" customHeight="1" x14ac:dyDescent="0.15">
      <c r="B480" s="2"/>
      <c r="C480" s="3"/>
      <c r="D480" s="3"/>
      <c r="E480" s="3"/>
      <c r="F480" s="4"/>
    </row>
    <row r="481" spans="2:6" ht="12" customHeight="1" x14ac:dyDescent="0.15">
      <c r="B481" s="2"/>
      <c r="C481" s="3"/>
      <c r="D481" s="3"/>
      <c r="E481" s="3"/>
      <c r="F481" s="4"/>
    </row>
    <row r="482" spans="2:6" ht="12" customHeight="1" x14ac:dyDescent="0.15">
      <c r="B482" s="2"/>
      <c r="C482" s="3"/>
      <c r="D482" s="3"/>
      <c r="E482" s="3"/>
      <c r="F482" s="4"/>
    </row>
    <row r="483" spans="2:6" ht="12" customHeight="1" x14ac:dyDescent="0.15">
      <c r="B483" s="2"/>
      <c r="C483" s="3"/>
      <c r="D483" s="3"/>
      <c r="E483" s="3"/>
      <c r="F483" s="4"/>
    </row>
    <row r="484" spans="2:6" ht="12" customHeight="1" x14ac:dyDescent="0.15">
      <c r="B484" s="2"/>
      <c r="C484" s="3"/>
      <c r="D484" s="3"/>
      <c r="E484" s="3"/>
      <c r="F484" s="4"/>
    </row>
    <row r="485" spans="2:6" ht="12" customHeight="1" x14ac:dyDescent="0.15">
      <c r="B485" s="2"/>
      <c r="C485" s="3"/>
      <c r="D485" s="3"/>
      <c r="E485" s="3"/>
      <c r="F485" s="4"/>
    </row>
    <row r="486" spans="2:6" ht="12" customHeight="1" x14ac:dyDescent="0.15">
      <c r="B486" s="2"/>
      <c r="C486" s="3"/>
      <c r="D486" s="3"/>
      <c r="E486" s="3"/>
      <c r="F486" s="4"/>
    </row>
    <row r="487" spans="2:6" ht="12" customHeight="1" x14ac:dyDescent="0.15">
      <c r="B487" s="2"/>
      <c r="C487" s="3"/>
      <c r="D487" s="3"/>
      <c r="E487" s="3"/>
      <c r="F487" s="4"/>
    </row>
    <row r="488" spans="2:6" ht="12" customHeight="1" x14ac:dyDescent="0.15">
      <c r="B488" s="2"/>
      <c r="C488" s="3"/>
      <c r="D488" s="3"/>
      <c r="E488" s="3"/>
      <c r="F488" s="4"/>
    </row>
    <row r="489" spans="2:6" ht="12" customHeight="1" x14ac:dyDescent="0.15">
      <c r="B489" s="2"/>
      <c r="C489" s="3"/>
      <c r="D489" s="3"/>
      <c r="E489" s="3"/>
      <c r="F489" s="4"/>
    </row>
    <row r="490" spans="2:6" ht="12" customHeight="1" x14ac:dyDescent="0.15">
      <c r="B490" s="2"/>
      <c r="C490" s="3"/>
      <c r="D490" s="3"/>
      <c r="E490" s="3"/>
      <c r="F490" s="4"/>
    </row>
    <row r="491" spans="2:6" ht="12" customHeight="1" x14ac:dyDescent="0.15">
      <c r="B491" s="2"/>
      <c r="C491" s="3"/>
      <c r="D491" s="3"/>
      <c r="E491" s="3"/>
      <c r="F491" s="4"/>
    </row>
    <row r="492" spans="2:6" ht="12" customHeight="1" x14ac:dyDescent="0.15">
      <c r="B492" s="2"/>
      <c r="C492" s="3"/>
      <c r="D492" s="3"/>
      <c r="E492" s="3"/>
      <c r="F492" s="4"/>
    </row>
    <row r="493" spans="2:6" ht="12" customHeight="1" x14ac:dyDescent="0.15">
      <c r="B493" s="2"/>
      <c r="C493" s="3"/>
      <c r="D493" s="3"/>
      <c r="E493" s="3"/>
      <c r="F493" s="4"/>
    </row>
    <row r="494" spans="2:6" ht="12" customHeight="1" x14ac:dyDescent="0.15">
      <c r="B494" s="2"/>
      <c r="C494" s="3"/>
      <c r="D494" s="3"/>
      <c r="E494" s="3"/>
      <c r="F494" s="4"/>
    </row>
    <row r="495" spans="2:6" ht="12" customHeight="1" x14ac:dyDescent="0.15">
      <c r="B495" s="2"/>
      <c r="C495" s="3"/>
      <c r="D495" s="3"/>
      <c r="E495" s="3"/>
      <c r="F495" s="4"/>
    </row>
    <row r="496" spans="2:6" ht="12" customHeight="1" x14ac:dyDescent="0.15">
      <c r="B496" s="2"/>
      <c r="C496" s="3"/>
      <c r="D496" s="3"/>
      <c r="E496" s="3"/>
      <c r="F496" s="4"/>
    </row>
    <row r="497" spans="2:6" ht="12" customHeight="1" x14ac:dyDescent="0.15">
      <c r="B497" s="2"/>
      <c r="C497" s="3"/>
      <c r="D497" s="3"/>
      <c r="E497" s="3"/>
      <c r="F497" s="4"/>
    </row>
    <row r="498" spans="2:6" ht="12" customHeight="1" x14ac:dyDescent="0.15">
      <c r="B498" s="2"/>
      <c r="C498" s="3"/>
      <c r="D498" s="3"/>
      <c r="E498" s="3"/>
      <c r="F498" s="4"/>
    </row>
    <row r="499" spans="2:6" ht="12" customHeight="1" x14ac:dyDescent="0.15">
      <c r="B499" s="2"/>
      <c r="C499" s="3"/>
      <c r="D499" s="3"/>
      <c r="E499" s="3"/>
      <c r="F499" s="4"/>
    </row>
    <row r="500" spans="2:6" ht="12" customHeight="1" x14ac:dyDescent="0.15">
      <c r="B500" s="2"/>
      <c r="C500" s="3"/>
      <c r="D500" s="3"/>
      <c r="E500" s="3"/>
      <c r="F500" s="4"/>
    </row>
    <row r="501" spans="2:6" ht="12" customHeight="1" x14ac:dyDescent="0.15">
      <c r="B501" s="2"/>
      <c r="C501" s="3"/>
      <c r="D501" s="3"/>
      <c r="E501" s="3"/>
      <c r="F501" s="4"/>
    </row>
    <row r="502" spans="2:6" ht="12" customHeight="1" x14ac:dyDescent="0.15">
      <c r="B502" s="2"/>
      <c r="C502" s="3"/>
      <c r="D502" s="3"/>
      <c r="E502" s="3"/>
      <c r="F502" s="4"/>
    </row>
    <row r="503" spans="2:6" ht="12" customHeight="1" x14ac:dyDescent="0.15">
      <c r="B503" s="2"/>
      <c r="C503" s="3"/>
      <c r="D503" s="3"/>
      <c r="E503" s="3"/>
      <c r="F503" s="4"/>
    </row>
    <row r="504" spans="2:6" ht="12" customHeight="1" x14ac:dyDescent="0.15">
      <c r="B504" s="2"/>
      <c r="C504" s="3"/>
      <c r="D504" s="3"/>
      <c r="E504" s="3"/>
      <c r="F504" s="4"/>
    </row>
    <row r="505" spans="2:6" ht="12" customHeight="1" x14ac:dyDescent="0.15">
      <c r="B505" s="2"/>
      <c r="C505" s="3"/>
      <c r="D505" s="3"/>
      <c r="E505" s="3"/>
      <c r="F505" s="4"/>
    </row>
    <row r="506" spans="2:6" ht="12" customHeight="1" x14ac:dyDescent="0.15">
      <c r="B506" s="2"/>
      <c r="C506" s="3"/>
      <c r="D506" s="3"/>
      <c r="E506" s="3"/>
      <c r="F506" s="4"/>
    </row>
    <row r="507" spans="2:6" ht="12" customHeight="1" x14ac:dyDescent="0.15">
      <c r="B507" s="2"/>
      <c r="C507" s="3"/>
      <c r="D507" s="3"/>
      <c r="E507" s="3"/>
      <c r="F507" s="4"/>
    </row>
    <row r="508" spans="2:6" ht="12" customHeight="1" x14ac:dyDescent="0.15">
      <c r="B508" s="2"/>
      <c r="C508" s="3"/>
      <c r="D508" s="3"/>
      <c r="E508" s="3"/>
      <c r="F508" s="4"/>
    </row>
    <row r="509" spans="2:6" ht="12" customHeight="1" x14ac:dyDescent="0.15">
      <c r="B509" s="2"/>
      <c r="C509" s="3"/>
      <c r="D509" s="3"/>
      <c r="E509" s="3"/>
      <c r="F509" s="4"/>
    </row>
    <row r="510" spans="2:6" ht="12" customHeight="1" x14ac:dyDescent="0.15">
      <c r="B510" s="2"/>
      <c r="C510" s="3"/>
      <c r="D510" s="3"/>
      <c r="E510" s="3"/>
      <c r="F510" s="4"/>
    </row>
    <row r="511" spans="2:6" ht="12" customHeight="1" x14ac:dyDescent="0.15">
      <c r="B511" s="2"/>
      <c r="C511" s="3"/>
      <c r="D511" s="3"/>
      <c r="E511" s="3"/>
      <c r="F511" s="4"/>
    </row>
    <row r="512" spans="2:6" ht="12" customHeight="1" x14ac:dyDescent="0.15">
      <c r="B512" s="2"/>
      <c r="C512" s="3"/>
      <c r="D512" s="3"/>
      <c r="E512" s="3"/>
      <c r="F512" s="4"/>
    </row>
    <row r="513" spans="2:6" ht="12" customHeight="1" x14ac:dyDescent="0.15">
      <c r="B513" s="2"/>
      <c r="C513" s="3"/>
      <c r="D513" s="3"/>
      <c r="E513" s="3"/>
      <c r="F513" s="4"/>
    </row>
    <row r="514" spans="2:6" ht="12" customHeight="1" x14ac:dyDescent="0.15">
      <c r="B514" s="2"/>
      <c r="C514" s="3"/>
      <c r="D514" s="3"/>
      <c r="E514" s="3"/>
      <c r="F514" s="4"/>
    </row>
    <row r="515" spans="2:6" ht="12" customHeight="1" x14ac:dyDescent="0.15">
      <c r="B515" s="2"/>
      <c r="C515" s="3"/>
      <c r="D515" s="3"/>
      <c r="E515" s="3"/>
      <c r="F515" s="4"/>
    </row>
    <row r="516" spans="2:6" ht="12" customHeight="1" x14ac:dyDescent="0.15">
      <c r="B516" s="2"/>
      <c r="C516" s="3"/>
      <c r="D516" s="3"/>
      <c r="E516" s="3"/>
      <c r="F516" s="4"/>
    </row>
    <row r="517" spans="2:6" ht="12" customHeight="1" x14ac:dyDescent="0.15">
      <c r="B517" s="2"/>
      <c r="C517" s="3"/>
      <c r="D517" s="3"/>
      <c r="E517" s="3"/>
      <c r="F517" s="4"/>
    </row>
    <row r="518" spans="2:6" ht="12" customHeight="1" x14ac:dyDescent="0.15">
      <c r="B518" s="2"/>
      <c r="C518" s="3"/>
      <c r="D518" s="3"/>
      <c r="E518" s="3"/>
      <c r="F518" s="4"/>
    </row>
    <row r="519" spans="2:6" ht="12" customHeight="1" x14ac:dyDescent="0.15">
      <c r="B519" s="2"/>
      <c r="C519" s="3"/>
      <c r="D519" s="3"/>
      <c r="E519" s="3"/>
      <c r="F519" s="4"/>
    </row>
    <row r="520" spans="2:6" ht="12" customHeight="1" x14ac:dyDescent="0.15">
      <c r="B520" s="2"/>
      <c r="C520" s="3"/>
      <c r="D520" s="3"/>
      <c r="E520" s="3"/>
      <c r="F520" s="4"/>
    </row>
    <row r="521" spans="2:6" ht="12" customHeight="1" x14ac:dyDescent="0.15">
      <c r="B521" s="2"/>
      <c r="C521" s="3"/>
      <c r="D521" s="3"/>
      <c r="E521" s="3"/>
      <c r="F521" s="4"/>
    </row>
    <row r="522" spans="2:6" ht="12" customHeight="1" x14ac:dyDescent="0.15">
      <c r="B522" s="2"/>
      <c r="C522" s="3"/>
      <c r="D522" s="3"/>
      <c r="E522" s="3"/>
      <c r="F522" s="4"/>
    </row>
    <row r="523" spans="2:6" ht="12" customHeight="1" x14ac:dyDescent="0.15">
      <c r="B523" s="2"/>
      <c r="C523" s="3"/>
      <c r="D523" s="3"/>
      <c r="E523" s="3"/>
      <c r="F523" s="4"/>
    </row>
    <row r="524" spans="2:6" ht="12" customHeight="1" x14ac:dyDescent="0.15">
      <c r="B524" s="2"/>
      <c r="C524" s="3"/>
      <c r="D524" s="3"/>
      <c r="E524" s="3"/>
      <c r="F524" s="4"/>
    </row>
    <row r="525" spans="2:6" ht="12" customHeight="1" x14ac:dyDescent="0.15">
      <c r="B525" s="2"/>
      <c r="C525" s="3"/>
      <c r="D525" s="3"/>
      <c r="E525" s="3"/>
      <c r="F525" s="4"/>
    </row>
    <row r="526" spans="2:6" ht="12" customHeight="1" x14ac:dyDescent="0.15">
      <c r="B526" s="2"/>
      <c r="C526" s="3"/>
      <c r="D526" s="3"/>
      <c r="E526" s="3"/>
      <c r="F526" s="4"/>
    </row>
    <row r="527" spans="2:6" ht="12" customHeight="1" x14ac:dyDescent="0.15">
      <c r="B527" s="2"/>
      <c r="C527" s="3"/>
      <c r="D527" s="3"/>
      <c r="E527" s="3"/>
      <c r="F527" s="4"/>
    </row>
    <row r="528" spans="2:6" ht="12" customHeight="1" x14ac:dyDescent="0.15">
      <c r="B528" s="2"/>
      <c r="C528" s="3"/>
      <c r="D528" s="3"/>
      <c r="E528" s="3"/>
      <c r="F528" s="4"/>
    </row>
    <row r="529" spans="2:6" ht="12" customHeight="1" x14ac:dyDescent="0.15">
      <c r="B529" s="2"/>
      <c r="C529" s="3"/>
      <c r="D529" s="3"/>
      <c r="E529" s="3"/>
      <c r="F529" s="4"/>
    </row>
    <row r="530" spans="2:6" ht="12" customHeight="1" x14ac:dyDescent="0.15">
      <c r="B530" s="2"/>
      <c r="C530" s="3"/>
      <c r="D530" s="3"/>
      <c r="E530" s="3"/>
      <c r="F530" s="4"/>
    </row>
    <row r="531" spans="2:6" ht="12" customHeight="1" x14ac:dyDescent="0.15">
      <c r="B531" s="2"/>
      <c r="C531" s="3"/>
      <c r="D531" s="3"/>
      <c r="E531" s="3"/>
      <c r="F531" s="4"/>
    </row>
    <row r="532" spans="2:6" ht="12" customHeight="1" x14ac:dyDescent="0.15">
      <c r="B532" s="2"/>
      <c r="C532" s="3"/>
      <c r="D532" s="3"/>
      <c r="E532" s="3"/>
      <c r="F532" s="4"/>
    </row>
    <row r="533" spans="2:6" ht="12" customHeight="1" x14ac:dyDescent="0.15">
      <c r="B533" s="2"/>
      <c r="C533" s="3"/>
      <c r="D533" s="3"/>
      <c r="E533" s="3"/>
      <c r="F533" s="4"/>
    </row>
    <row r="534" spans="2:6" ht="12" customHeight="1" x14ac:dyDescent="0.15">
      <c r="B534" s="2"/>
      <c r="C534" s="3"/>
      <c r="D534" s="3"/>
      <c r="E534" s="3"/>
      <c r="F534" s="4"/>
    </row>
    <row r="535" spans="2:6" ht="12" customHeight="1" x14ac:dyDescent="0.15">
      <c r="B535" s="2"/>
      <c r="C535" s="3"/>
      <c r="D535" s="3"/>
      <c r="E535" s="3"/>
      <c r="F535" s="4"/>
    </row>
    <row r="536" spans="2:6" ht="12" customHeight="1" x14ac:dyDescent="0.15">
      <c r="B536" s="2"/>
      <c r="C536" s="3"/>
      <c r="D536" s="3"/>
      <c r="E536" s="3"/>
      <c r="F536" s="4"/>
    </row>
    <row r="537" spans="2:6" ht="12" customHeight="1" x14ac:dyDescent="0.15">
      <c r="B537" s="2"/>
      <c r="C537" s="3"/>
      <c r="D537" s="3"/>
      <c r="E537" s="3"/>
      <c r="F537" s="4"/>
    </row>
    <row r="538" spans="2:6" ht="12" customHeight="1" x14ac:dyDescent="0.15">
      <c r="B538" s="2"/>
      <c r="C538" s="3"/>
      <c r="D538" s="3"/>
      <c r="E538" s="3"/>
      <c r="F538" s="4"/>
    </row>
    <row r="539" spans="2:6" ht="12" customHeight="1" x14ac:dyDescent="0.15">
      <c r="B539" s="2"/>
      <c r="C539" s="3"/>
      <c r="D539" s="3"/>
      <c r="E539" s="3"/>
      <c r="F539" s="4"/>
    </row>
    <row r="540" spans="2:6" ht="12" customHeight="1" x14ac:dyDescent="0.15">
      <c r="B540" s="2"/>
      <c r="C540" s="3"/>
      <c r="D540" s="3"/>
      <c r="E540" s="3"/>
      <c r="F540" s="4"/>
    </row>
    <row r="541" spans="2:6" ht="12" customHeight="1" x14ac:dyDescent="0.15">
      <c r="B541" s="2"/>
      <c r="C541" s="3"/>
      <c r="D541" s="3"/>
      <c r="E541" s="3"/>
      <c r="F541" s="4"/>
    </row>
    <row r="542" spans="2:6" ht="12" customHeight="1" x14ac:dyDescent="0.15">
      <c r="B542" s="2"/>
      <c r="C542" s="3"/>
      <c r="D542" s="3"/>
      <c r="E542" s="3"/>
      <c r="F542" s="4"/>
    </row>
    <row r="543" spans="2:6" ht="12" customHeight="1" x14ac:dyDescent="0.15">
      <c r="B543" s="2"/>
      <c r="C543" s="3"/>
      <c r="D543" s="3"/>
      <c r="E543" s="3"/>
      <c r="F543" s="4"/>
    </row>
    <row r="544" spans="2:6" ht="12" customHeight="1" x14ac:dyDescent="0.15">
      <c r="B544" s="2"/>
      <c r="C544" s="3"/>
      <c r="D544" s="3"/>
      <c r="E544" s="3"/>
      <c r="F544" s="4"/>
    </row>
    <row r="545" spans="2:6" ht="12" customHeight="1" x14ac:dyDescent="0.15">
      <c r="B545" s="2"/>
      <c r="C545" s="3"/>
      <c r="D545" s="3"/>
      <c r="E545" s="3"/>
      <c r="F545" s="4"/>
    </row>
    <row r="546" spans="2:6" ht="12" customHeight="1" x14ac:dyDescent="0.15">
      <c r="B546" s="2"/>
      <c r="C546" s="3"/>
      <c r="D546" s="3"/>
      <c r="E546" s="3"/>
      <c r="F546" s="4"/>
    </row>
    <row r="547" spans="2:6" ht="12" customHeight="1" x14ac:dyDescent="0.15">
      <c r="B547" s="2"/>
      <c r="C547" s="3"/>
      <c r="D547" s="3"/>
      <c r="E547" s="3"/>
      <c r="F547" s="4"/>
    </row>
    <row r="548" spans="2:6" ht="12" customHeight="1" x14ac:dyDescent="0.15">
      <c r="B548" s="2"/>
      <c r="C548" s="3"/>
      <c r="D548" s="3"/>
      <c r="E548" s="3"/>
      <c r="F548" s="4"/>
    </row>
    <row r="549" spans="2:6" ht="12" customHeight="1" x14ac:dyDescent="0.15">
      <c r="B549" s="2"/>
      <c r="C549" s="3"/>
      <c r="D549" s="3"/>
      <c r="E549" s="3"/>
      <c r="F549" s="4"/>
    </row>
    <row r="550" spans="2:6" ht="12" customHeight="1" x14ac:dyDescent="0.15">
      <c r="B550" s="2"/>
      <c r="C550" s="3"/>
      <c r="D550" s="3"/>
      <c r="E550" s="3"/>
      <c r="F550" s="4"/>
    </row>
    <row r="551" spans="2:6" ht="12" customHeight="1" x14ac:dyDescent="0.15">
      <c r="B551" s="2"/>
      <c r="C551" s="3"/>
      <c r="D551" s="3"/>
      <c r="E551" s="3"/>
      <c r="F551" s="4"/>
    </row>
    <row r="552" spans="2:6" ht="12" customHeight="1" x14ac:dyDescent="0.15">
      <c r="B552" s="2"/>
      <c r="C552" s="3"/>
      <c r="D552" s="3"/>
      <c r="E552" s="3"/>
      <c r="F552" s="4"/>
    </row>
    <row r="553" spans="2:6" ht="12" customHeight="1" x14ac:dyDescent="0.15">
      <c r="B553" s="2"/>
      <c r="C553" s="3"/>
      <c r="D553" s="3"/>
      <c r="E553" s="3"/>
      <c r="F553" s="4"/>
    </row>
    <row r="554" spans="2:6" ht="12" customHeight="1" x14ac:dyDescent="0.15">
      <c r="B554" s="2"/>
      <c r="C554" s="3"/>
      <c r="D554" s="3"/>
      <c r="E554" s="3"/>
      <c r="F554" s="4"/>
    </row>
    <row r="555" spans="2:6" ht="12" customHeight="1" x14ac:dyDescent="0.15">
      <c r="B555" s="2"/>
      <c r="C555" s="3"/>
      <c r="D555" s="3"/>
      <c r="E555" s="3"/>
      <c r="F555" s="4"/>
    </row>
    <row r="556" spans="2:6" ht="12" customHeight="1" x14ac:dyDescent="0.15">
      <c r="B556" s="2"/>
      <c r="C556" s="3"/>
      <c r="D556" s="3"/>
      <c r="E556" s="3"/>
      <c r="F556" s="4"/>
    </row>
    <row r="557" spans="2:6" ht="12" customHeight="1" x14ac:dyDescent="0.15">
      <c r="B557" s="2"/>
      <c r="C557" s="3"/>
      <c r="D557" s="3"/>
      <c r="E557" s="3"/>
      <c r="F557" s="4"/>
    </row>
    <row r="558" spans="2:6" ht="12" customHeight="1" x14ac:dyDescent="0.15">
      <c r="B558" s="2"/>
      <c r="C558" s="3"/>
      <c r="D558" s="3"/>
      <c r="E558" s="3"/>
      <c r="F558" s="4"/>
    </row>
    <row r="559" spans="2:6" ht="12" customHeight="1" x14ac:dyDescent="0.15">
      <c r="B559" s="2"/>
      <c r="C559" s="3"/>
      <c r="D559" s="3"/>
      <c r="E559" s="3"/>
      <c r="F559" s="4"/>
    </row>
    <row r="560" spans="2:6" ht="12" customHeight="1" x14ac:dyDescent="0.15">
      <c r="B560" s="2"/>
      <c r="C560" s="3"/>
      <c r="D560" s="3"/>
      <c r="E560" s="3"/>
      <c r="F560" s="4"/>
    </row>
    <row r="561" spans="2:6" ht="12" customHeight="1" x14ac:dyDescent="0.15">
      <c r="B561" s="2"/>
      <c r="C561" s="3"/>
      <c r="D561" s="3"/>
      <c r="E561" s="3"/>
      <c r="F561" s="4"/>
    </row>
    <row r="562" spans="2:6" ht="12" customHeight="1" x14ac:dyDescent="0.15">
      <c r="B562" s="2"/>
      <c r="C562" s="3"/>
      <c r="D562" s="3"/>
      <c r="E562" s="3"/>
      <c r="F562" s="4"/>
    </row>
    <row r="563" spans="2:6" ht="12" customHeight="1" x14ac:dyDescent="0.15">
      <c r="B563" s="2"/>
      <c r="C563" s="3"/>
      <c r="D563" s="3"/>
      <c r="E563" s="3"/>
      <c r="F563" s="4"/>
    </row>
    <row r="564" spans="2:6" ht="12" customHeight="1" x14ac:dyDescent="0.15">
      <c r="B564" s="2"/>
      <c r="C564" s="3"/>
      <c r="D564" s="3"/>
      <c r="E564" s="3"/>
      <c r="F564" s="4"/>
    </row>
    <row r="565" spans="2:6" ht="12" customHeight="1" x14ac:dyDescent="0.15">
      <c r="B565" s="2"/>
      <c r="C565" s="3"/>
      <c r="D565" s="3"/>
      <c r="E565" s="3"/>
      <c r="F565" s="4"/>
    </row>
    <row r="566" spans="2:6" ht="12" customHeight="1" x14ac:dyDescent="0.15">
      <c r="B566" s="2"/>
      <c r="C566" s="3"/>
      <c r="D566" s="3"/>
      <c r="E566" s="3"/>
      <c r="F566" s="4"/>
    </row>
    <row r="567" spans="2:6" ht="12" customHeight="1" x14ac:dyDescent="0.15">
      <c r="B567" s="2"/>
      <c r="C567" s="3"/>
      <c r="D567" s="3"/>
      <c r="E567" s="3"/>
      <c r="F567" s="4"/>
    </row>
    <row r="568" spans="2:6" ht="12" customHeight="1" x14ac:dyDescent="0.15">
      <c r="B568" s="2"/>
      <c r="C568" s="3"/>
      <c r="D568" s="3"/>
      <c r="E568" s="3"/>
      <c r="F568" s="4"/>
    </row>
    <row r="569" spans="2:6" ht="12" customHeight="1" x14ac:dyDescent="0.15">
      <c r="B569" s="2"/>
      <c r="C569" s="3"/>
      <c r="D569" s="3"/>
      <c r="E569" s="3"/>
      <c r="F569" s="4"/>
    </row>
    <row r="570" spans="2:6" ht="12" customHeight="1" x14ac:dyDescent="0.15">
      <c r="B570" s="2"/>
      <c r="C570" s="3"/>
      <c r="D570" s="3"/>
      <c r="E570" s="3"/>
      <c r="F570" s="4"/>
    </row>
    <row r="571" spans="2:6" ht="12" customHeight="1" x14ac:dyDescent="0.15">
      <c r="B571" s="2"/>
      <c r="C571" s="3"/>
      <c r="D571" s="3"/>
      <c r="E571" s="3"/>
      <c r="F571" s="4"/>
    </row>
    <row r="572" spans="2:6" ht="12" customHeight="1" x14ac:dyDescent="0.15">
      <c r="B572" s="2"/>
      <c r="C572" s="3"/>
      <c r="D572" s="3"/>
      <c r="E572" s="3"/>
      <c r="F572" s="4"/>
    </row>
    <row r="573" spans="2:6" ht="12" customHeight="1" x14ac:dyDescent="0.15">
      <c r="B573" s="2"/>
      <c r="C573" s="3"/>
      <c r="D573" s="3"/>
      <c r="E573" s="3"/>
      <c r="F573" s="4"/>
    </row>
    <row r="574" spans="2:6" ht="12" customHeight="1" x14ac:dyDescent="0.15">
      <c r="B574" s="2"/>
      <c r="C574" s="3"/>
      <c r="D574" s="3"/>
      <c r="E574" s="3"/>
      <c r="F574" s="4"/>
    </row>
    <row r="575" spans="2:6" ht="12" customHeight="1" x14ac:dyDescent="0.15">
      <c r="B575" s="2"/>
      <c r="C575" s="3"/>
      <c r="D575" s="3"/>
      <c r="E575" s="3"/>
      <c r="F575" s="4"/>
    </row>
    <row r="576" spans="2:6" ht="12" customHeight="1" x14ac:dyDescent="0.15">
      <c r="B576" s="2"/>
      <c r="C576" s="3"/>
      <c r="D576" s="3"/>
      <c r="E576" s="3"/>
      <c r="F576" s="4"/>
    </row>
    <row r="577" spans="2:6" ht="12" customHeight="1" x14ac:dyDescent="0.15">
      <c r="B577" s="2"/>
      <c r="C577" s="3"/>
      <c r="D577" s="3"/>
      <c r="E577" s="3"/>
      <c r="F577" s="4"/>
    </row>
    <row r="578" spans="2:6" ht="12" customHeight="1" x14ac:dyDescent="0.15">
      <c r="B578" s="2"/>
      <c r="C578" s="3"/>
      <c r="D578" s="3"/>
      <c r="E578" s="3"/>
      <c r="F578" s="4"/>
    </row>
    <row r="579" spans="2:6" ht="12" customHeight="1" x14ac:dyDescent="0.15">
      <c r="B579" s="2"/>
      <c r="C579" s="3"/>
      <c r="D579" s="3"/>
      <c r="E579" s="3"/>
      <c r="F579" s="4"/>
    </row>
    <row r="580" spans="2:6" ht="12" customHeight="1" x14ac:dyDescent="0.15">
      <c r="B580" s="2"/>
      <c r="C580" s="3"/>
      <c r="D580" s="3"/>
      <c r="E580" s="3"/>
      <c r="F580" s="4"/>
    </row>
    <row r="581" spans="2:6" ht="12" customHeight="1" x14ac:dyDescent="0.15">
      <c r="B581" s="2"/>
      <c r="C581" s="3"/>
      <c r="D581" s="3"/>
      <c r="E581" s="3"/>
      <c r="F581" s="4"/>
    </row>
    <row r="582" spans="2:6" ht="12" customHeight="1" x14ac:dyDescent="0.15">
      <c r="B582" s="2"/>
      <c r="C582" s="3"/>
      <c r="D582" s="3"/>
      <c r="E582" s="3"/>
      <c r="F582" s="4"/>
    </row>
    <row r="583" spans="2:6" ht="12" customHeight="1" x14ac:dyDescent="0.15">
      <c r="B583" s="2"/>
      <c r="C583" s="3"/>
      <c r="D583" s="3"/>
      <c r="E583" s="3"/>
      <c r="F583" s="4"/>
    </row>
    <row r="584" spans="2:6" ht="12" customHeight="1" x14ac:dyDescent="0.15">
      <c r="B584" s="2"/>
      <c r="C584" s="3"/>
      <c r="D584" s="3"/>
      <c r="E584" s="3"/>
      <c r="F584" s="4"/>
    </row>
    <row r="585" spans="2:6" ht="12" customHeight="1" x14ac:dyDescent="0.15">
      <c r="B585" s="2"/>
      <c r="C585" s="3"/>
      <c r="D585" s="3"/>
      <c r="E585" s="3"/>
      <c r="F585" s="4"/>
    </row>
    <row r="586" spans="2:6" ht="12" customHeight="1" x14ac:dyDescent="0.15">
      <c r="B586" s="2"/>
      <c r="C586" s="3"/>
      <c r="D586" s="3"/>
      <c r="E586" s="3"/>
      <c r="F586" s="4"/>
    </row>
    <row r="587" spans="2:6" ht="12" customHeight="1" x14ac:dyDescent="0.15">
      <c r="B587" s="2"/>
      <c r="C587" s="3"/>
      <c r="D587" s="3"/>
      <c r="E587" s="3"/>
      <c r="F587" s="4"/>
    </row>
    <row r="588" spans="2:6" ht="12" customHeight="1" x14ac:dyDescent="0.15">
      <c r="B588" s="2"/>
      <c r="C588" s="3"/>
      <c r="D588" s="3"/>
      <c r="E588" s="3"/>
      <c r="F588" s="4"/>
    </row>
    <row r="589" spans="2:6" ht="12" customHeight="1" x14ac:dyDescent="0.15">
      <c r="B589" s="2"/>
      <c r="C589" s="3"/>
      <c r="D589" s="3"/>
      <c r="E589" s="3"/>
      <c r="F589" s="4"/>
    </row>
    <row r="590" spans="2:6" ht="12" customHeight="1" x14ac:dyDescent="0.15">
      <c r="B590" s="2"/>
      <c r="C590" s="3"/>
      <c r="D590" s="3"/>
      <c r="E590" s="3"/>
      <c r="F590" s="4"/>
    </row>
    <row r="591" spans="2:6" ht="12" customHeight="1" x14ac:dyDescent="0.15">
      <c r="B591" s="2"/>
      <c r="C591" s="3"/>
      <c r="D591" s="3"/>
      <c r="E591" s="3"/>
      <c r="F591" s="4"/>
    </row>
    <row r="592" spans="2:6" ht="12" customHeight="1" x14ac:dyDescent="0.15">
      <c r="B592" s="2"/>
      <c r="C592" s="3"/>
      <c r="D592" s="3"/>
      <c r="E592" s="3"/>
      <c r="F592" s="4"/>
    </row>
    <row r="593" spans="2:6" ht="12" customHeight="1" x14ac:dyDescent="0.15">
      <c r="B593" s="2"/>
      <c r="C593" s="3"/>
      <c r="D593" s="3"/>
      <c r="E593" s="3"/>
      <c r="F593" s="4"/>
    </row>
    <row r="594" spans="2:6" ht="12" customHeight="1" x14ac:dyDescent="0.15">
      <c r="B594" s="2"/>
      <c r="C594" s="3"/>
      <c r="D594" s="3"/>
      <c r="E594" s="3"/>
      <c r="F594" s="4"/>
    </row>
    <row r="595" spans="2:6" ht="12" customHeight="1" x14ac:dyDescent="0.15">
      <c r="B595" s="2"/>
      <c r="C595" s="3"/>
      <c r="D595" s="3"/>
      <c r="E595" s="3"/>
      <c r="F595" s="4"/>
    </row>
    <row r="596" spans="2:6" ht="12" customHeight="1" x14ac:dyDescent="0.15">
      <c r="B596" s="2"/>
      <c r="C596" s="3"/>
      <c r="D596" s="3"/>
      <c r="E596" s="3"/>
      <c r="F596" s="4"/>
    </row>
    <row r="597" spans="2:6" ht="12" customHeight="1" x14ac:dyDescent="0.15">
      <c r="B597" s="2"/>
      <c r="C597" s="3"/>
      <c r="D597" s="3"/>
      <c r="E597" s="3"/>
      <c r="F597" s="4"/>
    </row>
    <row r="598" spans="2:6" ht="12" customHeight="1" x14ac:dyDescent="0.15">
      <c r="B598" s="2"/>
      <c r="C598" s="3"/>
      <c r="D598" s="3"/>
      <c r="E598" s="3"/>
      <c r="F598" s="4"/>
    </row>
    <row r="599" spans="2:6" ht="12" customHeight="1" x14ac:dyDescent="0.15">
      <c r="B599" s="2"/>
      <c r="C599" s="3"/>
      <c r="D599" s="3"/>
      <c r="E599" s="3"/>
      <c r="F599" s="4"/>
    </row>
    <row r="600" spans="2:6" ht="12" customHeight="1" x14ac:dyDescent="0.15">
      <c r="B600" s="2"/>
      <c r="C600" s="3"/>
      <c r="D600" s="3"/>
      <c r="E600" s="3"/>
      <c r="F600" s="4"/>
    </row>
    <row r="601" spans="2:6" ht="12" customHeight="1" x14ac:dyDescent="0.15">
      <c r="B601" s="2"/>
      <c r="C601" s="3"/>
      <c r="D601" s="3"/>
      <c r="E601" s="3"/>
      <c r="F601" s="4"/>
    </row>
    <row r="602" spans="2:6" ht="12" customHeight="1" x14ac:dyDescent="0.15">
      <c r="B602" s="2"/>
      <c r="C602" s="3"/>
      <c r="D602" s="3"/>
      <c r="E602" s="3"/>
      <c r="F602" s="4"/>
    </row>
    <row r="603" spans="2:6" ht="12" customHeight="1" x14ac:dyDescent="0.15">
      <c r="B603" s="2"/>
      <c r="C603" s="3"/>
      <c r="D603" s="3"/>
      <c r="E603" s="3"/>
      <c r="F603" s="4"/>
    </row>
    <row r="604" spans="2:6" ht="12" customHeight="1" x14ac:dyDescent="0.15">
      <c r="B604" s="2"/>
      <c r="C604" s="3"/>
      <c r="D604" s="3"/>
      <c r="E604" s="3"/>
      <c r="F604" s="4"/>
    </row>
    <row r="605" spans="2:6" ht="12" customHeight="1" x14ac:dyDescent="0.15">
      <c r="B605" s="2"/>
      <c r="C605" s="3"/>
      <c r="D605" s="3"/>
      <c r="E605" s="3"/>
      <c r="F605" s="4"/>
    </row>
    <row r="606" spans="2:6" ht="12" customHeight="1" x14ac:dyDescent="0.15">
      <c r="B606" s="2"/>
      <c r="C606" s="3"/>
      <c r="D606" s="3"/>
      <c r="E606" s="3"/>
      <c r="F606" s="4"/>
    </row>
    <row r="607" spans="2:6" ht="12" customHeight="1" x14ac:dyDescent="0.15">
      <c r="B607" s="2"/>
      <c r="C607" s="3"/>
      <c r="D607" s="3"/>
      <c r="E607" s="3"/>
      <c r="F607" s="4"/>
    </row>
    <row r="608" spans="2:6" ht="12" customHeight="1" x14ac:dyDescent="0.15">
      <c r="B608" s="2"/>
      <c r="C608" s="3"/>
      <c r="D608" s="3"/>
      <c r="E608" s="3"/>
      <c r="F608" s="4"/>
    </row>
    <row r="609" spans="2:6" ht="12" customHeight="1" x14ac:dyDescent="0.15">
      <c r="B609" s="2"/>
      <c r="C609" s="3"/>
      <c r="D609" s="3"/>
      <c r="E609" s="3"/>
      <c r="F609" s="4"/>
    </row>
    <row r="610" spans="2:6" ht="12" customHeight="1" x14ac:dyDescent="0.15">
      <c r="B610" s="2"/>
      <c r="C610" s="3"/>
      <c r="D610" s="3"/>
      <c r="E610" s="3"/>
      <c r="F610" s="4"/>
    </row>
    <row r="611" spans="2:6" ht="12" customHeight="1" x14ac:dyDescent="0.15">
      <c r="B611" s="2"/>
      <c r="C611" s="3"/>
      <c r="D611" s="3"/>
      <c r="E611" s="3"/>
      <c r="F611" s="4"/>
    </row>
    <row r="612" spans="2:6" ht="12" customHeight="1" x14ac:dyDescent="0.15">
      <c r="B612" s="2"/>
      <c r="C612" s="3"/>
      <c r="D612" s="3"/>
      <c r="E612" s="3"/>
      <c r="F612" s="4"/>
    </row>
    <row r="613" spans="2:6" ht="12" customHeight="1" x14ac:dyDescent="0.15">
      <c r="B613" s="2"/>
      <c r="C613" s="3"/>
      <c r="D613" s="3"/>
      <c r="E613" s="3"/>
      <c r="F613" s="4"/>
    </row>
    <row r="614" spans="2:6" ht="12" customHeight="1" x14ac:dyDescent="0.15">
      <c r="B614" s="2"/>
      <c r="C614" s="3"/>
      <c r="D614" s="3"/>
      <c r="E614" s="3"/>
      <c r="F614" s="4"/>
    </row>
    <row r="615" spans="2:6" ht="12" customHeight="1" x14ac:dyDescent="0.15">
      <c r="B615" s="2"/>
      <c r="C615" s="3"/>
      <c r="D615" s="3"/>
      <c r="E615" s="3"/>
      <c r="F615" s="4"/>
    </row>
    <row r="616" spans="2:6" ht="12" customHeight="1" x14ac:dyDescent="0.15">
      <c r="B616" s="2"/>
      <c r="C616" s="3"/>
      <c r="D616" s="3"/>
      <c r="E616" s="3"/>
      <c r="F616" s="4"/>
    </row>
    <row r="617" spans="2:6" ht="12" customHeight="1" x14ac:dyDescent="0.15">
      <c r="B617" s="2"/>
      <c r="C617" s="3"/>
      <c r="D617" s="3"/>
      <c r="E617" s="3"/>
      <c r="F617" s="4"/>
    </row>
    <row r="618" spans="2:6" ht="12" customHeight="1" x14ac:dyDescent="0.15">
      <c r="B618" s="2"/>
      <c r="C618" s="3"/>
      <c r="D618" s="3"/>
      <c r="E618" s="3"/>
      <c r="F618" s="4"/>
    </row>
    <row r="619" spans="2:6" ht="12" customHeight="1" x14ac:dyDescent="0.15">
      <c r="B619" s="2"/>
      <c r="C619" s="3"/>
      <c r="D619" s="3"/>
      <c r="E619" s="3"/>
      <c r="F619" s="4"/>
    </row>
    <row r="620" spans="2:6" ht="12" customHeight="1" x14ac:dyDescent="0.15">
      <c r="B620" s="2"/>
      <c r="C620" s="3"/>
      <c r="D620" s="3"/>
      <c r="E620" s="3"/>
      <c r="F620" s="4"/>
    </row>
    <row r="621" spans="2:6" ht="12" customHeight="1" x14ac:dyDescent="0.15">
      <c r="B621" s="2"/>
      <c r="C621" s="3"/>
      <c r="D621" s="3"/>
      <c r="E621" s="3"/>
      <c r="F621" s="4"/>
    </row>
    <row r="622" spans="2:6" ht="12" customHeight="1" x14ac:dyDescent="0.15">
      <c r="B622" s="2"/>
      <c r="C622" s="3"/>
      <c r="D622" s="3"/>
      <c r="E622" s="3"/>
      <c r="F622" s="4"/>
    </row>
    <row r="623" spans="2:6" ht="12" customHeight="1" x14ac:dyDescent="0.15">
      <c r="B623" s="2"/>
      <c r="C623" s="3"/>
      <c r="D623" s="3"/>
      <c r="E623" s="3"/>
      <c r="F623" s="4"/>
    </row>
    <row r="624" spans="2:6" ht="12" customHeight="1" x14ac:dyDescent="0.15">
      <c r="B624" s="2"/>
      <c r="C624" s="3"/>
      <c r="D624" s="3"/>
      <c r="E624" s="3"/>
      <c r="F624" s="4"/>
    </row>
    <row r="625" spans="2:6" ht="12" customHeight="1" x14ac:dyDescent="0.15">
      <c r="B625" s="2"/>
      <c r="C625" s="3"/>
      <c r="D625" s="3"/>
      <c r="E625" s="3"/>
      <c r="F625" s="4"/>
    </row>
    <row r="626" spans="2:6" ht="12" customHeight="1" x14ac:dyDescent="0.15">
      <c r="B626" s="2"/>
      <c r="C626" s="3"/>
      <c r="D626" s="3"/>
      <c r="E626" s="3"/>
      <c r="F626" s="4"/>
    </row>
    <row r="627" spans="2:6" ht="12" customHeight="1" x14ac:dyDescent="0.15">
      <c r="B627" s="2"/>
      <c r="C627" s="3"/>
      <c r="D627" s="3"/>
      <c r="E627" s="3"/>
      <c r="F627" s="4"/>
    </row>
    <row r="628" spans="2:6" ht="12" customHeight="1" x14ac:dyDescent="0.15">
      <c r="B628" s="2"/>
      <c r="C628" s="3"/>
      <c r="D628" s="3"/>
      <c r="E628" s="3"/>
      <c r="F628" s="4"/>
    </row>
    <row r="629" spans="2:6" ht="12" customHeight="1" x14ac:dyDescent="0.15">
      <c r="B629" s="2"/>
      <c r="C629" s="3"/>
      <c r="D629" s="3"/>
      <c r="E629" s="3"/>
      <c r="F629" s="4"/>
    </row>
    <row r="630" spans="2:6" ht="12" customHeight="1" x14ac:dyDescent="0.15">
      <c r="B630" s="2"/>
      <c r="C630" s="3"/>
      <c r="D630" s="3"/>
      <c r="E630" s="3"/>
      <c r="F630" s="4"/>
    </row>
    <row r="631" spans="2:6" ht="12" customHeight="1" x14ac:dyDescent="0.15">
      <c r="B631" s="2"/>
      <c r="C631" s="3"/>
      <c r="D631" s="3"/>
      <c r="E631" s="3"/>
      <c r="F631" s="4"/>
    </row>
    <row r="632" spans="2:6" ht="12" customHeight="1" x14ac:dyDescent="0.15">
      <c r="B632" s="2"/>
      <c r="C632" s="3"/>
      <c r="D632" s="3"/>
      <c r="E632" s="3"/>
      <c r="F632" s="4"/>
    </row>
    <row r="633" spans="2:6" ht="12" customHeight="1" x14ac:dyDescent="0.15">
      <c r="B633" s="2"/>
      <c r="C633" s="3"/>
      <c r="D633" s="3"/>
      <c r="E633" s="3"/>
      <c r="F633" s="4"/>
    </row>
    <row r="634" spans="2:6" ht="12" customHeight="1" x14ac:dyDescent="0.15">
      <c r="B634" s="2"/>
      <c r="C634" s="3"/>
      <c r="D634" s="3"/>
      <c r="E634" s="3"/>
      <c r="F634" s="4"/>
    </row>
    <row r="635" spans="2:6" ht="12" customHeight="1" x14ac:dyDescent="0.15">
      <c r="B635" s="2"/>
      <c r="C635" s="3"/>
      <c r="D635" s="3"/>
      <c r="E635" s="3"/>
      <c r="F635" s="4"/>
    </row>
    <row r="636" spans="2:6" ht="12" customHeight="1" x14ac:dyDescent="0.15">
      <c r="B636" s="2"/>
      <c r="C636" s="3"/>
      <c r="D636" s="3"/>
      <c r="E636" s="3"/>
      <c r="F636" s="4"/>
    </row>
    <row r="637" spans="2:6" ht="12" customHeight="1" x14ac:dyDescent="0.15">
      <c r="B637" s="2"/>
      <c r="C637" s="3"/>
      <c r="D637" s="3"/>
      <c r="E637" s="3"/>
      <c r="F637" s="4"/>
    </row>
    <row r="638" spans="2:6" ht="12" customHeight="1" x14ac:dyDescent="0.15">
      <c r="B638" s="2"/>
      <c r="C638" s="3"/>
      <c r="D638" s="3"/>
      <c r="E638" s="3"/>
      <c r="F638" s="4"/>
    </row>
    <row r="639" spans="2:6" ht="12" customHeight="1" x14ac:dyDescent="0.15">
      <c r="B639" s="2"/>
      <c r="C639" s="3"/>
      <c r="D639" s="3"/>
      <c r="E639" s="3"/>
      <c r="F639" s="4"/>
    </row>
    <row r="640" spans="2:6" ht="12" customHeight="1" x14ac:dyDescent="0.15">
      <c r="B640" s="2"/>
      <c r="C640" s="3"/>
      <c r="D640" s="3"/>
      <c r="E640" s="3"/>
      <c r="F640" s="4"/>
    </row>
    <row r="641" spans="2:6" ht="12" customHeight="1" x14ac:dyDescent="0.15">
      <c r="B641" s="2"/>
      <c r="C641" s="3"/>
      <c r="D641" s="3"/>
      <c r="E641" s="3"/>
      <c r="F641" s="4"/>
    </row>
    <row r="642" spans="2:6" ht="12" customHeight="1" x14ac:dyDescent="0.15">
      <c r="B642" s="2"/>
      <c r="C642" s="3"/>
      <c r="D642" s="3"/>
      <c r="E642" s="3"/>
      <c r="F642" s="4"/>
    </row>
    <row r="643" spans="2:6" ht="12" customHeight="1" x14ac:dyDescent="0.15">
      <c r="B643" s="2"/>
      <c r="C643" s="3"/>
      <c r="D643" s="3"/>
      <c r="E643" s="3"/>
      <c r="F643" s="4"/>
    </row>
    <row r="644" spans="2:6" ht="12" customHeight="1" x14ac:dyDescent="0.15">
      <c r="B644" s="2"/>
      <c r="C644" s="3"/>
      <c r="D644" s="3"/>
      <c r="E644" s="3"/>
      <c r="F644" s="4"/>
    </row>
    <row r="645" spans="2:6" ht="12" customHeight="1" x14ac:dyDescent="0.15">
      <c r="B645" s="2"/>
      <c r="C645" s="3"/>
      <c r="D645" s="3"/>
      <c r="E645" s="3"/>
      <c r="F645" s="4"/>
    </row>
    <row r="646" spans="2:6" ht="12" customHeight="1" x14ac:dyDescent="0.15">
      <c r="B646" s="2"/>
      <c r="C646" s="3"/>
      <c r="D646" s="3"/>
      <c r="E646" s="3"/>
      <c r="F646" s="4"/>
    </row>
    <row r="647" spans="2:6" ht="12" customHeight="1" x14ac:dyDescent="0.15">
      <c r="B647" s="2"/>
      <c r="C647" s="3"/>
      <c r="D647" s="3"/>
      <c r="E647" s="3"/>
      <c r="F647" s="4"/>
    </row>
    <row r="648" spans="2:6" ht="12" customHeight="1" x14ac:dyDescent="0.15">
      <c r="B648" s="2"/>
      <c r="C648" s="3"/>
      <c r="D648" s="3"/>
      <c r="E648" s="3"/>
      <c r="F648" s="4"/>
    </row>
    <row r="649" spans="2:6" ht="12" customHeight="1" x14ac:dyDescent="0.15">
      <c r="B649" s="2"/>
      <c r="C649" s="3"/>
      <c r="D649" s="3"/>
      <c r="E649" s="3"/>
      <c r="F649" s="4"/>
    </row>
    <row r="650" spans="2:6" ht="12" customHeight="1" x14ac:dyDescent="0.15">
      <c r="B650" s="2"/>
      <c r="C650" s="3"/>
      <c r="D650" s="3"/>
      <c r="E650" s="3"/>
      <c r="F650" s="4"/>
    </row>
    <row r="651" spans="2:6" ht="12" customHeight="1" x14ac:dyDescent="0.15">
      <c r="B651" s="2"/>
      <c r="C651" s="3"/>
      <c r="D651" s="3"/>
      <c r="E651" s="3"/>
      <c r="F651" s="4"/>
    </row>
    <row r="652" spans="2:6" ht="12" customHeight="1" x14ac:dyDescent="0.15">
      <c r="B652" s="2"/>
      <c r="C652" s="3"/>
      <c r="D652" s="3"/>
      <c r="E652" s="3"/>
      <c r="F652" s="4"/>
    </row>
    <row r="653" spans="2:6" ht="12" customHeight="1" x14ac:dyDescent="0.15">
      <c r="B653" s="2"/>
      <c r="C653" s="3"/>
      <c r="D653" s="3"/>
      <c r="E653" s="3"/>
      <c r="F653" s="4"/>
    </row>
    <row r="654" spans="2:6" ht="12" customHeight="1" x14ac:dyDescent="0.15">
      <c r="B654" s="2"/>
      <c r="C654" s="3"/>
      <c r="D654" s="3"/>
      <c r="E654" s="3"/>
      <c r="F654" s="4"/>
    </row>
    <row r="655" spans="2:6" ht="12" customHeight="1" x14ac:dyDescent="0.15">
      <c r="B655" s="2"/>
      <c r="C655" s="3"/>
      <c r="D655" s="3"/>
      <c r="E655" s="3"/>
      <c r="F655" s="4"/>
    </row>
    <row r="656" spans="2:6" ht="12" customHeight="1" x14ac:dyDescent="0.15">
      <c r="B656" s="2"/>
      <c r="C656" s="3"/>
      <c r="D656" s="3"/>
      <c r="E656" s="3"/>
      <c r="F656" s="4"/>
    </row>
    <row r="657" spans="2:6" ht="12" customHeight="1" x14ac:dyDescent="0.15">
      <c r="B657" s="2"/>
      <c r="C657" s="3"/>
      <c r="D657" s="3"/>
      <c r="E657" s="3"/>
      <c r="F657" s="4"/>
    </row>
    <row r="658" spans="2:6" ht="12" customHeight="1" x14ac:dyDescent="0.15">
      <c r="B658" s="2"/>
      <c r="C658" s="3"/>
      <c r="D658" s="3"/>
      <c r="E658" s="3"/>
      <c r="F658" s="4"/>
    </row>
    <row r="659" spans="2:6" ht="12" customHeight="1" x14ac:dyDescent="0.15">
      <c r="B659" s="2"/>
      <c r="C659" s="3"/>
      <c r="D659" s="3"/>
      <c r="E659" s="3"/>
      <c r="F659" s="4"/>
    </row>
    <row r="660" spans="2:6" ht="12" customHeight="1" x14ac:dyDescent="0.15">
      <c r="B660" s="2"/>
      <c r="C660" s="3"/>
      <c r="D660" s="3"/>
      <c r="E660" s="3"/>
      <c r="F660" s="4"/>
    </row>
    <row r="661" spans="2:6" ht="12" customHeight="1" x14ac:dyDescent="0.15">
      <c r="B661" s="2"/>
      <c r="C661" s="3"/>
      <c r="D661" s="3"/>
      <c r="E661" s="3"/>
      <c r="F661" s="4"/>
    </row>
    <row r="662" spans="2:6" ht="12" customHeight="1" x14ac:dyDescent="0.15">
      <c r="B662" s="2"/>
      <c r="C662" s="3"/>
      <c r="D662" s="3"/>
      <c r="E662" s="3"/>
      <c r="F662" s="4"/>
    </row>
    <row r="663" spans="2:6" ht="12" customHeight="1" x14ac:dyDescent="0.15">
      <c r="B663" s="2"/>
      <c r="C663" s="3"/>
      <c r="D663" s="3"/>
      <c r="E663" s="3"/>
      <c r="F663" s="4"/>
    </row>
    <row r="664" spans="2:6" ht="12" customHeight="1" x14ac:dyDescent="0.15">
      <c r="B664" s="2"/>
      <c r="C664" s="3"/>
      <c r="D664" s="3"/>
      <c r="E664" s="3"/>
      <c r="F664" s="4"/>
    </row>
    <row r="665" spans="2:6" ht="12" customHeight="1" x14ac:dyDescent="0.15">
      <c r="B665" s="2"/>
      <c r="C665" s="3"/>
      <c r="D665" s="3"/>
      <c r="E665" s="3"/>
      <c r="F665" s="4"/>
    </row>
    <row r="666" spans="2:6" ht="12" customHeight="1" x14ac:dyDescent="0.15">
      <c r="B666" s="2"/>
      <c r="C666" s="3"/>
      <c r="D666" s="3"/>
      <c r="E666" s="3"/>
      <c r="F666" s="4"/>
    </row>
    <row r="667" spans="2:6" ht="12" customHeight="1" x14ac:dyDescent="0.15">
      <c r="B667" s="2"/>
      <c r="C667" s="3"/>
      <c r="D667" s="3"/>
      <c r="E667" s="3"/>
      <c r="F667" s="4"/>
    </row>
    <row r="668" spans="2:6" ht="12" customHeight="1" x14ac:dyDescent="0.15">
      <c r="B668" s="2"/>
      <c r="C668" s="3"/>
      <c r="D668" s="3"/>
      <c r="E668" s="3"/>
      <c r="F668" s="4"/>
    </row>
    <row r="669" spans="2:6" ht="12" customHeight="1" x14ac:dyDescent="0.15">
      <c r="B669" s="2"/>
      <c r="C669" s="3"/>
      <c r="D669" s="3"/>
      <c r="E669" s="3"/>
      <c r="F669" s="4"/>
    </row>
    <row r="670" spans="2:6" ht="12" customHeight="1" x14ac:dyDescent="0.15">
      <c r="B670" s="2"/>
      <c r="C670" s="3"/>
      <c r="D670" s="3"/>
      <c r="E670" s="3"/>
      <c r="F670" s="4"/>
    </row>
    <row r="671" spans="2:6" ht="12" customHeight="1" x14ac:dyDescent="0.15">
      <c r="B671" s="2"/>
      <c r="C671" s="3"/>
      <c r="D671" s="3"/>
      <c r="E671" s="3"/>
      <c r="F671" s="4"/>
    </row>
    <row r="672" spans="2:6" ht="12" customHeight="1" x14ac:dyDescent="0.15">
      <c r="B672" s="2"/>
      <c r="C672" s="3"/>
      <c r="D672" s="3"/>
      <c r="E672" s="3"/>
      <c r="F672" s="4"/>
    </row>
    <row r="673" spans="2:6" ht="12" customHeight="1" x14ac:dyDescent="0.15">
      <c r="B673" s="2"/>
      <c r="C673" s="3"/>
      <c r="D673" s="3"/>
      <c r="E673" s="3"/>
      <c r="F673" s="4"/>
    </row>
    <row r="674" spans="2:6" ht="12" customHeight="1" x14ac:dyDescent="0.15">
      <c r="B674" s="2"/>
      <c r="C674" s="3"/>
      <c r="D674" s="3"/>
      <c r="E674" s="3"/>
      <c r="F674" s="4"/>
    </row>
    <row r="675" spans="2:6" ht="12" customHeight="1" x14ac:dyDescent="0.15">
      <c r="B675" s="2"/>
      <c r="C675" s="3"/>
      <c r="D675" s="3"/>
      <c r="E675" s="3"/>
      <c r="F675" s="4"/>
    </row>
    <row r="676" spans="2:6" ht="12" customHeight="1" x14ac:dyDescent="0.15">
      <c r="B676" s="2"/>
      <c r="C676" s="3"/>
      <c r="D676" s="3"/>
      <c r="E676" s="3"/>
      <c r="F676" s="4"/>
    </row>
    <row r="677" spans="2:6" ht="12" customHeight="1" x14ac:dyDescent="0.15">
      <c r="B677" s="2"/>
      <c r="C677" s="3"/>
      <c r="D677" s="3"/>
      <c r="E677" s="3"/>
      <c r="F677" s="4"/>
    </row>
    <row r="678" spans="2:6" ht="12" customHeight="1" x14ac:dyDescent="0.15">
      <c r="B678" s="2"/>
      <c r="C678" s="3"/>
      <c r="D678" s="3"/>
      <c r="E678" s="3"/>
      <c r="F678" s="4"/>
    </row>
    <row r="679" spans="2:6" ht="12" customHeight="1" x14ac:dyDescent="0.15">
      <c r="B679" s="2"/>
      <c r="C679" s="3"/>
      <c r="D679" s="3"/>
      <c r="E679" s="3"/>
      <c r="F679" s="4"/>
    </row>
    <row r="680" spans="2:6" ht="12" customHeight="1" x14ac:dyDescent="0.15">
      <c r="B680" s="2"/>
      <c r="C680" s="3"/>
      <c r="D680" s="3"/>
      <c r="E680" s="3"/>
      <c r="F680" s="4"/>
    </row>
    <row r="681" spans="2:6" ht="12" customHeight="1" x14ac:dyDescent="0.15">
      <c r="B681" s="2"/>
      <c r="C681" s="3"/>
      <c r="D681" s="3"/>
      <c r="E681" s="3"/>
      <c r="F681" s="4"/>
    </row>
    <row r="682" spans="2:6" ht="12" customHeight="1" x14ac:dyDescent="0.15">
      <c r="B682" s="2"/>
      <c r="C682" s="3"/>
      <c r="D682" s="3"/>
      <c r="E682" s="3"/>
      <c r="F682" s="4"/>
    </row>
    <row r="683" spans="2:6" ht="12" customHeight="1" x14ac:dyDescent="0.15">
      <c r="B683" s="2"/>
      <c r="C683" s="3"/>
      <c r="D683" s="3"/>
      <c r="E683" s="3"/>
      <c r="F683" s="4"/>
    </row>
    <row r="684" spans="2:6" ht="12" customHeight="1" x14ac:dyDescent="0.15">
      <c r="B684" s="2"/>
      <c r="C684" s="3"/>
      <c r="D684" s="3"/>
      <c r="E684" s="3"/>
      <c r="F684" s="4"/>
    </row>
    <row r="685" spans="2:6" ht="12" customHeight="1" x14ac:dyDescent="0.15">
      <c r="B685" s="2"/>
      <c r="C685" s="3"/>
      <c r="D685" s="3"/>
      <c r="E685" s="3"/>
      <c r="F685" s="4"/>
    </row>
    <row r="686" spans="2:6" ht="12" customHeight="1" x14ac:dyDescent="0.15">
      <c r="B686" s="2"/>
      <c r="C686" s="3"/>
      <c r="D686" s="3"/>
      <c r="E686" s="3"/>
      <c r="F686" s="4"/>
    </row>
    <row r="687" spans="2:6" ht="12" customHeight="1" x14ac:dyDescent="0.15">
      <c r="B687" s="2"/>
      <c r="C687" s="3"/>
      <c r="D687" s="3"/>
      <c r="E687" s="3"/>
      <c r="F687" s="4"/>
    </row>
    <row r="688" spans="2:6" ht="12" customHeight="1" x14ac:dyDescent="0.15">
      <c r="B688" s="2"/>
      <c r="C688" s="3"/>
      <c r="D688" s="3"/>
      <c r="E688" s="3"/>
      <c r="F688" s="4"/>
    </row>
    <row r="689" spans="2:6" ht="12" customHeight="1" x14ac:dyDescent="0.15">
      <c r="B689" s="2"/>
      <c r="C689" s="3"/>
      <c r="D689" s="3"/>
      <c r="E689" s="3"/>
      <c r="F689" s="4"/>
    </row>
    <row r="690" spans="2:6" ht="12" customHeight="1" x14ac:dyDescent="0.15">
      <c r="B690" s="2"/>
      <c r="C690" s="3"/>
      <c r="D690" s="3"/>
      <c r="E690" s="3"/>
      <c r="F690" s="4"/>
    </row>
    <row r="691" spans="2:6" ht="12" customHeight="1" x14ac:dyDescent="0.15">
      <c r="B691" s="2"/>
      <c r="C691" s="3"/>
      <c r="D691" s="3"/>
      <c r="E691" s="3"/>
      <c r="F691" s="4"/>
    </row>
    <row r="692" spans="2:6" ht="12" customHeight="1" x14ac:dyDescent="0.15">
      <c r="B692" s="2"/>
      <c r="C692" s="3"/>
      <c r="D692" s="3"/>
      <c r="E692" s="3"/>
      <c r="F692" s="4"/>
    </row>
    <row r="693" spans="2:6" ht="12" customHeight="1" x14ac:dyDescent="0.15">
      <c r="B693" s="2"/>
      <c r="C693" s="3"/>
      <c r="D693" s="3"/>
      <c r="E693" s="3"/>
      <c r="F693" s="4"/>
    </row>
    <row r="694" spans="2:6" ht="12" customHeight="1" x14ac:dyDescent="0.15">
      <c r="B694" s="2"/>
      <c r="C694" s="3"/>
      <c r="D694" s="3"/>
      <c r="E694" s="3"/>
      <c r="F694" s="4"/>
    </row>
    <row r="695" spans="2:6" ht="12" customHeight="1" x14ac:dyDescent="0.15">
      <c r="B695" s="2"/>
      <c r="C695" s="3"/>
      <c r="D695" s="3"/>
      <c r="E695" s="3"/>
      <c r="F695" s="4"/>
    </row>
    <row r="696" spans="2:6" ht="12" customHeight="1" x14ac:dyDescent="0.15">
      <c r="B696" s="2"/>
      <c r="C696" s="3"/>
      <c r="D696" s="3"/>
      <c r="E696" s="3"/>
      <c r="F696" s="4"/>
    </row>
    <row r="697" spans="2:6" ht="12" customHeight="1" x14ac:dyDescent="0.15">
      <c r="B697" s="2"/>
      <c r="C697" s="3"/>
      <c r="D697" s="3"/>
      <c r="E697" s="3"/>
      <c r="F697" s="4"/>
    </row>
    <row r="698" spans="2:6" ht="12" customHeight="1" x14ac:dyDescent="0.15">
      <c r="B698" s="2"/>
      <c r="C698" s="3"/>
      <c r="D698" s="3"/>
      <c r="E698" s="3"/>
      <c r="F698" s="4"/>
    </row>
    <row r="699" spans="2:6" ht="12" customHeight="1" x14ac:dyDescent="0.15">
      <c r="B699" s="2"/>
      <c r="C699" s="3"/>
      <c r="D699" s="3"/>
      <c r="E699" s="3"/>
      <c r="F699" s="4"/>
    </row>
    <row r="700" spans="2:6" ht="12" customHeight="1" x14ac:dyDescent="0.15">
      <c r="B700" s="2"/>
      <c r="C700" s="3"/>
      <c r="D700" s="3"/>
      <c r="E700" s="3"/>
      <c r="F700" s="4"/>
    </row>
    <row r="701" spans="2:6" ht="12" customHeight="1" x14ac:dyDescent="0.15">
      <c r="B701" s="2"/>
      <c r="C701" s="3"/>
      <c r="D701" s="3"/>
      <c r="E701" s="3"/>
      <c r="F701" s="4"/>
    </row>
    <row r="702" spans="2:6" ht="12" customHeight="1" x14ac:dyDescent="0.15">
      <c r="B702" s="2"/>
      <c r="C702" s="3"/>
      <c r="D702" s="3"/>
      <c r="E702" s="3"/>
      <c r="F702" s="4"/>
    </row>
    <row r="703" spans="2:6" ht="12" customHeight="1" x14ac:dyDescent="0.15">
      <c r="B703" s="2"/>
      <c r="C703" s="3"/>
      <c r="D703" s="3"/>
      <c r="E703" s="3"/>
      <c r="F703" s="4"/>
    </row>
    <row r="704" spans="2:6" ht="12" customHeight="1" x14ac:dyDescent="0.15">
      <c r="B704" s="2"/>
      <c r="C704" s="3"/>
      <c r="D704" s="3"/>
      <c r="E704" s="3"/>
      <c r="F704" s="4"/>
    </row>
    <row r="705" spans="2:6" ht="12" customHeight="1" x14ac:dyDescent="0.15">
      <c r="B705" s="2"/>
      <c r="C705" s="3"/>
      <c r="D705" s="3"/>
      <c r="E705" s="3"/>
      <c r="F705" s="4"/>
    </row>
    <row r="706" spans="2:6" ht="12" customHeight="1" x14ac:dyDescent="0.15">
      <c r="B706" s="2"/>
      <c r="C706" s="3"/>
      <c r="D706" s="3"/>
      <c r="E706" s="3"/>
      <c r="F706" s="4"/>
    </row>
    <row r="707" spans="2:6" ht="12" customHeight="1" x14ac:dyDescent="0.15">
      <c r="B707" s="2"/>
      <c r="C707" s="3"/>
      <c r="D707" s="3"/>
      <c r="E707" s="3"/>
      <c r="F707" s="4"/>
    </row>
    <row r="708" spans="2:6" ht="12" customHeight="1" x14ac:dyDescent="0.15">
      <c r="B708" s="2"/>
      <c r="C708" s="3"/>
      <c r="D708" s="3"/>
      <c r="E708" s="3"/>
      <c r="F708" s="4"/>
    </row>
    <row r="709" spans="2:6" ht="12" customHeight="1" x14ac:dyDescent="0.15">
      <c r="B709" s="2"/>
      <c r="C709" s="3"/>
      <c r="D709" s="3"/>
      <c r="E709" s="3"/>
      <c r="F709" s="4"/>
    </row>
    <row r="710" spans="2:6" ht="12" customHeight="1" x14ac:dyDescent="0.15">
      <c r="B710" s="2"/>
      <c r="C710" s="3"/>
      <c r="D710" s="3"/>
      <c r="E710" s="3"/>
      <c r="F710" s="4"/>
    </row>
    <row r="711" spans="2:6" ht="12" customHeight="1" x14ac:dyDescent="0.15">
      <c r="B711" s="2"/>
      <c r="C711" s="3"/>
      <c r="D711" s="3"/>
      <c r="E711" s="3"/>
      <c r="F711" s="4"/>
    </row>
    <row r="712" spans="2:6" ht="12" customHeight="1" x14ac:dyDescent="0.15">
      <c r="B712" s="2"/>
      <c r="C712" s="3"/>
      <c r="D712" s="3"/>
      <c r="E712" s="3"/>
      <c r="F712" s="4"/>
    </row>
    <row r="713" spans="2:6" ht="12" customHeight="1" x14ac:dyDescent="0.15">
      <c r="B713" s="2"/>
      <c r="C713" s="3"/>
      <c r="D713" s="3"/>
      <c r="E713" s="3"/>
      <c r="F713" s="4"/>
    </row>
    <row r="714" spans="2:6" ht="12" customHeight="1" x14ac:dyDescent="0.15">
      <c r="B714" s="2"/>
      <c r="C714" s="3"/>
      <c r="D714" s="3"/>
      <c r="E714" s="3"/>
      <c r="F714" s="4"/>
    </row>
    <row r="715" spans="2:6" ht="12" customHeight="1" x14ac:dyDescent="0.15">
      <c r="B715" s="2"/>
      <c r="C715" s="3"/>
      <c r="D715" s="3"/>
      <c r="E715" s="3"/>
      <c r="F715" s="4"/>
    </row>
    <row r="716" spans="2:6" ht="12" customHeight="1" x14ac:dyDescent="0.15">
      <c r="B716" s="2"/>
      <c r="C716" s="3"/>
      <c r="D716" s="3"/>
      <c r="E716" s="3"/>
      <c r="F716" s="4"/>
    </row>
    <row r="717" spans="2:6" ht="12" customHeight="1" x14ac:dyDescent="0.15">
      <c r="B717" s="2"/>
      <c r="C717" s="3"/>
      <c r="D717" s="3"/>
      <c r="E717" s="3"/>
      <c r="F717" s="4"/>
    </row>
    <row r="718" spans="2:6" ht="12" customHeight="1" x14ac:dyDescent="0.15">
      <c r="B718" s="2"/>
      <c r="C718" s="3"/>
      <c r="D718" s="3"/>
      <c r="E718" s="3"/>
      <c r="F718" s="4"/>
    </row>
    <row r="719" spans="2:6" ht="12" customHeight="1" x14ac:dyDescent="0.15">
      <c r="B719" s="2"/>
      <c r="C719" s="3"/>
      <c r="D719" s="3"/>
      <c r="E719" s="3"/>
      <c r="F719" s="4"/>
    </row>
    <row r="720" spans="2:6" ht="12" customHeight="1" x14ac:dyDescent="0.15">
      <c r="B720" s="2"/>
      <c r="C720" s="3"/>
      <c r="D720" s="3"/>
      <c r="E720" s="3"/>
      <c r="F720" s="4"/>
    </row>
    <row r="721" spans="2:6" ht="12" customHeight="1" x14ac:dyDescent="0.15">
      <c r="B721" s="2"/>
      <c r="C721" s="3"/>
      <c r="D721" s="3"/>
      <c r="E721" s="3"/>
      <c r="F721" s="4"/>
    </row>
    <row r="722" spans="2:6" ht="12" customHeight="1" x14ac:dyDescent="0.15">
      <c r="B722" s="2"/>
      <c r="C722" s="3"/>
      <c r="D722" s="3"/>
      <c r="E722" s="3"/>
      <c r="F722" s="4"/>
    </row>
    <row r="723" spans="2:6" ht="12" customHeight="1" x14ac:dyDescent="0.15">
      <c r="B723" s="2"/>
      <c r="C723" s="3"/>
      <c r="D723" s="3"/>
      <c r="E723" s="3"/>
      <c r="F723" s="4"/>
    </row>
    <row r="724" spans="2:6" ht="12" customHeight="1" x14ac:dyDescent="0.15">
      <c r="B724" s="2"/>
      <c r="C724" s="3"/>
      <c r="D724" s="3"/>
      <c r="E724" s="3"/>
      <c r="F724" s="4"/>
    </row>
    <row r="725" spans="2:6" ht="12" customHeight="1" x14ac:dyDescent="0.15">
      <c r="B725" s="2"/>
      <c r="C725" s="3"/>
      <c r="D725" s="3"/>
      <c r="E725" s="3"/>
      <c r="F725" s="4"/>
    </row>
    <row r="726" spans="2:6" ht="12" customHeight="1" x14ac:dyDescent="0.15">
      <c r="B726" s="2"/>
      <c r="C726" s="3"/>
      <c r="D726" s="3"/>
      <c r="E726" s="3"/>
      <c r="F726" s="4"/>
    </row>
    <row r="727" spans="2:6" ht="12" customHeight="1" x14ac:dyDescent="0.15">
      <c r="B727" s="2"/>
      <c r="C727" s="3"/>
      <c r="D727" s="3"/>
      <c r="E727" s="3"/>
      <c r="F727" s="4"/>
    </row>
    <row r="728" spans="2:6" ht="12" customHeight="1" x14ac:dyDescent="0.15">
      <c r="B728" s="2"/>
      <c r="C728" s="3"/>
      <c r="D728" s="3"/>
      <c r="E728" s="3"/>
      <c r="F728" s="4"/>
    </row>
    <row r="729" spans="2:6" ht="12" customHeight="1" x14ac:dyDescent="0.15">
      <c r="B729" s="2"/>
      <c r="C729" s="3"/>
      <c r="D729" s="3"/>
      <c r="E729" s="3"/>
      <c r="F729" s="4"/>
    </row>
    <row r="730" spans="2:6" ht="12" customHeight="1" x14ac:dyDescent="0.15">
      <c r="B730" s="2"/>
      <c r="C730" s="3"/>
      <c r="D730" s="3"/>
      <c r="E730" s="3"/>
      <c r="F730" s="4"/>
    </row>
    <row r="731" spans="2:6" ht="12" customHeight="1" x14ac:dyDescent="0.15">
      <c r="B731" s="2"/>
      <c r="C731" s="3"/>
      <c r="D731" s="3"/>
      <c r="E731" s="3"/>
      <c r="F731" s="4"/>
    </row>
    <row r="732" spans="2:6" ht="12" customHeight="1" x14ac:dyDescent="0.15">
      <c r="B732" s="2"/>
      <c r="C732" s="3"/>
      <c r="D732" s="3"/>
      <c r="E732" s="3"/>
      <c r="F732" s="4"/>
    </row>
    <row r="733" spans="2:6" ht="12" customHeight="1" x14ac:dyDescent="0.15">
      <c r="B733" s="2"/>
      <c r="C733" s="3"/>
      <c r="D733" s="3"/>
      <c r="E733" s="3"/>
      <c r="F733" s="4"/>
    </row>
    <row r="734" spans="2:6" ht="12" customHeight="1" x14ac:dyDescent="0.15">
      <c r="B734" s="2"/>
      <c r="C734" s="3"/>
      <c r="D734" s="3"/>
      <c r="E734" s="3"/>
      <c r="F734" s="4"/>
    </row>
    <row r="735" spans="2:6" ht="12" customHeight="1" x14ac:dyDescent="0.15">
      <c r="B735" s="2"/>
      <c r="C735" s="3"/>
      <c r="D735" s="3"/>
      <c r="E735" s="3"/>
      <c r="F735" s="4"/>
    </row>
    <row r="736" spans="2:6" ht="12" customHeight="1" x14ac:dyDescent="0.15">
      <c r="B736" s="2"/>
      <c r="C736" s="3"/>
      <c r="D736" s="3"/>
      <c r="E736" s="3"/>
      <c r="F736" s="4"/>
    </row>
    <row r="737" spans="2:6" ht="12" customHeight="1" x14ac:dyDescent="0.15">
      <c r="B737" s="2"/>
      <c r="C737" s="3"/>
      <c r="D737" s="3"/>
      <c r="E737" s="3"/>
      <c r="F737" s="4"/>
    </row>
    <row r="738" spans="2:6" ht="12" customHeight="1" x14ac:dyDescent="0.15">
      <c r="B738" s="2"/>
      <c r="C738" s="3"/>
      <c r="D738" s="3"/>
      <c r="E738" s="3"/>
      <c r="F738" s="4"/>
    </row>
    <row r="739" spans="2:6" ht="12" customHeight="1" x14ac:dyDescent="0.15">
      <c r="B739" s="2"/>
      <c r="C739" s="3"/>
      <c r="D739" s="3"/>
      <c r="E739" s="3"/>
      <c r="F739" s="4"/>
    </row>
    <row r="740" spans="2:6" ht="12" customHeight="1" x14ac:dyDescent="0.15">
      <c r="B740" s="2"/>
      <c r="C740" s="3"/>
      <c r="D740" s="3"/>
      <c r="E740" s="3"/>
      <c r="F740" s="4"/>
    </row>
    <row r="741" spans="2:6" ht="12" customHeight="1" x14ac:dyDescent="0.15">
      <c r="B741" s="2"/>
      <c r="C741" s="3"/>
      <c r="D741" s="3"/>
      <c r="E741" s="3"/>
      <c r="F741" s="4"/>
    </row>
    <row r="742" spans="2:6" ht="12" customHeight="1" x14ac:dyDescent="0.15">
      <c r="B742" s="2"/>
      <c r="C742" s="3"/>
      <c r="D742" s="3"/>
      <c r="E742" s="3"/>
      <c r="F742" s="4"/>
    </row>
    <row r="743" spans="2:6" ht="12" customHeight="1" x14ac:dyDescent="0.15">
      <c r="B743" s="2"/>
      <c r="C743" s="3"/>
      <c r="D743" s="3"/>
      <c r="E743" s="3"/>
      <c r="F743" s="4"/>
    </row>
    <row r="744" spans="2:6" ht="12" customHeight="1" x14ac:dyDescent="0.15">
      <c r="B744" s="2"/>
      <c r="C744" s="3"/>
      <c r="D744" s="3"/>
      <c r="E744" s="3"/>
      <c r="F744" s="4"/>
    </row>
    <row r="745" spans="2:6" ht="12" customHeight="1" x14ac:dyDescent="0.15">
      <c r="B745" s="2"/>
      <c r="C745" s="3"/>
      <c r="D745" s="3"/>
      <c r="E745" s="3"/>
      <c r="F745" s="4"/>
    </row>
    <row r="746" spans="2:6" ht="12" customHeight="1" x14ac:dyDescent="0.15">
      <c r="B746" s="2"/>
      <c r="C746" s="3"/>
      <c r="D746" s="3"/>
      <c r="E746" s="3"/>
      <c r="F746" s="4"/>
    </row>
    <row r="747" spans="2:6" ht="12" customHeight="1" x14ac:dyDescent="0.15">
      <c r="B747" s="2"/>
      <c r="C747" s="3"/>
      <c r="D747" s="3"/>
      <c r="E747" s="3"/>
      <c r="F747" s="4"/>
    </row>
    <row r="748" spans="2:6" ht="12" customHeight="1" x14ac:dyDescent="0.15">
      <c r="B748" s="2"/>
      <c r="C748" s="3"/>
      <c r="D748" s="3"/>
      <c r="E748" s="3"/>
      <c r="F748" s="4"/>
    </row>
    <row r="749" spans="2:6" ht="12" customHeight="1" x14ac:dyDescent="0.15">
      <c r="B749" s="2"/>
      <c r="C749" s="3"/>
      <c r="D749" s="3"/>
      <c r="E749" s="3"/>
      <c r="F749" s="4"/>
    </row>
    <row r="750" spans="2:6" ht="12" customHeight="1" x14ac:dyDescent="0.15">
      <c r="B750" s="2"/>
      <c r="C750" s="3"/>
      <c r="D750" s="3"/>
      <c r="E750" s="3"/>
      <c r="F750" s="4"/>
    </row>
    <row r="751" spans="2:6" ht="12" customHeight="1" x14ac:dyDescent="0.15">
      <c r="B751" s="2"/>
      <c r="C751" s="3"/>
      <c r="D751" s="3"/>
      <c r="E751" s="3"/>
      <c r="F751" s="4"/>
    </row>
    <row r="752" spans="2:6" ht="12" customHeight="1" x14ac:dyDescent="0.15">
      <c r="B752" s="2"/>
      <c r="C752" s="3"/>
      <c r="D752" s="3"/>
      <c r="E752" s="3"/>
      <c r="F752" s="4"/>
    </row>
    <row r="753" spans="2:6" ht="12" customHeight="1" x14ac:dyDescent="0.15">
      <c r="B753" s="2"/>
      <c r="C753" s="3"/>
      <c r="D753" s="3"/>
      <c r="E753" s="3"/>
      <c r="F753" s="4"/>
    </row>
    <row r="754" spans="2:6" ht="12" customHeight="1" x14ac:dyDescent="0.15">
      <c r="B754" s="2"/>
      <c r="C754" s="3"/>
      <c r="D754" s="3"/>
      <c r="E754" s="3"/>
      <c r="F754" s="4"/>
    </row>
    <row r="755" spans="2:6" ht="12" customHeight="1" x14ac:dyDescent="0.15">
      <c r="B755" s="2"/>
      <c r="C755" s="3"/>
      <c r="D755" s="3"/>
      <c r="E755" s="3"/>
      <c r="F755" s="4"/>
    </row>
    <row r="756" spans="2:6" ht="12" customHeight="1" x14ac:dyDescent="0.15">
      <c r="B756" s="2"/>
      <c r="C756" s="3"/>
      <c r="D756" s="3"/>
      <c r="E756" s="3"/>
      <c r="F756" s="4"/>
    </row>
    <row r="757" spans="2:6" ht="12" customHeight="1" x14ac:dyDescent="0.15">
      <c r="B757" s="2"/>
      <c r="C757" s="3"/>
      <c r="D757" s="3"/>
      <c r="E757" s="3"/>
      <c r="F757" s="4"/>
    </row>
    <row r="758" spans="2:6" ht="12" customHeight="1" x14ac:dyDescent="0.15">
      <c r="B758" s="2"/>
      <c r="C758" s="3"/>
      <c r="D758" s="3"/>
      <c r="E758" s="3"/>
      <c r="F758" s="4"/>
    </row>
    <row r="759" spans="2:6" ht="12" customHeight="1" x14ac:dyDescent="0.15">
      <c r="B759" s="2"/>
      <c r="C759" s="3"/>
      <c r="D759" s="3"/>
      <c r="E759" s="3"/>
      <c r="F759" s="4"/>
    </row>
    <row r="760" spans="2:6" ht="12" customHeight="1" x14ac:dyDescent="0.15">
      <c r="B760" s="2"/>
      <c r="C760" s="3"/>
      <c r="D760" s="3"/>
      <c r="E760" s="3"/>
      <c r="F760" s="4"/>
    </row>
    <row r="761" spans="2:6" ht="12" customHeight="1" x14ac:dyDescent="0.15">
      <c r="B761" s="2"/>
      <c r="C761" s="3"/>
      <c r="D761" s="3"/>
      <c r="E761" s="3"/>
      <c r="F761" s="4"/>
    </row>
    <row r="762" spans="2:6" ht="12" customHeight="1" x14ac:dyDescent="0.15">
      <c r="B762" s="2"/>
      <c r="C762" s="3"/>
      <c r="D762" s="3"/>
      <c r="E762" s="3"/>
      <c r="F762" s="4"/>
    </row>
    <row r="763" spans="2:6" ht="12" customHeight="1" x14ac:dyDescent="0.15">
      <c r="B763" s="2"/>
      <c r="C763" s="3"/>
      <c r="D763" s="3"/>
      <c r="E763" s="3"/>
      <c r="F763" s="4"/>
    </row>
    <row r="764" spans="2:6" ht="12" customHeight="1" x14ac:dyDescent="0.15">
      <c r="B764" s="2"/>
      <c r="C764" s="3"/>
      <c r="D764" s="3"/>
      <c r="E764" s="3"/>
      <c r="F764" s="4"/>
    </row>
    <row r="765" spans="2:6" ht="12" customHeight="1" x14ac:dyDescent="0.15">
      <c r="B765" s="2"/>
      <c r="C765" s="3"/>
      <c r="D765" s="3"/>
      <c r="E765" s="3"/>
      <c r="F765" s="4"/>
    </row>
    <row r="766" spans="2:6" ht="12" customHeight="1" x14ac:dyDescent="0.15">
      <c r="B766" s="2"/>
      <c r="C766" s="3"/>
      <c r="D766" s="3"/>
      <c r="E766" s="3"/>
      <c r="F766" s="4"/>
    </row>
    <row r="767" spans="2:6" ht="12" customHeight="1" x14ac:dyDescent="0.15">
      <c r="B767" s="2"/>
      <c r="C767" s="3"/>
      <c r="D767" s="3"/>
      <c r="E767" s="3"/>
      <c r="F767" s="4"/>
    </row>
    <row r="768" spans="2:6" ht="12" customHeight="1" x14ac:dyDescent="0.15">
      <c r="B768" s="2"/>
      <c r="C768" s="3"/>
      <c r="D768" s="3"/>
      <c r="E768" s="3"/>
      <c r="F768" s="4"/>
    </row>
    <row r="769" spans="2:6" ht="12" customHeight="1" x14ac:dyDescent="0.15">
      <c r="B769" s="2"/>
      <c r="C769" s="3"/>
      <c r="D769" s="3"/>
      <c r="E769" s="3"/>
      <c r="F769" s="4"/>
    </row>
    <row r="770" spans="2:6" ht="12" customHeight="1" x14ac:dyDescent="0.15">
      <c r="B770" s="2"/>
      <c r="C770" s="3"/>
      <c r="D770" s="3"/>
      <c r="E770" s="3"/>
      <c r="F770" s="4"/>
    </row>
    <row r="771" spans="2:6" ht="12" customHeight="1" x14ac:dyDescent="0.15">
      <c r="B771" s="2"/>
      <c r="C771" s="3"/>
      <c r="D771" s="3"/>
      <c r="E771" s="3"/>
      <c r="F771" s="4"/>
    </row>
    <row r="772" spans="2:6" ht="12" customHeight="1" x14ac:dyDescent="0.15">
      <c r="B772" s="2"/>
      <c r="C772" s="3"/>
      <c r="D772" s="3"/>
      <c r="E772" s="3"/>
      <c r="F772" s="4"/>
    </row>
    <row r="773" spans="2:6" ht="12" customHeight="1" x14ac:dyDescent="0.15">
      <c r="B773" s="2"/>
      <c r="C773" s="3"/>
      <c r="D773" s="3"/>
      <c r="E773" s="3"/>
      <c r="F773" s="4"/>
    </row>
    <row r="774" spans="2:6" ht="12" customHeight="1" x14ac:dyDescent="0.15">
      <c r="B774" s="2"/>
      <c r="C774" s="3"/>
      <c r="D774" s="3"/>
      <c r="E774" s="3"/>
      <c r="F774" s="4"/>
    </row>
    <row r="775" spans="2:6" ht="12" customHeight="1" x14ac:dyDescent="0.15">
      <c r="B775" s="2"/>
      <c r="C775" s="3"/>
      <c r="D775" s="3"/>
      <c r="E775" s="3"/>
      <c r="F775" s="4"/>
    </row>
    <row r="776" spans="2:6" ht="12" customHeight="1" x14ac:dyDescent="0.15">
      <c r="B776" s="2"/>
      <c r="C776" s="3"/>
      <c r="D776" s="3"/>
      <c r="E776" s="3"/>
      <c r="F776" s="4"/>
    </row>
    <row r="777" spans="2:6" ht="12" customHeight="1" x14ac:dyDescent="0.15">
      <c r="B777" s="2"/>
      <c r="C777" s="3"/>
      <c r="D777" s="3"/>
      <c r="E777" s="3"/>
      <c r="F777" s="4"/>
    </row>
    <row r="778" spans="2:6" ht="12" customHeight="1" x14ac:dyDescent="0.15">
      <c r="B778" s="2"/>
      <c r="C778" s="3"/>
      <c r="D778" s="3"/>
      <c r="E778" s="3"/>
      <c r="F778" s="4"/>
    </row>
    <row r="779" spans="2:6" ht="12" customHeight="1" x14ac:dyDescent="0.15">
      <c r="B779" s="2"/>
      <c r="C779" s="3"/>
      <c r="D779" s="3"/>
      <c r="E779" s="3"/>
      <c r="F779" s="4"/>
    </row>
    <row r="780" spans="2:6" ht="12" customHeight="1" x14ac:dyDescent="0.15">
      <c r="B780" s="2"/>
      <c r="C780" s="3"/>
      <c r="D780" s="3"/>
      <c r="E780" s="3"/>
      <c r="F780" s="4"/>
    </row>
    <row r="781" spans="2:6" ht="12" customHeight="1" x14ac:dyDescent="0.15">
      <c r="B781" s="2"/>
      <c r="C781" s="3"/>
      <c r="D781" s="3"/>
      <c r="E781" s="3"/>
      <c r="F781" s="4"/>
    </row>
    <row r="782" spans="2:6" ht="12" customHeight="1" x14ac:dyDescent="0.15">
      <c r="B782" s="2"/>
      <c r="C782" s="3"/>
      <c r="D782" s="3"/>
      <c r="E782" s="3"/>
      <c r="F782" s="4"/>
    </row>
    <row r="783" spans="2:6" ht="12" customHeight="1" x14ac:dyDescent="0.15">
      <c r="B783" s="2"/>
      <c r="C783" s="3"/>
      <c r="D783" s="3"/>
      <c r="E783" s="3"/>
      <c r="F783" s="4"/>
    </row>
    <row r="784" spans="2:6" ht="12" customHeight="1" x14ac:dyDescent="0.15">
      <c r="B784" s="2"/>
      <c r="C784" s="3"/>
      <c r="D784" s="3"/>
      <c r="E784" s="3"/>
      <c r="F784" s="4"/>
    </row>
    <row r="785" spans="2:6" ht="12" customHeight="1" x14ac:dyDescent="0.15">
      <c r="B785" s="2"/>
      <c r="C785" s="3"/>
      <c r="D785" s="3"/>
      <c r="E785" s="3"/>
      <c r="F785" s="4"/>
    </row>
    <row r="786" spans="2:6" ht="12" customHeight="1" x14ac:dyDescent="0.15">
      <c r="B786" s="2"/>
      <c r="C786" s="3"/>
      <c r="D786" s="3"/>
      <c r="E786" s="3"/>
      <c r="F786" s="4"/>
    </row>
    <row r="787" spans="2:6" ht="12" customHeight="1" x14ac:dyDescent="0.15">
      <c r="B787" s="2"/>
      <c r="C787" s="3"/>
      <c r="D787" s="3"/>
      <c r="E787" s="3"/>
      <c r="F787" s="4"/>
    </row>
    <row r="788" spans="2:6" ht="12" customHeight="1" x14ac:dyDescent="0.15">
      <c r="B788" s="2"/>
      <c r="C788" s="3"/>
      <c r="D788" s="3"/>
      <c r="E788" s="3"/>
      <c r="F788" s="4"/>
    </row>
    <row r="789" spans="2:6" ht="12" customHeight="1" x14ac:dyDescent="0.15">
      <c r="B789" s="2"/>
      <c r="C789" s="3"/>
      <c r="D789" s="3"/>
      <c r="E789" s="3"/>
      <c r="F789" s="4"/>
    </row>
    <row r="790" spans="2:6" ht="12" customHeight="1" x14ac:dyDescent="0.15">
      <c r="B790" s="2"/>
      <c r="C790" s="3"/>
      <c r="D790" s="3"/>
      <c r="E790" s="3"/>
      <c r="F790" s="4"/>
    </row>
    <row r="791" spans="2:6" ht="12" customHeight="1" x14ac:dyDescent="0.15">
      <c r="B791" s="2"/>
      <c r="C791" s="3"/>
      <c r="D791" s="3"/>
      <c r="E791" s="3"/>
      <c r="F791" s="4"/>
    </row>
    <row r="792" spans="2:6" ht="12" customHeight="1" x14ac:dyDescent="0.15">
      <c r="B792" s="2"/>
      <c r="C792" s="3"/>
      <c r="D792" s="3"/>
      <c r="E792" s="3"/>
      <c r="F792" s="4"/>
    </row>
    <row r="793" spans="2:6" ht="12" customHeight="1" x14ac:dyDescent="0.15">
      <c r="B793" s="2"/>
      <c r="C793" s="3"/>
      <c r="D793" s="3"/>
      <c r="E793" s="3"/>
      <c r="F793" s="4"/>
    </row>
    <row r="794" spans="2:6" ht="12" customHeight="1" x14ac:dyDescent="0.15">
      <c r="B794" s="2"/>
      <c r="C794" s="3"/>
      <c r="D794" s="3"/>
      <c r="E794" s="3"/>
      <c r="F794" s="4"/>
    </row>
    <row r="795" spans="2:6" ht="12" customHeight="1" x14ac:dyDescent="0.15">
      <c r="B795" s="2"/>
      <c r="C795" s="3"/>
      <c r="D795" s="3"/>
      <c r="E795" s="3"/>
      <c r="F795" s="4"/>
    </row>
    <row r="796" spans="2:6" ht="12" customHeight="1" x14ac:dyDescent="0.15">
      <c r="B796" s="2"/>
      <c r="C796" s="3"/>
      <c r="D796" s="3"/>
      <c r="E796" s="3"/>
      <c r="F796" s="4"/>
    </row>
    <row r="797" spans="2:6" ht="12" customHeight="1" x14ac:dyDescent="0.15">
      <c r="B797" s="2"/>
      <c r="C797" s="3"/>
      <c r="D797" s="3"/>
      <c r="E797" s="3"/>
      <c r="F797" s="4"/>
    </row>
    <row r="798" spans="2:6" ht="12" customHeight="1" x14ac:dyDescent="0.15">
      <c r="B798" s="2"/>
      <c r="C798" s="3"/>
      <c r="D798" s="3"/>
      <c r="E798" s="3"/>
      <c r="F798" s="4"/>
    </row>
    <row r="799" spans="2:6" ht="12" customHeight="1" x14ac:dyDescent="0.15">
      <c r="B799" s="2"/>
      <c r="C799" s="3"/>
      <c r="D799" s="3"/>
      <c r="E799" s="3"/>
      <c r="F799" s="4"/>
    </row>
    <row r="800" spans="2:6" ht="12" customHeight="1" x14ac:dyDescent="0.15">
      <c r="B800" s="2"/>
      <c r="C800" s="3"/>
      <c r="D800" s="3"/>
      <c r="E800" s="3"/>
      <c r="F800" s="4"/>
    </row>
    <row r="801" spans="2:6" ht="12" customHeight="1" x14ac:dyDescent="0.15">
      <c r="B801" s="2"/>
      <c r="C801" s="3"/>
      <c r="D801" s="3"/>
      <c r="E801" s="3"/>
      <c r="F801" s="4"/>
    </row>
    <row r="802" spans="2:6" ht="12" customHeight="1" x14ac:dyDescent="0.15">
      <c r="B802" s="2"/>
      <c r="C802" s="3"/>
      <c r="D802" s="3"/>
      <c r="E802" s="3"/>
      <c r="F802" s="4"/>
    </row>
    <row r="803" spans="2:6" ht="12" customHeight="1" x14ac:dyDescent="0.15">
      <c r="B803" s="2"/>
      <c r="C803" s="3"/>
      <c r="D803" s="3"/>
      <c r="E803" s="3"/>
      <c r="F803" s="4"/>
    </row>
    <row r="804" spans="2:6" ht="12" customHeight="1" x14ac:dyDescent="0.15">
      <c r="B804" s="2"/>
      <c r="C804" s="3"/>
      <c r="D804" s="3"/>
      <c r="E804" s="3"/>
      <c r="F804" s="4"/>
    </row>
    <row r="805" spans="2:6" ht="12" customHeight="1" x14ac:dyDescent="0.15">
      <c r="B805" s="2"/>
      <c r="C805" s="3"/>
      <c r="D805" s="3"/>
      <c r="E805" s="3"/>
      <c r="F805" s="4"/>
    </row>
    <row r="806" spans="2:6" ht="12" customHeight="1" x14ac:dyDescent="0.15">
      <c r="B806" s="2"/>
      <c r="C806" s="3"/>
      <c r="D806" s="3"/>
      <c r="E806" s="3"/>
      <c r="F806" s="4"/>
    </row>
    <row r="807" spans="2:6" ht="12" customHeight="1" x14ac:dyDescent="0.15">
      <c r="B807" s="2"/>
      <c r="C807" s="3"/>
      <c r="D807" s="3"/>
      <c r="E807" s="3"/>
      <c r="F807" s="4"/>
    </row>
    <row r="808" spans="2:6" ht="12" customHeight="1" x14ac:dyDescent="0.15">
      <c r="B808" s="2"/>
      <c r="C808" s="3"/>
      <c r="D808" s="3"/>
      <c r="E808" s="3"/>
      <c r="F808" s="4"/>
    </row>
    <row r="809" spans="2:6" ht="12" customHeight="1" x14ac:dyDescent="0.15">
      <c r="B809" s="2"/>
      <c r="C809" s="3"/>
      <c r="D809" s="3"/>
      <c r="E809" s="3"/>
      <c r="F809" s="4"/>
    </row>
    <row r="810" spans="2:6" ht="12" customHeight="1" x14ac:dyDescent="0.15">
      <c r="B810" s="2"/>
      <c r="C810" s="3"/>
      <c r="D810" s="3"/>
      <c r="E810" s="3"/>
      <c r="F810" s="4"/>
    </row>
    <row r="811" spans="2:6" ht="12" customHeight="1" x14ac:dyDescent="0.15">
      <c r="B811" s="2"/>
      <c r="C811" s="3"/>
      <c r="D811" s="3"/>
      <c r="E811" s="3"/>
      <c r="F811" s="4"/>
    </row>
    <row r="812" spans="2:6" ht="12" customHeight="1" x14ac:dyDescent="0.15">
      <c r="B812" s="2"/>
      <c r="C812" s="3"/>
      <c r="D812" s="3"/>
      <c r="E812" s="3"/>
      <c r="F812" s="4"/>
    </row>
    <row r="813" spans="2:6" ht="12" customHeight="1" x14ac:dyDescent="0.15">
      <c r="B813" s="2"/>
      <c r="C813" s="3"/>
      <c r="D813" s="3"/>
      <c r="E813" s="3"/>
      <c r="F813" s="4"/>
    </row>
    <row r="814" spans="2:6" ht="12" customHeight="1" x14ac:dyDescent="0.15">
      <c r="B814" s="2"/>
      <c r="C814" s="3"/>
      <c r="D814" s="3"/>
      <c r="E814" s="3"/>
      <c r="F814" s="4"/>
    </row>
    <row r="815" spans="2:6" ht="12" customHeight="1" x14ac:dyDescent="0.15">
      <c r="B815" s="2"/>
      <c r="C815" s="3"/>
      <c r="D815" s="3"/>
      <c r="E815" s="3"/>
      <c r="F815" s="4"/>
    </row>
    <row r="816" spans="2:6" ht="12" customHeight="1" x14ac:dyDescent="0.15">
      <c r="B816" s="2"/>
      <c r="C816" s="3"/>
      <c r="D816" s="3"/>
      <c r="E816" s="3"/>
      <c r="F816" s="4"/>
    </row>
    <row r="817" spans="2:6" ht="12" customHeight="1" x14ac:dyDescent="0.15">
      <c r="B817" s="2"/>
      <c r="C817" s="3"/>
      <c r="D817" s="3"/>
      <c r="E817" s="3"/>
      <c r="F817" s="4"/>
    </row>
    <row r="818" spans="2:6" ht="12" customHeight="1" x14ac:dyDescent="0.15">
      <c r="B818" s="2"/>
      <c r="C818" s="3"/>
      <c r="D818" s="3"/>
      <c r="E818" s="3"/>
      <c r="F818" s="4"/>
    </row>
    <row r="819" spans="2:6" ht="12" customHeight="1" x14ac:dyDescent="0.15">
      <c r="B819" s="2"/>
      <c r="C819" s="3"/>
      <c r="D819" s="3"/>
      <c r="E819" s="3"/>
      <c r="F819" s="4"/>
    </row>
    <row r="820" spans="2:6" ht="12" customHeight="1" x14ac:dyDescent="0.15">
      <c r="B820" s="2"/>
      <c r="C820" s="3"/>
      <c r="D820" s="3"/>
      <c r="E820" s="3"/>
      <c r="F820" s="4"/>
    </row>
    <row r="821" spans="2:6" ht="12" customHeight="1" x14ac:dyDescent="0.15">
      <c r="B821" s="2"/>
      <c r="C821" s="3"/>
      <c r="D821" s="3"/>
      <c r="E821" s="3"/>
      <c r="F821" s="4"/>
    </row>
    <row r="822" spans="2:6" ht="12" customHeight="1" x14ac:dyDescent="0.15">
      <c r="B822" s="2"/>
      <c r="C822" s="3"/>
      <c r="D822" s="3"/>
      <c r="E822" s="3"/>
      <c r="F822" s="4"/>
    </row>
    <row r="823" spans="2:6" ht="12" customHeight="1" x14ac:dyDescent="0.15">
      <c r="B823" s="2"/>
      <c r="C823" s="3"/>
      <c r="D823" s="3"/>
      <c r="E823" s="3"/>
      <c r="F823" s="4"/>
    </row>
    <row r="824" spans="2:6" ht="12" customHeight="1" x14ac:dyDescent="0.15">
      <c r="B824" s="2"/>
      <c r="C824" s="3"/>
      <c r="D824" s="3"/>
      <c r="E824" s="3"/>
      <c r="F824" s="4"/>
    </row>
    <row r="825" spans="2:6" ht="12" customHeight="1" x14ac:dyDescent="0.15">
      <c r="B825" s="2"/>
      <c r="C825" s="3"/>
      <c r="D825" s="3"/>
      <c r="E825" s="3"/>
      <c r="F825" s="4"/>
    </row>
    <row r="826" spans="2:6" ht="12" customHeight="1" x14ac:dyDescent="0.15">
      <c r="B826" s="2"/>
      <c r="C826" s="3"/>
      <c r="D826" s="3"/>
      <c r="E826" s="3"/>
      <c r="F826" s="4"/>
    </row>
    <row r="827" spans="2:6" ht="12" customHeight="1" x14ac:dyDescent="0.15">
      <c r="B827" s="2"/>
      <c r="C827" s="3"/>
      <c r="D827" s="3"/>
      <c r="E827" s="3"/>
      <c r="F827" s="4"/>
    </row>
    <row r="828" spans="2:6" ht="12" customHeight="1" x14ac:dyDescent="0.15">
      <c r="B828" s="2"/>
      <c r="C828" s="3"/>
      <c r="D828" s="3"/>
      <c r="E828" s="3"/>
      <c r="F828" s="4"/>
    </row>
    <row r="829" spans="2:6" ht="12" customHeight="1" x14ac:dyDescent="0.15">
      <c r="B829" s="2"/>
      <c r="C829" s="3"/>
      <c r="D829" s="3"/>
      <c r="E829" s="3"/>
      <c r="F829" s="4"/>
    </row>
    <row r="830" spans="2:6" ht="12" customHeight="1" x14ac:dyDescent="0.15">
      <c r="B830" s="2"/>
      <c r="C830" s="3"/>
      <c r="D830" s="3"/>
      <c r="E830" s="3"/>
      <c r="F830" s="4"/>
    </row>
    <row r="831" spans="2:6" ht="12" customHeight="1" x14ac:dyDescent="0.15">
      <c r="B831" s="2"/>
      <c r="C831" s="3"/>
      <c r="D831" s="3"/>
      <c r="E831" s="3"/>
      <c r="F831" s="4"/>
    </row>
    <row r="832" spans="2:6" ht="12" customHeight="1" x14ac:dyDescent="0.15">
      <c r="B832" s="2"/>
      <c r="C832" s="3"/>
      <c r="D832" s="3"/>
      <c r="E832" s="3"/>
      <c r="F832" s="4"/>
    </row>
    <row r="833" spans="2:6" ht="12" customHeight="1" x14ac:dyDescent="0.15">
      <c r="B833" s="2"/>
      <c r="C833" s="3"/>
      <c r="D833" s="3"/>
      <c r="E833" s="3"/>
      <c r="F833" s="4"/>
    </row>
    <row r="834" spans="2:6" ht="12" customHeight="1" x14ac:dyDescent="0.15">
      <c r="B834" s="2"/>
      <c r="C834" s="3"/>
      <c r="D834" s="3"/>
      <c r="E834" s="3"/>
      <c r="F834" s="4"/>
    </row>
    <row r="835" spans="2:6" ht="12" customHeight="1" x14ac:dyDescent="0.15">
      <c r="B835" s="2"/>
      <c r="C835" s="3"/>
      <c r="D835" s="3"/>
      <c r="E835" s="3"/>
      <c r="F835" s="4"/>
    </row>
    <row r="836" spans="2:6" ht="12" customHeight="1" x14ac:dyDescent="0.15">
      <c r="B836" s="2"/>
      <c r="C836" s="3"/>
      <c r="D836" s="3"/>
      <c r="E836" s="3"/>
      <c r="F836" s="4"/>
    </row>
    <row r="837" spans="2:6" ht="12" customHeight="1" x14ac:dyDescent="0.15">
      <c r="B837" s="2"/>
      <c r="C837" s="3"/>
      <c r="D837" s="3"/>
      <c r="E837" s="3"/>
      <c r="F837" s="4"/>
    </row>
    <row r="838" spans="2:6" ht="12" customHeight="1" x14ac:dyDescent="0.15">
      <c r="B838" s="2"/>
      <c r="C838" s="3"/>
      <c r="D838" s="3"/>
      <c r="E838" s="3"/>
      <c r="F838" s="4"/>
    </row>
    <row r="839" spans="2:6" ht="12" customHeight="1" x14ac:dyDescent="0.15">
      <c r="B839" s="2"/>
      <c r="C839" s="3"/>
      <c r="D839" s="3"/>
      <c r="E839" s="3"/>
      <c r="F839" s="4"/>
    </row>
    <row r="840" spans="2:6" ht="12" customHeight="1" x14ac:dyDescent="0.15">
      <c r="B840" s="2"/>
      <c r="C840" s="3"/>
      <c r="D840" s="3"/>
      <c r="E840" s="3"/>
      <c r="F840" s="4"/>
    </row>
    <row r="841" spans="2:6" ht="12" customHeight="1" x14ac:dyDescent="0.15">
      <c r="B841" s="2"/>
      <c r="C841" s="3"/>
      <c r="D841" s="3"/>
      <c r="E841" s="3"/>
      <c r="F841" s="4"/>
    </row>
    <row r="842" spans="2:6" ht="12" customHeight="1" x14ac:dyDescent="0.15">
      <c r="B842" s="2"/>
      <c r="C842" s="3"/>
      <c r="D842" s="3"/>
      <c r="E842" s="3"/>
      <c r="F842" s="4"/>
    </row>
    <row r="843" spans="2:6" ht="12" customHeight="1" x14ac:dyDescent="0.15">
      <c r="B843" s="2"/>
      <c r="C843" s="3"/>
      <c r="D843" s="3"/>
      <c r="E843" s="3"/>
      <c r="F843" s="4"/>
    </row>
    <row r="844" spans="2:6" ht="12" customHeight="1" x14ac:dyDescent="0.15">
      <c r="B844" s="2"/>
      <c r="C844" s="3"/>
      <c r="D844" s="3"/>
      <c r="E844" s="3"/>
      <c r="F844" s="4"/>
    </row>
    <row r="845" spans="2:6" ht="12" customHeight="1" x14ac:dyDescent="0.15">
      <c r="B845" s="2"/>
      <c r="C845" s="3"/>
      <c r="D845" s="3"/>
      <c r="E845" s="3"/>
      <c r="F845" s="4"/>
    </row>
    <row r="846" spans="2:6" ht="12" customHeight="1" x14ac:dyDescent="0.15">
      <c r="B846" s="2"/>
      <c r="C846" s="3"/>
      <c r="D846" s="3"/>
      <c r="E846" s="3"/>
      <c r="F846" s="4"/>
    </row>
    <row r="847" spans="2:6" ht="12" customHeight="1" x14ac:dyDescent="0.15">
      <c r="B847" s="2"/>
      <c r="C847" s="3"/>
      <c r="D847" s="3"/>
      <c r="E847" s="3"/>
      <c r="F847" s="4"/>
    </row>
    <row r="848" spans="2:6" ht="12" customHeight="1" x14ac:dyDescent="0.15">
      <c r="B848" s="2"/>
      <c r="C848" s="3"/>
      <c r="D848" s="3"/>
      <c r="E848" s="3"/>
      <c r="F848" s="4"/>
    </row>
    <row r="849" spans="2:6" ht="12" customHeight="1" x14ac:dyDescent="0.15">
      <c r="B849" s="2"/>
      <c r="C849" s="3"/>
      <c r="D849" s="3"/>
      <c r="E849" s="3"/>
      <c r="F849" s="4"/>
    </row>
    <row r="850" spans="2:6" ht="12" customHeight="1" x14ac:dyDescent="0.15">
      <c r="B850" s="2"/>
      <c r="C850" s="3"/>
      <c r="D850" s="3"/>
      <c r="E850" s="3"/>
      <c r="F850" s="4"/>
    </row>
    <row r="851" spans="2:6" ht="12" customHeight="1" x14ac:dyDescent="0.15">
      <c r="B851" s="2"/>
      <c r="C851" s="3"/>
      <c r="D851" s="3"/>
      <c r="E851" s="3"/>
      <c r="F851" s="4"/>
    </row>
    <row r="852" spans="2:6" ht="12" customHeight="1" x14ac:dyDescent="0.15">
      <c r="B852" s="2"/>
      <c r="C852" s="3"/>
      <c r="D852" s="3"/>
      <c r="E852" s="3"/>
      <c r="F852" s="4"/>
    </row>
    <row r="853" spans="2:6" ht="12" customHeight="1" x14ac:dyDescent="0.15">
      <c r="B853" s="2"/>
      <c r="C853" s="3"/>
      <c r="D853" s="3"/>
      <c r="E853" s="3"/>
      <c r="F853" s="4"/>
    </row>
    <row r="854" spans="2:6" ht="12" customHeight="1" x14ac:dyDescent="0.15">
      <c r="B854" s="2"/>
      <c r="C854" s="3"/>
      <c r="D854" s="3"/>
      <c r="E854" s="3"/>
      <c r="F854" s="4"/>
    </row>
    <row r="855" spans="2:6" ht="12" customHeight="1" x14ac:dyDescent="0.15">
      <c r="B855" s="2"/>
      <c r="C855" s="3"/>
      <c r="D855" s="3"/>
      <c r="E855" s="3"/>
      <c r="F855" s="4"/>
    </row>
    <row r="856" spans="2:6" ht="12" customHeight="1" x14ac:dyDescent="0.15">
      <c r="B856" s="2"/>
      <c r="C856" s="3"/>
      <c r="D856" s="3"/>
      <c r="E856" s="3"/>
      <c r="F856" s="4"/>
    </row>
    <row r="857" spans="2:6" ht="12" customHeight="1" x14ac:dyDescent="0.15">
      <c r="B857" s="2"/>
      <c r="C857" s="3"/>
      <c r="D857" s="3"/>
      <c r="E857" s="3"/>
      <c r="F857" s="4"/>
    </row>
    <row r="858" spans="2:6" ht="12" customHeight="1" x14ac:dyDescent="0.15">
      <c r="B858" s="2"/>
      <c r="C858" s="3"/>
      <c r="D858" s="3"/>
      <c r="E858" s="3"/>
      <c r="F858" s="4"/>
    </row>
    <row r="859" spans="2:6" ht="12" customHeight="1" x14ac:dyDescent="0.15">
      <c r="B859" s="2"/>
      <c r="C859" s="3"/>
      <c r="D859" s="3"/>
      <c r="E859" s="3"/>
      <c r="F859" s="4"/>
    </row>
    <row r="860" spans="2:6" ht="12" customHeight="1" x14ac:dyDescent="0.15">
      <c r="B860" s="2"/>
      <c r="C860" s="3"/>
      <c r="D860" s="3"/>
      <c r="E860" s="3"/>
      <c r="F860" s="4"/>
    </row>
    <row r="861" spans="2:6" ht="12" customHeight="1" x14ac:dyDescent="0.15">
      <c r="B861" s="2"/>
      <c r="C861" s="3"/>
      <c r="D861" s="3"/>
      <c r="E861" s="3"/>
      <c r="F861" s="4"/>
    </row>
    <row r="862" spans="2:6" ht="12" customHeight="1" x14ac:dyDescent="0.15">
      <c r="B862" s="2"/>
      <c r="C862" s="3"/>
      <c r="D862" s="3"/>
      <c r="E862" s="3"/>
      <c r="F862" s="4"/>
    </row>
    <row r="863" spans="2:6" ht="12" customHeight="1" x14ac:dyDescent="0.15">
      <c r="B863" s="2"/>
      <c r="C863" s="3"/>
      <c r="D863" s="3"/>
      <c r="E863" s="3"/>
      <c r="F863" s="4"/>
    </row>
    <row r="864" spans="2:6" ht="12" customHeight="1" x14ac:dyDescent="0.15">
      <c r="B864" s="2"/>
      <c r="C864" s="3"/>
      <c r="D864" s="3"/>
      <c r="E864" s="3"/>
      <c r="F864" s="4"/>
    </row>
    <row r="865" spans="2:6" ht="12" customHeight="1" x14ac:dyDescent="0.15">
      <c r="B865" s="2"/>
      <c r="C865" s="3"/>
      <c r="D865" s="3"/>
      <c r="E865" s="3"/>
      <c r="F865" s="4"/>
    </row>
    <row r="866" spans="2:6" ht="12" customHeight="1" x14ac:dyDescent="0.15">
      <c r="B866" s="2"/>
      <c r="C866" s="3"/>
      <c r="D866" s="3"/>
      <c r="E866" s="3"/>
      <c r="F866" s="4"/>
    </row>
    <row r="867" spans="2:6" ht="12" customHeight="1" x14ac:dyDescent="0.15">
      <c r="B867" s="2"/>
      <c r="C867" s="3"/>
      <c r="D867" s="3"/>
      <c r="E867" s="3"/>
      <c r="F867" s="4"/>
    </row>
    <row r="868" spans="2:6" ht="12" customHeight="1" x14ac:dyDescent="0.15">
      <c r="B868" s="2"/>
      <c r="C868" s="3"/>
      <c r="D868" s="3"/>
      <c r="E868" s="3"/>
      <c r="F868" s="4"/>
    </row>
    <row r="869" spans="2:6" ht="12" customHeight="1" x14ac:dyDescent="0.15">
      <c r="B869" s="2"/>
      <c r="C869" s="3"/>
      <c r="D869" s="3"/>
      <c r="E869" s="3"/>
      <c r="F869" s="4"/>
    </row>
    <row r="870" spans="2:6" ht="12" customHeight="1" x14ac:dyDescent="0.15">
      <c r="B870" s="2"/>
      <c r="C870" s="3"/>
      <c r="D870" s="3"/>
      <c r="E870" s="3"/>
      <c r="F870" s="4"/>
    </row>
    <row r="871" spans="2:6" ht="12" customHeight="1" x14ac:dyDescent="0.15">
      <c r="B871" s="2"/>
      <c r="C871" s="3"/>
      <c r="D871" s="3"/>
      <c r="E871" s="3"/>
      <c r="F871" s="4"/>
    </row>
    <row r="872" spans="2:6" ht="12" customHeight="1" x14ac:dyDescent="0.15">
      <c r="B872" s="2"/>
      <c r="C872" s="3"/>
      <c r="D872" s="3"/>
      <c r="E872" s="3"/>
      <c r="F872" s="4"/>
    </row>
    <row r="873" spans="2:6" ht="12" customHeight="1" x14ac:dyDescent="0.15">
      <c r="B873" s="2"/>
      <c r="C873" s="3"/>
      <c r="D873" s="3"/>
      <c r="E873" s="3"/>
      <c r="F873" s="4"/>
    </row>
    <row r="874" spans="2:6" ht="12" customHeight="1" x14ac:dyDescent="0.15">
      <c r="B874" s="2"/>
      <c r="C874" s="3"/>
      <c r="D874" s="3"/>
      <c r="E874" s="3"/>
      <c r="F874" s="4"/>
    </row>
    <row r="875" spans="2:6" ht="12" customHeight="1" x14ac:dyDescent="0.15">
      <c r="B875" s="2"/>
      <c r="C875" s="3"/>
      <c r="D875" s="3"/>
      <c r="E875" s="3"/>
      <c r="F875" s="4"/>
    </row>
    <row r="876" spans="2:6" ht="12" customHeight="1" x14ac:dyDescent="0.15">
      <c r="B876" s="2"/>
      <c r="C876" s="3"/>
      <c r="D876" s="3"/>
      <c r="E876" s="3"/>
      <c r="F876" s="4"/>
    </row>
    <row r="877" spans="2:6" ht="12" customHeight="1" x14ac:dyDescent="0.15">
      <c r="B877" s="2"/>
      <c r="C877" s="3"/>
      <c r="D877" s="3"/>
      <c r="E877" s="3"/>
      <c r="F877" s="4"/>
    </row>
    <row r="878" spans="2:6" ht="12" customHeight="1" x14ac:dyDescent="0.15">
      <c r="B878" s="2"/>
      <c r="C878" s="3"/>
      <c r="D878" s="3"/>
      <c r="E878" s="3"/>
      <c r="F878" s="4"/>
    </row>
    <row r="879" spans="2:6" ht="12" customHeight="1" x14ac:dyDescent="0.15">
      <c r="B879" s="2"/>
      <c r="C879" s="3"/>
      <c r="D879" s="3"/>
      <c r="E879" s="3"/>
      <c r="F879" s="4"/>
    </row>
    <row r="880" spans="2:6" ht="12" customHeight="1" x14ac:dyDescent="0.15">
      <c r="B880" s="2"/>
      <c r="C880" s="3"/>
      <c r="D880" s="3"/>
      <c r="E880" s="3"/>
      <c r="F880" s="4"/>
    </row>
    <row r="881" spans="2:6" ht="12" customHeight="1" x14ac:dyDescent="0.15">
      <c r="B881" s="2"/>
      <c r="C881" s="3"/>
      <c r="D881" s="3"/>
      <c r="E881" s="3"/>
      <c r="F881" s="4"/>
    </row>
    <row r="882" spans="2:6" ht="12" customHeight="1" x14ac:dyDescent="0.15">
      <c r="B882" s="2"/>
      <c r="C882" s="3"/>
      <c r="D882" s="3"/>
      <c r="E882" s="3"/>
      <c r="F882" s="4"/>
    </row>
    <row r="883" spans="2:6" ht="12" customHeight="1" x14ac:dyDescent="0.15">
      <c r="B883" s="2"/>
      <c r="C883" s="3"/>
      <c r="D883" s="3"/>
      <c r="E883" s="3"/>
      <c r="F883" s="4"/>
    </row>
    <row r="884" spans="2:6" ht="12" customHeight="1" x14ac:dyDescent="0.15">
      <c r="B884" s="2"/>
      <c r="C884" s="3"/>
      <c r="D884" s="3"/>
      <c r="E884" s="3"/>
      <c r="F884" s="4"/>
    </row>
    <row r="885" spans="2:6" ht="12" customHeight="1" x14ac:dyDescent="0.15">
      <c r="B885" s="2"/>
      <c r="C885" s="3"/>
      <c r="D885" s="3"/>
      <c r="E885" s="3"/>
      <c r="F885" s="4"/>
    </row>
    <row r="886" spans="2:6" ht="12" customHeight="1" x14ac:dyDescent="0.15">
      <c r="B886" s="2"/>
      <c r="C886" s="3"/>
      <c r="D886" s="3"/>
      <c r="E886" s="3"/>
      <c r="F886" s="4"/>
    </row>
    <row r="887" spans="2:6" ht="12" customHeight="1" x14ac:dyDescent="0.15">
      <c r="B887" s="2"/>
      <c r="C887" s="3"/>
      <c r="D887" s="3"/>
      <c r="E887" s="3"/>
      <c r="F887" s="4"/>
    </row>
    <row r="888" spans="2:6" ht="12" customHeight="1" x14ac:dyDescent="0.15">
      <c r="B888" s="2"/>
      <c r="C888" s="3"/>
      <c r="D888" s="3"/>
      <c r="E888" s="3"/>
      <c r="F888" s="4"/>
    </row>
    <row r="889" spans="2:6" ht="12" customHeight="1" x14ac:dyDescent="0.15">
      <c r="B889" s="2"/>
      <c r="C889" s="3"/>
      <c r="D889" s="3"/>
      <c r="E889" s="3"/>
      <c r="F889" s="4"/>
    </row>
    <row r="890" spans="2:6" ht="12" customHeight="1" x14ac:dyDescent="0.15">
      <c r="B890" s="2"/>
      <c r="C890" s="3"/>
      <c r="D890" s="3"/>
      <c r="E890" s="3"/>
      <c r="F890" s="4"/>
    </row>
    <row r="891" spans="2:6" ht="12" customHeight="1" x14ac:dyDescent="0.15">
      <c r="B891" s="2"/>
      <c r="C891" s="3"/>
      <c r="D891" s="3"/>
      <c r="E891" s="3"/>
      <c r="F891" s="4"/>
    </row>
    <row r="892" spans="2:6" ht="12" customHeight="1" x14ac:dyDescent="0.15">
      <c r="B892" s="2"/>
      <c r="C892" s="3"/>
      <c r="D892" s="3"/>
      <c r="E892" s="3"/>
      <c r="F892" s="4"/>
    </row>
    <row r="893" spans="2:6" ht="12" customHeight="1" x14ac:dyDescent="0.15">
      <c r="B893" s="2"/>
      <c r="C893" s="3"/>
      <c r="D893" s="3"/>
      <c r="E893" s="3"/>
      <c r="F893" s="4"/>
    </row>
    <row r="894" spans="2:6" ht="12" customHeight="1" x14ac:dyDescent="0.15">
      <c r="B894" s="2"/>
      <c r="C894" s="3"/>
      <c r="D894" s="3"/>
      <c r="E894" s="3"/>
      <c r="F894" s="4"/>
    </row>
    <row r="895" spans="2:6" ht="12" customHeight="1" x14ac:dyDescent="0.15">
      <c r="B895" s="2"/>
      <c r="C895" s="3"/>
      <c r="D895" s="3"/>
      <c r="E895" s="3"/>
      <c r="F895" s="4"/>
    </row>
    <row r="896" spans="2:6" ht="12" customHeight="1" x14ac:dyDescent="0.15">
      <c r="B896" s="2"/>
      <c r="C896" s="3"/>
      <c r="D896" s="3"/>
      <c r="E896" s="3"/>
      <c r="F896" s="4"/>
    </row>
    <row r="897" spans="2:6" ht="12" customHeight="1" x14ac:dyDescent="0.15">
      <c r="B897" s="2"/>
      <c r="C897" s="3"/>
      <c r="D897" s="3"/>
      <c r="E897" s="3"/>
      <c r="F897" s="4"/>
    </row>
    <row r="898" spans="2:6" ht="12" customHeight="1" x14ac:dyDescent="0.15">
      <c r="B898" s="2"/>
      <c r="C898" s="3"/>
      <c r="D898" s="3"/>
      <c r="E898" s="3"/>
      <c r="F898" s="4"/>
    </row>
    <row r="899" spans="2:6" ht="12" customHeight="1" x14ac:dyDescent="0.15">
      <c r="B899" s="2"/>
      <c r="C899" s="3"/>
      <c r="D899" s="3"/>
      <c r="E899" s="3"/>
      <c r="F899" s="4"/>
    </row>
    <row r="900" spans="2:6" ht="12" customHeight="1" x14ac:dyDescent="0.15">
      <c r="B900" s="2"/>
      <c r="C900" s="3"/>
      <c r="D900" s="3"/>
      <c r="E900" s="3"/>
      <c r="F900" s="4"/>
    </row>
    <row r="901" spans="2:6" ht="12" customHeight="1" x14ac:dyDescent="0.15">
      <c r="B901" s="2"/>
      <c r="C901" s="3"/>
      <c r="D901" s="3"/>
      <c r="E901" s="3"/>
      <c r="F901" s="4"/>
    </row>
    <row r="902" spans="2:6" ht="12" customHeight="1" x14ac:dyDescent="0.15">
      <c r="B902" s="2"/>
      <c r="C902" s="3"/>
      <c r="D902" s="3"/>
      <c r="E902" s="3"/>
      <c r="F902" s="4"/>
    </row>
    <row r="903" spans="2:6" ht="12" customHeight="1" x14ac:dyDescent="0.15">
      <c r="B903" s="2"/>
      <c r="C903" s="3"/>
      <c r="D903" s="3"/>
      <c r="E903" s="3"/>
      <c r="F903" s="4"/>
    </row>
    <row r="904" spans="2:6" ht="12" customHeight="1" x14ac:dyDescent="0.15">
      <c r="B904" s="2"/>
      <c r="C904" s="3"/>
      <c r="D904" s="3"/>
      <c r="E904" s="3"/>
      <c r="F904" s="4"/>
    </row>
    <row r="905" spans="2:6" ht="12" customHeight="1" x14ac:dyDescent="0.15">
      <c r="B905" s="2"/>
      <c r="C905" s="3"/>
      <c r="D905" s="3"/>
      <c r="E905" s="3"/>
      <c r="F905" s="4"/>
    </row>
    <row r="906" spans="2:6" ht="12" customHeight="1" x14ac:dyDescent="0.15">
      <c r="B906" s="2"/>
      <c r="C906" s="3"/>
      <c r="D906" s="3"/>
      <c r="E906" s="3"/>
      <c r="F906" s="4"/>
    </row>
    <row r="907" spans="2:6" ht="12" customHeight="1" x14ac:dyDescent="0.15">
      <c r="B907" s="2"/>
      <c r="C907" s="3"/>
      <c r="D907" s="3"/>
      <c r="E907" s="3"/>
      <c r="F907" s="4"/>
    </row>
    <row r="908" spans="2:6" ht="12" customHeight="1" x14ac:dyDescent="0.15">
      <c r="B908" s="2"/>
      <c r="C908" s="3"/>
      <c r="D908" s="3"/>
      <c r="E908" s="3"/>
      <c r="F908" s="4"/>
    </row>
    <row r="909" spans="2:6" ht="12" customHeight="1" x14ac:dyDescent="0.15">
      <c r="B909" s="2"/>
      <c r="C909" s="3"/>
      <c r="D909" s="3"/>
      <c r="E909" s="3"/>
      <c r="F909" s="4"/>
    </row>
    <row r="910" spans="2:6" ht="12" customHeight="1" x14ac:dyDescent="0.15">
      <c r="B910" s="2"/>
      <c r="C910" s="3"/>
      <c r="D910" s="3"/>
      <c r="E910" s="3"/>
      <c r="F910" s="4"/>
    </row>
    <row r="911" spans="2:6" ht="12" customHeight="1" x14ac:dyDescent="0.15">
      <c r="B911" s="2"/>
      <c r="C911" s="3"/>
      <c r="D911" s="3"/>
      <c r="E911" s="3"/>
      <c r="F911" s="4"/>
    </row>
    <row r="912" spans="2:6" ht="12" customHeight="1" x14ac:dyDescent="0.15">
      <c r="B912" s="2"/>
      <c r="C912" s="3"/>
      <c r="D912" s="3"/>
      <c r="E912" s="3"/>
      <c r="F912" s="4"/>
    </row>
    <row r="913" spans="2:6" ht="12" customHeight="1" x14ac:dyDescent="0.15">
      <c r="B913" s="2"/>
      <c r="C913" s="3"/>
      <c r="D913" s="3"/>
      <c r="E913" s="3"/>
      <c r="F913" s="4"/>
    </row>
    <row r="914" spans="2:6" ht="12" customHeight="1" x14ac:dyDescent="0.15">
      <c r="B914" s="2"/>
      <c r="C914" s="3"/>
      <c r="D914" s="3"/>
      <c r="E914" s="3"/>
      <c r="F914" s="4"/>
    </row>
    <row r="915" spans="2:6" ht="12" customHeight="1" x14ac:dyDescent="0.15">
      <c r="B915" s="2"/>
      <c r="C915" s="3"/>
      <c r="D915" s="3"/>
      <c r="E915" s="3"/>
      <c r="F915" s="4"/>
    </row>
    <row r="916" spans="2:6" ht="12" customHeight="1" x14ac:dyDescent="0.15">
      <c r="B916" s="2"/>
      <c r="C916" s="3"/>
      <c r="D916" s="3"/>
      <c r="E916" s="3"/>
      <c r="F916" s="4"/>
    </row>
    <row r="917" spans="2:6" ht="12" customHeight="1" x14ac:dyDescent="0.15">
      <c r="B917" s="2"/>
      <c r="C917" s="3"/>
      <c r="D917" s="3"/>
      <c r="E917" s="3"/>
      <c r="F917" s="4"/>
    </row>
    <row r="918" spans="2:6" ht="12" customHeight="1" x14ac:dyDescent="0.15">
      <c r="B918" s="2"/>
      <c r="C918" s="3"/>
      <c r="D918" s="3"/>
      <c r="E918" s="3"/>
      <c r="F918" s="4"/>
    </row>
    <row r="919" spans="2:6" ht="12" customHeight="1" x14ac:dyDescent="0.15">
      <c r="B919" s="2"/>
      <c r="C919" s="3"/>
      <c r="D919" s="3"/>
      <c r="E919" s="3"/>
      <c r="F919" s="4"/>
    </row>
    <row r="920" spans="2:6" ht="12" customHeight="1" x14ac:dyDescent="0.15">
      <c r="B920" s="2"/>
      <c r="C920" s="3"/>
      <c r="D920" s="3"/>
      <c r="E920" s="3"/>
      <c r="F920" s="4"/>
    </row>
    <row r="921" spans="2:6" ht="12" customHeight="1" x14ac:dyDescent="0.15">
      <c r="B921" s="2"/>
      <c r="C921" s="3"/>
      <c r="D921" s="3"/>
      <c r="E921" s="3"/>
      <c r="F921" s="4"/>
    </row>
    <row r="922" spans="2:6" ht="12" customHeight="1" x14ac:dyDescent="0.15">
      <c r="B922" s="2"/>
      <c r="C922" s="3"/>
      <c r="D922" s="3"/>
      <c r="E922" s="3"/>
      <c r="F922" s="4"/>
    </row>
    <row r="923" spans="2:6" ht="12" customHeight="1" x14ac:dyDescent="0.15">
      <c r="B923" s="2"/>
      <c r="C923" s="3"/>
      <c r="D923" s="3"/>
      <c r="E923" s="3"/>
      <c r="F923" s="4"/>
    </row>
    <row r="924" spans="2:6" ht="12" customHeight="1" x14ac:dyDescent="0.15">
      <c r="B924" s="2"/>
      <c r="C924" s="3"/>
      <c r="D924" s="3"/>
      <c r="E924" s="3"/>
      <c r="F924" s="4"/>
    </row>
    <row r="925" spans="2:6" ht="12" customHeight="1" x14ac:dyDescent="0.15">
      <c r="B925" s="2"/>
      <c r="C925" s="3"/>
      <c r="D925" s="3"/>
      <c r="E925" s="3"/>
      <c r="F925" s="4"/>
    </row>
    <row r="926" spans="2:6" ht="12" customHeight="1" x14ac:dyDescent="0.15">
      <c r="B926" s="2"/>
      <c r="C926" s="3"/>
      <c r="D926" s="3"/>
      <c r="E926" s="3"/>
      <c r="F926" s="4"/>
    </row>
    <row r="927" spans="2:6" ht="12" customHeight="1" x14ac:dyDescent="0.15">
      <c r="B927" s="2"/>
      <c r="C927" s="3"/>
      <c r="D927" s="3"/>
      <c r="E927" s="3"/>
      <c r="F927" s="4"/>
    </row>
    <row r="928" spans="2:6" ht="12" customHeight="1" x14ac:dyDescent="0.15">
      <c r="B928" s="2"/>
      <c r="C928" s="3"/>
      <c r="D928" s="3"/>
      <c r="E928" s="3"/>
      <c r="F928" s="4"/>
    </row>
    <row r="929" spans="2:6" ht="12" customHeight="1" x14ac:dyDescent="0.15">
      <c r="B929" s="2"/>
      <c r="C929" s="3"/>
      <c r="D929" s="3"/>
      <c r="E929" s="3"/>
      <c r="F929" s="4"/>
    </row>
    <row r="930" spans="2:6" ht="12" customHeight="1" x14ac:dyDescent="0.15">
      <c r="B930" s="2"/>
      <c r="C930" s="3"/>
      <c r="D930" s="3"/>
      <c r="E930" s="3"/>
      <c r="F930" s="4"/>
    </row>
    <row r="931" spans="2:6" ht="12" customHeight="1" x14ac:dyDescent="0.15">
      <c r="B931" s="2"/>
      <c r="C931" s="3"/>
      <c r="D931" s="3"/>
      <c r="E931" s="3"/>
      <c r="F931" s="4"/>
    </row>
    <row r="932" spans="2:6" ht="12" customHeight="1" x14ac:dyDescent="0.15">
      <c r="B932" s="2"/>
      <c r="C932" s="3"/>
      <c r="D932" s="3"/>
      <c r="E932" s="3"/>
      <c r="F932" s="4"/>
    </row>
    <row r="933" spans="2:6" ht="12" customHeight="1" x14ac:dyDescent="0.15">
      <c r="B933" s="2"/>
      <c r="C933" s="3"/>
      <c r="D933" s="3"/>
      <c r="E933" s="3"/>
      <c r="F933" s="4"/>
    </row>
    <row r="934" spans="2:6" ht="12" customHeight="1" x14ac:dyDescent="0.15">
      <c r="B934" s="2"/>
      <c r="C934" s="3"/>
      <c r="D934" s="3"/>
      <c r="E934" s="3"/>
      <c r="F934" s="4"/>
    </row>
    <row r="935" spans="2:6" ht="12" customHeight="1" x14ac:dyDescent="0.15">
      <c r="B935" s="2"/>
      <c r="C935" s="3"/>
      <c r="D935" s="3"/>
      <c r="E935" s="3"/>
      <c r="F935" s="4"/>
    </row>
    <row r="936" spans="2:6" ht="12" customHeight="1" x14ac:dyDescent="0.15">
      <c r="B936" s="2"/>
      <c r="C936" s="3"/>
      <c r="D936" s="3"/>
      <c r="E936" s="3"/>
      <c r="F936" s="4"/>
    </row>
    <row r="937" spans="2:6" ht="12" customHeight="1" x14ac:dyDescent="0.15">
      <c r="B937" s="2"/>
      <c r="C937" s="3"/>
      <c r="D937" s="3"/>
      <c r="E937" s="3"/>
      <c r="F937" s="4"/>
    </row>
    <row r="938" spans="2:6" ht="12" customHeight="1" x14ac:dyDescent="0.15">
      <c r="B938" s="2"/>
      <c r="C938" s="3"/>
      <c r="D938" s="3"/>
      <c r="E938" s="3"/>
      <c r="F938" s="4"/>
    </row>
    <row r="939" spans="2:6" ht="12" customHeight="1" x14ac:dyDescent="0.15">
      <c r="B939" s="2"/>
      <c r="C939" s="3"/>
      <c r="D939" s="3"/>
      <c r="E939" s="3"/>
      <c r="F939" s="4"/>
    </row>
    <row r="940" spans="2:6" ht="12" customHeight="1" x14ac:dyDescent="0.15">
      <c r="B940" s="2"/>
      <c r="C940" s="3"/>
      <c r="D940" s="3"/>
      <c r="E940" s="3"/>
      <c r="F940" s="4"/>
    </row>
    <row r="941" spans="2:6" ht="12" customHeight="1" x14ac:dyDescent="0.15">
      <c r="B941" s="2"/>
      <c r="C941" s="3"/>
      <c r="D941" s="3"/>
      <c r="E941" s="3"/>
      <c r="F941" s="4"/>
    </row>
    <row r="942" spans="2:6" ht="12" customHeight="1" x14ac:dyDescent="0.15">
      <c r="B942" s="2"/>
      <c r="C942" s="3"/>
      <c r="D942" s="3"/>
      <c r="E942" s="3"/>
      <c r="F942" s="4"/>
    </row>
    <row r="943" spans="2:6" ht="12" customHeight="1" x14ac:dyDescent="0.15">
      <c r="B943" s="2"/>
      <c r="C943" s="3"/>
      <c r="D943" s="3"/>
      <c r="E943" s="3"/>
      <c r="F943" s="4"/>
    </row>
    <row r="944" spans="2:6" ht="12" customHeight="1" x14ac:dyDescent="0.15">
      <c r="B944" s="2"/>
      <c r="C944" s="3"/>
      <c r="D944" s="3"/>
      <c r="E944" s="3"/>
      <c r="F944" s="4"/>
    </row>
    <row r="945" spans="2:6" ht="12" customHeight="1" x14ac:dyDescent="0.15">
      <c r="B945" s="2"/>
      <c r="C945" s="3"/>
      <c r="D945" s="3"/>
      <c r="E945" s="3"/>
      <c r="F945" s="4"/>
    </row>
    <row r="946" spans="2:6" ht="12" customHeight="1" x14ac:dyDescent="0.15">
      <c r="B946" s="2"/>
      <c r="C946" s="3"/>
      <c r="D946" s="3"/>
      <c r="E946" s="3"/>
      <c r="F946" s="4"/>
    </row>
    <row r="947" spans="2:6" ht="12" customHeight="1" x14ac:dyDescent="0.15">
      <c r="B947" s="2"/>
      <c r="C947" s="3"/>
      <c r="D947" s="3"/>
      <c r="E947" s="3"/>
      <c r="F947" s="4"/>
    </row>
    <row r="948" spans="2:6" ht="12" customHeight="1" x14ac:dyDescent="0.15">
      <c r="B948" s="2"/>
      <c r="C948" s="3"/>
      <c r="D948" s="3"/>
      <c r="E948" s="3"/>
      <c r="F948" s="4"/>
    </row>
    <row r="949" spans="2:6" ht="12" customHeight="1" x14ac:dyDescent="0.15">
      <c r="B949" s="2"/>
      <c r="C949" s="3"/>
      <c r="D949" s="3"/>
      <c r="E949" s="3"/>
      <c r="F949" s="4"/>
    </row>
    <row r="950" spans="2:6" ht="12" customHeight="1" x14ac:dyDescent="0.15">
      <c r="B950" s="2"/>
      <c r="C950" s="3"/>
      <c r="D950" s="3"/>
      <c r="E950" s="3"/>
      <c r="F950" s="4"/>
    </row>
    <row r="951" spans="2:6" ht="12" customHeight="1" x14ac:dyDescent="0.15">
      <c r="B951" s="2"/>
      <c r="C951" s="3"/>
      <c r="D951" s="3"/>
      <c r="E951" s="3"/>
      <c r="F951" s="4"/>
    </row>
    <row r="952" spans="2:6" ht="12" customHeight="1" x14ac:dyDescent="0.15">
      <c r="B952" s="2"/>
      <c r="C952" s="3"/>
      <c r="D952" s="3"/>
      <c r="E952" s="3"/>
      <c r="F952" s="4"/>
    </row>
    <row r="953" spans="2:6" ht="12" customHeight="1" x14ac:dyDescent="0.15">
      <c r="B953" s="2"/>
      <c r="C953" s="3"/>
      <c r="D953" s="3"/>
      <c r="E953" s="3"/>
      <c r="F953" s="4"/>
    </row>
    <row r="954" spans="2:6" ht="12" customHeight="1" x14ac:dyDescent="0.15">
      <c r="B954" s="2"/>
      <c r="C954" s="3"/>
      <c r="D954" s="3"/>
      <c r="E954" s="3"/>
      <c r="F954" s="4"/>
    </row>
    <row r="955" spans="2:6" ht="12" customHeight="1" x14ac:dyDescent="0.15">
      <c r="B955" s="2"/>
      <c r="C955" s="3"/>
      <c r="D955" s="3"/>
      <c r="E955" s="3"/>
      <c r="F955" s="4"/>
    </row>
    <row r="956" spans="2:6" ht="12" customHeight="1" x14ac:dyDescent="0.15">
      <c r="B956" s="2"/>
      <c r="C956" s="3"/>
      <c r="D956" s="3"/>
      <c r="E956" s="3"/>
      <c r="F956" s="4"/>
    </row>
    <row r="957" spans="2:6" ht="12" customHeight="1" x14ac:dyDescent="0.15">
      <c r="B957" s="2"/>
      <c r="C957" s="3"/>
      <c r="D957" s="3"/>
      <c r="E957" s="3"/>
      <c r="F957" s="4"/>
    </row>
    <row r="958" spans="2:6" ht="12" customHeight="1" x14ac:dyDescent="0.15">
      <c r="B958" s="2"/>
      <c r="C958" s="3"/>
      <c r="D958" s="3"/>
      <c r="E958" s="3"/>
      <c r="F958" s="4"/>
    </row>
    <row r="959" spans="2:6" ht="12" customHeight="1" x14ac:dyDescent="0.15">
      <c r="B959" s="2"/>
      <c r="C959" s="3"/>
      <c r="D959" s="3"/>
      <c r="E959" s="3"/>
      <c r="F959" s="4"/>
    </row>
    <row r="960" spans="2:6" ht="12" customHeight="1" x14ac:dyDescent="0.15">
      <c r="B960" s="2"/>
      <c r="C960" s="3"/>
      <c r="D960" s="3"/>
      <c r="E960" s="3"/>
      <c r="F960" s="4"/>
    </row>
    <row r="961" spans="2:6" ht="12" customHeight="1" x14ac:dyDescent="0.15">
      <c r="B961" s="2"/>
      <c r="C961" s="3"/>
      <c r="D961" s="3"/>
      <c r="E961" s="3"/>
      <c r="F961" s="4"/>
    </row>
    <row r="962" spans="2:6" ht="12" customHeight="1" x14ac:dyDescent="0.15">
      <c r="B962" s="2"/>
      <c r="C962" s="3"/>
      <c r="D962" s="3"/>
      <c r="E962" s="3"/>
      <c r="F962" s="4"/>
    </row>
    <row r="963" spans="2:6" ht="12" customHeight="1" x14ac:dyDescent="0.15">
      <c r="B963" s="2"/>
      <c r="C963" s="3"/>
      <c r="D963" s="3"/>
      <c r="E963" s="3"/>
      <c r="F963" s="4"/>
    </row>
    <row r="964" spans="2:6" ht="12" customHeight="1" x14ac:dyDescent="0.15">
      <c r="B964" s="2"/>
      <c r="C964" s="3"/>
      <c r="D964" s="3"/>
      <c r="E964" s="3"/>
      <c r="F964" s="4"/>
    </row>
    <row r="965" spans="2:6" ht="12" customHeight="1" x14ac:dyDescent="0.15">
      <c r="B965" s="2"/>
      <c r="C965" s="3"/>
      <c r="D965" s="3"/>
      <c r="E965" s="3"/>
      <c r="F965" s="4"/>
    </row>
    <row r="966" spans="2:6" ht="12" customHeight="1" x14ac:dyDescent="0.15">
      <c r="B966" s="2"/>
      <c r="C966" s="3"/>
      <c r="D966" s="3"/>
      <c r="E966" s="3"/>
      <c r="F966" s="4"/>
    </row>
    <row r="967" spans="2:6" ht="12" customHeight="1" x14ac:dyDescent="0.15">
      <c r="B967" s="2"/>
      <c r="C967" s="3"/>
      <c r="D967" s="3"/>
      <c r="E967" s="3"/>
      <c r="F967" s="4"/>
    </row>
    <row r="968" spans="2:6" ht="12" customHeight="1" x14ac:dyDescent="0.15">
      <c r="B968" s="2"/>
      <c r="C968" s="3"/>
      <c r="D968" s="3"/>
      <c r="E968" s="3"/>
      <c r="F968" s="4"/>
    </row>
    <row r="969" spans="2:6" ht="12" customHeight="1" x14ac:dyDescent="0.15">
      <c r="B969" s="2"/>
      <c r="C969" s="3"/>
      <c r="D969" s="3"/>
      <c r="E969" s="3"/>
      <c r="F969" s="4"/>
    </row>
    <row r="970" spans="2:6" ht="12" customHeight="1" x14ac:dyDescent="0.15">
      <c r="B970" s="2"/>
      <c r="C970" s="3"/>
      <c r="D970" s="3"/>
      <c r="E970" s="3"/>
      <c r="F970" s="4"/>
    </row>
    <row r="971" spans="2:6" ht="12" customHeight="1" x14ac:dyDescent="0.15">
      <c r="B971" s="2"/>
      <c r="C971" s="3"/>
      <c r="D971" s="3"/>
      <c r="E971" s="3"/>
      <c r="F971" s="4"/>
    </row>
    <row r="972" spans="2:6" ht="12" customHeight="1" x14ac:dyDescent="0.15">
      <c r="B972" s="2"/>
      <c r="C972" s="3"/>
      <c r="D972" s="3"/>
      <c r="E972" s="3"/>
      <c r="F972" s="4"/>
    </row>
    <row r="973" spans="2:6" ht="12" customHeight="1" x14ac:dyDescent="0.15">
      <c r="B973" s="2"/>
      <c r="C973" s="3"/>
      <c r="D973" s="3"/>
      <c r="E973" s="3"/>
      <c r="F973" s="4"/>
    </row>
    <row r="974" spans="2:6" ht="12" customHeight="1" x14ac:dyDescent="0.15">
      <c r="B974" s="2"/>
      <c r="C974" s="3"/>
      <c r="D974" s="3"/>
      <c r="E974" s="3"/>
      <c r="F974" s="4"/>
    </row>
    <row r="975" spans="2:6" ht="12" customHeight="1" x14ac:dyDescent="0.15">
      <c r="B975" s="2"/>
      <c r="C975" s="3"/>
      <c r="D975" s="3"/>
      <c r="E975" s="3"/>
      <c r="F975" s="4"/>
    </row>
    <row r="976" spans="2:6" ht="12" customHeight="1" x14ac:dyDescent="0.15">
      <c r="B976" s="2"/>
      <c r="C976" s="3"/>
      <c r="D976" s="3"/>
      <c r="E976" s="3"/>
      <c r="F976" s="4"/>
    </row>
    <row r="977" spans="2:6" ht="12" customHeight="1" x14ac:dyDescent="0.15">
      <c r="B977" s="2"/>
      <c r="C977" s="3"/>
      <c r="D977" s="3"/>
      <c r="E977" s="3"/>
      <c r="F977" s="4"/>
    </row>
    <row r="978" spans="2:6" ht="12" customHeight="1" x14ac:dyDescent="0.15">
      <c r="B978" s="2"/>
      <c r="C978" s="3"/>
      <c r="D978" s="3"/>
      <c r="E978" s="3"/>
      <c r="F978" s="4"/>
    </row>
    <row r="979" spans="2:6" ht="12" customHeight="1" x14ac:dyDescent="0.15">
      <c r="B979" s="2"/>
      <c r="C979" s="3"/>
      <c r="D979" s="3"/>
      <c r="E979" s="3"/>
      <c r="F979" s="4"/>
    </row>
    <row r="980" spans="2:6" ht="12" customHeight="1" x14ac:dyDescent="0.15">
      <c r="B980" s="2"/>
      <c r="C980" s="3"/>
      <c r="D980" s="3"/>
      <c r="E980" s="3"/>
      <c r="F980" s="4"/>
    </row>
    <row r="981" spans="2:6" ht="12" customHeight="1" x14ac:dyDescent="0.15">
      <c r="B981" s="2"/>
      <c r="C981" s="3"/>
      <c r="D981" s="3"/>
      <c r="E981" s="3"/>
      <c r="F981" s="4"/>
    </row>
    <row r="982" spans="2:6" ht="12" customHeight="1" x14ac:dyDescent="0.15">
      <c r="B982" s="2"/>
      <c r="C982" s="3"/>
      <c r="D982" s="3"/>
      <c r="E982" s="3"/>
      <c r="F982" s="4"/>
    </row>
    <row r="983" spans="2:6" ht="12" customHeight="1" x14ac:dyDescent="0.15">
      <c r="B983" s="2"/>
      <c r="C983" s="3"/>
      <c r="D983" s="3"/>
      <c r="E983" s="3"/>
      <c r="F983" s="4"/>
    </row>
    <row r="984" spans="2:6" ht="12" customHeight="1" x14ac:dyDescent="0.15">
      <c r="B984" s="2"/>
      <c r="C984" s="3"/>
      <c r="D984" s="3"/>
      <c r="E984" s="3"/>
      <c r="F984" s="4"/>
    </row>
    <row r="985" spans="2:6" ht="12" customHeight="1" x14ac:dyDescent="0.15">
      <c r="B985" s="2"/>
      <c r="C985" s="3"/>
      <c r="D985" s="3"/>
      <c r="E985" s="3"/>
      <c r="F985" s="4"/>
    </row>
    <row r="986" spans="2:6" ht="12" customHeight="1" x14ac:dyDescent="0.15">
      <c r="B986" s="2"/>
      <c r="C986" s="3"/>
      <c r="D986" s="3"/>
      <c r="E986" s="3"/>
      <c r="F986" s="4"/>
    </row>
    <row r="987" spans="2:6" ht="12" customHeight="1" x14ac:dyDescent="0.15">
      <c r="B987" s="2"/>
      <c r="C987" s="3"/>
      <c r="D987" s="3"/>
      <c r="E987" s="3"/>
      <c r="F987" s="4"/>
    </row>
    <row r="988" spans="2:6" ht="12" customHeight="1" x14ac:dyDescent="0.15">
      <c r="B988" s="2"/>
      <c r="C988" s="3"/>
      <c r="D988" s="3"/>
      <c r="E988" s="3"/>
      <c r="F988" s="4"/>
    </row>
    <row r="989" spans="2:6" ht="12" customHeight="1" x14ac:dyDescent="0.15">
      <c r="B989" s="2"/>
      <c r="C989" s="3"/>
      <c r="D989" s="3"/>
      <c r="E989" s="3"/>
      <c r="F989" s="4"/>
    </row>
    <row r="990" spans="2:6" ht="12" customHeight="1" x14ac:dyDescent="0.15">
      <c r="B990" s="2"/>
      <c r="C990" s="3"/>
      <c r="D990" s="3"/>
      <c r="E990" s="3"/>
      <c r="F990" s="4"/>
    </row>
    <row r="991" spans="2:6" ht="12" customHeight="1" x14ac:dyDescent="0.15">
      <c r="B991" s="2"/>
      <c r="C991" s="3"/>
      <c r="D991" s="3"/>
      <c r="E991" s="3"/>
      <c r="F991" s="4"/>
    </row>
    <row r="992" spans="2:6" ht="12" customHeight="1" x14ac:dyDescent="0.15">
      <c r="B992" s="2"/>
      <c r="C992" s="3"/>
      <c r="D992" s="3"/>
      <c r="E992" s="3"/>
      <c r="F992" s="4"/>
    </row>
    <row r="993" spans="2:6" ht="12" customHeight="1" x14ac:dyDescent="0.15">
      <c r="B993" s="2"/>
      <c r="C993" s="3"/>
      <c r="D993" s="3"/>
      <c r="E993" s="3"/>
      <c r="F993" s="4"/>
    </row>
    <row r="994" spans="2:6" ht="12" customHeight="1" x14ac:dyDescent="0.15">
      <c r="B994" s="2"/>
      <c r="C994" s="3"/>
      <c r="D994" s="3"/>
      <c r="E994" s="3"/>
      <c r="F994" s="4"/>
    </row>
    <row r="995" spans="2:6" ht="12" customHeight="1" x14ac:dyDescent="0.15">
      <c r="B995" s="2"/>
      <c r="C995" s="3"/>
      <c r="D995" s="3"/>
      <c r="E995" s="3"/>
      <c r="F995" s="4"/>
    </row>
    <row r="996" spans="2:6" ht="12" customHeight="1" x14ac:dyDescent="0.15">
      <c r="B996" s="2"/>
      <c r="C996" s="3"/>
      <c r="D996" s="3"/>
      <c r="E996" s="3"/>
      <c r="F996" s="4"/>
    </row>
    <row r="997" spans="2:6" ht="12" customHeight="1" x14ac:dyDescent="0.15">
      <c r="B997" s="2"/>
      <c r="C997" s="3"/>
      <c r="D997" s="3"/>
      <c r="E997" s="3"/>
      <c r="F997" s="4"/>
    </row>
    <row r="998" spans="2:6" ht="12" customHeight="1" x14ac:dyDescent="0.15">
      <c r="B998" s="2"/>
      <c r="C998" s="3"/>
      <c r="D998" s="3"/>
      <c r="E998" s="3"/>
      <c r="F998" s="4"/>
    </row>
    <row r="999" spans="2:6" ht="12" customHeight="1" x14ac:dyDescent="0.15">
      <c r="B999" s="2"/>
      <c r="C999" s="3"/>
      <c r="D999" s="3"/>
      <c r="E999" s="3"/>
      <c r="F999" s="4"/>
    </row>
    <row r="1000" spans="2:6" ht="12" customHeight="1" x14ac:dyDescent="0.15">
      <c r="B1000" s="2"/>
      <c r="C1000" s="3"/>
      <c r="D1000" s="3"/>
      <c r="E1000" s="3"/>
      <c r="F1000" s="4"/>
    </row>
    <row r="1001" spans="2:6" ht="12" customHeight="1" x14ac:dyDescent="0.15">
      <c r="B1001" s="2"/>
      <c r="C1001" s="3"/>
      <c r="D1001" s="3"/>
      <c r="E1001" s="3"/>
      <c r="F1001" s="4"/>
    </row>
    <row r="1002" spans="2:6" ht="12" customHeight="1" x14ac:dyDescent="0.15">
      <c r="B1002" s="2"/>
      <c r="C1002" s="3"/>
      <c r="D1002" s="3"/>
      <c r="E1002" s="3"/>
      <c r="F1002" s="4"/>
    </row>
    <row r="1003" spans="2:6" ht="12" customHeight="1" x14ac:dyDescent="0.15">
      <c r="B1003" s="2"/>
      <c r="C1003" s="3"/>
      <c r="D1003" s="3"/>
      <c r="E1003" s="3"/>
      <c r="F1003" s="4"/>
    </row>
    <row r="1004" spans="2:6" ht="12" customHeight="1" x14ac:dyDescent="0.15">
      <c r="B1004" s="2"/>
      <c r="C1004" s="3"/>
      <c r="D1004" s="3"/>
      <c r="E1004" s="3"/>
      <c r="F1004" s="4"/>
    </row>
    <row r="1005" spans="2:6" ht="12" customHeight="1" x14ac:dyDescent="0.15">
      <c r="B1005" s="2"/>
      <c r="C1005" s="3"/>
      <c r="D1005" s="3"/>
      <c r="E1005" s="3"/>
      <c r="F1005" s="4"/>
    </row>
    <row r="1006" spans="2:6" ht="12" customHeight="1" x14ac:dyDescent="0.15">
      <c r="B1006" s="2"/>
      <c r="C1006" s="3"/>
      <c r="D1006" s="3"/>
      <c r="E1006" s="3"/>
      <c r="F1006" s="4"/>
    </row>
    <row r="1007" spans="2:6" ht="12" customHeight="1" x14ac:dyDescent="0.15">
      <c r="B1007" s="2"/>
      <c r="C1007" s="3"/>
      <c r="D1007" s="3"/>
      <c r="E1007" s="3"/>
      <c r="F1007" s="4"/>
    </row>
    <row r="1008" spans="2:6" ht="12" customHeight="1" x14ac:dyDescent="0.15">
      <c r="B1008" s="2"/>
      <c r="C1008" s="3"/>
      <c r="D1008" s="3"/>
      <c r="E1008" s="3"/>
      <c r="F1008" s="4"/>
    </row>
    <row r="1009" spans="2:6" ht="12" customHeight="1" x14ac:dyDescent="0.15">
      <c r="B1009" s="2"/>
      <c r="C1009" s="3"/>
      <c r="D1009" s="3"/>
      <c r="E1009" s="3"/>
      <c r="F1009" s="4"/>
    </row>
    <row r="1010" spans="2:6" ht="12" customHeight="1" x14ac:dyDescent="0.15">
      <c r="B1010" s="2"/>
      <c r="C1010" s="3"/>
      <c r="D1010" s="3"/>
      <c r="E1010" s="3"/>
      <c r="F1010" s="4"/>
    </row>
    <row r="1011" spans="2:6" ht="12" customHeight="1" x14ac:dyDescent="0.15">
      <c r="B1011" s="2"/>
      <c r="C1011" s="3"/>
      <c r="D1011" s="3"/>
      <c r="E1011" s="3"/>
      <c r="F1011" s="4"/>
    </row>
  </sheetData>
  <mergeCells count="2">
    <mergeCell ref="A1:F1"/>
    <mergeCell ref="C6:D6"/>
  </mergeCells>
  <pageMargins left="0.78749999999999998" right="0.78749999999999998" top="0.78749999999999998" bottom="0.78749999999999998" header="0" footer="0"/>
  <pageSetup scale="61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  <pageSetUpPr fitToPage="1"/>
  </sheetPr>
  <dimension ref="A1:Z1003"/>
  <sheetViews>
    <sheetView topLeftCell="A7" workbookViewId="0">
      <selection activeCell="I41" sqref="I41"/>
    </sheetView>
  </sheetViews>
  <sheetFormatPr baseColWidth="10" defaultColWidth="12.6640625" defaultRowHeight="15" customHeight="1" x14ac:dyDescent="0.15"/>
  <cols>
    <col min="1" max="1" width="4.5" customWidth="1"/>
    <col min="2" max="2" width="45" customWidth="1"/>
    <col min="3" max="3" width="13.1640625" customWidth="1"/>
    <col min="4" max="4" width="13" customWidth="1"/>
    <col min="5" max="5" width="15.33203125" customWidth="1"/>
    <col min="6" max="6" width="13" customWidth="1"/>
    <col min="7" max="7" width="4.5" customWidth="1"/>
  </cols>
  <sheetData>
    <row r="1" spans="1:26" ht="54" customHeight="1" x14ac:dyDescent="0.15">
      <c r="A1" s="434"/>
      <c r="B1" s="435"/>
      <c r="C1" s="435"/>
      <c r="D1" s="435"/>
      <c r="E1" s="435"/>
      <c r="F1" s="435"/>
    </row>
    <row r="2" spans="1:26" ht="12" customHeight="1" x14ac:dyDescent="0.15">
      <c r="B2" s="2"/>
      <c r="C2" s="3"/>
      <c r="D2" s="3"/>
      <c r="E2" s="3"/>
      <c r="F2" s="4"/>
    </row>
    <row r="3" spans="1:26" ht="18.75" customHeight="1" x14ac:dyDescent="0.2">
      <c r="A3" s="5" t="s">
        <v>0</v>
      </c>
      <c r="C3" s="3"/>
      <c r="D3" s="3"/>
      <c r="E3" s="3"/>
      <c r="F3" s="4"/>
    </row>
    <row r="4" spans="1:26" ht="12" customHeight="1" x14ac:dyDescent="0.15">
      <c r="A4" s="2" t="s">
        <v>1</v>
      </c>
      <c r="C4" s="3"/>
      <c r="D4" s="3"/>
      <c r="E4" s="3"/>
      <c r="F4" s="4"/>
    </row>
    <row r="5" spans="1:26" ht="12" customHeight="1" x14ac:dyDescent="0.15">
      <c r="A5" s="2"/>
      <c r="B5" s="274" t="s">
        <v>409</v>
      </c>
      <c r="C5" s="3"/>
      <c r="D5" s="3"/>
      <c r="E5" s="3"/>
      <c r="F5" s="4"/>
    </row>
    <row r="6" spans="1:26" ht="12" customHeight="1" x14ac:dyDescent="0.15">
      <c r="A6" s="2"/>
      <c r="B6" s="275" t="s">
        <v>410</v>
      </c>
      <c r="C6" s="3"/>
      <c r="D6" s="438" t="s">
        <v>510</v>
      </c>
      <c r="E6" s="438"/>
      <c r="F6" s="4"/>
      <c r="G6" s="429"/>
      <c r="H6" s="429"/>
    </row>
    <row r="7" spans="1:26" ht="12" customHeight="1" x14ac:dyDescent="0.15">
      <c r="A7" s="2"/>
      <c r="B7" s="115" t="s">
        <v>411</v>
      </c>
      <c r="C7" s="3"/>
      <c r="D7" s="3"/>
      <c r="E7" s="3"/>
      <c r="F7" s="4"/>
      <c r="G7" s="429"/>
      <c r="H7" s="429"/>
    </row>
    <row r="8" spans="1:26" ht="12" customHeight="1" x14ac:dyDescent="0.15">
      <c r="B8" s="2"/>
      <c r="C8" s="3"/>
      <c r="D8" s="3"/>
      <c r="E8" s="3"/>
      <c r="F8" s="4"/>
      <c r="G8" s="429"/>
      <c r="H8" s="429"/>
    </row>
    <row r="9" spans="1:26" ht="12" customHeight="1" x14ac:dyDescent="0.15">
      <c r="B9" s="6"/>
      <c r="C9" s="3"/>
      <c r="D9" s="3"/>
      <c r="E9" s="3"/>
      <c r="F9" s="4"/>
      <c r="G9" s="277" t="s">
        <v>511</v>
      </c>
      <c r="H9" s="429"/>
    </row>
    <row r="10" spans="1:26" ht="17.25" customHeight="1" x14ac:dyDescent="0.15">
      <c r="A10" s="8"/>
      <c r="B10" s="125" t="s">
        <v>363</v>
      </c>
      <c r="C10" s="126"/>
      <c r="D10" s="126"/>
      <c r="E10" s="126"/>
      <c r="F10" s="12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" customHeight="1" x14ac:dyDescent="0.15">
      <c r="B11" s="2"/>
      <c r="C11" s="3"/>
      <c r="D11" s="3"/>
      <c r="E11" s="3"/>
      <c r="F11" s="4"/>
    </row>
    <row r="12" spans="1:26" ht="15" customHeight="1" x14ac:dyDescent="0.15">
      <c r="A12" s="8"/>
      <c r="B12" s="278" t="s">
        <v>4</v>
      </c>
      <c r="C12" s="279" t="s">
        <v>5</v>
      </c>
      <c r="D12" s="279" t="s">
        <v>364</v>
      </c>
      <c r="E12" s="280" t="s">
        <v>365</v>
      </c>
      <c r="F12" s="280" t="s">
        <v>366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" hidden="1" customHeight="1" x14ac:dyDescent="0.15">
      <c r="A13" s="8"/>
      <c r="B13" s="281" t="s">
        <v>412</v>
      </c>
      <c r="C13" s="282">
        <v>45117</v>
      </c>
      <c r="D13" s="283"/>
      <c r="E13" s="283">
        <v>5900</v>
      </c>
      <c r="F13" s="284">
        <f>E13</f>
        <v>5900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" hidden="1" customHeight="1" x14ac:dyDescent="0.15">
      <c r="A14" s="8"/>
      <c r="B14" s="281" t="s">
        <v>412</v>
      </c>
      <c r="C14" s="282">
        <v>45117</v>
      </c>
      <c r="D14" s="283"/>
      <c r="E14" s="283">
        <v>6015</v>
      </c>
      <c r="F14" s="284">
        <f t="shared" ref="F14:F37" si="0">F13-D14+E14</f>
        <v>11915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" hidden="1" customHeight="1" x14ac:dyDescent="0.15">
      <c r="A15" s="8"/>
      <c r="B15" s="281" t="s">
        <v>412</v>
      </c>
      <c r="C15" s="282">
        <v>45210</v>
      </c>
      <c r="D15" s="283"/>
      <c r="E15" s="283">
        <v>25600</v>
      </c>
      <c r="F15" s="284">
        <f t="shared" si="0"/>
        <v>37515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" hidden="1" customHeight="1" x14ac:dyDescent="0.15">
      <c r="A16" s="8"/>
      <c r="B16" s="281" t="s">
        <v>412</v>
      </c>
      <c r="C16" s="282">
        <v>45262</v>
      </c>
      <c r="D16" s="283"/>
      <c r="E16" s="283">
        <v>78000</v>
      </c>
      <c r="F16" s="284">
        <f t="shared" si="0"/>
        <v>115515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" customHeight="1" x14ac:dyDescent="0.15">
      <c r="A17" s="8"/>
      <c r="B17" s="330" t="s">
        <v>369</v>
      </c>
      <c r="C17" s="331">
        <v>45291</v>
      </c>
      <c r="D17" s="290"/>
      <c r="E17" s="290"/>
      <c r="F17" s="291">
        <f t="shared" si="0"/>
        <v>115515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" customHeight="1" x14ac:dyDescent="0.15">
      <c r="A18" s="8"/>
      <c r="B18" s="28" t="s">
        <v>370</v>
      </c>
      <c r="C18" s="332">
        <v>45321</v>
      </c>
      <c r="D18" s="283">
        <v>20509.099999999999</v>
      </c>
      <c r="E18" s="283"/>
      <c r="F18" s="284">
        <f t="shared" si="0"/>
        <v>95005.9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" customHeight="1" x14ac:dyDescent="0.15">
      <c r="A19" s="8"/>
      <c r="B19" s="28" t="s">
        <v>373</v>
      </c>
      <c r="C19" s="282">
        <v>45335</v>
      </c>
      <c r="D19" s="283">
        <v>106350.31</v>
      </c>
      <c r="E19" s="283"/>
      <c r="F19" s="284">
        <f t="shared" si="0"/>
        <v>-11344.410000000003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" customHeight="1" x14ac:dyDescent="0.15">
      <c r="A20" s="8"/>
      <c r="B20" s="28" t="s">
        <v>374</v>
      </c>
      <c r="C20" s="282">
        <v>45335</v>
      </c>
      <c r="D20" s="283">
        <v>5265.09</v>
      </c>
      <c r="E20" s="283"/>
      <c r="F20" s="284">
        <f t="shared" si="0"/>
        <v>-16609.500000000004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" customHeight="1" x14ac:dyDescent="0.15">
      <c r="A21" s="8"/>
      <c r="B21" s="28" t="s">
        <v>375</v>
      </c>
      <c r="C21" s="282">
        <v>45336</v>
      </c>
      <c r="D21" s="283">
        <v>16428.330000000002</v>
      </c>
      <c r="E21" s="283"/>
      <c r="F21" s="284">
        <f t="shared" si="0"/>
        <v>-33037.83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" customHeight="1" x14ac:dyDescent="0.15">
      <c r="A22" s="8"/>
      <c r="B22" s="28" t="s">
        <v>376</v>
      </c>
      <c r="C22" s="282">
        <v>45336</v>
      </c>
      <c r="D22" s="283">
        <v>1316.27</v>
      </c>
      <c r="E22" s="283"/>
      <c r="F22" s="284">
        <f t="shared" si="0"/>
        <v>-34354.1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" customHeight="1" x14ac:dyDescent="0.15">
      <c r="A23" s="8"/>
      <c r="B23" s="28" t="s">
        <v>412</v>
      </c>
      <c r="C23" s="282">
        <v>45342</v>
      </c>
      <c r="D23" s="283"/>
      <c r="E23" s="283">
        <v>38625</v>
      </c>
      <c r="F23" s="284">
        <f t="shared" si="0"/>
        <v>4270.9000000000015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" customHeight="1" x14ac:dyDescent="0.15">
      <c r="A24" s="8"/>
      <c r="B24" s="8" t="s">
        <v>413</v>
      </c>
      <c r="C24" s="333">
        <v>45342</v>
      </c>
      <c r="D24" s="283">
        <v>1000</v>
      </c>
      <c r="E24" s="283"/>
      <c r="F24" s="284">
        <f t="shared" si="0"/>
        <v>3270.9000000000015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" customHeight="1" x14ac:dyDescent="0.15">
      <c r="A25" s="8"/>
      <c r="B25" s="28" t="s">
        <v>378</v>
      </c>
      <c r="C25" s="333">
        <v>45397</v>
      </c>
      <c r="D25" s="283">
        <v>16428.330000000002</v>
      </c>
      <c r="E25" s="283">
        <v>3270.9</v>
      </c>
      <c r="F25" s="284">
        <f t="shared" si="0"/>
        <v>-9886.5300000000007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" customHeight="1" x14ac:dyDescent="0.15">
      <c r="A26" s="8"/>
      <c r="B26" s="28" t="s">
        <v>379</v>
      </c>
      <c r="C26" s="333">
        <v>45397</v>
      </c>
      <c r="D26" s="283">
        <v>1316.2725</v>
      </c>
      <c r="E26" s="283"/>
      <c r="F26" s="284">
        <f t="shared" si="0"/>
        <v>-11202.802500000002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" customHeight="1" x14ac:dyDescent="0.15">
      <c r="A27" s="8"/>
      <c r="B27" s="28" t="s">
        <v>380</v>
      </c>
      <c r="C27" s="59">
        <v>45397</v>
      </c>
      <c r="D27" s="283">
        <v>10282.092832213126</v>
      </c>
      <c r="E27" s="283"/>
      <c r="F27" s="284">
        <f t="shared" si="0"/>
        <v>-21484.895332213127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" customHeight="1" x14ac:dyDescent="0.15">
      <c r="A28" s="8"/>
      <c r="B28" s="28" t="s">
        <v>412</v>
      </c>
      <c r="C28" s="59">
        <v>45408</v>
      </c>
      <c r="D28" s="283"/>
      <c r="E28" s="283">
        <v>22556.560000000001</v>
      </c>
      <c r="F28" s="284">
        <f t="shared" si="0"/>
        <v>1071.6646677868739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" customHeight="1" x14ac:dyDescent="0.15">
      <c r="A29" s="8"/>
      <c r="B29" s="28" t="s">
        <v>385</v>
      </c>
      <c r="C29" s="59">
        <v>45474</v>
      </c>
      <c r="D29" s="283">
        <f>'Presupuesto 2024 Aprobado'!C51</f>
        <v>16428.330000000002</v>
      </c>
      <c r="E29" s="283"/>
      <c r="F29" s="284">
        <f t="shared" si="0"/>
        <v>-15356.665332213128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" customHeight="1" x14ac:dyDescent="0.15">
      <c r="A30" s="8"/>
      <c r="B30" s="28" t="s">
        <v>414</v>
      </c>
      <c r="C30" s="59">
        <v>45474</v>
      </c>
      <c r="D30" s="283">
        <f>'Presupuesto 2024 Aprobado'!D51</f>
        <v>1316.2725</v>
      </c>
      <c r="E30" s="283"/>
      <c r="F30" s="284">
        <f t="shared" si="0"/>
        <v>-16672.937832213127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" customHeight="1" x14ac:dyDescent="0.15">
      <c r="A31" s="8"/>
      <c r="B31" s="28" t="s">
        <v>412</v>
      </c>
      <c r="C31" s="59">
        <v>45488</v>
      </c>
      <c r="D31" s="283"/>
      <c r="E31" s="283">
        <v>18000</v>
      </c>
      <c r="F31" s="284">
        <f t="shared" si="0"/>
        <v>1327.062167786873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" customHeight="1" x14ac:dyDescent="0.15">
      <c r="A32" s="8"/>
      <c r="B32" s="28" t="s">
        <v>390</v>
      </c>
      <c r="C32" s="59">
        <v>45510</v>
      </c>
      <c r="D32" s="283">
        <v>9436.5</v>
      </c>
      <c r="E32" s="283"/>
      <c r="F32" s="284">
        <f t="shared" si="0"/>
        <v>-8109.437832213127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" customHeight="1" x14ac:dyDescent="0.15">
      <c r="A33" s="8"/>
      <c r="B33" s="58" t="s">
        <v>415</v>
      </c>
      <c r="C33" s="59">
        <v>45517</v>
      </c>
      <c r="D33" s="334">
        <v>3270.9</v>
      </c>
      <c r="E33" s="283"/>
      <c r="F33" s="284">
        <f t="shared" si="0"/>
        <v>-11380.337832213127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" customHeight="1" x14ac:dyDescent="0.15">
      <c r="A34" s="8"/>
      <c r="B34" s="28" t="s">
        <v>412</v>
      </c>
      <c r="C34" s="59">
        <v>45531</v>
      </c>
      <c r="D34" s="334"/>
      <c r="E34" s="283">
        <v>12400</v>
      </c>
      <c r="F34" s="284">
        <f t="shared" si="0"/>
        <v>1019.6621677868734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" customHeight="1" x14ac:dyDescent="0.15">
      <c r="A35" s="8"/>
      <c r="B35" s="296" t="s">
        <v>392</v>
      </c>
      <c r="C35" s="59">
        <v>45566</v>
      </c>
      <c r="D35" s="283">
        <f>'Presupuesto 2024 Aprobado'!C51</f>
        <v>16428.330000000002</v>
      </c>
      <c r="E35" s="283"/>
      <c r="F35" s="284">
        <f t="shared" si="0"/>
        <v>-15408.667832213128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" customHeight="1" x14ac:dyDescent="0.15">
      <c r="A36" s="8"/>
      <c r="B36" s="296" t="s">
        <v>393</v>
      </c>
      <c r="C36" s="59">
        <v>45566</v>
      </c>
      <c r="D36" s="283">
        <f>'Presupuesto 2024 Aprobado'!D51</f>
        <v>1316.2725</v>
      </c>
      <c r="E36" s="283"/>
      <c r="F36" s="284">
        <f t="shared" si="0"/>
        <v>-16724.940332213129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" customHeight="1" x14ac:dyDescent="0.15">
      <c r="A37" s="8"/>
      <c r="B37" s="28" t="s">
        <v>412</v>
      </c>
      <c r="C37" s="59">
        <v>45581</v>
      </c>
      <c r="D37" s="283"/>
      <c r="E37" s="283">
        <v>18025</v>
      </c>
      <c r="F37" s="284">
        <f t="shared" si="0"/>
        <v>1300.0596677868707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" customHeight="1" x14ac:dyDescent="0.15">
      <c r="A38" s="8"/>
      <c r="B38" s="28" t="s">
        <v>412</v>
      </c>
      <c r="C38" s="59">
        <v>45621</v>
      </c>
      <c r="D38" s="283"/>
      <c r="E38" s="283">
        <v>10000</v>
      </c>
      <c r="F38" s="284">
        <f>F37-D38+E38</f>
        <v>11300.059667786871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s="429" customFormat="1" ht="32" customHeight="1" x14ac:dyDescent="0.15">
      <c r="A39" s="8"/>
      <c r="B39" s="296" t="s">
        <v>512</v>
      </c>
      <c r="C39" s="431">
        <v>45664</v>
      </c>
      <c r="D39" s="283">
        <f>'PedidoVotoElec-11-10'!E32</f>
        <v>6192.9010127566162</v>
      </c>
      <c r="E39" s="283"/>
      <c r="F39" s="284">
        <f t="shared" ref="F39:F41" si="1">F38-D39+E39</f>
        <v>5107.1586550302545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s="429" customFormat="1" ht="31" customHeight="1" x14ac:dyDescent="0.15">
      <c r="A40" s="8"/>
      <c r="B40" s="296" t="s">
        <v>513</v>
      </c>
      <c r="C40" s="431">
        <v>45664</v>
      </c>
      <c r="D40" s="283">
        <f>'PedidoVotoElec-09-12'!E33</f>
        <v>14739.635739106574</v>
      </c>
      <c r="E40" s="283"/>
      <c r="F40" s="284">
        <f t="shared" si="1"/>
        <v>-9632.4770840763194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s="429" customFormat="1" ht="24" customHeight="1" x14ac:dyDescent="0.15">
      <c r="A41" s="8"/>
      <c r="B41" s="440" t="s">
        <v>514</v>
      </c>
      <c r="C41" s="431">
        <v>45664</v>
      </c>
      <c r="D41" s="283">
        <f>'Pedido Exceptional - ENERO2025'!E26</f>
        <v>5553.4393669699584</v>
      </c>
      <c r="E41" s="283"/>
      <c r="F41" s="284">
        <f t="shared" si="1"/>
        <v>-15185.916451046278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" customHeight="1" x14ac:dyDescent="0.15">
      <c r="A42" s="8"/>
      <c r="B42" s="301"/>
      <c r="C42" s="302" t="s">
        <v>416</v>
      </c>
      <c r="D42" s="286">
        <f>SUM(D13:D41)</f>
        <v>253578.37645104626</v>
      </c>
      <c r="E42" s="286">
        <f>SUM(E13:E41)</f>
        <v>238392.46</v>
      </c>
      <c r="F42" s="335">
        <f>E42-D42</f>
        <v>-15185.916451046272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" customHeight="1" x14ac:dyDescent="0.15">
      <c r="B43" s="2"/>
      <c r="C43" s="3"/>
      <c r="D43" s="3"/>
      <c r="E43" s="3"/>
      <c r="F43" s="4"/>
    </row>
    <row r="44" spans="1:26" ht="12" customHeight="1" x14ac:dyDescent="0.15">
      <c r="A44" s="8"/>
      <c r="B44" s="336" t="s">
        <v>396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" customHeight="1" x14ac:dyDescent="0.15">
      <c r="A45" s="8"/>
      <c r="B45" s="8" t="s">
        <v>417</v>
      </c>
      <c r="C45" s="337">
        <v>45408</v>
      </c>
      <c r="D45" s="338">
        <v>-1000</v>
      </c>
      <c r="E45" s="309"/>
      <c r="F45" s="339">
        <f>F42+D44+D45</f>
        <v>-16185.916451046272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" customHeight="1" x14ac:dyDescent="0.15">
      <c r="F46" s="311" t="s">
        <v>418</v>
      </c>
    </row>
    <row r="47" spans="1:26" ht="12" customHeight="1" x14ac:dyDescent="0.15">
      <c r="B47" s="320" t="s">
        <v>402</v>
      </c>
      <c r="C47" s="3"/>
      <c r="D47" s="3"/>
      <c r="E47" s="3"/>
      <c r="F47" s="4"/>
    </row>
    <row r="48" spans="1:26" ht="12" customHeight="1" x14ac:dyDescent="0.15">
      <c r="B48" s="2" t="s">
        <v>404</v>
      </c>
      <c r="C48" s="3"/>
      <c r="D48" s="3"/>
      <c r="E48" s="3"/>
      <c r="F48" s="4"/>
    </row>
    <row r="49" spans="2:6" ht="12" customHeight="1" x14ac:dyDescent="0.15">
      <c r="B49" s="321"/>
      <c r="C49" s="3"/>
      <c r="D49" s="3"/>
      <c r="E49" s="3"/>
      <c r="F49" s="4"/>
    </row>
    <row r="50" spans="2:6" ht="12" customHeight="1" x14ac:dyDescent="0.15">
      <c r="B50" s="322" t="s">
        <v>405</v>
      </c>
      <c r="C50" s="323"/>
      <c r="D50" s="324"/>
      <c r="E50" s="3"/>
      <c r="F50" s="4"/>
    </row>
    <row r="51" spans="2:6" ht="12" customHeight="1" x14ac:dyDescent="0.15">
      <c r="B51" s="325" t="s">
        <v>406</v>
      </c>
      <c r="C51" s="3"/>
      <c r="D51" s="48"/>
      <c r="E51" s="3"/>
      <c r="F51" s="4"/>
    </row>
    <row r="52" spans="2:6" ht="12" customHeight="1" x14ac:dyDescent="0.15">
      <c r="B52" s="325" t="s">
        <v>407</v>
      </c>
      <c r="C52" s="3"/>
      <c r="D52" s="48"/>
      <c r="E52" s="3"/>
      <c r="F52" s="4"/>
    </row>
    <row r="53" spans="2:6" ht="12" customHeight="1" x14ac:dyDescent="0.15">
      <c r="B53" s="327" t="s">
        <v>408</v>
      </c>
      <c r="C53" s="328"/>
      <c r="D53" s="329"/>
      <c r="E53" s="3"/>
      <c r="F53" s="4"/>
    </row>
    <row r="54" spans="2:6" ht="12" customHeight="1" x14ac:dyDescent="0.15">
      <c r="B54" s="2"/>
      <c r="C54" s="3"/>
      <c r="D54" s="3"/>
      <c r="E54" s="3"/>
      <c r="F54" s="4"/>
    </row>
    <row r="55" spans="2:6" ht="12" customHeight="1" x14ac:dyDescent="0.15">
      <c r="B55" s="2"/>
      <c r="C55" s="3"/>
      <c r="D55" s="3"/>
      <c r="E55" s="3"/>
      <c r="F55" s="4"/>
    </row>
    <row r="56" spans="2:6" ht="12" customHeight="1" x14ac:dyDescent="0.15">
      <c r="B56" s="2"/>
      <c r="C56" s="3"/>
      <c r="D56" s="3"/>
      <c r="E56" s="3"/>
      <c r="F56" s="4"/>
    </row>
    <row r="57" spans="2:6" ht="12" customHeight="1" x14ac:dyDescent="0.15">
      <c r="B57" s="2"/>
      <c r="C57" s="3"/>
      <c r="D57" s="3"/>
      <c r="E57" s="3"/>
      <c r="F57" s="4"/>
    </row>
    <row r="58" spans="2:6" ht="12" customHeight="1" x14ac:dyDescent="0.15">
      <c r="B58" s="2"/>
      <c r="C58" s="3"/>
      <c r="D58" s="3"/>
      <c r="E58" s="3"/>
      <c r="F58" s="4"/>
    </row>
    <row r="59" spans="2:6" ht="12" customHeight="1" x14ac:dyDescent="0.15">
      <c r="B59" s="2"/>
      <c r="C59" s="3"/>
      <c r="D59" s="3"/>
      <c r="E59" s="3"/>
      <c r="F59" s="4"/>
    </row>
    <row r="60" spans="2:6" ht="12" customHeight="1" x14ac:dyDescent="0.15">
      <c r="B60" s="2"/>
      <c r="C60" s="3"/>
      <c r="D60" s="3"/>
      <c r="E60" s="3"/>
      <c r="F60" s="4"/>
    </row>
    <row r="61" spans="2:6" ht="12" customHeight="1" x14ac:dyDescent="0.15">
      <c r="B61" s="2"/>
      <c r="C61" s="3"/>
      <c r="D61" s="3"/>
      <c r="E61" s="3"/>
      <c r="F61" s="4"/>
    </row>
    <row r="62" spans="2:6" ht="12" customHeight="1" x14ac:dyDescent="0.15">
      <c r="B62" s="2"/>
      <c r="C62" s="3"/>
      <c r="D62" s="3"/>
      <c r="E62" s="3"/>
      <c r="F62" s="4"/>
    </row>
    <row r="63" spans="2:6" ht="12" customHeight="1" x14ac:dyDescent="0.15">
      <c r="B63" s="2"/>
      <c r="C63" s="3"/>
      <c r="D63" s="3"/>
      <c r="E63" s="3"/>
      <c r="F63" s="4"/>
    </row>
    <row r="64" spans="2:6" ht="12" customHeight="1" x14ac:dyDescent="0.15">
      <c r="B64" s="2"/>
      <c r="C64" s="3"/>
      <c r="D64" s="3"/>
      <c r="E64" s="3"/>
      <c r="F64" s="4"/>
    </row>
    <row r="65" spans="2:6" ht="12" customHeight="1" x14ac:dyDescent="0.15">
      <c r="B65" s="2"/>
      <c r="C65" s="3"/>
      <c r="D65" s="3"/>
      <c r="E65" s="3"/>
      <c r="F65" s="4"/>
    </row>
    <row r="66" spans="2:6" ht="12" customHeight="1" x14ac:dyDescent="0.15">
      <c r="B66" s="2"/>
      <c r="C66" s="3"/>
      <c r="D66" s="3"/>
      <c r="E66" s="3"/>
      <c r="F66" s="4"/>
    </row>
    <row r="67" spans="2:6" ht="12" customHeight="1" x14ac:dyDescent="0.15">
      <c r="B67" s="2"/>
      <c r="C67" s="3"/>
      <c r="D67" s="3"/>
      <c r="E67" s="3"/>
      <c r="F67" s="4"/>
    </row>
    <row r="68" spans="2:6" ht="12" customHeight="1" x14ac:dyDescent="0.15">
      <c r="B68" s="2"/>
      <c r="C68" s="3"/>
      <c r="D68" s="3"/>
      <c r="E68" s="3"/>
      <c r="F68" s="4"/>
    </row>
    <row r="69" spans="2:6" ht="12" customHeight="1" x14ac:dyDescent="0.15">
      <c r="B69" s="2"/>
      <c r="C69" s="3"/>
      <c r="D69" s="3"/>
      <c r="E69" s="3"/>
      <c r="F69" s="4"/>
    </row>
    <row r="70" spans="2:6" ht="12" customHeight="1" x14ac:dyDescent="0.15">
      <c r="B70" s="2"/>
      <c r="C70" s="3"/>
      <c r="D70" s="3"/>
      <c r="E70" s="3"/>
      <c r="F70" s="4"/>
    </row>
    <row r="71" spans="2:6" ht="12" customHeight="1" x14ac:dyDescent="0.15">
      <c r="B71" s="2"/>
      <c r="C71" s="3"/>
      <c r="D71" s="3"/>
      <c r="E71" s="3"/>
      <c r="F71" s="4"/>
    </row>
    <row r="72" spans="2:6" ht="12" customHeight="1" x14ac:dyDescent="0.15">
      <c r="B72" s="2"/>
      <c r="C72" s="3"/>
      <c r="D72" s="3"/>
      <c r="E72" s="3"/>
      <c r="F72" s="4"/>
    </row>
    <row r="73" spans="2:6" ht="12" customHeight="1" x14ac:dyDescent="0.15">
      <c r="B73" s="2"/>
      <c r="C73" s="3"/>
      <c r="D73" s="3"/>
      <c r="E73" s="3"/>
      <c r="F73" s="4"/>
    </row>
    <row r="74" spans="2:6" ht="12" customHeight="1" x14ac:dyDescent="0.15">
      <c r="B74" s="2"/>
      <c r="C74" s="3"/>
      <c r="D74" s="3"/>
      <c r="E74" s="3"/>
      <c r="F74" s="4"/>
    </row>
    <row r="75" spans="2:6" ht="12" customHeight="1" x14ac:dyDescent="0.15">
      <c r="B75" s="2"/>
      <c r="C75" s="3"/>
      <c r="D75" s="3"/>
      <c r="E75" s="3"/>
      <c r="F75" s="4"/>
    </row>
    <row r="76" spans="2:6" ht="12" customHeight="1" x14ac:dyDescent="0.15">
      <c r="B76" s="2"/>
      <c r="C76" s="3"/>
      <c r="D76" s="3"/>
      <c r="E76" s="3"/>
      <c r="F76" s="4"/>
    </row>
    <row r="77" spans="2:6" ht="12" customHeight="1" x14ac:dyDescent="0.15">
      <c r="B77" s="2"/>
      <c r="C77" s="3"/>
      <c r="D77" s="3"/>
      <c r="E77" s="3"/>
      <c r="F77" s="4"/>
    </row>
    <row r="78" spans="2:6" ht="12" customHeight="1" x14ac:dyDescent="0.15">
      <c r="B78" s="2"/>
      <c r="C78" s="3"/>
      <c r="D78" s="3"/>
      <c r="E78" s="3"/>
      <c r="F78" s="4"/>
    </row>
    <row r="79" spans="2:6" ht="12" customHeight="1" x14ac:dyDescent="0.15">
      <c r="B79" s="2"/>
      <c r="C79" s="3"/>
      <c r="D79" s="3"/>
      <c r="E79" s="3"/>
      <c r="F79" s="4"/>
    </row>
    <row r="80" spans="2:6" ht="12" customHeight="1" x14ac:dyDescent="0.15">
      <c r="B80" s="2"/>
      <c r="C80" s="3"/>
      <c r="D80" s="3"/>
      <c r="E80" s="3"/>
      <c r="F80" s="4"/>
    </row>
    <row r="81" spans="2:6" ht="12" customHeight="1" x14ac:dyDescent="0.15">
      <c r="B81" s="2"/>
      <c r="C81" s="3"/>
      <c r="D81" s="3"/>
      <c r="E81" s="3"/>
      <c r="F81" s="4"/>
    </row>
    <row r="82" spans="2:6" ht="12" customHeight="1" x14ac:dyDescent="0.15">
      <c r="B82" s="2"/>
      <c r="C82" s="3"/>
      <c r="D82" s="3"/>
      <c r="E82" s="3"/>
      <c r="F82" s="4"/>
    </row>
    <row r="83" spans="2:6" ht="12" customHeight="1" x14ac:dyDescent="0.15">
      <c r="B83" s="2"/>
      <c r="C83" s="3"/>
      <c r="D83" s="3"/>
      <c r="E83" s="3"/>
      <c r="F83" s="4"/>
    </row>
    <row r="84" spans="2:6" ht="12" customHeight="1" x14ac:dyDescent="0.15">
      <c r="B84" s="2"/>
      <c r="C84" s="3"/>
      <c r="D84" s="3"/>
      <c r="E84" s="3"/>
      <c r="F84" s="4"/>
    </row>
    <row r="85" spans="2:6" ht="12" customHeight="1" x14ac:dyDescent="0.15">
      <c r="B85" s="2"/>
      <c r="C85" s="3"/>
      <c r="D85" s="3"/>
      <c r="E85" s="3"/>
      <c r="F85" s="4"/>
    </row>
    <row r="86" spans="2:6" ht="12" customHeight="1" x14ac:dyDescent="0.15">
      <c r="B86" s="2"/>
      <c r="C86" s="3"/>
      <c r="D86" s="3"/>
      <c r="E86" s="3"/>
      <c r="F86" s="4"/>
    </row>
    <row r="87" spans="2:6" ht="12" customHeight="1" x14ac:dyDescent="0.15">
      <c r="B87" s="2"/>
      <c r="C87" s="3"/>
      <c r="D87" s="3"/>
      <c r="E87" s="3"/>
      <c r="F87" s="4"/>
    </row>
    <row r="88" spans="2:6" ht="12" customHeight="1" x14ac:dyDescent="0.15">
      <c r="B88" s="2"/>
      <c r="C88" s="3"/>
      <c r="D88" s="3"/>
      <c r="E88" s="3"/>
      <c r="F88" s="4"/>
    </row>
    <row r="89" spans="2:6" ht="12" customHeight="1" x14ac:dyDescent="0.15">
      <c r="B89" s="2"/>
      <c r="C89" s="3"/>
      <c r="D89" s="3"/>
      <c r="E89" s="3"/>
      <c r="F89" s="4"/>
    </row>
    <row r="90" spans="2:6" ht="12" customHeight="1" x14ac:dyDescent="0.15">
      <c r="B90" s="2"/>
      <c r="C90" s="3"/>
      <c r="D90" s="3"/>
      <c r="E90" s="3"/>
      <c r="F90" s="4"/>
    </row>
    <row r="91" spans="2:6" ht="12" customHeight="1" x14ac:dyDescent="0.15">
      <c r="B91" s="2"/>
      <c r="C91" s="3"/>
      <c r="D91" s="3"/>
      <c r="E91" s="3"/>
      <c r="F91" s="4"/>
    </row>
    <row r="92" spans="2:6" ht="12" customHeight="1" x14ac:dyDescent="0.15">
      <c r="B92" s="2"/>
      <c r="C92" s="3"/>
      <c r="D92" s="3"/>
      <c r="E92" s="3"/>
      <c r="F92" s="4"/>
    </row>
    <row r="93" spans="2:6" ht="12" customHeight="1" x14ac:dyDescent="0.15">
      <c r="B93" s="2"/>
      <c r="C93" s="3"/>
      <c r="D93" s="3"/>
      <c r="E93" s="3"/>
      <c r="F93" s="4"/>
    </row>
    <row r="94" spans="2:6" ht="12" customHeight="1" x14ac:dyDescent="0.15">
      <c r="B94" s="2"/>
      <c r="C94" s="3"/>
      <c r="D94" s="3"/>
      <c r="E94" s="3"/>
      <c r="F94" s="4"/>
    </row>
    <row r="95" spans="2:6" ht="12" customHeight="1" x14ac:dyDescent="0.15">
      <c r="B95" s="2"/>
      <c r="C95" s="3"/>
      <c r="D95" s="3"/>
      <c r="E95" s="3"/>
      <c r="F95" s="4"/>
    </row>
    <row r="96" spans="2:6" ht="12" customHeight="1" x14ac:dyDescent="0.15">
      <c r="B96" s="2"/>
      <c r="C96" s="3"/>
      <c r="D96" s="3"/>
      <c r="E96" s="3"/>
      <c r="F96" s="4"/>
    </row>
    <row r="97" spans="2:6" ht="12" customHeight="1" x14ac:dyDescent="0.15">
      <c r="B97" s="2"/>
      <c r="C97" s="3"/>
      <c r="D97" s="3"/>
      <c r="E97" s="3"/>
      <c r="F97" s="4"/>
    </row>
    <row r="98" spans="2:6" ht="12" customHeight="1" x14ac:dyDescent="0.15">
      <c r="B98" s="2"/>
      <c r="C98" s="3"/>
      <c r="D98" s="3"/>
      <c r="E98" s="3"/>
      <c r="F98" s="4"/>
    </row>
    <row r="99" spans="2:6" ht="12" customHeight="1" x14ac:dyDescent="0.15">
      <c r="B99" s="2"/>
      <c r="C99" s="3"/>
      <c r="D99" s="3"/>
      <c r="E99" s="3"/>
      <c r="F99" s="4"/>
    </row>
    <row r="100" spans="2:6" ht="12" customHeight="1" x14ac:dyDescent="0.15">
      <c r="B100" s="2"/>
      <c r="C100" s="3"/>
      <c r="D100" s="3"/>
      <c r="E100" s="3"/>
      <c r="F100" s="4"/>
    </row>
    <row r="101" spans="2:6" ht="12" customHeight="1" x14ac:dyDescent="0.15">
      <c r="B101" s="2"/>
      <c r="C101" s="3"/>
      <c r="D101" s="3"/>
      <c r="E101" s="3"/>
      <c r="F101" s="4"/>
    </row>
    <row r="102" spans="2:6" ht="12" customHeight="1" x14ac:dyDescent="0.15">
      <c r="B102" s="2"/>
      <c r="C102" s="3"/>
      <c r="D102" s="3"/>
      <c r="E102" s="3"/>
      <c r="F102" s="4"/>
    </row>
    <row r="103" spans="2:6" ht="12" customHeight="1" x14ac:dyDescent="0.15">
      <c r="B103" s="2"/>
      <c r="C103" s="3"/>
      <c r="D103" s="3"/>
      <c r="E103" s="3"/>
      <c r="F103" s="4"/>
    </row>
    <row r="104" spans="2:6" ht="12" customHeight="1" x14ac:dyDescent="0.15">
      <c r="B104" s="2"/>
      <c r="C104" s="3"/>
      <c r="D104" s="3"/>
      <c r="E104" s="3"/>
      <c r="F104" s="4"/>
    </row>
    <row r="105" spans="2:6" ht="12" customHeight="1" x14ac:dyDescent="0.15">
      <c r="B105" s="2"/>
      <c r="C105" s="3"/>
      <c r="D105" s="3"/>
      <c r="E105" s="3"/>
      <c r="F105" s="4"/>
    </row>
    <row r="106" spans="2:6" ht="12" customHeight="1" x14ac:dyDescent="0.15">
      <c r="B106" s="2"/>
      <c r="C106" s="3"/>
      <c r="D106" s="3"/>
      <c r="E106" s="3"/>
      <c r="F106" s="4"/>
    </row>
    <row r="107" spans="2:6" ht="12" customHeight="1" x14ac:dyDescent="0.15">
      <c r="B107" s="2"/>
      <c r="C107" s="3"/>
      <c r="D107" s="3"/>
      <c r="E107" s="3"/>
      <c r="F107" s="4"/>
    </row>
    <row r="108" spans="2:6" ht="12" customHeight="1" x14ac:dyDescent="0.15">
      <c r="B108" s="2"/>
      <c r="C108" s="3"/>
      <c r="D108" s="3"/>
      <c r="E108" s="3"/>
      <c r="F108" s="4"/>
    </row>
    <row r="109" spans="2:6" ht="12" customHeight="1" x14ac:dyDescent="0.15">
      <c r="B109" s="2"/>
      <c r="C109" s="3"/>
      <c r="D109" s="3"/>
      <c r="E109" s="3"/>
      <c r="F109" s="4"/>
    </row>
    <row r="110" spans="2:6" ht="12" customHeight="1" x14ac:dyDescent="0.15">
      <c r="B110" s="2"/>
      <c r="C110" s="3"/>
      <c r="D110" s="3"/>
      <c r="E110" s="3"/>
      <c r="F110" s="4"/>
    </row>
    <row r="111" spans="2:6" ht="12" customHeight="1" x14ac:dyDescent="0.15">
      <c r="B111" s="2"/>
      <c r="C111" s="3"/>
      <c r="D111" s="3"/>
      <c r="E111" s="3"/>
      <c r="F111" s="4"/>
    </row>
    <row r="112" spans="2:6" ht="12" customHeight="1" x14ac:dyDescent="0.15">
      <c r="B112" s="2"/>
      <c r="C112" s="3"/>
      <c r="D112" s="3"/>
      <c r="E112" s="3"/>
      <c r="F112" s="4"/>
    </row>
    <row r="113" spans="2:6" ht="12" customHeight="1" x14ac:dyDescent="0.15">
      <c r="B113" s="2"/>
      <c r="C113" s="3"/>
      <c r="D113" s="3"/>
      <c r="E113" s="3"/>
      <c r="F113" s="4"/>
    </row>
    <row r="114" spans="2:6" ht="12" customHeight="1" x14ac:dyDescent="0.15">
      <c r="B114" s="2"/>
      <c r="C114" s="3"/>
      <c r="D114" s="3"/>
      <c r="E114" s="3"/>
      <c r="F114" s="4"/>
    </row>
    <row r="115" spans="2:6" ht="12" customHeight="1" x14ac:dyDescent="0.15">
      <c r="B115" s="2"/>
      <c r="C115" s="3"/>
      <c r="D115" s="3"/>
      <c r="E115" s="3"/>
      <c r="F115" s="4"/>
    </row>
    <row r="116" spans="2:6" ht="12" customHeight="1" x14ac:dyDescent="0.15">
      <c r="B116" s="2"/>
      <c r="C116" s="3"/>
      <c r="D116" s="3"/>
      <c r="E116" s="3"/>
      <c r="F116" s="4"/>
    </row>
    <row r="117" spans="2:6" ht="12" customHeight="1" x14ac:dyDescent="0.15">
      <c r="B117" s="2"/>
      <c r="C117" s="3"/>
      <c r="D117" s="3"/>
      <c r="E117" s="3"/>
      <c r="F117" s="4"/>
    </row>
    <row r="118" spans="2:6" ht="12" customHeight="1" x14ac:dyDescent="0.15">
      <c r="B118" s="2"/>
      <c r="C118" s="3"/>
      <c r="D118" s="3"/>
      <c r="E118" s="3"/>
      <c r="F118" s="4"/>
    </row>
    <row r="119" spans="2:6" ht="12" customHeight="1" x14ac:dyDescent="0.15">
      <c r="B119" s="2"/>
      <c r="C119" s="3"/>
      <c r="D119" s="3"/>
      <c r="E119" s="3"/>
      <c r="F119" s="4"/>
    </row>
    <row r="120" spans="2:6" ht="12" customHeight="1" x14ac:dyDescent="0.15">
      <c r="B120" s="2"/>
      <c r="C120" s="3"/>
      <c r="D120" s="3"/>
      <c r="E120" s="3"/>
      <c r="F120" s="4"/>
    </row>
    <row r="121" spans="2:6" ht="12" customHeight="1" x14ac:dyDescent="0.15">
      <c r="B121" s="2"/>
      <c r="C121" s="3"/>
      <c r="D121" s="3"/>
      <c r="E121" s="3"/>
      <c r="F121" s="4"/>
    </row>
    <row r="122" spans="2:6" ht="12" customHeight="1" x14ac:dyDescent="0.15">
      <c r="B122" s="2"/>
      <c r="C122" s="3"/>
      <c r="D122" s="3"/>
      <c r="E122" s="3"/>
      <c r="F122" s="4"/>
    </row>
    <row r="123" spans="2:6" ht="12" customHeight="1" x14ac:dyDescent="0.15">
      <c r="B123" s="2"/>
      <c r="C123" s="3"/>
      <c r="D123" s="3"/>
      <c r="E123" s="3"/>
      <c r="F123" s="4"/>
    </row>
    <row r="124" spans="2:6" ht="12" customHeight="1" x14ac:dyDescent="0.15">
      <c r="B124" s="2"/>
      <c r="C124" s="3"/>
      <c r="D124" s="3"/>
      <c r="E124" s="3"/>
      <c r="F124" s="4"/>
    </row>
    <row r="125" spans="2:6" ht="12" customHeight="1" x14ac:dyDescent="0.15">
      <c r="B125" s="2"/>
      <c r="C125" s="3"/>
      <c r="D125" s="3"/>
      <c r="E125" s="3"/>
      <c r="F125" s="4"/>
    </row>
    <row r="126" spans="2:6" ht="12" customHeight="1" x14ac:dyDescent="0.15">
      <c r="B126" s="2"/>
      <c r="C126" s="3"/>
      <c r="D126" s="3"/>
      <c r="E126" s="3"/>
      <c r="F126" s="4"/>
    </row>
    <row r="127" spans="2:6" ht="12" customHeight="1" x14ac:dyDescent="0.15">
      <c r="B127" s="2"/>
      <c r="C127" s="3"/>
      <c r="D127" s="3"/>
      <c r="E127" s="3"/>
      <c r="F127" s="4"/>
    </row>
    <row r="128" spans="2:6" ht="12" customHeight="1" x14ac:dyDescent="0.15">
      <c r="B128" s="2"/>
      <c r="C128" s="3"/>
      <c r="D128" s="3"/>
      <c r="E128" s="3"/>
      <c r="F128" s="4"/>
    </row>
    <row r="129" spans="2:6" ht="12" customHeight="1" x14ac:dyDescent="0.15">
      <c r="B129" s="2"/>
      <c r="C129" s="3"/>
      <c r="D129" s="3"/>
      <c r="E129" s="3"/>
      <c r="F129" s="4"/>
    </row>
    <row r="130" spans="2:6" ht="12" customHeight="1" x14ac:dyDescent="0.15">
      <c r="B130" s="2"/>
      <c r="C130" s="3"/>
      <c r="D130" s="3"/>
      <c r="E130" s="3"/>
      <c r="F130" s="4"/>
    </row>
    <row r="131" spans="2:6" ht="12" customHeight="1" x14ac:dyDescent="0.15">
      <c r="B131" s="2"/>
      <c r="C131" s="3"/>
      <c r="D131" s="3"/>
      <c r="E131" s="3"/>
      <c r="F131" s="4"/>
    </row>
    <row r="132" spans="2:6" ht="12" customHeight="1" x14ac:dyDescent="0.15">
      <c r="B132" s="2"/>
      <c r="C132" s="3"/>
      <c r="D132" s="3"/>
      <c r="E132" s="3"/>
      <c r="F132" s="4"/>
    </row>
    <row r="133" spans="2:6" ht="12" customHeight="1" x14ac:dyDescent="0.15">
      <c r="B133" s="2"/>
      <c r="C133" s="3"/>
      <c r="D133" s="3"/>
      <c r="E133" s="3"/>
      <c r="F133" s="4"/>
    </row>
    <row r="134" spans="2:6" ht="12" customHeight="1" x14ac:dyDescent="0.15">
      <c r="B134" s="2"/>
      <c r="C134" s="3"/>
      <c r="D134" s="3"/>
      <c r="E134" s="3"/>
      <c r="F134" s="4"/>
    </row>
    <row r="135" spans="2:6" ht="12" customHeight="1" x14ac:dyDescent="0.15">
      <c r="B135" s="2"/>
      <c r="C135" s="3"/>
      <c r="D135" s="3"/>
      <c r="E135" s="3"/>
      <c r="F135" s="4"/>
    </row>
    <row r="136" spans="2:6" ht="12" customHeight="1" x14ac:dyDescent="0.15">
      <c r="B136" s="2"/>
      <c r="C136" s="3"/>
      <c r="D136" s="3"/>
      <c r="E136" s="3"/>
      <c r="F136" s="4"/>
    </row>
    <row r="137" spans="2:6" ht="12" customHeight="1" x14ac:dyDescent="0.15">
      <c r="B137" s="2"/>
      <c r="C137" s="3"/>
      <c r="D137" s="3"/>
      <c r="E137" s="3"/>
      <c r="F137" s="4"/>
    </row>
    <row r="138" spans="2:6" ht="12" customHeight="1" x14ac:dyDescent="0.15">
      <c r="B138" s="2"/>
      <c r="C138" s="3"/>
      <c r="D138" s="3"/>
      <c r="E138" s="3"/>
      <c r="F138" s="4"/>
    </row>
    <row r="139" spans="2:6" ht="12" customHeight="1" x14ac:dyDescent="0.15">
      <c r="B139" s="2"/>
      <c r="C139" s="3"/>
      <c r="D139" s="3"/>
      <c r="E139" s="3"/>
      <c r="F139" s="4"/>
    </row>
    <row r="140" spans="2:6" ht="12" customHeight="1" x14ac:dyDescent="0.15">
      <c r="B140" s="2"/>
      <c r="C140" s="3"/>
      <c r="D140" s="3"/>
      <c r="E140" s="3"/>
      <c r="F140" s="4"/>
    </row>
    <row r="141" spans="2:6" ht="12" customHeight="1" x14ac:dyDescent="0.15">
      <c r="B141" s="2"/>
      <c r="C141" s="3"/>
      <c r="D141" s="3"/>
      <c r="E141" s="3"/>
      <c r="F141" s="4"/>
    </row>
    <row r="142" spans="2:6" ht="12" customHeight="1" x14ac:dyDescent="0.15">
      <c r="B142" s="2"/>
      <c r="C142" s="3"/>
      <c r="D142" s="3"/>
      <c r="E142" s="3"/>
      <c r="F142" s="4"/>
    </row>
    <row r="143" spans="2:6" ht="12" customHeight="1" x14ac:dyDescent="0.15">
      <c r="B143" s="2"/>
      <c r="C143" s="3"/>
      <c r="D143" s="3"/>
      <c r="E143" s="3"/>
      <c r="F143" s="4"/>
    </row>
    <row r="144" spans="2:6" ht="12" customHeight="1" x14ac:dyDescent="0.15">
      <c r="B144" s="2"/>
      <c r="C144" s="3"/>
      <c r="D144" s="3"/>
      <c r="E144" s="3"/>
      <c r="F144" s="4"/>
    </row>
    <row r="145" spans="2:6" ht="12" customHeight="1" x14ac:dyDescent="0.15">
      <c r="B145" s="2"/>
      <c r="C145" s="3"/>
      <c r="D145" s="3"/>
      <c r="E145" s="3"/>
      <c r="F145" s="4"/>
    </row>
    <row r="146" spans="2:6" ht="12" customHeight="1" x14ac:dyDescent="0.15">
      <c r="B146" s="2"/>
      <c r="C146" s="3"/>
      <c r="D146" s="3"/>
      <c r="E146" s="3"/>
      <c r="F146" s="4"/>
    </row>
    <row r="147" spans="2:6" ht="12" customHeight="1" x14ac:dyDescent="0.15">
      <c r="B147" s="2"/>
      <c r="C147" s="3"/>
      <c r="D147" s="3"/>
      <c r="E147" s="3"/>
      <c r="F147" s="4"/>
    </row>
    <row r="148" spans="2:6" ht="12" customHeight="1" x14ac:dyDescent="0.15">
      <c r="B148" s="2"/>
      <c r="C148" s="3"/>
      <c r="D148" s="3"/>
      <c r="E148" s="3"/>
      <c r="F148" s="4"/>
    </row>
    <row r="149" spans="2:6" ht="12" customHeight="1" x14ac:dyDescent="0.15">
      <c r="B149" s="2"/>
      <c r="C149" s="3"/>
      <c r="D149" s="3"/>
      <c r="E149" s="3"/>
      <c r="F149" s="4"/>
    </row>
    <row r="150" spans="2:6" ht="12" customHeight="1" x14ac:dyDescent="0.15">
      <c r="B150" s="2"/>
      <c r="C150" s="3"/>
      <c r="D150" s="3"/>
      <c r="E150" s="3"/>
      <c r="F150" s="4"/>
    </row>
    <row r="151" spans="2:6" ht="12" customHeight="1" x14ac:dyDescent="0.15">
      <c r="B151" s="2"/>
      <c r="C151" s="3"/>
      <c r="D151" s="3"/>
      <c r="E151" s="3"/>
      <c r="F151" s="4"/>
    </row>
    <row r="152" spans="2:6" ht="12" customHeight="1" x14ac:dyDescent="0.15">
      <c r="B152" s="2"/>
      <c r="C152" s="3"/>
      <c r="D152" s="3"/>
      <c r="E152" s="3"/>
      <c r="F152" s="4"/>
    </row>
    <row r="153" spans="2:6" ht="12" customHeight="1" x14ac:dyDescent="0.15">
      <c r="B153" s="2"/>
      <c r="C153" s="3"/>
      <c r="D153" s="3"/>
      <c r="E153" s="3"/>
      <c r="F153" s="4"/>
    </row>
    <row r="154" spans="2:6" ht="12" customHeight="1" x14ac:dyDescent="0.15">
      <c r="B154" s="2"/>
      <c r="C154" s="3"/>
      <c r="D154" s="3"/>
      <c r="E154" s="3"/>
      <c r="F154" s="4"/>
    </row>
    <row r="155" spans="2:6" ht="12" customHeight="1" x14ac:dyDescent="0.15">
      <c r="B155" s="2"/>
      <c r="C155" s="3"/>
      <c r="D155" s="3"/>
      <c r="E155" s="3"/>
      <c r="F155" s="4"/>
    </row>
    <row r="156" spans="2:6" ht="12" customHeight="1" x14ac:dyDescent="0.15">
      <c r="B156" s="2"/>
      <c r="C156" s="3"/>
      <c r="D156" s="3"/>
      <c r="E156" s="3"/>
      <c r="F156" s="4"/>
    </row>
    <row r="157" spans="2:6" ht="12" customHeight="1" x14ac:dyDescent="0.15">
      <c r="B157" s="2"/>
      <c r="C157" s="3"/>
      <c r="D157" s="3"/>
      <c r="E157" s="3"/>
      <c r="F157" s="4"/>
    </row>
    <row r="158" spans="2:6" ht="12" customHeight="1" x14ac:dyDescent="0.15">
      <c r="B158" s="2"/>
      <c r="C158" s="3"/>
      <c r="D158" s="3"/>
      <c r="E158" s="3"/>
      <c r="F158" s="4"/>
    </row>
    <row r="159" spans="2:6" ht="12" customHeight="1" x14ac:dyDescent="0.15">
      <c r="B159" s="2"/>
      <c r="C159" s="3"/>
      <c r="D159" s="3"/>
      <c r="E159" s="3"/>
      <c r="F159" s="4"/>
    </row>
    <row r="160" spans="2:6" ht="12" customHeight="1" x14ac:dyDescent="0.15">
      <c r="B160" s="2"/>
      <c r="C160" s="3"/>
      <c r="D160" s="3"/>
      <c r="E160" s="3"/>
      <c r="F160" s="4"/>
    </row>
    <row r="161" spans="2:6" ht="12" customHeight="1" x14ac:dyDescent="0.15">
      <c r="B161" s="2"/>
      <c r="C161" s="3"/>
      <c r="D161" s="3"/>
      <c r="E161" s="3"/>
      <c r="F161" s="4"/>
    </row>
    <row r="162" spans="2:6" ht="12" customHeight="1" x14ac:dyDescent="0.15">
      <c r="B162" s="2"/>
      <c r="C162" s="3"/>
      <c r="D162" s="3"/>
      <c r="E162" s="3"/>
      <c r="F162" s="4"/>
    </row>
    <row r="163" spans="2:6" ht="12" customHeight="1" x14ac:dyDescent="0.15">
      <c r="B163" s="2"/>
      <c r="C163" s="3"/>
      <c r="D163" s="3"/>
      <c r="E163" s="3"/>
      <c r="F163" s="4"/>
    </row>
    <row r="164" spans="2:6" ht="12" customHeight="1" x14ac:dyDescent="0.15">
      <c r="B164" s="2"/>
      <c r="C164" s="3"/>
      <c r="D164" s="3"/>
      <c r="E164" s="3"/>
      <c r="F164" s="4"/>
    </row>
    <row r="165" spans="2:6" ht="12" customHeight="1" x14ac:dyDescent="0.15">
      <c r="B165" s="2"/>
      <c r="C165" s="3"/>
      <c r="D165" s="3"/>
      <c r="E165" s="3"/>
      <c r="F165" s="4"/>
    </row>
    <row r="166" spans="2:6" ht="12" customHeight="1" x14ac:dyDescent="0.15">
      <c r="B166" s="2"/>
      <c r="C166" s="3"/>
      <c r="D166" s="3"/>
      <c r="E166" s="3"/>
      <c r="F166" s="4"/>
    </row>
    <row r="167" spans="2:6" ht="12" customHeight="1" x14ac:dyDescent="0.15">
      <c r="B167" s="2"/>
      <c r="C167" s="3"/>
      <c r="D167" s="3"/>
      <c r="E167" s="3"/>
      <c r="F167" s="4"/>
    </row>
    <row r="168" spans="2:6" ht="12" customHeight="1" x14ac:dyDescent="0.15">
      <c r="B168" s="2"/>
      <c r="C168" s="3"/>
      <c r="D168" s="3"/>
      <c r="E168" s="3"/>
      <c r="F168" s="4"/>
    </row>
    <row r="169" spans="2:6" ht="12" customHeight="1" x14ac:dyDescent="0.15">
      <c r="B169" s="2"/>
      <c r="C169" s="3"/>
      <c r="D169" s="3"/>
      <c r="E169" s="3"/>
      <c r="F169" s="4"/>
    </row>
    <row r="170" spans="2:6" ht="12" customHeight="1" x14ac:dyDescent="0.15">
      <c r="B170" s="2"/>
      <c r="C170" s="3"/>
      <c r="D170" s="3"/>
      <c r="E170" s="3"/>
      <c r="F170" s="4"/>
    </row>
    <row r="171" spans="2:6" ht="12" customHeight="1" x14ac:dyDescent="0.15">
      <c r="B171" s="2"/>
      <c r="C171" s="3"/>
      <c r="D171" s="3"/>
      <c r="E171" s="3"/>
      <c r="F171" s="4"/>
    </row>
    <row r="172" spans="2:6" ht="12" customHeight="1" x14ac:dyDescent="0.15">
      <c r="B172" s="2"/>
      <c r="C172" s="3"/>
      <c r="D172" s="3"/>
      <c r="E172" s="3"/>
      <c r="F172" s="4"/>
    </row>
    <row r="173" spans="2:6" ht="12" customHeight="1" x14ac:dyDescent="0.15">
      <c r="B173" s="2"/>
      <c r="C173" s="3"/>
      <c r="D173" s="3"/>
      <c r="E173" s="3"/>
      <c r="F173" s="4"/>
    </row>
    <row r="174" spans="2:6" ht="12" customHeight="1" x14ac:dyDescent="0.15">
      <c r="B174" s="2"/>
      <c r="C174" s="3"/>
      <c r="D174" s="3"/>
      <c r="E174" s="3"/>
      <c r="F174" s="4"/>
    </row>
    <row r="175" spans="2:6" ht="12" customHeight="1" x14ac:dyDescent="0.15">
      <c r="B175" s="2"/>
      <c r="C175" s="3"/>
      <c r="D175" s="3"/>
      <c r="E175" s="3"/>
      <c r="F175" s="4"/>
    </row>
    <row r="176" spans="2:6" ht="12" customHeight="1" x14ac:dyDescent="0.15">
      <c r="B176" s="2"/>
      <c r="C176" s="3"/>
      <c r="D176" s="3"/>
      <c r="E176" s="3"/>
      <c r="F176" s="4"/>
    </row>
    <row r="177" spans="2:6" ht="12" customHeight="1" x14ac:dyDescent="0.15">
      <c r="B177" s="2"/>
      <c r="C177" s="3"/>
      <c r="D177" s="3"/>
      <c r="E177" s="3"/>
      <c r="F177" s="4"/>
    </row>
    <row r="178" spans="2:6" ht="12" customHeight="1" x14ac:dyDescent="0.15">
      <c r="B178" s="2"/>
      <c r="C178" s="3"/>
      <c r="D178" s="3"/>
      <c r="E178" s="3"/>
      <c r="F178" s="4"/>
    </row>
    <row r="179" spans="2:6" ht="12" customHeight="1" x14ac:dyDescent="0.15">
      <c r="B179" s="2"/>
      <c r="C179" s="3"/>
      <c r="D179" s="3"/>
      <c r="E179" s="3"/>
      <c r="F179" s="4"/>
    </row>
    <row r="180" spans="2:6" ht="12" customHeight="1" x14ac:dyDescent="0.15">
      <c r="B180" s="2"/>
      <c r="C180" s="3"/>
      <c r="D180" s="3"/>
      <c r="E180" s="3"/>
      <c r="F180" s="4"/>
    </row>
    <row r="181" spans="2:6" ht="12" customHeight="1" x14ac:dyDescent="0.15">
      <c r="B181" s="2"/>
      <c r="C181" s="3"/>
      <c r="D181" s="3"/>
      <c r="E181" s="3"/>
      <c r="F181" s="4"/>
    </row>
    <row r="182" spans="2:6" ht="12" customHeight="1" x14ac:dyDescent="0.15">
      <c r="B182" s="2"/>
      <c r="C182" s="3"/>
      <c r="D182" s="3"/>
      <c r="E182" s="3"/>
      <c r="F182" s="4"/>
    </row>
    <row r="183" spans="2:6" ht="12" customHeight="1" x14ac:dyDescent="0.15">
      <c r="B183" s="2"/>
      <c r="C183" s="3"/>
      <c r="D183" s="3"/>
      <c r="E183" s="3"/>
      <c r="F183" s="4"/>
    </row>
    <row r="184" spans="2:6" ht="12" customHeight="1" x14ac:dyDescent="0.15">
      <c r="B184" s="2"/>
      <c r="C184" s="3"/>
      <c r="D184" s="3"/>
      <c r="E184" s="3"/>
      <c r="F184" s="4"/>
    </row>
    <row r="185" spans="2:6" ht="12" customHeight="1" x14ac:dyDescent="0.15">
      <c r="B185" s="2"/>
      <c r="C185" s="3"/>
      <c r="D185" s="3"/>
      <c r="E185" s="3"/>
      <c r="F185" s="4"/>
    </row>
    <row r="186" spans="2:6" ht="12" customHeight="1" x14ac:dyDescent="0.15">
      <c r="B186" s="2"/>
      <c r="C186" s="3"/>
      <c r="D186" s="3"/>
      <c r="E186" s="3"/>
      <c r="F186" s="4"/>
    </row>
    <row r="187" spans="2:6" ht="12" customHeight="1" x14ac:dyDescent="0.15">
      <c r="B187" s="2"/>
      <c r="C187" s="3"/>
      <c r="D187" s="3"/>
      <c r="E187" s="3"/>
      <c r="F187" s="4"/>
    </row>
    <row r="188" spans="2:6" ht="12" customHeight="1" x14ac:dyDescent="0.15">
      <c r="B188" s="2"/>
      <c r="C188" s="3"/>
      <c r="D188" s="3"/>
      <c r="E188" s="3"/>
      <c r="F188" s="4"/>
    </row>
    <row r="189" spans="2:6" ht="12" customHeight="1" x14ac:dyDescent="0.15">
      <c r="B189" s="2"/>
      <c r="C189" s="3"/>
      <c r="D189" s="3"/>
      <c r="E189" s="3"/>
      <c r="F189" s="4"/>
    </row>
    <row r="190" spans="2:6" ht="12" customHeight="1" x14ac:dyDescent="0.15">
      <c r="B190" s="2"/>
      <c r="C190" s="3"/>
      <c r="D190" s="3"/>
      <c r="E190" s="3"/>
      <c r="F190" s="4"/>
    </row>
    <row r="191" spans="2:6" ht="12" customHeight="1" x14ac:dyDescent="0.15">
      <c r="B191" s="2"/>
      <c r="C191" s="3"/>
      <c r="D191" s="3"/>
      <c r="E191" s="3"/>
      <c r="F191" s="4"/>
    </row>
    <row r="192" spans="2:6" ht="12" customHeight="1" x14ac:dyDescent="0.15">
      <c r="B192" s="2"/>
      <c r="C192" s="3"/>
      <c r="D192" s="3"/>
      <c r="E192" s="3"/>
      <c r="F192" s="4"/>
    </row>
    <row r="193" spans="2:6" ht="12" customHeight="1" x14ac:dyDescent="0.15">
      <c r="B193" s="2"/>
      <c r="C193" s="3"/>
      <c r="D193" s="3"/>
      <c r="E193" s="3"/>
      <c r="F193" s="4"/>
    </row>
    <row r="194" spans="2:6" ht="12" customHeight="1" x14ac:dyDescent="0.15">
      <c r="B194" s="2"/>
      <c r="C194" s="3"/>
      <c r="D194" s="3"/>
      <c r="E194" s="3"/>
      <c r="F194" s="4"/>
    </row>
    <row r="195" spans="2:6" ht="12" customHeight="1" x14ac:dyDescent="0.15">
      <c r="B195" s="2"/>
      <c r="C195" s="3"/>
      <c r="D195" s="3"/>
      <c r="E195" s="3"/>
      <c r="F195" s="4"/>
    </row>
    <row r="196" spans="2:6" ht="12" customHeight="1" x14ac:dyDescent="0.15">
      <c r="B196" s="2"/>
      <c r="C196" s="3"/>
      <c r="D196" s="3"/>
      <c r="E196" s="3"/>
      <c r="F196" s="4"/>
    </row>
    <row r="197" spans="2:6" ht="12" customHeight="1" x14ac:dyDescent="0.15">
      <c r="B197" s="2"/>
      <c r="C197" s="3"/>
      <c r="D197" s="3"/>
      <c r="E197" s="3"/>
      <c r="F197" s="4"/>
    </row>
    <row r="198" spans="2:6" ht="12" customHeight="1" x14ac:dyDescent="0.15">
      <c r="B198" s="2"/>
      <c r="C198" s="3"/>
      <c r="D198" s="3"/>
      <c r="E198" s="3"/>
      <c r="F198" s="4"/>
    </row>
    <row r="199" spans="2:6" ht="12" customHeight="1" x14ac:dyDescent="0.15">
      <c r="B199" s="2"/>
      <c r="C199" s="3"/>
      <c r="D199" s="3"/>
      <c r="E199" s="3"/>
      <c r="F199" s="4"/>
    </row>
    <row r="200" spans="2:6" ht="12" customHeight="1" x14ac:dyDescent="0.15">
      <c r="B200" s="2"/>
      <c r="C200" s="3"/>
      <c r="D200" s="3"/>
      <c r="E200" s="3"/>
      <c r="F200" s="4"/>
    </row>
    <row r="201" spans="2:6" ht="12" customHeight="1" x14ac:dyDescent="0.15">
      <c r="B201" s="2"/>
      <c r="C201" s="3"/>
      <c r="D201" s="3"/>
      <c r="E201" s="3"/>
      <c r="F201" s="4"/>
    </row>
    <row r="202" spans="2:6" ht="12" customHeight="1" x14ac:dyDescent="0.15">
      <c r="B202" s="2"/>
      <c r="C202" s="3"/>
      <c r="D202" s="3"/>
      <c r="E202" s="3"/>
      <c r="F202" s="4"/>
    </row>
    <row r="203" spans="2:6" ht="12" customHeight="1" x14ac:dyDescent="0.15">
      <c r="B203" s="2"/>
      <c r="C203" s="3"/>
      <c r="D203" s="3"/>
      <c r="E203" s="3"/>
      <c r="F203" s="4"/>
    </row>
    <row r="204" spans="2:6" ht="12" customHeight="1" x14ac:dyDescent="0.15">
      <c r="B204" s="2"/>
      <c r="C204" s="3"/>
      <c r="D204" s="3"/>
      <c r="E204" s="3"/>
      <c r="F204" s="4"/>
    </row>
    <row r="205" spans="2:6" ht="12" customHeight="1" x14ac:dyDescent="0.15">
      <c r="B205" s="2"/>
      <c r="C205" s="3"/>
      <c r="D205" s="3"/>
      <c r="E205" s="3"/>
      <c r="F205" s="4"/>
    </row>
    <row r="206" spans="2:6" ht="12" customHeight="1" x14ac:dyDescent="0.15">
      <c r="B206" s="2"/>
      <c r="C206" s="3"/>
      <c r="D206" s="3"/>
      <c r="E206" s="3"/>
      <c r="F206" s="4"/>
    </row>
    <row r="207" spans="2:6" ht="12" customHeight="1" x14ac:dyDescent="0.15">
      <c r="B207" s="2"/>
      <c r="C207" s="3"/>
      <c r="D207" s="3"/>
      <c r="E207" s="3"/>
      <c r="F207" s="4"/>
    </row>
    <row r="208" spans="2:6" ht="12" customHeight="1" x14ac:dyDescent="0.15">
      <c r="B208" s="2"/>
      <c r="C208" s="3"/>
      <c r="D208" s="3"/>
      <c r="E208" s="3"/>
      <c r="F208" s="4"/>
    </row>
    <row r="209" spans="2:6" ht="12" customHeight="1" x14ac:dyDescent="0.15">
      <c r="B209" s="2"/>
      <c r="C209" s="3"/>
      <c r="D209" s="3"/>
      <c r="E209" s="3"/>
      <c r="F209" s="4"/>
    </row>
    <row r="210" spans="2:6" ht="12" customHeight="1" x14ac:dyDescent="0.15">
      <c r="B210" s="2"/>
      <c r="C210" s="3"/>
      <c r="D210" s="3"/>
      <c r="E210" s="3"/>
      <c r="F210" s="4"/>
    </row>
    <row r="211" spans="2:6" ht="12" customHeight="1" x14ac:dyDescent="0.15">
      <c r="B211" s="2"/>
      <c r="C211" s="3"/>
      <c r="D211" s="3"/>
      <c r="E211" s="3"/>
      <c r="F211" s="4"/>
    </row>
    <row r="212" spans="2:6" ht="12" customHeight="1" x14ac:dyDescent="0.15">
      <c r="B212" s="2"/>
      <c r="C212" s="3"/>
      <c r="D212" s="3"/>
      <c r="E212" s="3"/>
      <c r="F212" s="4"/>
    </row>
    <row r="213" spans="2:6" ht="12" customHeight="1" x14ac:dyDescent="0.15">
      <c r="B213" s="2"/>
      <c r="C213" s="3"/>
      <c r="D213" s="3"/>
      <c r="E213" s="3"/>
      <c r="F213" s="4"/>
    </row>
    <row r="214" spans="2:6" ht="12" customHeight="1" x14ac:dyDescent="0.15">
      <c r="B214" s="2"/>
      <c r="C214" s="3"/>
      <c r="D214" s="3"/>
      <c r="E214" s="3"/>
      <c r="F214" s="4"/>
    </row>
    <row r="215" spans="2:6" ht="12" customHeight="1" x14ac:dyDescent="0.15">
      <c r="B215" s="2"/>
      <c r="C215" s="3"/>
      <c r="D215" s="3"/>
      <c r="E215" s="3"/>
      <c r="F215" s="4"/>
    </row>
    <row r="216" spans="2:6" ht="12" customHeight="1" x14ac:dyDescent="0.15">
      <c r="B216" s="2"/>
      <c r="C216" s="3"/>
      <c r="D216" s="3"/>
      <c r="E216" s="3"/>
      <c r="F216" s="4"/>
    </row>
    <row r="217" spans="2:6" ht="12" customHeight="1" x14ac:dyDescent="0.15">
      <c r="B217" s="2"/>
      <c r="C217" s="3"/>
      <c r="D217" s="3"/>
      <c r="E217" s="3"/>
      <c r="F217" s="4"/>
    </row>
    <row r="218" spans="2:6" ht="12" customHeight="1" x14ac:dyDescent="0.15">
      <c r="B218" s="2"/>
      <c r="C218" s="3"/>
      <c r="D218" s="3"/>
      <c r="E218" s="3"/>
      <c r="F218" s="4"/>
    </row>
    <row r="219" spans="2:6" ht="12" customHeight="1" x14ac:dyDescent="0.15">
      <c r="B219" s="2"/>
      <c r="C219" s="3"/>
      <c r="D219" s="3"/>
      <c r="E219" s="3"/>
      <c r="F219" s="4"/>
    </row>
    <row r="220" spans="2:6" ht="12" customHeight="1" x14ac:dyDescent="0.15">
      <c r="B220" s="2"/>
      <c r="C220" s="3"/>
      <c r="D220" s="3"/>
      <c r="E220" s="3"/>
      <c r="F220" s="4"/>
    </row>
    <row r="221" spans="2:6" ht="12" customHeight="1" x14ac:dyDescent="0.15">
      <c r="B221" s="2"/>
      <c r="C221" s="3"/>
      <c r="D221" s="3"/>
      <c r="E221" s="3"/>
      <c r="F221" s="4"/>
    </row>
    <row r="222" spans="2:6" ht="12" customHeight="1" x14ac:dyDescent="0.15">
      <c r="B222" s="2"/>
      <c r="C222" s="3"/>
      <c r="D222" s="3"/>
      <c r="E222" s="3"/>
      <c r="F222" s="4"/>
    </row>
    <row r="223" spans="2:6" ht="12" customHeight="1" x14ac:dyDescent="0.15">
      <c r="B223" s="2"/>
      <c r="C223" s="3"/>
      <c r="D223" s="3"/>
      <c r="E223" s="3"/>
      <c r="F223" s="4"/>
    </row>
    <row r="224" spans="2:6" ht="12" customHeight="1" x14ac:dyDescent="0.15">
      <c r="B224" s="2"/>
      <c r="C224" s="3"/>
      <c r="D224" s="3"/>
      <c r="E224" s="3"/>
      <c r="F224" s="4"/>
    </row>
    <row r="225" spans="2:6" ht="12" customHeight="1" x14ac:dyDescent="0.15">
      <c r="B225" s="2"/>
      <c r="C225" s="3"/>
      <c r="D225" s="3"/>
      <c r="E225" s="3"/>
      <c r="F225" s="4"/>
    </row>
    <row r="226" spans="2:6" ht="12" customHeight="1" x14ac:dyDescent="0.15">
      <c r="B226" s="2"/>
      <c r="C226" s="3"/>
      <c r="D226" s="3"/>
      <c r="E226" s="3"/>
      <c r="F226" s="4"/>
    </row>
    <row r="227" spans="2:6" ht="12" customHeight="1" x14ac:dyDescent="0.15">
      <c r="B227" s="2"/>
      <c r="C227" s="3"/>
      <c r="D227" s="3"/>
      <c r="E227" s="3"/>
      <c r="F227" s="4"/>
    </row>
    <row r="228" spans="2:6" ht="12" customHeight="1" x14ac:dyDescent="0.15">
      <c r="B228" s="2"/>
      <c r="C228" s="3"/>
      <c r="D228" s="3"/>
      <c r="E228" s="3"/>
      <c r="F228" s="4"/>
    </row>
    <row r="229" spans="2:6" ht="12" customHeight="1" x14ac:dyDescent="0.15">
      <c r="B229" s="2"/>
      <c r="C229" s="3"/>
      <c r="D229" s="3"/>
      <c r="E229" s="3"/>
      <c r="F229" s="4"/>
    </row>
    <row r="230" spans="2:6" ht="12" customHeight="1" x14ac:dyDescent="0.15">
      <c r="B230" s="2"/>
      <c r="C230" s="3"/>
      <c r="D230" s="3"/>
      <c r="E230" s="3"/>
      <c r="F230" s="4"/>
    </row>
    <row r="231" spans="2:6" ht="12" customHeight="1" x14ac:dyDescent="0.15">
      <c r="B231" s="2"/>
      <c r="C231" s="3"/>
      <c r="D231" s="3"/>
      <c r="E231" s="3"/>
      <c r="F231" s="4"/>
    </row>
    <row r="232" spans="2:6" ht="12" customHeight="1" x14ac:dyDescent="0.15">
      <c r="B232" s="2"/>
      <c r="C232" s="3"/>
      <c r="D232" s="3"/>
      <c r="E232" s="3"/>
      <c r="F232" s="4"/>
    </row>
    <row r="233" spans="2:6" ht="12" customHeight="1" x14ac:dyDescent="0.15">
      <c r="B233" s="2"/>
      <c r="C233" s="3"/>
      <c r="D233" s="3"/>
      <c r="E233" s="3"/>
      <c r="F233" s="4"/>
    </row>
    <row r="234" spans="2:6" ht="12" customHeight="1" x14ac:dyDescent="0.15">
      <c r="B234" s="2"/>
      <c r="C234" s="3"/>
      <c r="D234" s="3"/>
      <c r="E234" s="3"/>
      <c r="F234" s="4"/>
    </row>
    <row r="235" spans="2:6" ht="12" customHeight="1" x14ac:dyDescent="0.15">
      <c r="B235" s="2"/>
      <c r="C235" s="3"/>
      <c r="D235" s="3"/>
      <c r="E235" s="3"/>
      <c r="F235" s="4"/>
    </row>
    <row r="236" spans="2:6" ht="12" customHeight="1" x14ac:dyDescent="0.15">
      <c r="B236" s="2"/>
      <c r="C236" s="3"/>
      <c r="D236" s="3"/>
      <c r="E236" s="3"/>
      <c r="F236" s="4"/>
    </row>
    <row r="237" spans="2:6" ht="12" customHeight="1" x14ac:dyDescent="0.15">
      <c r="B237" s="2"/>
      <c r="C237" s="3"/>
      <c r="D237" s="3"/>
      <c r="E237" s="3"/>
      <c r="F237" s="4"/>
    </row>
    <row r="238" spans="2:6" ht="12" customHeight="1" x14ac:dyDescent="0.15">
      <c r="B238" s="2"/>
      <c r="C238" s="3"/>
      <c r="D238" s="3"/>
      <c r="E238" s="3"/>
      <c r="F238" s="4"/>
    </row>
    <row r="239" spans="2:6" ht="12" customHeight="1" x14ac:dyDescent="0.15">
      <c r="B239" s="2"/>
      <c r="C239" s="3"/>
      <c r="D239" s="3"/>
      <c r="E239" s="3"/>
      <c r="F239" s="4"/>
    </row>
    <row r="240" spans="2:6" ht="12" customHeight="1" x14ac:dyDescent="0.15">
      <c r="B240" s="2"/>
      <c r="C240" s="3"/>
      <c r="D240" s="3"/>
      <c r="E240" s="3"/>
      <c r="F240" s="4"/>
    </row>
    <row r="241" spans="2:6" ht="12" customHeight="1" x14ac:dyDescent="0.15">
      <c r="B241" s="2"/>
      <c r="C241" s="3"/>
      <c r="D241" s="3"/>
      <c r="E241" s="3"/>
      <c r="F241" s="4"/>
    </row>
    <row r="242" spans="2:6" ht="12" customHeight="1" x14ac:dyDescent="0.15">
      <c r="B242" s="2"/>
      <c r="C242" s="3"/>
      <c r="D242" s="3"/>
      <c r="E242" s="3"/>
      <c r="F242" s="4"/>
    </row>
    <row r="243" spans="2:6" ht="12" customHeight="1" x14ac:dyDescent="0.15">
      <c r="B243" s="2"/>
      <c r="C243" s="3"/>
      <c r="D243" s="3"/>
      <c r="E243" s="3"/>
      <c r="F243" s="4"/>
    </row>
    <row r="244" spans="2:6" ht="12" customHeight="1" x14ac:dyDescent="0.15">
      <c r="B244" s="2"/>
      <c r="C244" s="3"/>
      <c r="D244" s="3"/>
      <c r="E244" s="3"/>
      <c r="F244" s="4"/>
    </row>
    <row r="245" spans="2:6" ht="12" customHeight="1" x14ac:dyDescent="0.15">
      <c r="B245" s="2"/>
      <c r="C245" s="3"/>
      <c r="D245" s="3"/>
      <c r="E245" s="3"/>
      <c r="F245" s="4"/>
    </row>
    <row r="246" spans="2:6" ht="12" customHeight="1" x14ac:dyDescent="0.15">
      <c r="B246" s="2"/>
      <c r="C246" s="3"/>
      <c r="D246" s="3"/>
      <c r="E246" s="3"/>
      <c r="F246" s="4"/>
    </row>
    <row r="247" spans="2:6" ht="12" customHeight="1" x14ac:dyDescent="0.15">
      <c r="B247" s="2"/>
      <c r="C247" s="3"/>
      <c r="D247" s="3"/>
      <c r="E247" s="3"/>
      <c r="F247" s="4"/>
    </row>
    <row r="248" spans="2:6" ht="12" customHeight="1" x14ac:dyDescent="0.15">
      <c r="B248" s="2"/>
      <c r="C248" s="3"/>
      <c r="D248" s="3"/>
      <c r="E248" s="3"/>
      <c r="F248" s="4"/>
    </row>
    <row r="249" spans="2:6" ht="12" customHeight="1" x14ac:dyDescent="0.15">
      <c r="B249" s="2"/>
      <c r="C249" s="3"/>
      <c r="D249" s="3"/>
      <c r="E249" s="3"/>
      <c r="F249" s="4"/>
    </row>
    <row r="250" spans="2:6" ht="12" customHeight="1" x14ac:dyDescent="0.15">
      <c r="B250" s="2"/>
      <c r="C250" s="3"/>
      <c r="D250" s="3"/>
      <c r="E250" s="3"/>
      <c r="F250" s="4"/>
    </row>
    <row r="251" spans="2:6" ht="12" customHeight="1" x14ac:dyDescent="0.15">
      <c r="B251" s="2"/>
      <c r="C251" s="3"/>
      <c r="D251" s="3"/>
      <c r="E251" s="3"/>
      <c r="F251" s="4"/>
    </row>
    <row r="252" spans="2:6" ht="12" customHeight="1" x14ac:dyDescent="0.15">
      <c r="B252" s="2"/>
      <c r="C252" s="3"/>
      <c r="D252" s="3"/>
      <c r="E252" s="3"/>
      <c r="F252" s="4"/>
    </row>
    <row r="253" spans="2:6" ht="12" customHeight="1" x14ac:dyDescent="0.15">
      <c r="B253" s="2"/>
      <c r="C253" s="3"/>
      <c r="D253" s="3"/>
      <c r="E253" s="3"/>
      <c r="F253" s="4"/>
    </row>
    <row r="254" spans="2:6" ht="12" customHeight="1" x14ac:dyDescent="0.15">
      <c r="B254" s="2"/>
      <c r="C254" s="3"/>
      <c r="D254" s="3"/>
      <c r="E254" s="3"/>
      <c r="F254" s="4"/>
    </row>
    <row r="255" spans="2:6" ht="12" customHeight="1" x14ac:dyDescent="0.15">
      <c r="B255" s="2"/>
      <c r="C255" s="3"/>
      <c r="D255" s="3"/>
      <c r="E255" s="3"/>
      <c r="F255" s="4"/>
    </row>
    <row r="256" spans="2:6" ht="12" customHeight="1" x14ac:dyDescent="0.15">
      <c r="B256" s="2"/>
      <c r="C256" s="3"/>
      <c r="D256" s="3"/>
      <c r="E256" s="3"/>
      <c r="F256" s="4"/>
    </row>
    <row r="257" spans="2:6" ht="12" customHeight="1" x14ac:dyDescent="0.15">
      <c r="B257" s="2"/>
      <c r="C257" s="3"/>
      <c r="D257" s="3"/>
      <c r="E257" s="3"/>
      <c r="F257" s="4"/>
    </row>
    <row r="258" spans="2:6" ht="12" customHeight="1" x14ac:dyDescent="0.15">
      <c r="B258" s="2"/>
      <c r="C258" s="3"/>
      <c r="D258" s="3"/>
      <c r="E258" s="3"/>
      <c r="F258" s="4"/>
    </row>
    <row r="259" spans="2:6" ht="12" customHeight="1" x14ac:dyDescent="0.15">
      <c r="B259" s="2"/>
      <c r="C259" s="3"/>
      <c r="D259" s="3"/>
      <c r="E259" s="3"/>
      <c r="F259" s="4"/>
    </row>
    <row r="260" spans="2:6" ht="12" customHeight="1" x14ac:dyDescent="0.15">
      <c r="B260" s="2"/>
      <c r="C260" s="3"/>
      <c r="D260" s="3"/>
      <c r="E260" s="3"/>
      <c r="F260" s="4"/>
    </row>
    <row r="261" spans="2:6" ht="12" customHeight="1" x14ac:dyDescent="0.15">
      <c r="B261" s="2"/>
      <c r="C261" s="3"/>
      <c r="D261" s="3"/>
      <c r="E261" s="3"/>
      <c r="F261" s="4"/>
    </row>
    <row r="262" spans="2:6" ht="12" customHeight="1" x14ac:dyDescent="0.15">
      <c r="B262" s="2"/>
      <c r="C262" s="3"/>
      <c r="D262" s="3"/>
      <c r="E262" s="3"/>
      <c r="F262" s="4"/>
    </row>
    <row r="263" spans="2:6" ht="12" customHeight="1" x14ac:dyDescent="0.15">
      <c r="B263" s="2"/>
      <c r="C263" s="3"/>
      <c r="D263" s="3"/>
      <c r="E263" s="3"/>
      <c r="F263" s="4"/>
    </row>
    <row r="264" spans="2:6" ht="12" customHeight="1" x14ac:dyDescent="0.15">
      <c r="B264" s="2"/>
      <c r="C264" s="3"/>
      <c r="D264" s="3"/>
      <c r="E264" s="3"/>
      <c r="F264" s="4"/>
    </row>
    <row r="265" spans="2:6" ht="12" customHeight="1" x14ac:dyDescent="0.15">
      <c r="B265" s="2"/>
      <c r="C265" s="3"/>
      <c r="D265" s="3"/>
      <c r="E265" s="3"/>
      <c r="F265" s="4"/>
    </row>
    <row r="266" spans="2:6" ht="12" customHeight="1" x14ac:dyDescent="0.15">
      <c r="B266" s="2"/>
      <c r="C266" s="3"/>
      <c r="D266" s="3"/>
      <c r="E266" s="3"/>
      <c r="F266" s="4"/>
    </row>
    <row r="267" spans="2:6" ht="12" customHeight="1" x14ac:dyDescent="0.15">
      <c r="B267" s="2"/>
      <c r="C267" s="3"/>
      <c r="D267" s="3"/>
      <c r="E267" s="3"/>
      <c r="F267" s="4"/>
    </row>
    <row r="268" spans="2:6" ht="12" customHeight="1" x14ac:dyDescent="0.15">
      <c r="B268" s="2"/>
      <c r="C268" s="3"/>
      <c r="D268" s="3"/>
      <c r="E268" s="3"/>
      <c r="F268" s="4"/>
    </row>
    <row r="269" spans="2:6" ht="12" customHeight="1" x14ac:dyDescent="0.15">
      <c r="B269" s="2"/>
      <c r="C269" s="3"/>
      <c r="D269" s="3"/>
      <c r="E269" s="3"/>
      <c r="F269" s="4"/>
    </row>
    <row r="270" spans="2:6" ht="12" customHeight="1" x14ac:dyDescent="0.15">
      <c r="B270" s="2"/>
      <c r="C270" s="3"/>
      <c r="D270" s="3"/>
      <c r="E270" s="3"/>
      <c r="F270" s="4"/>
    </row>
    <row r="271" spans="2:6" ht="12" customHeight="1" x14ac:dyDescent="0.15">
      <c r="B271" s="2"/>
      <c r="C271" s="3"/>
      <c r="D271" s="3"/>
      <c r="E271" s="3"/>
      <c r="F271" s="4"/>
    </row>
    <row r="272" spans="2:6" ht="12" customHeight="1" x14ac:dyDescent="0.15">
      <c r="B272" s="2"/>
      <c r="C272" s="3"/>
      <c r="D272" s="3"/>
      <c r="E272" s="3"/>
      <c r="F272" s="4"/>
    </row>
    <row r="273" spans="2:6" ht="12" customHeight="1" x14ac:dyDescent="0.15">
      <c r="B273" s="2"/>
      <c r="C273" s="3"/>
      <c r="D273" s="3"/>
      <c r="E273" s="3"/>
      <c r="F273" s="4"/>
    </row>
    <row r="274" spans="2:6" ht="12" customHeight="1" x14ac:dyDescent="0.15">
      <c r="B274" s="2"/>
      <c r="C274" s="3"/>
      <c r="D274" s="3"/>
      <c r="E274" s="3"/>
      <c r="F274" s="4"/>
    </row>
    <row r="275" spans="2:6" ht="12" customHeight="1" x14ac:dyDescent="0.15">
      <c r="B275" s="2"/>
      <c r="C275" s="3"/>
      <c r="D275" s="3"/>
      <c r="E275" s="3"/>
      <c r="F275" s="4"/>
    </row>
    <row r="276" spans="2:6" ht="12" customHeight="1" x14ac:dyDescent="0.15">
      <c r="B276" s="2"/>
      <c r="C276" s="3"/>
      <c r="D276" s="3"/>
      <c r="E276" s="3"/>
      <c r="F276" s="4"/>
    </row>
    <row r="277" spans="2:6" ht="12" customHeight="1" x14ac:dyDescent="0.15">
      <c r="B277" s="2"/>
      <c r="C277" s="3"/>
      <c r="D277" s="3"/>
      <c r="E277" s="3"/>
      <c r="F277" s="4"/>
    </row>
    <row r="278" spans="2:6" ht="12" customHeight="1" x14ac:dyDescent="0.15">
      <c r="B278" s="2"/>
      <c r="C278" s="3"/>
      <c r="D278" s="3"/>
      <c r="E278" s="3"/>
      <c r="F278" s="4"/>
    </row>
    <row r="279" spans="2:6" ht="12" customHeight="1" x14ac:dyDescent="0.15">
      <c r="B279" s="2"/>
      <c r="C279" s="3"/>
      <c r="D279" s="3"/>
      <c r="E279" s="3"/>
      <c r="F279" s="4"/>
    </row>
    <row r="280" spans="2:6" ht="12" customHeight="1" x14ac:dyDescent="0.15">
      <c r="B280" s="2"/>
      <c r="C280" s="3"/>
      <c r="D280" s="3"/>
      <c r="E280" s="3"/>
      <c r="F280" s="4"/>
    </row>
    <row r="281" spans="2:6" ht="12" customHeight="1" x14ac:dyDescent="0.15">
      <c r="B281" s="2"/>
      <c r="C281" s="3"/>
      <c r="D281" s="3"/>
      <c r="E281" s="3"/>
      <c r="F281" s="4"/>
    </row>
    <row r="282" spans="2:6" ht="12" customHeight="1" x14ac:dyDescent="0.15">
      <c r="B282" s="2"/>
      <c r="C282" s="3"/>
      <c r="D282" s="3"/>
      <c r="E282" s="3"/>
      <c r="F282" s="4"/>
    </row>
    <row r="283" spans="2:6" ht="12" customHeight="1" x14ac:dyDescent="0.15">
      <c r="B283" s="2"/>
      <c r="C283" s="3"/>
      <c r="D283" s="3"/>
      <c r="E283" s="3"/>
      <c r="F283" s="4"/>
    </row>
    <row r="284" spans="2:6" ht="12" customHeight="1" x14ac:dyDescent="0.15">
      <c r="B284" s="2"/>
      <c r="C284" s="3"/>
      <c r="D284" s="3"/>
      <c r="E284" s="3"/>
      <c r="F284" s="4"/>
    </row>
    <row r="285" spans="2:6" ht="12" customHeight="1" x14ac:dyDescent="0.15">
      <c r="B285" s="2"/>
      <c r="C285" s="3"/>
      <c r="D285" s="3"/>
      <c r="E285" s="3"/>
      <c r="F285" s="4"/>
    </row>
    <row r="286" spans="2:6" ht="12" customHeight="1" x14ac:dyDescent="0.15">
      <c r="B286" s="2"/>
      <c r="C286" s="3"/>
      <c r="D286" s="3"/>
      <c r="E286" s="3"/>
      <c r="F286" s="4"/>
    </row>
    <row r="287" spans="2:6" ht="12" customHeight="1" x14ac:dyDescent="0.15">
      <c r="B287" s="2"/>
      <c r="C287" s="3"/>
      <c r="D287" s="3"/>
      <c r="E287" s="3"/>
      <c r="F287" s="4"/>
    </row>
    <row r="288" spans="2:6" ht="12" customHeight="1" x14ac:dyDescent="0.15">
      <c r="B288" s="2"/>
      <c r="C288" s="3"/>
      <c r="D288" s="3"/>
      <c r="E288" s="3"/>
      <c r="F288" s="4"/>
    </row>
    <row r="289" spans="2:6" ht="12" customHeight="1" x14ac:dyDescent="0.15">
      <c r="B289" s="2"/>
      <c r="C289" s="3"/>
      <c r="D289" s="3"/>
      <c r="E289" s="3"/>
      <c r="F289" s="4"/>
    </row>
    <row r="290" spans="2:6" ht="12" customHeight="1" x14ac:dyDescent="0.15">
      <c r="B290" s="2"/>
      <c r="C290" s="3"/>
      <c r="D290" s="3"/>
      <c r="E290" s="3"/>
      <c r="F290" s="4"/>
    </row>
    <row r="291" spans="2:6" ht="12" customHeight="1" x14ac:dyDescent="0.15">
      <c r="B291" s="2"/>
      <c r="C291" s="3"/>
      <c r="D291" s="3"/>
      <c r="E291" s="3"/>
      <c r="F291" s="4"/>
    </row>
    <row r="292" spans="2:6" ht="12" customHeight="1" x14ac:dyDescent="0.15">
      <c r="B292" s="2"/>
      <c r="C292" s="3"/>
      <c r="D292" s="3"/>
      <c r="E292" s="3"/>
      <c r="F292" s="4"/>
    </row>
    <row r="293" spans="2:6" ht="12" customHeight="1" x14ac:dyDescent="0.15">
      <c r="B293" s="2"/>
      <c r="C293" s="3"/>
      <c r="D293" s="3"/>
      <c r="E293" s="3"/>
      <c r="F293" s="4"/>
    </row>
    <row r="294" spans="2:6" ht="12" customHeight="1" x14ac:dyDescent="0.15">
      <c r="B294" s="2"/>
      <c r="C294" s="3"/>
      <c r="D294" s="3"/>
      <c r="E294" s="3"/>
      <c r="F294" s="4"/>
    </row>
    <row r="295" spans="2:6" ht="12" customHeight="1" x14ac:dyDescent="0.15">
      <c r="B295" s="2"/>
      <c r="C295" s="3"/>
      <c r="D295" s="3"/>
      <c r="E295" s="3"/>
      <c r="F295" s="4"/>
    </row>
    <row r="296" spans="2:6" ht="12" customHeight="1" x14ac:dyDescent="0.15">
      <c r="B296" s="2"/>
      <c r="C296" s="3"/>
      <c r="D296" s="3"/>
      <c r="E296" s="3"/>
      <c r="F296" s="4"/>
    </row>
    <row r="297" spans="2:6" ht="12" customHeight="1" x14ac:dyDescent="0.15">
      <c r="B297" s="2"/>
      <c r="C297" s="3"/>
      <c r="D297" s="3"/>
      <c r="E297" s="3"/>
      <c r="F297" s="4"/>
    </row>
    <row r="298" spans="2:6" ht="12" customHeight="1" x14ac:dyDescent="0.15">
      <c r="B298" s="2"/>
      <c r="C298" s="3"/>
      <c r="D298" s="3"/>
      <c r="E298" s="3"/>
      <c r="F298" s="4"/>
    </row>
    <row r="299" spans="2:6" ht="12" customHeight="1" x14ac:dyDescent="0.15">
      <c r="B299" s="2"/>
      <c r="C299" s="3"/>
      <c r="D299" s="3"/>
      <c r="E299" s="3"/>
      <c r="F299" s="4"/>
    </row>
    <row r="300" spans="2:6" ht="12" customHeight="1" x14ac:dyDescent="0.15">
      <c r="B300" s="2"/>
      <c r="C300" s="3"/>
      <c r="D300" s="3"/>
      <c r="E300" s="3"/>
      <c r="F300" s="4"/>
    </row>
    <row r="301" spans="2:6" ht="12" customHeight="1" x14ac:dyDescent="0.15">
      <c r="B301" s="2"/>
      <c r="C301" s="3"/>
      <c r="D301" s="3"/>
      <c r="E301" s="3"/>
      <c r="F301" s="4"/>
    </row>
    <row r="302" spans="2:6" ht="12" customHeight="1" x14ac:dyDescent="0.15">
      <c r="B302" s="2"/>
      <c r="C302" s="3"/>
      <c r="D302" s="3"/>
      <c r="E302" s="3"/>
      <c r="F302" s="4"/>
    </row>
    <row r="303" spans="2:6" ht="12" customHeight="1" x14ac:dyDescent="0.15">
      <c r="B303" s="2"/>
      <c r="C303" s="3"/>
      <c r="D303" s="3"/>
      <c r="E303" s="3"/>
      <c r="F303" s="4"/>
    </row>
    <row r="304" spans="2:6" ht="12" customHeight="1" x14ac:dyDescent="0.15">
      <c r="B304" s="2"/>
      <c r="C304" s="3"/>
      <c r="D304" s="3"/>
      <c r="E304" s="3"/>
      <c r="F304" s="4"/>
    </row>
    <row r="305" spans="2:6" ht="12" customHeight="1" x14ac:dyDescent="0.15">
      <c r="B305" s="2"/>
      <c r="C305" s="3"/>
      <c r="D305" s="3"/>
      <c r="E305" s="3"/>
      <c r="F305" s="4"/>
    </row>
    <row r="306" spans="2:6" ht="12" customHeight="1" x14ac:dyDescent="0.15">
      <c r="B306" s="2"/>
      <c r="C306" s="3"/>
      <c r="D306" s="3"/>
      <c r="E306" s="3"/>
      <c r="F306" s="4"/>
    </row>
    <row r="307" spans="2:6" ht="12" customHeight="1" x14ac:dyDescent="0.15">
      <c r="B307" s="2"/>
      <c r="C307" s="3"/>
      <c r="D307" s="3"/>
      <c r="E307" s="3"/>
      <c r="F307" s="4"/>
    </row>
    <row r="308" spans="2:6" ht="12" customHeight="1" x14ac:dyDescent="0.15">
      <c r="B308" s="2"/>
      <c r="C308" s="3"/>
      <c r="D308" s="3"/>
      <c r="E308" s="3"/>
      <c r="F308" s="4"/>
    </row>
    <row r="309" spans="2:6" ht="12" customHeight="1" x14ac:dyDescent="0.15">
      <c r="B309" s="2"/>
      <c r="C309" s="3"/>
      <c r="D309" s="3"/>
      <c r="E309" s="3"/>
      <c r="F309" s="4"/>
    </row>
    <row r="310" spans="2:6" ht="12" customHeight="1" x14ac:dyDescent="0.15">
      <c r="B310" s="2"/>
      <c r="C310" s="3"/>
      <c r="D310" s="3"/>
      <c r="E310" s="3"/>
      <c r="F310" s="4"/>
    </row>
    <row r="311" spans="2:6" ht="12" customHeight="1" x14ac:dyDescent="0.15">
      <c r="B311" s="2"/>
      <c r="C311" s="3"/>
      <c r="D311" s="3"/>
      <c r="E311" s="3"/>
      <c r="F311" s="4"/>
    </row>
    <row r="312" spans="2:6" ht="12" customHeight="1" x14ac:dyDescent="0.15">
      <c r="B312" s="2"/>
      <c r="C312" s="3"/>
      <c r="D312" s="3"/>
      <c r="E312" s="3"/>
      <c r="F312" s="4"/>
    </row>
    <row r="313" spans="2:6" ht="12" customHeight="1" x14ac:dyDescent="0.15">
      <c r="B313" s="2"/>
      <c r="C313" s="3"/>
      <c r="D313" s="3"/>
      <c r="E313" s="3"/>
      <c r="F313" s="4"/>
    </row>
    <row r="314" spans="2:6" ht="12" customHeight="1" x14ac:dyDescent="0.15">
      <c r="B314" s="2"/>
      <c r="C314" s="3"/>
      <c r="D314" s="3"/>
      <c r="E314" s="3"/>
      <c r="F314" s="4"/>
    </row>
    <row r="315" spans="2:6" ht="12" customHeight="1" x14ac:dyDescent="0.15">
      <c r="B315" s="2"/>
      <c r="C315" s="3"/>
      <c r="D315" s="3"/>
      <c r="E315" s="3"/>
      <c r="F315" s="4"/>
    </row>
    <row r="316" spans="2:6" ht="12" customHeight="1" x14ac:dyDescent="0.15">
      <c r="B316" s="2"/>
      <c r="C316" s="3"/>
      <c r="D316" s="3"/>
      <c r="E316" s="3"/>
      <c r="F316" s="4"/>
    </row>
    <row r="317" spans="2:6" ht="12" customHeight="1" x14ac:dyDescent="0.15">
      <c r="B317" s="2"/>
      <c r="C317" s="3"/>
      <c r="D317" s="3"/>
      <c r="E317" s="3"/>
      <c r="F317" s="4"/>
    </row>
    <row r="318" spans="2:6" ht="12" customHeight="1" x14ac:dyDescent="0.15">
      <c r="B318" s="2"/>
      <c r="C318" s="3"/>
      <c r="D318" s="3"/>
      <c r="E318" s="3"/>
      <c r="F318" s="4"/>
    </row>
    <row r="319" spans="2:6" ht="12" customHeight="1" x14ac:dyDescent="0.15">
      <c r="B319" s="2"/>
      <c r="C319" s="3"/>
      <c r="D319" s="3"/>
      <c r="E319" s="3"/>
      <c r="F319" s="4"/>
    </row>
    <row r="320" spans="2:6" ht="12" customHeight="1" x14ac:dyDescent="0.15">
      <c r="B320" s="2"/>
      <c r="C320" s="3"/>
      <c r="D320" s="3"/>
      <c r="E320" s="3"/>
      <c r="F320" s="4"/>
    </row>
    <row r="321" spans="2:6" ht="12" customHeight="1" x14ac:dyDescent="0.15">
      <c r="B321" s="2"/>
      <c r="C321" s="3"/>
      <c r="D321" s="3"/>
      <c r="E321" s="3"/>
      <c r="F321" s="4"/>
    </row>
    <row r="322" spans="2:6" ht="12" customHeight="1" x14ac:dyDescent="0.15">
      <c r="B322" s="2"/>
      <c r="C322" s="3"/>
      <c r="D322" s="3"/>
      <c r="E322" s="3"/>
      <c r="F322" s="4"/>
    </row>
    <row r="323" spans="2:6" ht="12" customHeight="1" x14ac:dyDescent="0.15">
      <c r="B323" s="2"/>
      <c r="C323" s="3"/>
      <c r="D323" s="3"/>
      <c r="E323" s="3"/>
      <c r="F323" s="4"/>
    </row>
    <row r="324" spans="2:6" ht="12" customHeight="1" x14ac:dyDescent="0.15">
      <c r="B324" s="2"/>
      <c r="C324" s="3"/>
      <c r="D324" s="3"/>
      <c r="E324" s="3"/>
      <c r="F324" s="4"/>
    </row>
    <row r="325" spans="2:6" ht="12" customHeight="1" x14ac:dyDescent="0.15">
      <c r="B325" s="2"/>
      <c r="C325" s="3"/>
      <c r="D325" s="3"/>
      <c r="E325" s="3"/>
      <c r="F325" s="4"/>
    </row>
    <row r="326" spans="2:6" ht="12" customHeight="1" x14ac:dyDescent="0.15">
      <c r="B326" s="2"/>
      <c r="C326" s="3"/>
      <c r="D326" s="3"/>
      <c r="E326" s="3"/>
      <c r="F326" s="4"/>
    </row>
    <row r="327" spans="2:6" ht="12" customHeight="1" x14ac:dyDescent="0.15">
      <c r="B327" s="2"/>
      <c r="C327" s="3"/>
      <c r="D327" s="3"/>
      <c r="E327" s="3"/>
      <c r="F327" s="4"/>
    </row>
    <row r="328" spans="2:6" ht="12" customHeight="1" x14ac:dyDescent="0.15">
      <c r="B328" s="2"/>
      <c r="C328" s="3"/>
      <c r="D328" s="3"/>
      <c r="E328" s="3"/>
      <c r="F328" s="4"/>
    </row>
    <row r="329" spans="2:6" ht="12" customHeight="1" x14ac:dyDescent="0.15">
      <c r="B329" s="2"/>
      <c r="C329" s="3"/>
      <c r="D329" s="3"/>
      <c r="E329" s="3"/>
      <c r="F329" s="4"/>
    </row>
    <row r="330" spans="2:6" ht="12" customHeight="1" x14ac:dyDescent="0.15">
      <c r="B330" s="2"/>
      <c r="C330" s="3"/>
      <c r="D330" s="3"/>
      <c r="E330" s="3"/>
      <c r="F330" s="4"/>
    </row>
    <row r="331" spans="2:6" ht="12" customHeight="1" x14ac:dyDescent="0.15">
      <c r="B331" s="2"/>
      <c r="C331" s="3"/>
      <c r="D331" s="3"/>
      <c r="E331" s="3"/>
      <c r="F331" s="4"/>
    </row>
    <row r="332" spans="2:6" ht="12" customHeight="1" x14ac:dyDescent="0.15">
      <c r="B332" s="2"/>
      <c r="C332" s="3"/>
      <c r="D332" s="3"/>
      <c r="E332" s="3"/>
      <c r="F332" s="4"/>
    </row>
    <row r="333" spans="2:6" ht="12" customHeight="1" x14ac:dyDescent="0.15">
      <c r="B333" s="2"/>
      <c r="C333" s="3"/>
      <c r="D333" s="3"/>
      <c r="E333" s="3"/>
      <c r="F333" s="4"/>
    </row>
    <row r="334" spans="2:6" ht="12" customHeight="1" x14ac:dyDescent="0.15">
      <c r="B334" s="2"/>
      <c r="C334" s="3"/>
      <c r="D334" s="3"/>
      <c r="E334" s="3"/>
      <c r="F334" s="4"/>
    </row>
    <row r="335" spans="2:6" ht="12" customHeight="1" x14ac:dyDescent="0.15">
      <c r="B335" s="2"/>
      <c r="C335" s="3"/>
      <c r="D335" s="3"/>
      <c r="E335" s="3"/>
      <c r="F335" s="4"/>
    </row>
    <row r="336" spans="2:6" ht="12" customHeight="1" x14ac:dyDescent="0.15">
      <c r="B336" s="2"/>
      <c r="C336" s="3"/>
      <c r="D336" s="3"/>
      <c r="E336" s="3"/>
      <c r="F336" s="4"/>
    </row>
    <row r="337" spans="2:6" ht="12" customHeight="1" x14ac:dyDescent="0.15">
      <c r="B337" s="2"/>
      <c r="C337" s="3"/>
      <c r="D337" s="3"/>
      <c r="E337" s="3"/>
      <c r="F337" s="4"/>
    </row>
    <row r="338" spans="2:6" ht="12" customHeight="1" x14ac:dyDescent="0.15">
      <c r="B338" s="2"/>
      <c r="C338" s="3"/>
      <c r="D338" s="3"/>
      <c r="E338" s="3"/>
      <c r="F338" s="4"/>
    </row>
    <row r="339" spans="2:6" ht="12" customHeight="1" x14ac:dyDescent="0.15">
      <c r="B339" s="2"/>
      <c r="C339" s="3"/>
      <c r="D339" s="3"/>
      <c r="E339" s="3"/>
      <c r="F339" s="4"/>
    </row>
    <row r="340" spans="2:6" ht="12" customHeight="1" x14ac:dyDescent="0.15">
      <c r="B340" s="2"/>
      <c r="C340" s="3"/>
      <c r="D340" s="3"/>
      <c r="E340" s="3"/>
      <c r="F340" s="4"/>
    </row>
    <row r="341" spans="2:6" ht="12" customHeight="1" x14ac:dyDescent="0.15">
      <c r="B341" s="2"/>
      <c r="C341" s="3"/>
      <c r="D341" s="3"/>
      <c r="E341" s="3"/>
      <c r="F341" s="4"/>
    </row>
    <row r="342" spans="2:6" ht="12" customHeight="1" x14ac:dyDescent="0.15">
      <c r="B342" s="2"/>
      <c r="C342" s="3"/>
      <c r="D342" s="3"/>
      <c r="E342" s="3"/>
      <c r="F342" s="4"/>
    </row>
    <row r="343" spans="2:6" ht="12" customHeight="1" x14ac:dyDescent="0.15">
      <c r="B343" s="2"/>
      <c r="C343" s="3"/>
      <c r="D343" s="3"/>
      <c r="E343" s="3"/>
      <c r="F343" s="4"/>
    </row>
    <row r="344" spans="2:6" ht="12" customHeight="1" x14ac:dyDescent="0.15">
      <c r="B344" s="2"/>
      <c r="C344" s="3"/>
      <c r="D344" s="3"/>
      <c r="E344" s="3"/>
      <c r="F344" s="4"/>
    </row>
    <row r="345" spans="2:6" ht="12" customHeight="1" x14ac:dyDescent="0.15">
      <c r="B345" s="2"/>
      <c r="C345" s="3"/>
      <c r="D345" s="3"/>
      <c r="E345" s="3"/>
      <c r="F345" s="4"/>
    </row>
    <row r="346" spans="2:6" ht="12" customHeight="1" x14ac:dyDescent="0.15">
      <c r="B346" s="2"/>
      <c r="C346" s="3"/>
      <c r="D346" s="3"/>
      <c r="E346" s="3"/>
      <c r="F346" s="4"/>
    </row>
    <row r="347" spans="2:6" ht="12" customHeight="1" x14ac:dyDescent="0.15">
      <c r="B347" s="2"/>
      <c r="C347" s="3"/>
      <c r="D347" s="3"/>
      <c r="E347" s="3"/>
      <c r="F347" s="4"/>
    </row>
    <row r="348" spans="2:6" ht="12" customHeight="1" x14ac:dyDescent="0.15">
      <c r="B348" s="2"/>
      <c r="C348" s="3"/>
      <c r="D348" s="3"/>
      <c r="E348" s="3"/>
      <c r="F348" s="4"/>
    </row>
    <row r="349" spans="2:6" ht="12" customHeight="1" x14ac:dyDescent="0.15">
      <c r="B349" s="2"/>
      <c r="C349" s="3"/>
      <c r="D349" s="3"/>
      <c r="E349" s="3"/>
      <c r="F349" s="4"/>
    </row>
    <row r="350" spans="2:6" ht="12" customHeight="1" x14ac:dyDescent="0.15">
      <c r="B350" s="2"/>
      <c r="C350" s="3"/>
      <c r="D350" s="3"/>
      <c r="E350" s="3"/>
      <c r="F350" s="4"/>
    </row>
    <row r="351" spans="2:6" ht="12" customHeight="1" x14ac:dyDescent="0.15">
      <c r="B351" s="2"/>
      <c r="C351" s="3"/>
      <c r="D351" s="3"/>
      <c r="E351" s="3"/>
      <c r="F351" s="4"/>
    </row>
    <row r="352" spans="2:6" ht="12" customHeight="1" x14ac:dyDescent="0.15">
      <c r="B352" s="2"/>
      <c r="C352" s="3"/>
      <c r="D352" s="3"/>
      <c r="E352" s="3"/>
      <c r="F352" s="4"/>
    </row>
    <row r="353" spans="2:6" ht="12" customHeight="1" x14ac:dyDescent="0.15">
      <c r="B353" s="2"/>
      <c r="C353" s="3"/>
      <c r="D353" s="3"/>
      <c r="E353" s="3"/>
      <c r="F353" s="4"/>
    </row>
    <row r="354" spans="2:6" ht="12" customHeight="1" x14ac:dyDescent="0.15">
      <c r="B354" s="2"/>
      <c r="C354" s="3"/>
      <c r="D354" s="3"/>
      <c r="E354" s="3"/>
      <c r="F354" s="4"/>
    </row>
    <row r="355" spans="2:6" ht="12" customHeight="1" x14ac:dyDescent="0.15">
      <c r="B355" s="2"/>
      <c r="C355" s="3"/>
      <c r="D355" s="3"/>
      <c r="E355" s="3"/>
      <c r="F355" s="4"/>
    </row>
    <row r="356" spans="2:6" ht="12" customHeight="1" x14ac:dyDescent="0.15">
      <c r="B356" s="2"/>
      <c r="C356" s="3"/>
      <c r="D356" s="3"/>
      <c r="E356" s="3"/>
      <c r="F356" s="4"/>
    </row>
    <row r="357" spans="2:6" ht="12" customHeight="1" x14ac:dyDescent="0.15">
      <c r="B357" s="2"/>
      <c r="C357" s="3"/>
      <c r="D357" s="3"/>
      <c r="E357" s="3"/>
      <c r="F357" s="4"/>
    </row>
    <row r="358" spans="2:6" ht="12" customHeight="1" x14ac:dyDescent="0.15">
      <c r="B358" s="2"/>
      <c r="C358" s="3"/>
      <c r="D358" s="3"/>
      <c r="E358" s="3"/>
      <c r="F358" s="4"/>
    </row>
    <row r="359" spans="2:6" ht="12" customHeight="1" x14ac:dyDescent="0.15">
      <c r="B359" s="2"/>
      <c r="C359" s="3"/>
      <c r="D359" s="3"/>
      <c r="E359" s="3"/>
      <c r="F359" s="4"/>
    </row>
    <row r="360" spans="2:6" ht="12" customHeight="1" x14ac:dyDescent="0.15">
      <c r="B360" s="2"/>
      <c r="C360" s="3"/>
      <c r="D360" s="3"/>
      <c r="E360" s="3"/>
      <c r="F360" s="4"/>
    </row>
    <row r="361" spans="2:6" ht="12" customHeight="1" x14ac:dyDescent="0.15">
      <c r="B361" s="2"/>
      <c r="C361" s="3"/>
      <c r="D361" s="3"/>
      <c r="E361" s="3"/>
      <c r="F361" s="4"/>
    </row>
    <row r="362" spans="2:6" ht="12" customHeight="1" x14ac:dyDescent="0.15">
      <c r="B362" s="2"/>
      <c r="C362" s="3"/>
      <c r="D362" s="3"/>
      <c r="E362" s="3"/>
      <c r="F362" s="4"/>
    </row>
    <row r="363" spans="2:6" ht="12" customHeight="1" x14ac:dyDescent="0.15">
      <c r="B363" s="2"/>
      <c r="C363" s="3"/>
      <c r="D363" s="3"/>
      <c r="E363" s="3"/>
      <c r="F363" s="4"/>
    </row>
    <row r="364" spans="2:6" ht="12" customHeight="1" x14ac:dyDescent="0.15">
      <c r="B364" s="2"/>
      <c r="C364" s="3"/>
      <c r="D364" s="3"/>
      <c r="E364" s="3"/>
      <c r="F364" s="4"/>
    </row>
    <row r="365" spans="2:6" ht="12" customHeight="1" x14ac:dyDescent="0.15">
      <c r="B365" s="2"/>
      <c r="C365" s="3"/>
      <c r="D365" s="3"/>
      <c r="E365" s="3"/>
      <c r="F365" s="4"/>
    </row>
    <row r="366" spans="2:6" ht="12" customHeight="1" x14ac:dyDescent="0.15">
      <c r="B366" s="2"/>
      <c r="C366" s="3"/>
      <c r="D366" s="3"/>
      <c r="E366" s="3"/>
      <c r="F366" s="4"/>
    </row>
    <row r="367" spans="2:6" ht="12" customHeight="1" x14ac:dyDescent="0.15">
      <c r="B367" s="2"/>
      <c r="C367" s="3"/>
      <c r="D367" s="3"/>
      <c r="E367" s="3"/>
      <c r="F367" s="4"/>
    </row>
    <row r="368" spans="2:6" ht="12" customHeight="1" x14ac:dyDescent="0.15">
      <c r="B368" s="2"/>
      <c r="C368" s="3"/>
      <c r="D368" s="3"/>
      <c r="E368" s="3"/>
      <c r="F368" s="4"/>
    </row>
    <row r="369" spans="2:6" ht="12" customHeight="1" x14ac:dyDescent="0.15">
      <c r="B369" s="2"/>
      <c r="C369" s="3"/>
      <c r="D369" s="3"/>
      <c r="E369" s="3"/>
      <c r="F369" s="4"/>
    </row>
    <row r="370" spans="2:6" ht="12" customHeight="1" x14ac:dyDescent="0.15">
      <c r="B370" s="2"/>
      <c r="C370" s="3"/>
      <c r="D370" s="3"/>
      <c r="E370" s="3"/>
      <c r="F370" s="4"/>
    </row>
    <row r="371" spans="2:6" ht="12" customHeight="1" x14ac:dyDescent="0.15">
      <c r="B371" s="2"/>
      <c r="C371" s="3"/>
      <c r="D371" s="3"/>
      <c r="E371" s="3"/>
      <c r="F371" s="4"/>
    </row>
    <row r="372" spans="2:6" ht="12" customHeight="1" x14ac:dyDescent="0.15">
      <c r="B372" s="2"/>
      <c r="C372" s="3"/>
      <c r="D372" s="3"/>
      <c r="E372" s="3"/>
      <c r="F372" s="4"/>
    </row>
    <row r="373" spans="2:6" ht="12" customHeight="1" x14ac:dyDescent="0.15">
      <c r="B373" s="2"/>
      <c r="C373" s="3"/>
      <c r="D373" s="3"/>
      <c r="E373" s="3"/>
      <c r="F373" s="4"/>
    </row>
    <row r="374" spans="2:6" ht="12" customHeight="1" x14ac:dyDescent="0.15">
      <c r="B374" s="2"/>
      <c r="C374" s="3"/>
      <c r="D374" s="3"/>
      <c r="E374" s="3"/>
      <c r="F374" s="4"/>
    </row>
    <row r="375" spans="2:6" ht="12" customHeight="1" x14ac:dyDescent="0.15">
      <c r="B375" s="2"/>
      <c r="C375" s="3"/>
      <c r="D375" s="3"/>
      <c r="E375" s="3"/>
      <c r="F375" s="4"/>
    </row>
    <row r="376" spans="2:6" ht="12" customHeight="1" x14ac:dyDescent="0.15">
      <c r="B376" s="2"/>
      <c r="C376" s="3"/>
      <c r="D376" s="3"/>
      <c r="E376" s="3"/>
      <c r="F376" s="4"/>
    </row>
    <row r="377" spans="2:6" ht="12" customHeight="1" x14ac:dyDescent="0.15">
      <c r="B377" s="2"/>
      <c r="C377" s="3"/>
      <c r="D377" s="3"/>
      <c r="E377" s="3"/>
      <c r="F377" s="4"/>
    </row>
    <row r="378" spans="2:6" ht="12" customHeight="1" x14ac:dyDescent="0.15">
      <c r="B378" s="2"/>
      <c r="C378" s="3"/>
      <c r="D378" s="3"/>
      <c r="E378" s="3"/>
      <c r="F378" s="4"/>
    </row>
    <row r="379" spans="2:6" ht="12" customHeight="1" x14ac:dyDescent="0.15">
      <c r="B379" s="2"/>
      <c r="C379" s="3"/>
      <c r="D379" s="3"/>
      <c r="E379" s="3"/>
      <c r="F379" s="4"/>
    </row>
    <row r="380" spans="2:6" ht="12" customHeight="1" x14ac:dyDescent="0.15">
      <c r="B380" s="2"/>
      <c r="C380" s="3"/>
      <c r="D380" s="3"/>
      <c r="E380" s="3"/>
      <c r="F380" s="4"/>
    </row>
    <row r="381" spans="2:6" ht="12" customHeight="1" x14ac:dyDescent="0.15">
      <c r="B381" s="2"/>
      <c r="C381" s="3"/>
      <c r="D381" s="3"/>
      <c r="E381" s="3"/>
      <c r="F381" s="4"/>
    </row>
    <row r="382" spans="2:6" ht="12" customHeight="1" x14ac:dyDescent="0.15">
      <c r="B382" s="2"/>
      <c r="C382" s="3"/>
      <c r="D382" s="3"/>
      <c r="E382" s="3"/>
      <c r="F382" s="4"/>
    </row>
    <row r="383" spans="2:6" ht="12" customHeight="1" x14ac:dyDescent="0.15">
      <c r="B383" s="2"/>
      <c r="C383" s="3"/>
      <c r="D383" s="3"/>
      <c r="E383" s="3"/>
      <c r="F383" s="4"/>
    </row>
    <row r="384" spans="2:6" ht="12" customHeight="1" x14ac:dyDescent="0.15">
      <c r="B384" s="2"/>
      <c r="C384" s="3"/>
      <c r="D384" s="3"/>
      <c r="E384" s="3"/>
      <c r="F384" s="4"/>
    </row>
    <row r="385" spans="2:6" ht="12" customHeight="1" x14ac:dyDescent="0.15">
      <c r="B385" s="2"/>
      <c r="C385" s="3"/>
      <c r="D385" s="3"/>
      <c r="E385" s="3"/>
      <c r="F385" s="4"/>
    </row>
    <row r="386" spans="2:6" ht="12" customHeight="1" x14ac:dyDescent="0.15">
      <c r="B386" s="2"/>
      <c r="C386" s="3"/>
      <c r="D386" s="3"/>
      <c r="E386" s="3"/>
      <c r="F386" s="4"/>
    </row>
    <row r="387" spans="2:6" ht="12" customHeight="1" x14ac:dyDescent="0.15">
      <c r="B387" s="2"/>
      <c r="C387" s="3"/>
      <c r="D387" s="3"/>
      <c r="E387" s="3"/>
      <c r="F387" s="4"/>
    </row>
    <row r="388" spans="2:6" ht="12" customHeight="1" x14ac:dyDescent="0.15">
      <c r="B388" s="2"/>
      <c r="C388" s="3"/>
      <c r="D388" s="3"/>
      <c r="E388" s="3"/>
      <c r="F388" s="4"/>
    </row>
    <row r="389" spans="2:6" ht="12" customHeight="1" x14ac:dyDescent="0.15">
      <c r="B389" s="2"/>
      <c r="C389" s="3"/>
      <c r="D389" s="3"/>
      <c r="E389" s="3"/>
      <c r="F389" s="4"/>
    </row>
    <row r="390" spans="2:6" ht="12" customHeight="1" x14ac:dyDescent="0.15">
      <c r="B390" s="2"/>
      <c r="C390" s="3"/>
      <c r="D390" s="3"/>
      <c r="E390" s="3"/>
      <c r="F390" s="4"/>
    </row>
    <row r="391" spans="2:6" ht="12" customHeight="1" x14ac:dyDescent="0.15">
      <c r="B391" s="2"/>
      <c r="C391" s="3"/>
      <c r="D391" s="3"/>
      <c r="E391" s="3"/>
      <c r="F391" s="4"/>
    </row>
    <row r="392" spans="2:6" ht="12" customHeight="1" x14ac:dyDescent="0.15">
      <c r="B392" s="2"/>
      <c r="C392" s="3"/>
      <c r="D392" s="3"/>
      <c r="E392" s="3"/>
      <c r="F392" s="4"/>
    </row>
    <row r="393" spans="2:6" ht="12" customHeight="1" x14ac:dyDescent="0.15">
      <c r="B393" s="2"/>
      <c r="C393" s="3"/>
      <c r="D393" s="3"/>
      <c r="E393" s="3"/>
      <c r="F393" s="4"/>
    </row>
    <row r="394" spans="2:6" ht="12" customHeight="1" x14ac:dyDescent="0.15">
      <c r="B394" s="2"/>
      <c r="C394" s="3"/>
      <c r="D394" s="3"/>
      <c r="E394" s="3"/>
      <c r="F394" s="4"/>
    </row>
    <row r="395" spans="2:6" ht="12" customHeight="1" x14ac:dyDescent="0.15">
      <c r="B395" s="2"/>
      <c r="C395" s="3"/>
      <c r="D395" s="3"/>
      <c r="E395" s="3"/>
      <c r="F395" s="4"/>
    </row>
    <row r="396" spans="2:6" ht="12" customHeight="1" x14ac:dyDescent="0.15">
      <c r="B396" s="2"/>
      <c r="C396" s="3"/>
      <c r="D396" s="3"/>
      <c r="E396" s="3"/>
      <c r="F396" s="4"/>
    </row>
    <row r="397" spans="2:6" ht="12" customHeight="1" x14ac:dyDescent="0.15">
      <c r="B397" s="2"/>
      <c r="C397" s="3"/>
      <c r="D397" s="3"/>
      <c r="E397" s="3"/>
      <c r="F397" s="4"/>
    </row>
    <row r="398" spans="2:6" ht="12" customHeight="1" x14ac:dyDescent="0.15">
      <c r="B398" s="2"/>
      <c r="C398" s="3"/>
      <c r="D398" s="3"/>
      <c r="E398" s="3"/>
      <c r="F398" s="4"/>
    </row>
    <row r="399" spans="2:6" ht="12" customHeight="1" x14ac:dyDescent="0.15">
      <c r="B399" s="2"/>
      <c r="C399" s="3"/>
      <c r="D399" s="3"/>
      <c r="E399" s="3"/>
      <c r="F399" s="4"/>
    </row>
    <row r="400" spans="2:6" ht="12" customHeight="1" x14ac:dyDescent="0.15">
      <c r="B400" s="2"/>
      <c r="C400" s="3"/>
      <c r="D400" s="3"/>
      <c r="E400" s="3"/>
      <c r="F400" s="4"/>
    </row>
    <row r="401" spans="2:6" ht="12" customHeight="1" x14ac:dyDescent="0.15">
      <c r="B401" s="2"/>
      <c r="C401" s="3"/>
      <c r="D401" s="3"/>
      <c r="E401" s="3"/>
      <c r="F401" s="4"/>
    </row>
    <row r="402" spans="2:6" ht="12" customHeight="1" x14ac:dyDescent="0.15">
      <c r="B402" s="2"/>
      <c r="C402" s="3"/>
      <c r="D402" s="3"/>
      <c r="E402" s="3"/>
      <c r="F402" s="4"/>
    </row>
    <row r="403" spans="2:6" ht="12" customHeight="1" x14ac:dyDescent="0.15">
      <c r="B403" s="2"/>
      <c r="C403" s="3"/>
      <c r="D403" s="3"/>
      <c r="E403" s="3"/>
      <c r="F403" s="4"/>
    </row>
    <row r="404" spans="2:6" ht="12" customHeight="1" x14ac:dyDescent="0.15">
      <c r="B404" s="2"/>
      <c r="C404" s="3"/>
      <c r="D404" s="3"/>
      <c r="E404" s="3"/>
      <c r="F404" s="4"/>
    </row>
    <row r="405" spans="2:6" ht="12" customHeight="1" x14ac:dyDescent="0.15">
      <c r="B405" s="2"/>
      <c r="C405" s="3"/>
      <c r="D405" s="3"/>
      <c r="E405" s="3"/>
      <c r="F405" s="4"/>
    </row>
    <row r="406" spans="2:6" ht="12" customHeight="1" x14ac:dyDescent="0.15">
      <c r="B406" s="2"/>
      <c r="C406" s="3"/>
      <c r="D406" s="3"/>
      <c r="E406" s="3"/>
      <c r="F406" s="4"/>
    </row>
    <row r="407" spans="2:6" ht="12" customHeight="1" x14ac:dyDescent="0.15">
      <c r="B407" s="2"/>
      <c r="C407" s="3"/>
      <c r="D407" s="3"/>
      <c r="E407" s="3"/>
      <c r="F407" s="4"/>
    </row>
    <row r="408" spans="2:6" ht="12" customHeight="1" x14ac:dyDescent="0.15">
      <c r="B408" s="2"/>
      <c r="C408" s="3"/>
      <c r="D408" s="3"/>
      <c r="E408" s="3"/>
      <c r="F408" s="4"/>
    </row>
    <row r="409" spans="2:6" ht="12" customHeight="1" x14ac:dyDescent="0.15">
      <c r="B409" s="2"/>
      <c r="C409" s="3"/>
      <c r="D409" s="3"/>
      <c r="E409" s="3"/>
      <c r="F409" s="4"/>
    </row>
    <row r="410" spans="2:6" ht="12" customHeight="1" x14ac:dyDescent="0.15">
      <c r="B410" s="2"/>
      <c r="C410" s="3"/>
      <c r="D410" s="3"/>
      <c r="E410" s="3"/>
      <c r="F410" s="4"/>
    </row>
    <row r="411" spans="2:6" ht="12" customHeight="1" x14ac:dyDescent="0.15">
      <c r="B411" s="2"/>
      <c r="C411" s="3"/>
      <c r="D411" s="3"/>
      <c r="E411" s="3"/>
      <c r="F411" s="4"/>
    </row>
    <row r="412" spans="2:6" ht="12" customHeight="1" x14ac:dyDescent="0.15">
      <c r="B412" s="2"/>
      <c r="C412" s="3"/>
      <c r="D412" s="3"/>
      <c r="E412" s="3"/>
      <c r="F412" s="4"/>
    </row>
    <row r="413" spans="2:6" ht="12" customHeight="1" x14ac:dyDescent="0.15">
      <c r="B413" s="2"/>
      <c r="C413" s="3"/>
      <c r="D413" s="3"/>
      <c r="E413" s="3"/>
      <c r="F413" s="4"/>
    </row>
    <row r="414" spans="2:6" ht="12" customHeight="1" x14ac:dyDescent="0.15">
      <c r="B414" s="2"/>
      <c r="C414" s="3"/>
      <c r="D414" s="3"/>
      <c r="E414" s="3"/>
      <c r="F414" s="4"/>
    </row>
    <row r="415" spans="2:6" ht="12" customHeight="1" x14ac:dyDescent="0.15">
      <c r="B415" s="2"/>
      <c r="C415" s="3"/>
      <c r="D415" s="3"/>
      <c r="E415" s="3"/>
      <c r="F415" s="4"/>
    </row>
    <row r="416" spans="2:6" ht="12" customHeight="1" x14ac:dyDescent="0.15">
      <c r="B416" s="2"/>
      <c r="C416" s="3"/>
      <c r="D416" s="3"/>
      <c r="E416" s="3"/>
      <c r="F416" s="4"/>
    </row>
    <row r="417" spans="2:6" ht="12" customHeight="1" x14ac:dyDescent="0.15">
      <c r="B417" s="2"/>
      <c r="C417" s="3"/>
      <c r="D417" s="3"/>
      <c r="E417" s="3"/>
      <c r="F417" s="4"/>
    </row>
    <row r="418" spans="2:6" ht="12" customHeight="1" x14ac:dyDescent="0.15">
      <c r="B418" s="2"/>
      <c r="C418" s="3"/>
      <c r="D418" s="3"/>
      <c r="E418" s="3"/>
      <c r="F418" s="4"/>
    </row>
    <row r="419" spans="2:6" ht="12" customHeight="1" x14ac:dyDescent="0.15">
      <c r="B419" s="2"/>
      <c r="C419" s="3"/>
      <c r="D419" s="3"/>
      <c r="E419" s="3"/>
      <c r="F419" s="4"/>
    </row>
    <row r="420" spans="2:6" ht="12" customHeight="1" x14ac:dyDescent="0.15">
      <c r="B420" s="2"/>
      <c r="C420" s="3"/>
      <c r="D420" s="3"/>
      <c r="E420" s="3"/>
      <c r="F420" s="4"/>
    </row>
    <row r="421" spans="2:6" ht="12" customHeight="1" x14ac:dyDescent="0.15">
      <c r="B421" s="2"/>
      <c r="C421" s="3"/>
      <c r="D421" s="3"/>
      <c r="E421" s="3"/>
      <c r="F421" s="4"/>
    </row>
    <row r="422" spans="2:6" ht="12" customHeight="1" x14ac:dyDescent="0.15">
      <c r="B422" s="2"/>
      <c r="C422" s="3"/>
      <c r="D422" s="3"/>
      <c r="E422" s="3"/>
      <c r="F422" s="4"/>
    </row>
    <row r="423" spans="2:6" ht="12" customHeight="1" x14ac:dyDescent="0.15">
      <c r="B423" s="2"/>
      <c r="C423" s="3"/>
      <c r="D423" s="3"/>
      <c r="E423" s="3"/>
      <c r="F423" s="4"/>
    </row>
    <row r="424" spans="2:6" ht="12" customHeight="1" x14ac:dyDescent="0.15">
      <c r="B424" s="2"/>
      <c r="C424" s="3"/>
      <c r="D424" s="3"/>
      <c r="E424" s="3"/>
      <c r="F424" s="4"/>
    </row>
    <row r="425" spans="2:6" ht="12" customHeight="1" x14ac:dyDescent="0.15">
      <c r="B425" s="2"/>
      <c r="C425" s="3"/>
      <c r="D425" s="3"/>
      <c r="E425" s="3"/>
      <c r="F425" s="4"/>
    </row>
    <row r="426" spans="2:6" ht="12" customHeight="1" x14ac:dyDescent="0.15">
      <c r="B426" s="2"/>
      <c r="C426" s="3"/>
      <c r="D426" s="3"/>
      <c r="E426" s="3"/>
      <c r="F426" s="4"/>
    </row>
    <row r="427" spans="2:6" ht="12" customHeight="1" x14ac:dyDescent="0.15">
      <c r="B427" s="2"/>
      <c r="C427" s="3"/>
      <c r="D427" s="3"/>
      <c r="E427" s="3"/>
      <c r="F427" s="4"/>
    </row>
    <row r="428" spans="2:6" ht="12" customHeight="1" x14ac:dyDescent="0.15">
      <c r="B428" s="2"/>
      <c r="C428" s="3"/>
      <c r="D428" s="3"/>
      <c r="E428" s="3"/>
      <c r="F428" s="4"/>
    </row>
    <row r="429" spans="2:6" ht="12" customHeight="1" x14ac:dyDescent="0.15">
      <c r="B429" s="2"/>
      <c r="C429" s="3"/>
      <c r="D429" s="3"/>
      <c r="E429" s="3"/>
      <c r="F429" s="4"/>
    </row>
    <row r="430" spans="2:6" ht="12" customHeight="1" x14ac:dyDescent="0.15">
      <c r="B430" s="2"/>
      <c r="C430" s="3"/>
      <c r="D430" s="3"/>
      <c r="E430" s="3"/>
      <c r="F430" s="4"/>
    </row>
    <row r="431" spans="2:6" ht="12" customHeight="1" x14ac:dyDescent="0.15">
      <c r="B431" s="2"/>
      <c r="C431" s="3"/>
      <c r="D431" s="3"/>
      <c r="E431" s="3"/>
      <c r="F431" s="4"/>
    </row>
    <row r="432" spans="2:6" ht="12" customHeight="1" x14ac:dyDescent="0.15">
      <c r="B432" s="2"/>
      <c r="C432" s="3"/>
      <c r="D432" s="3"/>
      <c r="E432" s="3"/>
      <c r="F432" s="4"/>
    </row>
    <row r="433" spans="2:6" ht="12" customHeight="1" x14ac:dyDescent="0.15">
      <c r="B433" s="2"/>
      <c r="C433" s="3"/>
      <c r="D433" s="3"/>
      <c r="E433" s="3"/>
      <c r="F433" s="4"/>
    </row>
    <row r="434" spans="2:6" ht="12" customHeight="1" x14ac:dyDescent="0.15">
      <c r="B434" s="2"/>
      <c r="C434" s="3"/>
      <c r="D434" s="3"/>
      <c r="E434" s="3"/>
      <c r="F434" s="4"/>
    </row>
    <row r="435" spans="2:6" ht="12" customHeight="1" x14ac:dyDescent="0.15">
      <c r="B435" s="2"/>
      <c r="C435" s="3"/>
      <c r="D435" s="3"/>
      <c r="E435" s="3"/>
      <c r="F435" s="4"/>
    </row>
    <row r="436" spans="2:6" ht="12" customHeight="1" x14ac:dyDescent="0.15">
      <c r="B436" s="2"/>
      <c r="C436" s="3"/>
      <c r="D436" s="3"/>
      <c r="E436" s="3"/>
      <c r="F436" s="4"/>
    </row>
    <row r="437" spans="2:6" ht="12" customHeight="1" x14ac:dyDescent="0.15">
      <c r="B437" s="2"/>
      <c r="C437" s="3"/>
      <c r="D437" s="3"/>
      <c r="E437" s="3"/>
      <c r="F437" s="4"/>
    </row>
    <row r="438" spans="2:6" ht="12" customHeight="1" x14ac:dyDescent="0.15">
      <c r="B438" s="2"/>
      <c r="C438" s="3"/>
      <c r="D438" s="3"/>
      <c r="E438" s="3"/>
      <c r="F438" s="4"/>
    </row>
    <row r="439" spans="2:6" ht="12" customHeight="1" x14ac:dyDescent="0.15">
      <c r="B439" s="2"/>
      <c r="C439" s="3"/>
      <c r="D439" s="3"/>
      <c r="E439" s="3"/>
      <c r="F439" s="4"/>
    </row>
    <row r="440" spans="2:6" ht="12" customHeight="1" x14ac:dyDescent="0.15">
      <c r="B440" s="2"/>
      <c r="C440" s="3"/>
      <c r="D440" s="3"/>
      <c r="E440" s="3"/>
      <c r="F440" s="4"/>
    </row>
    <row r="441" spans="2:6" ht="12" customHeight="1" x14ac:dyDescent="0.15">
      <c r="B441" s="2"/>
      <c r="C441" s="3"/>
      <c r="D441" s="3"/>
      <c r="E441" s="3"/>
      <c r="F441" s="4"/>
    </row>
    <row r="442" spans="2:6" ht="12" customHeight="1" x14ac:dyDescent="0.15">
      <c r="B442" s="2"/>
      <c r="C442" s="3"/>
      <c r="D442" s="3"/>
      <c r="E442" s="3"/>
      <c r="F442" s="4"/>
    </row>
    <row r="443" spans="2:6" ht="12" customHeight="1" x14ac:dyDescent="0.15">
      <c r="B443" s="2"/>
      <c r="C443" s="3"/>
      <c r="D443" s="3"/>
      <c r="E443" s="3"/>
      <c r="F443" s="4"/>
    </row>
    <row r="444" spans="2:6" ht="12" customHeight="1" x14ac:dyDescent="0.15">
      <c r="B444" s="2"/>
      <c r="C444" s="3"/>
      <c r="D444" s="3"/>
      <c r="E444" s="3"/>
      <c r="F444" s="4"/>
    </row>
    <row r="445" spans="2:6" ht="12" customHeight="1" x14ac:dyDescent="0.15">
      <c r="B445" s="2"/>
      <c r="C445" s="3"/>
      <c r="D445" s="3"/>
      <c r="E445" s="3"/>
      <c r="F445" s="4"/>
    </row>
    <row r="446" spans="2:6" ht="12" customHeight="1" x14ac:dyDescent="0.15">
      <c r="B446" s="2"/>
      <c r="C446" s="3"/>
      <c r="D446" s="3"/>
      <c r="E446" s="3"/>
      <c r="F446" s="4"/>
    </row>
    <row r="447" spans="2:6" ht="12" customHeight="1" x14ac:dyDescent="0.15">
      <c r="B447" s="2"/>
      <c r="C447" s="3"/>
      <c r="D447" s="3"/>
      <c r="E447" s="3"/>
      <c r="F447" s="4"/>
    </row>
    <row r="448" spans="2:6" ht="12" customHeight="1" x14ac:dyDescent="0.15">
      <c r="B448" s="2"/>
      <c r="C448" s="3"/>
      <c r="D448" s="3"/>
      <c r="E448" s="3"/>
      <c r="F448" s="4"/>
    </row>
    <row r="449" spans="2:6" ht="12" customHeight="1" x14ac:dyDescent="0.15">
      <c r="B449" s="2"/>
      <c r="C449" s="3"/>
      <c r="D449" s="3"/>
      <c r="E449" s="3"/>
      <c r="F449" s="4"/>
    </row>
    <row r="450" spans="2:6" ht="12" customHeight="1" x14ac:dyDescent="0.15">
      <c r="B450" s="2"/>
      <c r="C450" s="3"/>
      <c r="D450" s="3"/>
      <c r="E450" s="3"/>
      <c r="F450" s="4"/>
    </row>
    <row r="451" spans="2:6" ht="12" customHeight="1" x14ac:dyDescent="0.15">
      <c r="B451" s="2"/>
      <c r="C451" s="3"/>
      <c r="D451" s="3"/>
      <c r="E451" s="3"/>
      <c r="F451" s="4"/>
    </row>
    <row r="452" spans="2:6" ht="12" customHeight="1" x14ac:dyDescent="0.15">
      <c r="B452" s="2"/>
      <c r="C452" s="3"/>
      <c r="D452" s="3"/>
      <c r="E452" s="3"/>
      <c r="F452" s="4"/>
    </row>
    <row r="453" spans="2:6" ht="12" customHeight="1" x14ac:dyDescent="0.15">
      <c r="B453" s="2"/>
      <c r="C453" s="3"/>
      <c r="D453" s="3"/>
      <c r="E453" s="3"/>
      <c r="F453" s="4"/>
    </row>
    <row r="454" spans="2:6" ht="12" customHeight="1" x14ac:dyDescent="0.15">
      <c r="B454" s="2"/>
      <c r="C454" s="3"/>
      <c r="D454" s="3"/>
      <c r="E454" s="3"/>
      <c r="F454" s="4"/>
    </row>
    <row r="455" spans="2:6" ht="12" customHeight="1" x14ac:dyDescent="0.15">
      <c r="B455" s="2"/>
      <c r="C455" s="3"/>
      <c r="D455" s="3"/>
      <c r="E455" s="3"/>
      <c r="F455" s="4"/>
    </row>
    <row r="456" spans="2:6" ht="12" customHeight="1" x14ac:dyDescent="0.15">
      <c r="B456" s="2"/>
      <c r="C456" s="3"/>
      <c r="D456" s="3"/>
      <c r="E456" s="3"/>
      <c r="F456" s="4"/>
    </row>
    <row r="457" spans="2:6" ht="12" customHeight="1" x14ac:dyDescent="0.15">
      <c r="B457" s="2"/>
      <c r="C457" s="3"/>
      <c r="D457" s="3"/>
      <c r="E457" s="3"/>
      <c r="F457" s="4"/>
    </row>
    <row r="458" spans="2:6" ht="12" customHeight="1" x14ac:dyDescent="0.15">
      <c r="B458" s="2"/>
      <c r="C458" s="3"/>
      <c r="D458" s="3"/>
      <c r="E458" s="3"/>
      <c r="F458" s="4"/>
    </row>
    <row r="459" spans="2:6" ht="12" customHeight="1" x14ac:dyDescent="0.15">
      <c r="B459" s="2"/>
      <c r="C459" s="3"/>
      <c r="D459" s="3"/>
      <c r="E459" s="3"/>
      <c r="F459" s="4"/>
    </row>
    <row r="460" spans="2:6" ht="12" customHeight="1" x14ac:dyDescent="0.15">
      <c r="B460" s="2"/>
      <c r="C460" s="3"/>
      <c r="D460" s="3"/>
      <c r="E460" s="3"/>
      <c r="F460" s="4"/>
    </row>
    <row r="461" spans="2:6" ht="12" customHeight="1" x14ac:dyDescent="0.15">
      <c r="B461" s="2"/>
      <c r="C461" s="3"/>
      <c r="D461" s="3"/>
      <c r="E461" s="3"/>
      <c r="F461" s="4"/>
    </row>
    <row r="462" spans="2:6" ht="12" customHeight="1" x14ac:dyDescent="0.15">
      <c r="B462" s="2"/>
      <c r="C462" s="3"/>
      <c r="D462" s="3"/>
      <c r="E462" s="3"/>
      <c r="F462" s="4"/>
    </row>
    <row r="463" spans="2:6" ht="12" customHeight="1" x14ac:dyDescent="0.15">
      <c r="B463" s="2"/>
      <c r="C463" s="3"/>
      <c r="D463" s="3"/>
      <c r="E463" s="3"/>
      <c r="F463" s="4"/>
    </row>
    <row r="464" spans="2:6" ht="12" customHeight="1" x14ac:dyDescent="0.15">
      <c r="B464" s="2"/>
      <c r="C464" s="3"/>
      <c r="D464" s="3"/>
      <c r="E464" s="3"/>
      <c r="F464" s="4"/>
    </row>
    <row r="465" spans="2:6" ht="12" customHeight="1" x14ac:dyDescent="0.15">
      <c r="B465" s="2"/>
      <c r="C465" s="3"/>
      <c r="D465" s="3"/>
      <c r="E465" s="3"/>
      <c r="F465" s="4"/>
    </row>
    <row r="466" spans="2:6" ht="12" customHeight="1" x14ac:dyDescent="0.15">
      <c r="B466" s="2"/>
      <c r="C466" s="3"/>
      <c r="D466" s="3"/>
      <c r="E466" s="3"/>
      <c r="F466" s="4"/>
    </row>
    <row r="467" spans="2:6" ht="12" customHeight="1" x14ac:dyDescent="0.15">
      <c r="B467" s="2"/>
      <c r="C467" s="3"/>
      <c r="D467" s="3"/>
      <c r="E467" s="3"/>
      <c r="F467" s="4"/>
    </row>
    <row r="468" spans="2:6" ht="12" customHeight="1" x14ac:dyDescent="0.15">
      <c r="B468" s="2"/>
      <c r="C468" s="3"/>
      <c r="D468" s="3"/>
      <c r="E468" s="3"/>
      <c r="F468" s="4"/>
    </row>
    <row r="469" spans="2:6" ht="12" customHeight="1" x14ac:dyDescent="0.15">
      <c r="B469" s="2"/>
      <c r="C469" s="3"/>
      <c r="D469" s="3"/>
      <c r="E469" s="3"/>
      <c r="F469" s="4"/>
    </row>
    <row r="470" spans="2:6" ht="12" customHeight="1" x14ac:dyDescent="0.15">
      <c r="B470" s="2"/>
      <c r="C470" s="3"/>
      <c r="D470" s="3"/>
      <c r="E470" s="3"/>
      <c r="F470" s="4"/>
    </row>
    <row r="471" spans="2:6" ht="12" customHeight="1" x14ac:dyDescent="0.15">
      <c r="B471" s="2"/>
      <c r="C471" s="3"/>
      <c r="D471" s="3"/>
      <c r="E471" s="3"/>
      <c r="F471" s="4"/>
    </row>
    <row r="472" spans="2:6" ht="12" customHeight="1" x14ac:dyDescent="0.15">
      <c r="B472" s="2"/>
      <c r="C472" s="3"/>
      <c r="D472" s="3"/>
      <c r="E472" s="3"/>
      <c r="F472" s="4"/>
    </row>
    <row r="473" spans="2:6" ht="12" customHeight="1" x14ac:dyDescent="0.15">
      <c r="B473" s="2"/>
      <c r="C473" s="3"/>
      <c r="D473" s="3"/>
      <c r="E473" s="3"/>
      <c r="F473" s="4"/>
    </row>
    <row r="474" spans="2:6" ht="12" customHeight="1" x14ac:dyDescent="0.15">
      <c r="B474" s="2"/>
      <c r="C474" s="3"/>
      <c r="D474" s="3"/>
      <c r="E474" s="3"/>
      <c r="F474" s="4"/>
    </row>
    <row r="475" spans="2:6" ht="12" customHeight="1" x14ac:dyDescent="0.15">
      <c r="B475" s="2"/>
      <c r="C475" s="3"/>
      <c r="D475" s="3"/>
      <c r="E475" s="3"/>
      <c r="F475" s="4"/>
    </row>
    <row r="476" spans="2:6" ht="12" customHeight="1" x14ac:dyDescent="0.15">
      <c r="B476" s="2"/>
      <c r="C476" s="3"/>
      <c r="D476" s="3"/>
      <c r="E476" s="3"/>
      <c r="F476" s="4"/>
    </row>
    <row r="477" spans="2:6" ht="12" customHeight="1" x14ac:dyDescent="0.15">
      <c r="B477" s="2"/>
      <c r="C477" s="3"/>
      <c r="D477" s="3"/>
      <c r="E477" s="3"/>
      <c r="F477" s="4"/>
    </row>
    <row r="478" spans="2:6" ht="12" customHeight="1" x14ac:dyDescent="0.15">
      <c r="B478" s="2"/>
      <c r="C478" s="3"/>
      <c r="D478" s="3"/>
      <c r="E478" s="3"/>
      <c r="F478" s="4"/>
    </row>
    <row r="479" spans="2:6" ht="12" customHeight="1" x14ac:dyDescent="0.15">
      <c r="B479" s="2"/>
      <c r="C479" s="3"/>
      <c r="D479" s="3"/>
      <c r="E479" s="3"/>
      <c r="F479" s="4"/>
    </row>
    <row r="480" spans="2:6" ht="12" customHeight="1" x14ac:dyDescent="0.15">
      <c r="B480" s="2"/>
      <c r="C480" s="3"/>
      <c r="D480" s="3"/>
      <c r="E480" s="3"/>
      <c r="F480" s="4"/>
    </row>
    <row r="481" spans="2:6" ht="12" customHeight="1" x14ac:dyDescent="0.15">
      <c r="B481" s="2"/>
      <c r="C481" s="3"/>
      <c r="D481" s="3"/>
      <c r="E481" s="3"/>
      <c r="F481" s="4"/>
    </row>
    <row r="482" spans="2:6" ht="12" customHeight="1" x14ac:dyDescent="0.15">
      <c r="B482" s="2"/>
      <c r="C482" s="3"/>
      <c r="D482" s="3"/>
      <c r="E482" s="3"/>
      <c r="F482" s="4"/>
    </row>
    <row r="483" spans="2:6" ht="12" customHeight="1" x14ac:dyDescent="0.15">
      <c r="B483" s="2"/>
      <c r="C483" s="3"/>
      <c r="D483" s="3"/>
      <c r="E483" s="3"/>
      <c r="F483" s="4"/>
    </row>
    <row r="484" spans="2:6" ht="12" customHeight="1" x14ac:dyDescent="0.15">
      <c r="B484" s="2"/>
      <c r="C484" s="3"/>
      <c r="D484" s="3"/>
      <c r="E484" s="3"/>
      <c r="F484" s="4"/>
    </row>
    <row r="485" spans="2:6" ht="12" customHeight="1" x14ac:dyDescent="0.15">
      <c r="B485" s="2"/>
      <c r="C485" s="3"/>
      <c r="D485" s="3"/>
      <c r="E485" s="3"/>
      <c r="F485" s="4"/>
    </row>
    <row r="486" spans="2:6" ht="12" customHeight="1" x14ac:dyDescent="0.15">
      <c r="B486" s="2"/>
      <c r="C486" s="3"/>
      <c r="D486" s="3"/>
      <c r="E486" s="3"/>
      <c r="F486" s="4"/>
    </row>
    <row r="487" spans="2:6" ht="12" customHeight="1" x14ac:dyDescent="0.15">
      <c r="B487" s="2"/>
      <c r="C487" s="3"/>
      <c r="D487" s="3"/>
      <c r="E487" s="3"/>
      <c r="F487" s="4"/>
    </row>
    <row r="488" spans="2:6" ht="12" customHeight="1" x14ac:dyDescent="0.15">
      <c r="B488" s="2"/>
      <c r="C488" s="3"/>
      <c r="D488" s="3"/>
      <c r="E488" s="3"/>
      <c r="F488" s="4"/>
    </row>
    <row r="489" spans="2:6" ht="12" customHeight="1" x14ac:dyDescent="0.15">
      <c r="B489" s="2"/>
      <c r="C489" s="3"/>
      <c r="D489" s="3"/>
      <c r="E489" s="3"/>
      <c r="F489" s="4"/>
    </row>
    <row r="490" spans="2:6" ht="12" customHeight="1" x14ac:dyDescent="0.15">
      <c r="B490" s="2"/>
      <c r="C490" s="3"/>
      <c r="D490" s="3"/>
      <c r="E490" s="3"/>
      <c r="F490" s="4"/>
    </row>
    <row r="491" spans="2:6" ht="12" customHeight="1" x14ac:dyDescent="0.15">
      <c r="B491" s="2"/>
      <c r="C491" s="3"/>
      <c r="D491" s="3"/>
      <c r="E491" s="3"/>
      <c r="F491" s="4"/>
    </row>
    <row r="492" spans="2:6" ht="12" customHeight="1" x14ac:dyDescent="0.15">
      <c r="B492" s="2"/>
      <c r="C492" s="3"/>
      <c r="D492" s="3"/>
      <c r="E492" s="3"/>
      <c r="F492" s="4"/>
    </row>
    <row r="493" spans="2:6" ht="12" customHeight="1" x14ac:dyDescent="0.15">
      <c r="B493" s="2"/>
      <c r="C493" s="3"/>
      <c r="D493" s="3"/>
      <c r="E493" s="3"/>
      <c r="F493" s="4"/>
    </row>
    <row r="494" spans="2:6" ht="12" customHeight="1" x14ac:dyDescent="0.15">
      <c r="B494" s="2"/>
      <c r="C494" s="3"/>
      <c r="D494" s="3"/>
      <c r="E494" s="3"/>
      <c r="F494" s="4"/>
    </row>
    <row r="495" spans="2:6" ht="12" customHeight="1" x14ac:dyDescent="0.15">
      <c r="B495" s="2"/>
      <c r="C495" s="3"/>
      <c r="D495" s="3"/>
      <c r="E495" s="3"/>
      <c r="F495" s="4"/>
    </row>
    <row r="496" spans="2:6" ht="12" customHeight="1" x14ac:dyDescent="0.15">
      <c r="B496" s="2"/>
      <c r="C496" s="3"/>
      <c r="D496" s="3"/>
      <c r="E496" s="3"/>
      <c r="F496" s="4"/>
    </row>
    <row r="497" spans="2:6" ht="12" customHeight="1" x14ac:dyDescent="0.15">
      <c r="B497" s="2"/>
      <c r="C497" s="3"/>
      <c r="D497" s="3"/>
      <c r="E497" s="3"/>
      <c r="F497" s="4"/>
    </row>
    <row r="498" spans="2:6" ht="12" customHeight="1" x14ac:dyDescent="0.15">
      <c r="B498" s="2"/>
      <c r="C498" s="3"/>
      <c r="D498" s="3"/>
      <c r="E498" s="3"/>
      <c r="F498" s="4"/>
    </row>
    <row r="499" spans="2:6" ht="12" customHeight="1" x14ac:dyDescent="0.15">
      <c r="B499" s="2"/>
      <c r="C499" s="3"/>
      <c r="D499" s="3"/>
      <c r="E499" s="3"/>
      <c r="F499" s="4"/>
    </row>
    <row r="500" spans="2:6" ht="12" customHeight="1" x14ac:dyDescent="0.15">
      <c r="B500" s="2"/>
      <c r="C500" s="3"/>
      <c r="D500" s="3"/>
      <c r="E500" s="3"/>
      <c r="F500" s="4"/>
    </row>
    <row r="501" spans="2:6" ht="12" customHeight="1" x14ac:dyDescent="0.15">
      <c r="B501" s="2"/>
      <c r="C501" s="3"/>
      <c r="D501" s="3"/>
      <c r="E501" s="3"/>
      <c r="F501" s="4"/>
    </row>
    <row r="502" spans="2:6" ht="12" customHeight="1" x14ac:dyDescent="0.15">
      <c r="B502" s="2"/>
      <c r="C502" s="3"/>
      <c r="D502" s="3"/>
      <c r="E502" s="3"/>
      <c r="F502" s="4"/>
    </row>
    <row r="503" spans="2:6" ht="12" customHeight="1" x14ac:dyDescent="0.15">
      <c r="B503" s="2"/>
      <c r="C503" s="3"/>
      <c r="D503" s="3"/>
      <c r="E503" s="3"/>
      <c r="F503" s="4"/>
    </row>
    <row r="504" spans="2:6" ht="12" customHeight="1" x14ac:dyDescent="0.15">
      <c r="B504" s="2"/>
      <c r="C504" s="3"/>
      <c r="D504" s="3"/>
      <c r="E504" s="3"/>
      <c r="F504" s="4"/>
    </row>
    <row r="505" spans="2:6" ht="12" customHeight="1" x14ac:dyDescent="0.15">
      <c r="B505" s="2"/>
      <c r="C505" s="3"/>
      <c r="D505" s="3"/>
      <c r="E505" s="3"/>
      <c r="F505" s="4"/>
    </row>
    <row r="506" spans="2:6" ht="12" customHeight="1" x14ac:dyDescent="0.15">
      <c r="B506" s="2"/>
      <c r="C506" s="3"/>
      <c r="D506" s="3"/>
      <c r="E506" s="3"/>
      <c r="F506" s="4"/>
    </row>
    <row r="507" spans="2:6" ht="12" customHeight="1" x14ac:dyDescent="0.15">
      <c r="B507" s="2"/>
      <c r="C507" s="3"/>
      <c r="D507" s="3"/>
      <c r="E507" s="3"/>
      <c r="F507" s="4"/>
    </row>
    <row r="508" spans="2:6" ht="12" customHeight="1" x14ac:dyDescent="0.15">
      <c r="B508" s="2"/>
      <c r="C508" s="3"/>
      <c r="D508" s="3"/>
      <c r="E508" s="3"/>
      <c r="F508" s="4"/>
    </row>
    <row r="509" spans="2:6" ht="12" customHeight="1" x14ac:dyDescent="0.15">
      <c r="B509" s="2"/>
      <c r="C509" s="3"/>
      <c r="D509" s="3"/>
      <c r="E509" s="3"/>
      <c r="F509" s="4"/>
    </row>
    <row r="510" spans="2:6" ht="12" customHeight="1" x14ac:dyDescent="0.15">
      <c r="B510" s="2"/>
      <c r="C510" s="3"/>
      <c r="D510" s="3"/>
      <c r="E510" s="3"/>
      <c r="F510" s="4"/>
    </row>
    <row r="511" spans="2:6" ht="12" customHeight="1" x14ac:dyDescent="0.15">
      <c r="B511" s="2"/>
      <c r="C511" s="3"/>
      <c r="D511" s="3"/>
      <c r="E511" s="3"/>
      <c r="F511" s="4"/>
    </row>
    <row r="512" spans="2:6" ht="12" customHeight="1" x14ac:dyDescent="0.15">
      <c r="B512" s="2"/>
      <c r="C512" s="3"/>
      <c r="D512" s="3"/>
      <c r="E512" s="3"/>
      <c r="F512" s="4"/>
    </row>
    <row r="513" spans="2:6" ht="12" customHeight="1" x14ac:dyDescent="0.15">
      <c r="B513" s="2"/>
      <c r="C513" s="3"/>
      <c r="D513" s="3"/>
      <c r="E513" s="3"/>
      <c r="F513" s="4"/>
    </row>
    <row r="514" spans="2:6" ht="12" customHeight="1" x14ac:dyDescent="0.15">
      <c r="B514" s="2"/>
      <c r="C514" s="3"/>
      <c r="D514" s="3"/>
      <c r="E514" s="3"/>
      <c r="F514" s="4"/>
    </row>
    <row r="515" spans="2:6" ht="12" customHeight="1" x14ac:dyDescent="0.15">
      <c r="B515" s="2"/>
      <c r="C515" s="3"/>
      <c r="D515" s="3"/>
      <c r="E515" s="3"/>
      <c r="F515" s="4"/>
    </row>
    <row r="516" spans="2:6" ht="12" customHeight="1" x14ac:dyDescent="0.15">
      <c r="B516" s="2"/>
      <c r="C516" s="3"/>
      <c r="D516" s="3"/>
      <c r="E516" s="3"/>
      <c r="F516" s="4"/>
    </row>
    <row r="517" spans="2:6" ht="12" customHeight="1" x14ac:dyDescent="0.15">
      <c r="B517" s="2"/>
      <c r="C517" s="3"/>
      <c r="D517" s="3"/>
      <c r="E517" s="3"/>
      <c r="F517" s="4"/>
    </row>
    <row r="518" spans="2:6" ht="12" customHeight="1" x14ac:dyDescent="0.15">
      <c r="B518" s="2"/>
      <c r="C518" s="3"/>
      <c r="D518" s="3"/>
      <c r="E518" s="3"/>
      <c r="F518" s="4"/>
    </row>
    <row r="519" spans="2:6" ht="12" customHeight="1" x14ac:dyDescent="0.15">
      <c r="B519" s="2"/>
      <c r="C519" s="3"/>
      <c r="D519" s="3"/>
      <c r="E519" s="3"/>
      <c r="F519" s="4"/>
    </row>
    <row r="520" spans="2:6" ht="12" customHeight="1" x14ac:dyDescent="0.15">
      <c r="B520" s="2"/>
      <c r="C520" s="3"/>
      <c r="D520" s="3"/>
      <c r="E520" s="3"/>
      <c r="F520" s="4"/>
    </row>
    <row r="521" spans="2:6" ht="12" customHeight="1" x14ac:dyDescent="0.15">
      <c r="B521" s="2"/>
      <c r="C521" s="3"/>
      <c r="D521" s="3"/>
      <c r="E521" s="3"/>
      <c r="F521" s="4"/>
    </row>
    <row r="522" spans="2:6" ht="12" customHeight="1" x14ac:dyDescent="0.15">
      <c r="B522" s="2"/>
      <c r="C522" s="3"/>
      <c r="D522" s="3"/>
      <c r="E522" s="3"/>
      <c r="F522" s="4"/>
    </row>
    <row r="523" spans="2:6" ht="12" customHeight="1" x14ac:dyDescent="0.15">
      <c r="B523" s="2"/>
      <c r="C523" s="3"/>
      <c r="D523" s="3"/>
      <c r="E523" s="3"/>
      <c r="F523" s="4"/>
    </row>
    <row r="524" spans="2:6" ht="12" customHeight="1" x14ac:dyDescent="0.15">
      <c r="B524" s="2"/>
      <c r="C524" s="3"/>
      <c r="D524" s="3"/>
      <c r="E524" s="3"/>
      <c r="F524" s="4"/>
    </row>
    <row r="525" spans="2:6" ht="12" customHeight="1" x14ac:dyDescent="0.15">
      <c r="B525" s="2"/>
      <c r="C525" s="3"/>
      <c r="D525" s="3"/>
      <c r="E525" s="3"/>
      <c r="F525" s="4"/>
    </row>
    <row r="526" spans="2:6" ht="12" customHeight="1" x14ac:dyDescent="0.15">
      <c r="B526" s="2"/>
      <c r="C526" s="3"/>
      <c r="D526" s="3"/>
      <c r="E526" s="3"/>
      <c r="F526" s="4"/>
    </row>
    <row r="527" spans="2:6" ht="12" customHeight="1" x14ac:dyDescent="0.15">
      <c r="B527" s="2"/>
      <c r="C527" s="3"/>
      <c r="D527" s="3"/>
      <c r="E527" s="3"/>
      <c r="F527" s="4"/>
    </row>
    <row r="528" spans="2:6" ht="12" customHeight="1" x14ac:dyDescent="0.15">
      <c r="B528" s="2"/>
      <c r="C528" s="3"/>
      <c r="D528" s="3"/>
      <c r="E528" s="3"/>
      <c r="F528" s="4"/>
    </row>
    <row r="529" spans="2:6" ht="12" customHeight="1" x14ac:dyDescent="0.15">
      <c r="B529" s="2"/>
      <c r="C529" s="3"/>
      <c r="D529" s="3"/>
      <c r="E529" s="3"/>
      <c r="F529" s="4"/>
    </row>
    <row r="530" spans="2:6" ht="12" customHeight="1" x14ac:dyDescent="0.15">
      <c r="B530" s="2"/>
      <c r="C530" s="3"/>
      <c r="D530" s="3"/>
      <c r="E530" s="3"/>
      <c r="F530" s="4"/>
    </row>
    <row r="531" spans="2:6" ht="12" customHeight="1" x14ac:dyDescent="0.15">
      <c r="B531" s="2"/>
      <c r="C531" s="3"/>
      <c r="D531" s="3"/>
      <c r="E531" s="3"/>
      <c r="F531" s="4"/>
    </row>
    <row r="532" spans="2:6" ht="12" customHeight="1" x14ac:dyDescent="0.15">
      <c r="B532" s="2"/>
      <c r="C532" s="3"/>
      <c r="D532" s="3"/>
      <c r="E532" s="3"/>
      <c r="F532" s="4"/>
    </row>
    <row r="533" spans="2:6" ht="12" customHeight="1" x14ac:dyDescent="0.15">
      <c r="B533" s="2"/>
      <c r="C533" s="3"/>
      <c r="D533" s="3"/>
      <c r="E533" s="3"/>
      <c r="F533" s="4"/>
    </row>
    <row r="534" spans="2:6" ht="12" customHeight="1" x14ac:dyDescent="0.15">
      <c r="B534" s="2"/>
      <c r="C534" s="3"/>
      <c r="D534" s="3"/>
      <c r="E534" s="3"/>
      <c r="F534" s="4"/>
    </row>
    <row r="535" spans="2:6" ht="12" customHeight="1" x14ac:dyDescent="0.15">
      <c r="B535" s="2"/>
      <c r="C535" s="3"/>
      <c r="D535" s="3"/>
      <c r="E535" s="3"/>
      <c r="F535" s="4"/>
    </row>
    <row r="536" spans="2:6" ht="12" customHeight="1" x14ac:dyDescent="0.15">
      <c r="B536" s="2"/>
      <c r="C536" s="3"/>
      <c r="D536" s="3"/>
      <c r="E536" s="3"/>
      <c r="F536" s="4"/>
    </row>
    <row r="537" spans="2:6" ht="12" customHeight="1" x14ac:dyDescent="0.15">
      <c r="B537" s="2"/>
      <c r="C537" s="3"/>
      <c r="D537" s="3"/>
      <c r="E537" s="3"/>
      <c r="F537" s="4"/>
    </row>
    <row r="538" spans="2:6" ht="12" customHeight="1" x14ac:dyDescent="0.15">
      <c r="B538" s="2"/>
      <c r="C538" s="3"/>
      <c r="D538" s="3"/>
      <c r="E538" s="3"/>
      <c r="F538" s="4"/>
    </row>
    <row r="539" spans="2:6" ht="12" customHeight="1" x14ac:dyDescent="0.15">
      <c r="B539" s="2"/>
      <c r="C539" s="3"/>
      <c r="D539" s="3"/>
      <c r="E539" s="3"/>
      <c r="F539" s="4"/>
    </row>
    <row r="540" spans="2:6" ht="12" customHeight="1" x14ac:dyDescent="0.15">
      <c r="B540" s="2"/>
      <c r="C540" s="3"/>
      <c r="D540" s="3"/>
      <c r="E540" s="3"/>
      <c r="F540" s="4"/>
    </row>
    <row r="541" spans="2:6" ht="12" customHeight="1" x14ac:dyDescent="0.15">
      <c r="B541" s="2"/>
      <c r="C541" s="3"/>
      <c r="D541" s="3"/>
      <c r="E541" s="3"/>
      <c r="F541" s="4"/>
    </row>
    <row r="542" spans="2:6" ht="12" customHeight="1" x14ac:dyDescent="0.15">
      <c r="B542" s="2"/>
      <c r="C542" s="3"/>
      <c r="D542" s="3"/>
      <c r="E542" s="3"/>
      <c r="F542" s="4"/>
    </row>
    <row r="543" spans="2:6" ht="12" customHeight="1" x14ac:dyDescent="0.15">
      <c r="B543" s="2"/>
      <c r="C543" s="3"/>
      <c r="D543" s="3"/>
      <c r="E543" s="3"/>
      <c r="F543" s="4"/>
    </row>
    <row r="544" spans="2:6" ht="12" customHeight="1" x14ac:dyDescent="0.15">
      <c r="B544" s="2"/>
      <c r="C544" s="3"/>
      <c r="D544" s="3"/>
      <c r="E544" s="3"/>
      <c r="F544" s="4"/>
    </row>
    <row r="545" spans="2:6" ht="12" customHeight="1" x14ac:dyDescent="0.15">
      <c r="B545" s="2"/>
      <c r="C545" s="3"/>
      <c r="D545" s="3"/>
      <c r="E545" s="3"/>
      <c r="F545" s="4"/>
    </row>
    <row r="546" spans="2:6" ht="12" customHeight="1" x14ac:dyDescent="0.15">
      <c r="B546" s="2"/>
      <c r="C546" s="3"/>
      <c r="D546" s="3"/>
      <c r="E546" s="3"/>
      <c r="F546" s="4"/>
    </row>
    <row r="547" spans="2:6" ht="12" customHeight="1" x14ac:dyDescent="0.15">
      <c r="B547" s="2"/>
      <c r="C547" s="3"/>
      <c r="D547" s="3"/>
      <c r="E547" s="3"/>
      <c r="F547" s="4"/>
    </row>
    <row r="548" spans="2:6" ht="12" customHeight="1" x14ac:dyDescent="0.15">
      <c r="B548" s="2"/>
      <c r="C548" s="3"/>
      <c r="D548" s="3"/>
      <c r="E548" s="3"/>
      <c r="F548" s="4"/>
    </row>
    <row r="549" spans="2:6" ht="12" customHeight="1" x14ac:dyDescent="0.15">
      <c r="B549" s="2"/>
      <c r="C549" s="3"/>
      <c r="D549" s="3"/>
      <c r="E549" s="3"/>
      <c r="F549" s="4"/>
    </row>
    <row r="550" spans="2:6" ht="12" customHeight="1" x14ac:dyDescent="0.15">
      <c r="B550" s="2"/>
      <c r="C550" s="3"/>
      <c r="D550" s="3"/>
      <c r="E550" s="3"/>
      <c r="F550" s="4"/>
    </row>
    <row r="551" spans="2:6" ht="12" customHeight="1" x14ac:dyDescent="0.15">
      <c r="B551" s="2"/>
      <c r="C551" s="3"/>
      <c r="D551" s="3"/>
      <c r="E551" s="3"/>
      <c r="F551" s="4"/>
    </row>
    <row r="552" spans="2:6" ht="12" customHeight="1" x14ac:dyDescent="0.15">
      <c r="B552" s="2"/>
      <c r="C552" s="3"/>
      <c r="D552" s="3"/>
      <c r="E552" s="3"/>
      <c r="F552" s="4"/>
    </row>
    <row r="553" spans="2:6" ht="12" customHeight="1" x14ac:dyDescent="0.15">
      <c r="B553" s="2"/>
      <c r="C553" s="3"/>
      <c r="D553" s="3"/>
      <c r="E553" s="3"/>
      <c r="F553" s="4"/>
    </row>
    <row r="554" spans="2:6" ht="12" customHeight="1" x14ac:dyDescent="0.15">
      <c r="B554" s="2"/>
      <c r="C554" s="3"/>
      <c r="D554" s="3"/>
      <c r="E554" s="3"/>
      <c r="F554" s="4"/>
    </row>
    <row r="555" spans="2:6" ht="12" customHeight="1" x14ac:dyDescent="0.15">
      <c r="B555" s="2"/>
      <c r="C555" s="3"/>
      <c r="D555" s="3"/>
      <c r="E555" s="3"/>
      <c r="F555" s="4"/>
    </row>
    <row r="556" spans="2:6" ht="12" customHeight="1" x14ac:dyDescent="0.15">
      <c r="B556" s="2"/>
      <c r="C556" s="3"/>
      <c r="D556" s="3"/>
      <c r="E556" s="3"/>
      <c r="F556" s="4"/>
    </row>
    <row r="557" spans="2:6" ht="12" customHeight="1" x14ac:dyDescent="0.15">
      <c r="B557" s="2"/>
      <c r="C557" s="3"/>
      <c r="D557" s="3"/>
      <c r="E557" s="3"/>
      <c r="F557" s="4"/>
    </row>
    <row r="558" spans="2:6" ht="12" customHeight="1" x14ac:dyDescent="0.15">
      <c r="B558" s="2"/>
      <c r="C558" s="3"/>
      <c r="D558" s="3"/>
      <c r="E558" s="3"/>
      <c r="F558" s="4"/>
    </row>
    <row r="559" spans="2:6" ht="12" customHeight="1" x14ac:dyDescent="0.15">
      <c r="B559" s="2"/>
      <c r="C559" s="3"/>
      <c r="D559" s="3"/>
      <c r="E559" s="3"/>
      <c r="F559" s="4"/>
    </row>
    <row r="560" spans="2:6" ht="12" customHeight="1" x14ac:dyDescent="0.15">
      <c r="B560" s="2"/>
      <c r="C560" s="3"/>
      <c r="D560" s="3"/>
      <c r="E560" s="3"/>
      <c r="F560" s="4"/>
    </row>
    <row r="561" spans="2:6" ht="12" customHeight="1" x14ac:dyDescent="0.15">
      <c r="B561" s="2"/>
      <c r="C561" s="3"/>
      <c r="D561" s="3"/>
      <c r="E561" s="3"/>
      <c r="F561" s="4"/>
    </row>
    <row r="562" spans="2:6" ht="12" customHeight="1" x14ac:dyDescent="0.15">
      <c r="B562" s="2"/>
      <c r="C562" s="3"/>
      <c r="D562" s="3"/>
      <c r="E562" s="3"/>
      <c r="F562" s="4"/>
    </row>
    <row r="563" spans="2:6" ht="12" customHeight="1" x14ac:dyDescent="0.15">
      <c r="B563" s="2"/>
      <c r="C563" s="3"/>
      <c r="D563" s="3"/>
      <c r="E563" s="3"/>
      <c r="F563" s="4"/>
    </row>
    <row r="564" spans="2:6" ht="12" customHeight="1" x14ac:dyDescent="0.15">
      <c r="B564" s="2"/>
      <c r="C564" s="3"/>
      <c r="D564" s="3"/>
      <c r="E564" s="3"/>
      <c r="F564" s="4"/>
    </row>
    <row r="565" spans="2:6" ht="12" customHeight="1" x14ac:dyDescent="0.15">
      <c r="B565" s="2"/>
      <c r="C565" s="3"/>
      <c r="D565" s="3"/>
      <c r="E565" s="3"/>
      <c r="F565" s="4"/>
    </row>
    <row r="566" spans="2:6" ht="12" customHeight="1" x14ac:dyDescent="0.15">
      <c r="B566" s="2"/>
      <c r="C566" s="3"/>
      <c r="D566" s="3"/>
      <c r="E566" s="3"/>
      <c r="F566" s="4"/>
    </row>
    <row r="567" spans="2:6" ht="12" customHeight="1" x14ac:dyDescent="0.15">
      <c r="B567" s="2"/>
      <c r="C567" s="3"/>
      <c r="D567" s="3"/>
      <c r="E567" s="3"/>
      <c r="F567" s="4"/>
    </row>
    <row r="568" spans="2:6" ht="12" customHeight="1" x14ac:dyDescent="0.15">
      <c r="B568" s="2"/>
      <c r="C568" s="3"/>
      <c r="D568" s="3"/>
      <c r="E568" s="3"/>
      <c r="F568" s="4"/>
    </row>
    <row r="569" spans="2:6" ht="12" customHeight="1" x14ac:dyDescent="0.15">
      <c r="B569" s="2"/>
      <c r="C569" s="3"/>
      <c r="D569" s="3"/>
      <c r="E569" s="3"/>
      <c r="F569" s="4"/>
    </row>
    <row r="570" spans="2:6" ht="12" customHeight="1" x14ac:dyDescent="0.15">
      <c r="B570" s="2"/>
      <c r="C570" s="3"/>
      <c r="D570" s="3"/>
      <c r="E570" s="3"/>
      <c r="F570" s="4"/>
    </row>
    <row r="571" spans="2:6" ht="12" customHeight="1" x14ac:dyDescent="0.15">
      <c r="B571" s="2"/>
      <c r="C571" s="3"/>
      <c r="D571" s="3"/>
      <c r="E571" s="3"/>
      <c r="F571" s="4"/>
    </row>
    <row r="572" spans="2:6" ht="12" customHeight="1" x14ac:dyDescent="0.15">
      <c r="B572" s="2"/>
      <c r="C572" s="3"/>
      <c r="D572" s="3"/>
      <c r="E572" s="3"/>
      <c r="F572" s="4"/>
    </row>
    <row r="573" spans="2:6" ht="12" customHeight="1" x14ac:dyDescent="0.15">
      <c r="B573" s="2"/>
      <c r="C573" s="3"/>
      <c r="D573" s="3"/>
      <c r="E573" s="3"/>
      <c r="F573" s="4"/>
    </row>
    <row r="574" spans="2:6" ht="12" customHeight="1" x14ac:dyDescent="0.15">
      <c r="B574" s="2"/>
      <c r="C574" s="3"/>
      <c r="D574" s="3"/>
      <c r="E574" s="3"/>
      <c r="F574" s="4"/>
    </row>
    <row r="575" spans="2:6" ht="12" customHeight="1" x14ac:dyDescent="0.15">
      <c r="B575" s="2"/>
      <c r="C575" s="3"/>
      <c r="D575" s="3"/>
      <c r="E575" s="3"/>
      <c r="F575" s="4"/>
    </row>
    <row r="576" spans="2:6" ht="12" customHeight="1" x14ac:dyDescent="0.15">
      <c r="B576" s="2"/>
      <c r="C576" s="3"/>
      <c r="D576" s="3"/>
      <c r="E576" s="3"/>
      <c r="F576" s="4"/>
    </row>
    <row r="577" spans="2:6" ht="12" customHeight="1" x14ac:dyDescent="0.15">
      <c r="B577" s="2"/>
      <c r="C577" s="3"/>
      <c r="D577" s="3"/>
      <c r="E577" s="3"/>
      <c r="F577" s="4"/>
    </row>
    <row r="578" spans="2:6" ht="12" customHeight="1" x14ac:dyDescent="0.15">
      <c r="B578" s="2"/>
      <c r="C578" s="3"/>
      <c r="D578" s="3"/>
      <c r="E578" s="3"/>
      <c r="F578" s="4"/>
    </row>
    <row r="579" spans="2:6" ht="12" customHeight="1" x14ac:dyDescent="0.15">
      <c r="B579" s="2"/>
      <c r="C579" s="3"/>
      <c r="D579" s="3"/>
      <c r="E579" s="3"/>
      <c r="F579" s="4"/>
    </row>
    <row r="580" spans="2:6" ht="12" customHeight="1" x14ac:dyDescent="0.15">
      <c r="B580" s="2"/>
      <c r="C580" s="3"/>
      <c r="D580" s="3"/>
      <c r="E580" s="3"/>
      <c r="F580" s="4"/>
    </row>
    <row r="581" spans="2:6" ht="12" customHeight="1" x14ac:dyDescent="0.15">
      <c r="B581" s="2"/>
      <c r="C581" s="3"/>
      <c r="D581" s="3"/>
      <c r="E581" s="3"/>
      <c r="F581" s="4"/>
    </row>
    <row r="582" spans="2:6" ht="12" customHeight="1" x14ac:dyDescent="0.15">
      <c r="B582" s="2"/>
      <c r="C582" s="3"/>
      <c r="D582" s="3"/>
      <c r="E582" s="3"/>
      <c r="F582" s="4"/>
    </row>
    <row r="583" spans="2:6" ht="12" customHeight="1" x14ac:dyDescent="0.15">
      <c r="B583" s="2"/>
      <c r="C583" s="3"/>
      <c r="D583" s="3"/>
      <c r="E583" s="3"/>
      <c r="F583" s="4"/>
    </row>
    <row r="584" spans="2:6" ht="12" customHeight="1" x14ac:dyDescent="0.15">
      <c r="B584" s="2"/>
      <c r="C584" s="3"/>
      <c r="D584" s="3"/>
      <c r="E584" s="3"/>
      <c r="F584" s="4"/>
    </row>
    <row r="585" spans="2:6" ht="12" customHeight="1" x14ac:dyDescent="0.15">
      <c r="B585" s="2"/>
      <c r="C585" s="3"/>
      <c r="D585" s="3"/>
      <c r="E585" s="3"/>
      <c r="F585" s="4"/>
    </row>
    <row r="586" spans="2:6" ht="12" customHeight="1" x14ac:dyDescent="0.15">
      <c r="B586" s="2"/>
      <c r="C586" s="3"/>
      <c r="D586" s="3"/>
      <c r="E586" s="3"/>
      <c r="F586" s="4"/>
    </row>
    <row r="587" spans="2:6" ht="12" customHeight="1" x14ac:dyDescent="0.15">
      <c r="B587" s="2"/>
      <c r="C587" s="3"/>
      <c r="D587" s="3"/>
      <c r="E587" s="3"/>
      <c r="F587" s="4"/>
    </row>
    <row r="588" spans="2:6" ht="12" customHeight="1" x14ac:dyDescent="0.15">
      <c r="B588" s="2"/>
      <c r="C588" s="3"/>
      <c r="D588" s="3"/>
      <c r="E588" s="3"/>
      <c r="F588" s="4"/>
    </row>
    <row r="589" spans="2:6" ht="12" customHeight="1" x14ac:dyDescent="0.15">
      <c r="B589" s="2"/>
      <c r="C589" s="3"/>
      <c r="D589" s="3"/>
      <c r="E589" s="3"/>
      <c r="F589" s="4"/>
    </row>
    <row r="590" spans="2:6" ht="12" customHeight="1" x14ac:dyDescent="0.15">
      <c r="B590" s="2"/>
      <c r="C590" s="3"/>
      <c r="D590" s="3"/>
      <c r="E590" s="3"/>
      <c r="F590" s="4"/>
    </row>
    <row r="591" spans="2:6" ht="12" customHeight="1" x14ac:dyDescent="0.15">
      <c r="B591" s="2"/>
      <c r="C591" s="3"/>
      <c r="D591" s="3"/>
      <c r="E591" s="3"/>
      <c r="F591" s="4"/>
    </row>
    <row r="592" spans="2:6" ht="12" customHeight="1" x14ac:dyDescent="0.15">
      <c r="B592" s="2"/>
      <c r="C592" s="3"/>
      <c r="D592" s="3"/>
      <c r="E592" s="3"/>
      <c r="F592" s="4"/>
    </row>
    <row r="593" spans="2:6" ht="12" customHeight="1" x14ac:dyDescent="0.15">
      <c r="B593" s="2"/>
      <c r="C593" s="3"/>
      <c r="D593" s="3"/>
      <c r="E593" s="3"/>
      <c r="F593" s="4"/>
    </row>
    <row r="594" spans="2:6" ht="12" customHeight="1" x14ac:dyDescent="0.15">
      <c r="B594" s="2"/>
      <c r="C594" s="3"/>
      <c r="D594" s="3"/>
      <c r="E594" s="3"/>
      <c r="F594" s="4"/>
    </row>
    <row r="595" spans="2:6" ht="12" customHeight="1" x14ac:dyDescent="0.15">
      <c r="B595" s="2"/>
      <c r="C595" s="3"/>
      <c r="D595" s="3"/>
      <c r="E595" s="3"/>
      <c r="F595" s="4"/>
    </row>
    <row r="596" spans="2:6" ht="12" customHeight="1" x14ac:dyDescent="0.15">
      <c r="B596" s="2"/>
      <c r="C596" s="3"/>
      <c r="D596" s="3"/>
      <c r="E596" s="3"/>
      <c r="F596" s="4"/>
    </row>
    <row r="597" spans="2:6" ht="12" customHeight="1" x14ac:dyDescent="0.15">
      <c r="B597" s="2"/>
      <c r="C597" s="3"/>
      <c r="D597" s="3"/>
      <c r="E597" s="3"/>
      <c r="F597" s="4"/>
    </row>
    <row r="598" spans="2:6" ht="12" customHeight="1" x14ac:dyDescent="0.15">
      <c r="B598" s="2"/>
      <c r="C598" s="3"/>
      <c r="D598" s="3"/>
      <c r="E598" s="3"/>
      <c r="F598" s="4"/>
    </row>
    <row r="599" spans="2:6" ht="12" customHeight="1" x14ac:dyDescent="0.15">
      <c r="B599" s="2"/>
      <c r="C599" s="3"/>
      <c r="D599" s="3"/>
      <c r="E599" s="3"/>
      <c r="F599" s="4"/>
    </row>
    <row r="600" spans="2:6" ht="12" customHeight="1" x14ac:dyDescent="0.15">
      <c r="B600" s="2"/>
      <c r="C600" s="3"/>
      <c r="D600" s="3"/>
      <c r="E600" s="3"/>
      <c r="F600" s="4"/>
    </row>
    <row r="601" spans="2:6" ht="12" customHeight="1" x14ac:dyDescent="0.15">
      <c r="B601" s="2"/>
      <c r="C601" s="3"/>
      <c r="D601" s="3"/>
      <c r="E601" s="3"/>
      <c r="F601" s="4"/>
    </row>
    <row r="602" spans="2:6" ht="12" customHeight="1" x14ac:dyDescent="0.15">
      <c r="B602" s="2"/>
      <c r="C602" s="3"/>
      <c r="D602" s="3"/>
      <c r="E602" s="3"/>
      <c r="F602" s="4"/>
    </row>
    <row r="603" spans="2:6" ht="12" customHeight="1" x14ac:dyDescent="0.15">
      <c r="B603" s="2"/>
      <c r="C603" s="3"/>
      <c r="D603" s="3"/>
      <c r="E603" s="3"/>
      <c r="F603" s="4"/>
    </row>
    <row r="604" spans="2:6" ht="12" customHeight="1" x14ac:dyDescent="0.15">
      <c r="B604" s="2"/>
      <c r="C604" s="3"/>
      <c r="D604" s="3"/>
      <c r="E604" s="3"/>
      <c r="F604" s="4"/>
    </row>
    <row r="605" spans="2:6" ht="12" customHeight="1" x14ac:dyDescent="0.15">
      <c r="B605" s="2"/>
      <c r="C605" s="3"/>
      <c r="D605" s="3"/>
      <c r="E605" s="3"/>
      <c r="F605" s="4"/>
    </row>
    <row r="606" spans="2:6" ht="12" customHeight="1" x14ac:dyDescent="0.15">
      <c r="B606" s="2"/>
      <c r="C606" s="3"/>
      <c r="D606" s="3"/>
      <c r="E606" s="3"/>
      <c r="F606" s="4"/>
    </row>
    <row r="607" spans="2:6" ht="12" customHeight="1" x14ac:dyDescent="0.15">
      <c r="B607" s="2"/>
      <c r="C607" s="3"/>
      <c r="D607" s="3"/>
      <c r="E607" s="3"/>
      <c r="F607" s="4"/>
    </row>
    <row r="608" spans="2:6" ht="12" customHeight="1" x14ac:dyDescent="0.15">
      <c r="B608" s="2"/>
      <c r="C608" s="3"/>
      <c r="D608" s="3"/>
      <c r="E608" s="3"/>
      <c r="F608" s="4"/>
    </row>
    <row r="609" spans="2:6" ht="12" customHeight="1" x14ac:dyDescent="0.15">
      <c r="B609" s="2"/>
      <c r="C609" s="3"/>
      <c r="D609" s="3"/>
      <c r="E609" s="3"/>
      <c r="F609" s="4"/>
    </row>
    <row r="610" spans="2:6" ht="12" customHeight="1" x14ac:dyDescent="0.15">
      <c r="B610" s="2"/>
      <c r="C610" s="3"/>
      <c r="D610" s="3"/>
      <c r="E610" s="3"/>
      <c r="F610" s="4"/>
    </row>
    <row r="611" spans="2:6" ht="12" customHeight="1" x14ac:dyDescent="0.15">
      <c r="B611" s="2"/>
      <c r="C611" s="3"/>
      <c r="D611" s="3"/>
      <c r="E611" s="3"/>
      <c r="F611" s="4"/>
    </row>
    <row r="612" spans="2:6" ht="12" customHeight="1" x14ac:dyDescent="0.15">
      <c r="B612" s="2"/>
      <c r="C612" s="3"/>
      <c r="D612" s="3"/>
      <c r="E612" s="3"/>
      <c r="F612" s="4"/>
    </row>
    <row r="613" spans="2:6" ht="12" customHeight="1" x14ac:dyDescent="0.15">
      <c r="B613" s="2"/>
      <c r="C613" s="3"/>
      <c r="D613" s="3"/>
      <c r="E613" s="3"/>
      <c r="F613" s="4"/>
    </row>
    <row r="614" spans="2:6" ht="12" customHeight="1" x14ac:dyDescent="0.15">
      <c r="B614" s="2"/>
      <c r="C614" s="3"/>
      <c r="D614" s="3"/>
      <c r="E614" s="3"/>
      <c r="F614" s="4"/>
    </row>
    <row r="615" spans="2:6" ht="12" customHeight="1" x14ac:dyDescent="0.15">
      <c r="B615" s="2"/>
      <c r="C615" s="3"/>
      <c r="D615" s="3"/>
      <c r="E615" s="3"/>
      <c r="F615" s="4"/>
    </row>
    <row r="616" spans="2:6" ht="12" customHeight="1" x14ac:dyDescent="0.15">
      <c r="B616" s="2"/>
      <c r="C616" s="3"/>
      <c r="D616" s="3"/>
      <c r="E616" s="3"/>
      <c r="F616" s="4"/>
    </row>
    <row r="617" spans="2:6" ht="12" customHeight="1" x14ac:dyDescent="0.15">
      <c r="B617" s="2"/>
      <c r="C617" s="3"/>
      <c r="D617" s="3"/>
      <c r="E617" s="3"/>
      <c r="F617" s="4"/>
    </row>
    <row r="618" spans="2:6" ht="12" customHeight="1" x14ac:dyDescent="0.15">
      <c r="B618" s="2"/>
      <c r="C618" s="3"/>
      <c r="D618" s="3"/>
      <c r="E618" s="3"/>
      <c r="F618" s="4"/>
    </row>
    <row r="619" spans="2:6" ht="12" customHeight="1" x14ac:dyDescent="0.15">
      <c r="B619" s="2"/>
      <c r="C619" s="3"/>
      <c r="D619" s="3"/>
      <c r="E619" s="3"/>
      <c r="F619" s="4"/>
    </row>
    <row r="620" spans="2:6" ht="12" customHeight="1" x14ac:dyDescent="0.15">
      <c r="B620" s="2"/>
      <c r="C620" s="3"/>
      <c r="D620" s="3"/>
      <c r="E620" s="3"/>
      <c r="F620" s="4"/>
    </row>
    <row r="621" spans="2:6" ht="12" customHeight="1" x14ac:dyDescent="0.15">
      <c r="B621" s="2"/>
      <c r="C621" s="3"/>
      <c r="D621" s="3"/>
      <c r="E621" s="3"/>
      <c r="F621" s="4"/>
    </row>
    <row r="622" spans="2:6" ht="12" customHeight="1" x14ac:dyDescent="0.15">
      <c r="B622" s="2"/>
      <c r="C622" s="3"/>
      <c r="D622" s="3"/>
      <c r="E622" s="3"/>
      <c r="F622" s="4"/>
    </row>
    <row r="623" spans="2:6" ht="12" customHeight="1" x14ac:dyDescent="0.15">
      <c r="B623" s="2"/>
      <c r="C623" s="3"/>
      <c r="D623" s="3"/>
      <c r="E623" s="3"/>
      <c r="F623" s="4"/>
    </row>
    <row r="624" spans="2:6" ht="12" customHeight="1" x14ac:dyDescent="0.15">
      <c r="B624" s="2"/>
      <c r="C624" s="3"/>
      <c r="D624" s="3"/>
      <c r="E624" s="3"/>
      <c r="F624" s="4"/>
    </row>
    <row r="625" spans="2:6" ht="12" customHeight="1" x14ac:dyDescent="0.15">
      <c r="B625" s="2"/>
      <c r="C625" s="3"/>
      <c r="D625" s="3"/>
      <c r="E625" s="3"/>
      <c r="F625" s="4"/>
    </row>
    <row r="626" spans="2:6" ht="12" customHeight="1" x14ac:dyDescent="0.15">
      <c r="B626" s="2"/>
      <c r="C626" s="3"/>
      <c r="D626" s="3"/>
      <c r="E626" s="3"/>
      <c r="F626" s="4"/>
    </row>
    <row r="627" spans="2:6" ht="12" customHeight="1" x14ac:dyDescent="0.15">
      <c r="B627" s="2"/>
      <c r="C627" s="3"/>
      <c r="D627" s="3"/>
      <c r="E627" s="3"/>
      <c r="F627" s="4"/>
    </row>
    <row r="628" spans="2:6" ht="12" customHeight="1" x14ac:dyDescent="0.15">
      <c r="B628" s="2"/>
      <c r="C628" s="3"/>
      <c r="D628" s="3"/>
      <c r="E628" s="3"/>
      <c r="F628" s="4"/>
    </row>
    <row r="629" spans="2:6" ht="12" customHeight="1" x14ac:dyDescent="0.15">
      <c r="B629" s="2"/>
      <c r="C629" s="3"/>
      <c r="D629" s="3"/>
      <c r="E629" s="3"/>
      <c r="F629" s="4"/>
    </row>
    <row r="630" spans="2:6" ht="12" customHeight="1" x14ac:dyDescent="0.15">
      <c r="B630" s="2"/>
      <c r="C630" s="3"/>
      <c r="D630" s="3"/>
      <c r="E630" s="3"/>
      <c r="F630" s="4"/>
    </row>
    <row r="631" spans="2:6" ht="12" customHeight="1" x14ac:dyDescent="0.15">
      <c r="B631" s="2"/>
      <c r="C631" s="3"/>
      <c r="D631" s="3"/>
      <c r="E631" s="3"/>
      <c r="F631" s="4"/>
    </row>
    <row r="632" spans="2:6" ht="12" customHeight="1" x14ac:dyDescent="0.15">
      <c r="B632" s="2"/>
      <c r="C632" s="3"/>
      <c r="D632" s="3"/>
      <c r="E632" s="3"/>
      <c r="F632" s="4"/>
    </row>
    <row r="633" spans="2:6" ht="12" customHeight="1" x14ac:dyDescent="0.15">
      <c r="B633" s="2"/>
      <c r="C633" s="3"/>
      <c r="D633" s="3"/>
      <c r="E633" s="3"/>
      <c r="F633" s="4"/>
    </row>
    <row r="634" spans="2:6" ht="12" customHeight="1" x14ac:dyDescent="0.15">
      <c r="B634" s="2"/>
      <c r="C634" s="3"/>
      <c r="D634" s="3"/>
      <c r="E634" s="3"/>
      <c r="F634" s="4"/>
    </row>
    <row r="635" spans="2:6" ht="12" customHeight="1" x14ac:dyDescent="0.15">
      <c r="B635" s="2"/>
      <c r="C635" s="3"/>
      <c r="D635" s="3"/>
      <c r="E635" s="3"/>
      <c r="F635" s="4"/>
    </row>
    <row r="636" spans="2:6" ht="12" customHeight="1" x14ac:dyDescent="0.15">
      <c r="B636" s="2"/>
      <c r="C636" s="3"/>
      <c r="D636" s="3"/>
      <c r="E636" s="3"/>
      <c r="F636" s="4"/>
    </row>
    <row r="637" spans="2:6" ht="12" customHeight="1" x14ac:dyDescent="0.15">
      <c r="B637" s="2"/>
      <c r="C637" s="3"/>
      <c r="D637" s="3"/>
      <c r="E637" s="3"/>
      <c r="F637" s="4"/>
    </row>
    <row r="638" spans="2:6" ht="12" customHeight="1" x14ac:dyDescent="0.15">
      <c r="B638" s="2"/>
      <c r="C638" s="3"/>
      <c r="D638" s="3"/>
      <c r="E638" s="3"/>
      <c r="F638" s="4"/>
    </row>
    <row r="639" spans="2:6" ht="12" customHeight="1" x14ac:dyDescent="0.15">
      <c r="B639" s="2"/>
      <c r="C639" s="3"/>
      <c r="D639" s="3"/>
      <c r="E639" s="3"/>
      <c r="F639" s="4"/>
    </row>
    <row r="640" spans="2:6" ht="12" customHeight="1" x14ac:dyDescent="0.15">
      <c r="B640" s="2"/>
      <c r="C640" s="3"/>
      <c r="D640" s="3"/>
      <c r="E640" s="3"/>
      <c r="F640" s="4"/>
    </row>
    <row r="641" spans="2:6" ht="12" customHeight="1" x14ac:dyDescent="0.15">
      <c r="B641" s="2"/>
      <c r="C641" s="3"/>
      <c r="D641" s="3"/>
      <c r="E641" s="3"/>
      <c r="F641" s="4"/>
    </row>
    <row r="642" spans="2:6" ht="12" customHeight="1" x14ac:dyDescent="0.15">
      <c r="B642" s="2"/>
      <c r="C642" s="3"/>
      <c r="D642" s="3"/>
      <c r="E642" s="3"/>
      <c r="F642" s="4"/>
    </row>
    <row r="643" spans="2:6" ht="12" customHeight="1" x14ac:dyDescent="0.15">
      <c r="B643" s="2"/>
      <c r="C643" s="3"/>
      <c r="D643" s="3"/>
      <c r="E643" s="3"/>
      <c r="F643" s="4"/>
    </row>
    <row r="644" spans="2:6" ht="12" customHeight="1" x14ac:dyDescent="0.15">
      <c r="B644" s="2"/>
      <c r="C644" s="3"/>
      <c r="D644" s="3"/>
      <c r="E644" s="3"/>
      <c r="F644" s="4"/>
    </row>
    <row r="645" spans="2:6" ht="12" customHeight="1" x14ac:dyDescent="0.15">
      <c r="B645" s="2"/>
      <c r="C645" s="3"/>
      <c r="D645" s="3"/>
      <c r="E645" s="3"/>
      <c r="F645" s="4"/>
    </row>
    <row r="646" spans="2:6" ht="12" customHeight="1" x14ac:dyDescent="0.15">
      <c r="B646" s="2"/>
      <c r="C646" s="3"/>
      <c r="D646" s="3"/>
      <c r="E646" s="3"/>
      <c r="F646" s="4"/>
    </row>
    <row r="647" spans="2:6" ht="12" customHeight="1" x14ac:dyDescent="0.15">
      <c r="B647" s="2"/>
      <c r="C647" s="3"/>
      <c r="D647" s="3"/>
      <c r="E647" s="3"/>
      <c r="F647" s="4"/>
    </row>
    <row r="648" spans="2:6" ht="12" customHeight="1" x14ac:dyDescent="0.15">
      <c r="B648" s="2"/>
      <c r="C648" s="3"/>
      <c r="D648" s="3"/>
      <c r="E648" s="3"/>
      <c r="F648" s="4"/>
    </row>
    <row r="649" spans="2:6" ht="12" customHeight="1" x14ac:dyDescent="0.15">
      <c r="B649" s="2"/>
      <c r="C649" s="3"/>
      <c r="D649" s="3"/>
      <c r="E649" s="3"/>
      <c r="F649" s="4"/>
    </row>
    <row r="650" spans="2:6" ht="12" customHeight="1" x14ac:dyDescent="0.15">
      <c r="B650" s="2"/>
      <c r="C650" s="3"/>
      <c r="D650" s="3"/>
      <c r="E650" s="3"/>
      <c r="F650" s="4"/>
    </row>
    <row r="651" spans="2:6" ht="12" customHeight="1" x14ac:dyDescent="0.15">
      <c r="B651" s="2"/>
      <c r="C651" s="3"/>
      <c r="D651" s="3"/>
      <c r="E651" s="3"/>
      <c r="F651" s="4"/>
    </row>
    <row r="652" spans="2:6" ht="12" customHeight="1" x14ac:dyDescent="0.15">
      <c r="B652" s="2"/>
      <c r="C652" s="3"/>
      <c r="D652" s="3"/>
      <c r="E652" s="3"/>
      <c r="F652" s="4"/>
    </row>
    <row r="653" spans="2:6" ht="12" customHeight="1" x14ac:dyDescent="0.15">
      <c r="B653" s="2"/>
      <c r="C653" s="3"/>
      <c r="D653" s="3"/>
      <c r="E653" s="3"/>
      <c r="F653" s="4"/>
    </row>
    <row r="654" spans="2:6" ht="12" customHeight="1" x14ac:dyDescent="0.15">
      <c r="B654" s="2"/>
      <c r="C654" s="3"/>
      <c r="D654" s="3"/>
      <c r="E654" s="3"/>
      <c r="F654" s="4"/>
    </row>
    <row r="655" spans="2:6" ht="12" customHeight="1" x14ac:dyDescent="0.15">
      <c r="B655" s="2"/>
      <c r="C655" s="3"/>
      <c r="D655" s="3"/>
      <c r="E655" s="3"/>
      <c r="F655" s="4"/>
    </row>
    <row r="656" spans="2:6" ht="12" customHeight="1" x14ac:dyDescent="0.15">
      <c r="B656" s="2"/>
      <c r="C656" s="3"/>
      <c r="D656" s="3"/>
      <c r="E656" s="3"/>
      <c r="F656" s="4"/>
    </row>
    <row r="657" spans="2:6" ht="12" customHeight="1" x14ac:dyDescent="0.15">
      <c r="B657" s="2"/>
      <c r="C657" s="3"/>
      <c r="D657" s="3"/>
      <c r="E657" s="3"/>
      <c r="F657" s="4"/>
    </row>
    <row r="658" spans="2:6" ht="12" customHeight="1" x14ac:dyDescent="0.15">
      <c r="B658" s="2"/>
      <c r="C658" s="3"/>
      <c r="D658" s="3"/>
      <c r="E658" s="3"/>
      <c r="F658" s="4"/>
    </row>
    <row r="659" spans="2:6" ht="12" customHeight="1" x14ac:dyDescent="0.15">
      <c r="B659" s="2"/>
      <c r="C659" s="3"/>
      <c r="D659" s="3"/>
      <c r="E659" s="3"/>
      <c r="F659" s="4"/>
    </row>
    <row r="660" spans="2:6" ht="12" customHeight="1" x14ac:dyDescent="0.15">
      <c r="B660" s="2"/>
      <c r="C660" s="3"/>
      <c r="D660" s="3"/>
      <c r="E660" s="3"/>
      <c r="F660" s="4"/>
    </row>
    <row r="661" spans="2:6" ht="12" customHeight="1" x14ac:dyDescent="0.15">
      <c r="B661" s="2"/>
      <c r="C661" s="3"/>
      <c r="D661" s="3"/>
      <c r="E661" s="3"/>
      <c r="F661" s="4"/>
    </row>
    <row r="662" spans="2:6" ht="12" customHeight="1" x14ac:dyDescent="0.15">
      <c r="B662" s="2"/>
      <c r="C662" s="3"/>
      <c r="D662" s="3"/>
      <c r="E662" s="3"/>
      <c r="F662" s="4"/>
    </row>
    <row r="663" spans="2:6" ht="12" customHeight="1" x14ac:dyDescent="0.15">
      <c r="B663" s="2"/>
      <c r="C663" s="3"/>
      <c r="D663" s="3"/>
      <c r="E663" s="3"/>
      <c r="F663" s="4"/>
    </row>
    <row r="664" spans="2:6" ht="12" customHeight="1" x14ac:dyDescent="0.15">
      <c r="B664" s="2"/>
      <c r="C664" s="3"/>
      <c r="D664" s="3"/>
      <c r="E664" s="3"/>
      <c r="F664" s="4"/>
    </row>
    <row r="665" spans="2:6" ht="12" customHeight="1" x14ac:dyDescent="0.15">
      <c r="B665" s="2"/>
      <c r="C665" s="3"/>
      <c r="D665" s="3"/>
      <c r="E665" s="3"/>
      <c r="F665" s="4"/>
    </row>
    <row r="666" spans="2:6" ht="12" customHeight="1" x14ac:dyDescent="0.15">
      <c r="B666" s="2"/>
      <c r="C666" s="3"/>
      <c r="D666" s="3"/>
      <c r="E666" s="3"/>
      <c r="F666" s="4"/>
    </row>
    <row r="667" spans="2:6" ht="12" customHeight="1" x14ac:dyDescent="0.15">
      <c r="B667" s="2"/>
      <c r="C667" s="3"/>
      <c r="D667" s="3"/>
      <c r="E667" s="3"/>
      <c r="F667" s="4"/>
    </row>
    <row r="668" spans="2:6" ht="12" customHeight="1" x14ac:dyDescent="0.15">
      <c r="B668" s="2"/>
      <c r="C668" s="3"/>
      <c r="D668" s="3"/>
      <c r="E668" s="3"/>
      <c r="F668" s="4"/>
    </row>
    <row r="669" spans="2:6" ht="12" customHeight="1" x14ac:dyDescent="0.15">
      <c r="B669" s="2"/>
      <c r="C669" s="3"/>
      <c r="D669" s="3"/>
      <c r="E669" s="3"/>
      <c r="F669" s="4"/>
    </row>
    <row r="670" spans="2:6" ht="12" customHeight="1" x14ac:dyDescent="0.15">
      <c r="B670" s="2"/>
      <c r="C670" s="3"/>
      <c r="D670" s="3"/>
      <c r="E670" s="3"/>
      <c r="F670" s="4"/>
    </row>
    <row r="671" spans="2:6" ht="12" customHeight="1" x14ac:dyDescent="0.15">
      <c r="B671" s="2"/>
      <c r="C671" s="3"/>
      <c r="D671" s="3"/>
      <c r="E671" s="3"/>
      <c r="F671" s="4"/>
    </row>
    <row r="672" spans="2:6" ht="12" customHeight="1" x14ac:dyDescent="0.15">
      <c r="B672" s="2"/>
      <c r="C672" s="3"/>
      <c r="D672" s="3"/>
      <c r="E672" s="3"/>
      <c r="F672" s="4"/>
    </row>
    <row r="673" spans="2:6" ht="12" customHeight="1" x14ac:dyDescent="0.15">
      <c r="B673" s="2"/>
      <c r="C673" s="3"/>
      <c r="D673" s="3"/>
      <c r="E673" s="3"/>
      <c r="F673" s="4"/>
    </row>
    <row r="674" spans="2:6" ht="12" customHeight="1" x14ac:dyDescent="0.15">
      <c r="B674" s="2"/>
      <c r="C674" s="3"/>
      <c r="D674" s="3"/>
      <c r="E674" s="3"/>
      <c r="F674" s="4"/>
    </row>
    <row r="675" spans="2:6" ht="12" customHeight="1" x14ac:dyDescent="0.15">
      <c r="B675" s="2"/>
      <c r="C675" s="3"/>
      <c r="D675" s="3"/>
      <c r="E675" s="3"/>
      <c r="F675" s="4"/>
    </row>
    <row r="676" spans="2:6" ht="12" customHeight="1" x14ac:dyDescent="0.15">
      <c r="B676" s="2"/>
      <c r="C676" s="3"/>
      <c r="D676" s="3"/>
      <c r="E676" s="3"/>
      <c r="F676" s="4"/>
    </row>
    <row r="677" spans="2:6" ht="12" customHeight="1" x14ac:dyDescent="0.15">
      <c r="B677" s="2"/>
      <c r="C677" s="3"/>
      <c r="D677" s="3"/>
      <c r="E677" s="3"/>
      <c r="F677" s="4"/>
    </row>
    <row r="678" spans="2:6" ht="12" customHeight="1" x14ac:dyDescent="0.15">
      <c r="B678" s="2"/>
      <c r="C678" s="3"/>
      <c r="D678" s="3"/>
      <c r="E678" s="3"/>
      <c r="F678" s="4"/>
    </row>
    <row r="679" spans="2:6" ht="12" customHeight="1" x14ac:dyDescent="0.15">
      <c r="B679" s="2"/>
      <c r="C679" s="3"/>
      <c r="D679" s="3"/>
      <c r="E679" s="3"/>
      <c r="F679" s="4"/>
    </row>
    <row r="680" spans="2:6" ht="12" customHeight="1" x14ac:dyDescent="0.15">
      <c r="B680" s="2"/>
      <c r="C680" s="3"/>
      <c r="D680" s="3"/>
      <c r="E680" s="3"/>
      <c r="F680" s="4"/>
    </row>
    <row r="681" spans="2:6" ht="12" customHeight="1" x14ac:dyDescent="0.15">
      <c r="B681" s="2"/>
      <c r="C681" s="3"/>
      <c r="D681" s="3"/>
      <c r="E681" s="3"/>
      <c r="F681" s="4"/>
    </row>
    <row r="682" spans="2:6" ht="12" customHeight="1" x14ac:dyDescent="0.15">
      <c r="B682" s="2"/>
      <c r="C682" s="3"/>
      <c r="D682" s="3"/>
      <c r="E682" s="3"/>
      <c r="F682" s="4"/>
    </row>
    <row r="683" spans="2:6" ht="12" customHeight="1" x14ac:dyDescent="0.15">
      <c r="B683" s="2"/>
      <c r="C683" s="3"/>
      <c r="D683" s="3"/>
      <c r="E683" s="3"/>
      <c r="F683" s="4"/>
    </row>
    <row r="684" spans="2:6" ht="12" customHeight="1" x14ac:dyDescent="0.15">
      <c r="B684" s="2"/>
      <c r="C684" s="3"/>
      <c r="D684" s="3"/>
      <c r="E684" s="3"/>
      <c r="F684" s="4"/>
    </row>
    <row r="685" spans="2:6" ht="12" customHeight="1" x14ac:dyDescent="0.15">
      <c r="B685" s="2"/>
      <c r="C685" s="3"/>
      <c r="D685" s="3"/>
      <c r="E685" s="3"/>
      <c r="F685" s="4"/>
    </row>
    <row r="686" spans="2:6" ht="12" customHeight="1" x14ac:dyDescent="0.15">
      <c r="B686" s="2"/>
      <c r="C686" s="3"/>
      <c r="D686" s="3"/>
      <c r="E686" s="3"/>
      <c r="F686" s="4"/>
    </row>
    <row r="687" spans="2:6" ht="12" customHeight="1" x14ac:dyDescent="0.15">
      <c r="B687" s="2"/>
      <c r="C687" s="3"/>
      <c r="D687" s="3"/>
      <c r="E687" s="3"/>
      <c r="F687" s="4"/>
    </row>
    <row r="688" spans="2:6" ht="12" customHeight="1" x14ac:dyDescent="0.15">
      <c r="B688" s="2"/>
      <c r="C688" s="3"/>
      <c r="D688" s="3"/>
      <c r="E688" s="3"/>
      <c r="F688" s="4"/>
    </row>
    <row r="689" spans="2:6" ht="12" customHeight="1" x14ac:dyDescent="0.15">
      <c r="B689" s="2"/>
      <c r="C689" s="3"/>
      <c r="D689" s="3"/>
      <c r="E689" s="3"/>
      <c r="F689" s="4"/>
    </row>
    <row r="690" spans="2:6" ht="12" customHeight="1" x14ac:dyDescent="0.15">
      <c r="B690" s="2"/>
      <c r="C690" s="3"/>
      <c r="D690" s="3"/>
      <c r="E690" s="3"/>
      <c r="F690" s="4"/>
    </row>
    <row r="691" spans="2:6" ht="12" customHeight="1" x14ac:dyDescent="0.15">
      <c r="B691" s="2"/>
      <c r="C691" s="3"/>
      <c r="D691" s="3"/>
      <c r="E691" s="3"/>
      <c r="F691" s="4"/>
    </row>
    <row r="692" spans="2:6" ht="12" customHeight="1" x14ac:dyDescent="0.15">
      <c r="B692" s="2"/>
      <c r="C692" s="3"/>
      <c r="D692" s="3"/>
      <c r="E692" s="3"/>
      <c r="F692" s="4"/>
    </row>
    <row r="693" spans="2:6" ht="12" customHeight="1" x14ac:dyDescent="0.15">
      <c r="B693" s="2"/>
      <c r="C693" s="3"/>
      <c r="D693" s="3"/>
      <c r="E693" s="3"/>
      <c r="F693" s="4"/>
    </row>
    <row r="694" spans="2:6" ht="12" customHeight="1" x14ac:dyDescent="0.15">
      <c r="B694" s="2"/>
      <c r="C694" s="3"/>
      <c r="D694" s="3"/>
      <c r="E694" s="3"/>
      <c r="F694" s="4"/>
    </row>
    <row r="695" spans="2:6" ht="12" customHeight="1" x14ac:dyDescent="0.15">
      <c r="B695" s="2"/>
      <c r="C695" s="3"/>
      <c r="D695" s="3"/>
      <c r="E695" s="3"/>
      <c r="F695" s="4"/>
    </row>
    <row r="696" spans="2:6" ht="12" customHeight="1" x14ac:dyDescent="0.15">
      <c r="B696" s="2"/>
      <c r="C696" s="3"/>
      <c r="D696" s="3"/>
      <c r="E696" s="3"/>
      <c r="F696" s="4"/>
    </row>
    <row r="697" spans="2:6" ht="12" customHeight="1" x14ac:dyDescent="0.15">
      <c r="B697" s="2"/>
      <c r="C697" s="3"/>
      <c r="D697" s="3"/>
      <c r="E697" s="3"/>
      <c r="F697" s="4"/>
    </row>
    <row r="698" spans="2:6" ht="12" customHeight="1" x14ac:dyDescent="0.15">
      <c r="B698" s="2"/>
      <c r="C698" s="3"/>
      <c r="D698" s="3"/>
      <c r="E698" s="3"/>
      <c r="F698" s="4"/>
    </row>
    <row r="699" spans="2:6" ht="12" customHeight="1" x14ac:dyDescent="0.15">
      <c r="B699" s="2"/>
      <c r="C699" s="3"/>
      <c r="D699" s="3"/>
      <c r="E699" s="3"/>
      <c r="F699" s="4"/>
    </row>
    <row r="700" spans="2:6" ht="12" customHeight="1" x14ac:dyDescent="0.15">
      <c r="B700" s="2"/>
      <c r="C700" s="3"/>
      <c r="D700" s="3"/>
      <c r="E700" s="3"/>
      <c r="F700" s="4"/>
    </row>
    <row r="701" spans="2:6" ht="12" customHeight="1" x14ac:dyDescent="0.15">
      <c r="B701" s="2"/>
      <c r="C701" s="3"/>
      <c r="D701" s="3"/>
      <c r="E701" s="3"/>
      <c r="F701" s="4"/>
    </row>
    <row r="702" spans="2:6" ht="12" customHeight="1" x14ac:dyDescent="0.15">
      <c r="B702" s="2"/>
      <c r="C702" s="3"/>
      <c r="D702" s="3"/>
      <c r="E702" s="3"/>
      <c r="F702" s="4"/>
    </row>
    <row r="703" spans="2:6" ht="12" customHeight="1" x14ac:dyDescent="0.15">
      <c r="B703" s="2"/>
      <c r="C703" s="3"/>
      <c r="D703" s="3"/>
      <c r="E703" s="3"/>
      <c r="F703" s="4"/>
    </row>
    <row r="704" spans="2:6" ht="12" customHeight="1" x14ac:dyDescent="0.15">
      <c r="B704" s="2"/>
      <c r="C704" s="3"/>
      <c r="D704" s="3"/>
      <c r="E704" s="3"/>
      <c r="F704" s="4"/>
    </row>
    <row r="705" spans="2:6" ht="12" customHeight="1" x14ac:dyDescent="0.15">
      <c r="B705" s="2"/>
      <c r="C705" s="3"/>
      <c r="D705" s="3"/>
      <c r="E705" s="3"/>
      <c r="F705" s="4"/>
    </row>
    <row r="706" spans="2:6" ht="12" customHeight="1" x14ac:dyDescent="0.15">
      <c r="B706" s="2"/>
      <c r="C706" s="3"/>
      <c r="D706" s="3"/>
      <c r="E706" s="3"/>
      <c r="F706" s="4"/>
    </row>
    <row r="707" spans="2:6" ht="12" customHeight="1" x14ac:dyDescent="0.15">
      <c r="B707" s="2"/>
      <c r="C707" s="3"/>
      <c r="D707" s="3"/>
      <c r="E707" s="3"/>
      <c r="F707" s="4"/>
    </row>
    <row r="708" spans="2:6" ht="12" customHeight="1" x14ac:dyDescent="0.15">
      <c r="B708" s="2"/>
      <c r="C708" s="3"/>
      <c r="D708" s="3"/>
      <c r="E708" s="3"/>
      <c r="F708" s="4"/>
    </row>
    <row r="709" spans="2:6" ht="12" customHeight="1" x14ac:dyDescent="0.15">
      <c r="B709" s="2"/>
      <c r="C709" s="3"/>
      <c r="D709" s="3"/>
      <c r="E709" s="3"/>
      <c r="F709" s="4"/>
    </row>
    <row r="710" spans="2:6" ht="12" customHeight="1" x14ac:dyDescent="0.15">
      <c r="B710" s="2"/>
      <c r="C710" s="3"/>
      <c r="D710" s="3"/>
      <c r="E710" s="3"/>
      <c r="F710" s="4"/>
    </row>
    <row r="711" spans="2:6" ht="12" customHeight="1" x14ac:dyDescent="0.15">
      <c r="B711" s="2"/>
      <c r="C711" s="3"/>
      <c r="D711" s="3"/>
      <c r="E711" s="3"/>
      <c r="F711" s="4"/>
    </row>
    <row r="712" spans="2:6" ht="12" customHeight="1" x14ac:dyDescent="0.15">
      <c r="B712" s="2"/>
      <c r="C712" s="3"/>
      <c r="D712" s="3"/>
      <c r="E712" s="3"/>
      <c r="F712" s="4"/>
    </row>
    <row r="713" spans="2:6" ht="12" customHeight="1" x14ac:dyDescent="0.15">
      <c r="B713" s="2"/>
      <c r="C713" s="3"/>
      <c r="D713" s="3"/>
      <c r="E713" s="3"/>
      <c r="F713" s="4"/>
    </row>
    <row r="714" spans="2:6" ht="12" customHeight="1" x14ac:dyDescent="0.15">
      <c r="B714" s="2"/>
      <c r="C714" s="3"/>
      <c r="D714" s="3"/>
      <c r="E714" s="3"/>
      <c r="F714" s="4"/>
    </row>
    <row r="715" spans="2:6" ht="12" customHeight="1" x14ac:dyDescent="0.15">
      <c r="B715" s="2"/>
      <c r="C715" s="3"/>
      <c r="D715" s="3"/>
      <c r="E715" s="3"/>
      <c r="F715" s="4"/>
    </row>
    <row r="716" spans="2:6" ht="12" customHeight="1" x14ac:dyDescent="0.15">
      <c r="B716" s="2"/>
      <c r="C716" s="3"/>
      <c r="D716" s="3"/>
      <c r="E716" s="3"/>
      <c r="F716" s="4"/>
    </row>
    <row r="717" spans="2:6" ht="12" customHeight="1" x14ac:dyDescent="0.15">
      <c r="B717" s="2"/>
      <c r="C717" s="3"/>
      <c r="D717" s="3"/>
      <c r="E717" s="3"/>
      <c r="F717" s="4"/>
    </row>
    <row r="718" spans="2:6" ht="12" customHeight="1" x14ac:dyDescent="0.15">
      <c r="B718" s="2"/>
      <c r="C718" s="3"/>
      <c r="D718" s="3"/>
      <c r="E718" s="3"/>
      <c r="F718" s="4"/>
    </row>
    <row r="719" spans="2:6" ht="12" customHeight="1" x14ac:dyDescent="0.15">
      <c r="B719" s="2"/>
      <c r="C719" s="3"/>
      <c r="D719" s="3"/>
      <c r="E719" s="3"/>
      <c r="F719" s="4"/>
    </row>
    <row r="720" spans="2:6" ht="12" customHeight="1" x14ac:dyDescent="0.15">
      <c r="B720" s="2"/>
      <c r="C720" s="3"/>
      <c r="D720" s="3"/>
      <c r="E720" s="3"/>
      <c r="F720" s="4"/>
    </row>
    <row r="721" spans="2:6" ht="12" customHeight="1" x14ac:dyDescent="0.15">
      <c r="B721" s="2"/>
      <c r="C721" s="3"/>
      <c r="D721" s="3"/>
      <c r="E721" s="3"/>
      <c r="F721" s="4"/>
    </row>
    <row r="722" spans="2:6" ht="12" customHeight="1" x14ac:dyDescent="0.15">
      <c r="B722" s="2"/>
      <c r="C722" s="3"/>
      <c r="D722" s="3"/>
      <c r="E722" s="3"/>
      <c r="F722" s="4"/>
    </row>
    <row r="723" spans="2:6" ht="12" customHeight="1" x14ac:dyDescent="0.15">
      <c r="B723" s="2"/>
      <c r="C723" s="3"/>
      <c r="D723" s="3"/>
      <c r="E723" s="3"/>
      <c r="F723" s="4"/>
    </row>
    <row r="724" spans="2:6" ht="12" customHeight="1" x14ac:dyDescent="0.15">
      <c r="B724" s="2"/>
      <c r="C724" s="3"/>
      <c r="D724" s="3"/>
      <c r="E724" s="3"/>
      <c r="F724" s="4"/>
    </row>
    <row r="725" spans="2:6" ht="12" customHeight="1" x14ac:dyDescent="0.15">
      <c r="B725" s="2"/>
      <c r="C725" s="3"/>
      <c r="D725" s="3"/>
      <c r="E725" s="3"/>
      <c r="F725" s="4"/>
    </row>
    <row r="726" spans="2:6" ht="12" customHeight="1" x14ac:dyDescent="0.15">
      <c r="B726" s="2"/>
      <c r="C726" s="3"/>
      <c r="D726" s="3"/>
      <c r="E726" s="3"/>
      <c r="F726" s="4"/>
    </row>
    <row r="727" spans="2:6" ht="12" customHeight="1" x14ac:dyDescent="0.15">
      <c r="B727" s="2"/>
      <c r="C727" s="3"/>
      <c r="D727" s="3"/>
      <c r="E727" s="3"/>
      <c r="F727" s="4"/>
    </row>
    <row r="728" spans="2:6" ht="12" customHeight="1" x14ac:dyDescent="0.15">
      <c r="B728" s="2"/>
      <c r="C728" s="3"/>
      <c r="D728" s="3"/>
      <c r="E728" s="3"/>
      <c r="F728" s="4"/>
    </row>
    <row r="729" spans="2:6" ht="12" customHeight="1" x14ac:dyDescent="0.15">
      <c r="B729" s="2"/>
      <c r="C729" s="3"/>
      <c r="D729" s="3"/>
      <c r="E729" s="3"/>
      <c r="F729" s="4"/>
    </row>
    <row r="730" spans="2:6" ht="12" customHeight="1" x14ac:dyDescent="0.15">
      <c r="B730" s="2"/>
      <c r="C730" s="3"/>
      <c r="D730" s="3"/>
      <c r="E730" s="3"/>
      <c r="F730" s="4"/>
    </row>
    <row r="731" spans="2:6" ht="12" customHeight="1" x14ac:dyDescent="0.15">
      <c r="B731" s="2"/>
      <c r="C731" s="3"/>
      <c r="D731" s="3"/>
      <c r="E731" s="3"/>
      <c r="F731" s="4"/>
    </row>
    <row r="732" spans="2:6" ht="12" customHeight="1" x14ac:dyDescent="0.15">
      <c r="B732" s="2"/>
      <c r="C732" s="3"/>
      <c r="D732" s="3"/>
      <c r="E732" s="3"/>
      <c r="F732" s="4"/>
    </row>
    <row r="733" spans="2:6" ht="12" customHeight="1" x14ac:dyDescent="0.15">
      <c r="B733" s="2"/>
      <c r="C733" s="3"/>
      <c r="D733" s="3"/>
      <c r="E733" s="3"/>
      <c r="F733" s="4"/>
    </row>
    <row r="734" spans="2:6" ht="12" customHeight="1" x14ac:dyDescent="0.15">
      <c r="B734" s="2"/>
      <c r="C734" s="3"/>
      <c r="D734" s="3"/>
      <c r="E734" s="3"/>
      <c r="F734" s="4"/>
    </row>
    <row r="735" spans="2:6" ht="12" customHeight="1" x14ac:dyDescent="0.15">
      <c r="B735" s="2"/>
      <c r="C735" s="3"/>
      <c r="D735" s="3"/>
      <c r="E735" s="3"/>
      <c r="F735" s="4"/>
    </row>
    <row r="736" spans="2:6" ht="12" customHeight="1" x14ac:dyDescent="0.15">
      <c r="B736" s="2"/>
      <c r="C736" s="3"/>
      <c r="D736" s="3"/>
      <c r="E736" s="3"/>
      <c r="F736" s="4"/>
    </row>
    <row r="737" spans="2:6" ht="12" customHeight="1" x14ac:dyDescent="0.15">
      <c r="B737" s="2"/>
      <c r="C737" s="3"/>
      <c r="D737" s="3"/>
      <c r="E737" s="3"/>
      <c r="F737" s="4"/>
    </row>
    <row r="738" spans="2:6" ht="12" customHeight="1" x14ac:dyDescent="0.15">
      <c r="B738" s="2"/>
      <c r="C738" s="3"/>
      <c r="D738" s="3"/>
      <c r="E738" s="3"/>
      <c r="F738" s="4"/>
    </row>
    <row r="739" spans="2:6" ht="12" customHeight="1" x14ac:dyDescent="0.15">
      <c r="B739" s="2"/>
      <c r="C739" s="3"/>
      <c r="D739" s="3"/>
      <c r="E739" s="3"/>
      <c r="F739" s="4"/>
    </row>
    <row r="740" spans="2:6" ht="12" customHeight="1" x14ac:dyDescent="0.15">
      <c r="B740" s="2"/>
      <c r="C740" s="3"/>
      <c r="D740" s="3"/>
      <c r="E740" s="3"/>
      <c r="F740" s="4"/>
    </row>
    <row r="741" spans="2:6" ht="12" customHeight="1" x14ac:dyDescent="0.15">
      <c r="B741" s="2"/>
      <c r="C741" s="3"/>
      <c r="D741" s="3"/>
      <c r="E741" s="3"/>
      <c r="F741" s="4"/>
    </row>
    <row r="742" spans="2:6" ht="12" customHeight="1" x14ac:dyDescent="0.15">
      <c r="B742" s="2"/>
      <c r="C742" s="3"/>
      <c r="D742" s="3"/>
      <c r="E742" s="3"/>
      <c r="F742" s="4"/>
    </row>
    <row r="743" spans="2:6" ht="12" customHeight="1" x14ac:dyDescent="0.15">
      <c r="B743" s="2"/>
      <c r="C743" s="3"/>
      <c r="D743" s="3"/>
      <c r="E743" s="3"/>
      <c r="F743" s="4"/>
    </row>
    <row r="744" spans="2:6" ht="12" customHeight="1" x14ac:dyDescent="0.15">
      <c r="B744" s="2"/>
      <c r="C744" s="3"/>
      <c r="D744" s="3"/>
      <c r="E744" s="3"/>
      <c r="F744" s="4"/>
    </row>
    <row r="745" spans="2:6" ht="12" customHeight="1" x14ac:dyDescent="0.15">
      <c r="B745" s="2"/>
      <c r="C745" s="3"/>
      <c r="D745" s="3"/>
      <c r="E745" s="3"/>
      <c r="F745" s="4"/>
    </row>
    <row r="746" spans="2:6" ht="12" customHeight="1" x14ac:dyDescent="0.15">
      <c r="B746" s="2"/>
      <c r="C746" s="3"/>
      <c r="D746" s="3"/>
      <c r="E746" s="3"/>
      <c r="F746" s="4"/>
    </row>
    <row r="747" spans="2:6" ht="12" customHeight="1" x14ac:dyDescent="0.15">
      <c r="B747" s="2"/>
      <c r="C747" s="3"/>
      <c r="D747" s="3"/>
      <c r="E747" s="3"/>
      <c r="F747" s="4"/>
    </row>
    <row r="748" spans="2:6" ht="12" customHeight="1" x14ac:dyDescent="0.15">
      <c r="B748" s="2"/>
      <c r="C748" s="3"/>
      <c r="D748" s="3"/>
      <c r="E748" s="3"/>
      <c r="F748" s="4"/>
    </row>
    <row r="749" spans="2:6" ht="12" customHeight="1" x14ac:dyDescent="0.15">
      <c r="B749" s="2"/>
      <c r="C749" s="3"/>
      <c r="D749" s="3"/>
      <c r="E749" s="3"/>
      <c r="F749" s="4"/>
    </row>
    <row r="750" spans="2:6" ht="12" customHeight="1" x14ac:dyDescent="0.15">
      <c r="B750" s="2"/>
      <c r="C750" s="3"/>
      <c r="D750" s="3"/>
      <c r="E750" s="3"/>
      <c r="F750" s="4"/>
    </row>
    <row r="751" spans="2:6" ht="12" customHeight="1" x14ac:dyDescent="0.15">
      <c r="B751" s="2"/>
      <c r="C751" s="3"/>
      <c r="D751" s="3"/>
      <c r="E751" s="3"/>
      <c r="F751" s="4"/>
    </row>
    <row r="752" spans="2:6" ht="12" customHeight="1" x14ac:dyDescent="0.15">
      <c r="B752" s="2"/>
      <c r="C752" s="3"/>
      <c r="D752" s="3"/>
      <c r="E752" s="3"/>
      <c r="F752" s="4"/>
    </row>
    <row r="753" spans="2:6" ht="12" customHeight="1" x14ac:dyDescent="0.15">
      <c r="B753" s="2"/>
      <c r="C753" s="3"/>
      <c r="D753" s="3"/>
      <c r="E753" s="3"/>
      <c r="F753" s="4"/>
    </row>
    <row r="754" spans="2:6" ht="12" customHeight="1" x14ac:dyDescent="0.15">
      <c r="B754" s="2"/>
      <c r="C754" s="3"/>
      <c r="D754" s="3"/>
      <c r="E754" s="3"/>
      <c r="F754" s="4"/>
    </row>
    <row r="755" spans="2:6" ht="12" customHeight="1" x14ac:dyDescent="0.15">
      <c r="B755" s="2"/>
      <c r="C755" s="3"/>
      <c r="D755" s="3"/>
      <c r="E755" s="3"/>
      <c r="F755" s="4"/>
    </row>
    <row r="756" spans="2:6" ht="12" customHeight="1" x14ac:dyDescent="0.15">
      <c r="B756" s="2"/>
      <c r="C756" s="3"/>
      <c r="D756" s="3"/>
      <c r="E756" s="3"/>
      <c r="F756" s="4"/>
    </row>
    <row r="757" spans="2:6" ht="12" customHeight="1" x14ac:dyDescent="0.15">
      <c r="B757" s="2"/>
      <c r="C757" s="3"/>
      <c r="D757" s="3"/>
      <c r="E757" s="3"/>
      <c r="F757" s="4"/>
    </row>
    <row r="758" spans="2:6" ht="12" customHeight="1" x14ac:dyDescent="0.15">
      <c r="B758" s="2"/>
      <c r="C758" s="3"/>
      <c r="D758" s="3"/>
      <c r="E758" s="3"/>
      <c r="F758" s="4"/>
    </row>
    <row r="759" spans="2:6" ht="12" customHeight="1" x14ac:dyDescent="0.15">
      <c r="B759" s="2"/>
      <c r="C759" s="3"/>
      <c r="D759" s="3"/>
      <c r="E759" s="3"/>
      <c r="F759" s="4"/>
    </row>
    <row r="760" spans="2:6" ht="12" customHeight="1" x14ac:dyDescent="0.15">
      <c r="B760" s="2"/>
      <c r="C760" s="3"/>
      <c r="D760" s="3"/>
      <c r="E760" s="3"/>
      <c r="F760" s="4"/>
    </row>
    <row r="761" spans="2:6" ht="12" customHeight="1" x14ac:dyDescent="0.15">
      <c r="B761" s="2"/>
      <c r="C761" s="3"/>
      <c r="D761" s="3"/>
      <c r="E761" s="3"/>
      <c r="F761" s="4"/>
    </row>
    <row r="762" spans="2:6" ht="12" customHeight="1" x14ac:dyDescent="0.15">
      <c r="B762" s="2"/>
      <c r="C762" s="3"/>
      <c r="D762" s="3"/>
      <c r="E762" s="3"/>
      <c r="F762" s="4"/>
    </row>
    <row r="763" spans="2:6" ht="12" customHeight="1" x14ac:dyDescent="0.15">
      <c r="B763" s="2"/>
      <c r="C763" s="3"/>
      <c r="D763" s="3"/>
      <c r="E763" s="3"/>
      <c r="F763" s="4"/>
    </row>
    <row r="764" spans="2:6" ht="12" customHeight="1" x14ac:dyDescent="0.15">
      <c r="B764" s="2"/>
      <c r="C764" s="3"/>
      <c r="D764" s="3"/>
      <c r="E764" s="3"/>
      <c r="F764" s="4"/>
    </row>
    <row r="765" spans="2:6" ht="12" customHeight="1" x14ac:dyDescent="0.15">
      <c r="B765" s="2"/>
      <c r="C765" s="3"/>
      <c r="D765" s="3"/>
      <c r="E765" s="3"/>
      <c r="F765" s="4"/>
    </row>
    <row r="766" spans="2:6" ht="12" customHeight="1" x14ac:dyDescent="0.15">
      <c r="B766" s="2"/>
      <c r="C766" s="3"/>
      <c r="D766" s="3"/>
      <c r="E766" s="3"/>
      <c r="F766" s="4"/>
    </row>
    <row r="767" spans="2:6" ht="12" customHeight="1" x14ac:dyDescent="0.15">
      <c r="B767" s="2"/>
      <c r="C767" s="3"/>
      <c r="D767" s="3"/>
      <c r="E767" s="3"/>
      <c r="F767" s="4"/>
    </row>
    <row r="768" spans="2:6" ht="12" customHeight="1" x14ac:dyDescent="0.15">
      <c r="B768" s="2"/>
      <c r="C768" s="3"/>
      <c r="D768" s="3"/>
      <c r="E768" s="3"/>
      <c r="F768" s="4"/>
    </row>
    <row r="769" spans="2:6" ht="12" customHeight="1" x14ac:dyDescent="0.15">
      <c r="B769" s="2"/>
      <c r="C769" s="3"/>
      <c r="D769" s="3"/>
      <c r="E769" s="3"/>
      <c r="F769" s="4"/>
    </row>
    <row r="770" spans="2:6" ht="12" customHeight="1" x14ac:dyDescent="0.15">
      <c r="B770" s="2"/>
      <c r="C770" s="3"/>
      <c r="D770" s="3"/>
      <c r="E770" s="3"/>
      <c r="F770" s="4"/>
    </row>
    <row r="771" spans="2:6" ht="12" customHeight="1" x14ac:dyDescent="0.15">
      <c r="B771" s="2"/>
      <c r="C771" s="3"/>
      <c r="D771" s="3"/>
      <c r="E771" s="3"/>
      <c r="F771" s="4"/>
    </row>
    <row r="772" spans="2:6" ht="12" customHeight="1" x14ac:dyDescent="0.15">
      <c r="B772" s="2"/>
      <c r="C772" s="3"/>
      <c r="D772" s="3"/>
      <c r="E772" s="3"/>
      <c r="F772" s="4"/>
    </row>
    <row r="773" spans="2:6" ht="12" customHeight="1" x14ac:dyDescent="0.15">
      <c r="B773" s="2"/>
      <c r="C773" s="3"/>
      <c r="D773" s="3"/>
      <c r="E773" s="3"/>
      <c r="F773" s="4"/>
    </row>
    <row r="774" spans="2:6" ht="12" customHeight="1" x14ac:dyDescent="0.15">
      <c r="B774" s="2"/>
      <c r="C774" s="3"/>
      <c r="D774" s="3"/>
      <c r="E774" s="3"/>
      <c r="F774" s="4"/>
    </row>
    <row r="775" spans="2:6" ht="12" customHeight="1" x14ac:dyDescent="0.15">
      <c r="B775" s="2"/>
      <c r="C775" s="3"/>
      <c r="D775" s="3"/>
      <c r="E775" s="3"/>
      <c r="F775" s="4"/>
    </row>
    <row r="776" spans="2:6" ht="12" customHeight="1" x14ac:dyDescent="0.15">
      <c r="B776" s="2"/>
      <c r="C776" s="3"/>
      <c r="D776" s="3"/>
      <c r="E776" s="3"/>
      <c r="F776" s="4"/>
    </row>
    <row r="777" spans="2:6" ht="12" customHeight="1" x14ac:dyDescent="0.15">
      <c r="B777" s="2"/>
      <c r="C777" s="3"/>
      <c r="D777" s="3"/>
      <c r="E777" s="3"/>
      <c r="F777" s="4"/>
    </row>
    <row r="778" spans="2:6" ht="12" customHeight="1" x14ac:dyDescent="0.15">
      <c r="B778" s="2"/>
      <c r="C778" s="3"/>
      <c r="D778" s="3"/>
      <c r="E778" s="3"/>
      <c r="F778" s="4"/>
    </row>
    <row r="779" spans="2:6" ht="12" customHeight="1" x14ac:dyDescent="0.15">
      <c r="B779" s="2"/>
      <c r="C779" s="3"/>
      <c r="D779" s="3"/>
      <c r="E779" s="3"/>
      <c r="F779" s="4"/>
    </row>
    <row r="780" spans="2:6" ht="12" customHeight="1" x14ac:dyDescent="0.15">
      <c r="B780" s="2"/>
      <c r="C780" s="3"/>
      <c r="D780" s="3"/>
      <c r="E780" s="3"/>
      <c r="F780" s="4"/>
    </row>
    <row r="781" spans="2:6" ht="12" customHeight="1" x14ac:dyDescent="0.15">
      <c r="B781" s="2"/>
      <c r="C781" s="3"/>
      <c r="D781" s="3"/>
      <c r="E781" s="3"/>
      <c r="F781" s="4"/>
    </row>
    <row r="782" spans="2:6" ht="12" customHeight="1" x14ac:dyDescent="0.15">
      <c r="B782" s="2"/>
      <c r="C782" s="3"/>
      <c r="D782" s="3"/>
      <c r="E782" s="3"/>
      <c r="F782" s="4"/>
    </row>
    <row r="783" spans="2:6" ht="12" customHeight="1" x14ac:dyDescent="0.15">
      <c r="B783" s="2"/>
      <c r="C783" s="3"/>
      <c r="D783" s="3"/>
      <c r="E783" s="3"/>
      <c r="F783" s="4"/>
    </row>
    <row r="784" spans="2:6" ht="12" customHeight="1" x14ac:dyDescent="0.15">
      <c r="B784" s="2"/>
      <c r="C784" s="3"/>
      <c r="D784" s="3"/>
      <c r="E784" s="3"/>
      <c r="F784" s="4"/>
    </row>
    <row r="785" spans="2:6" ht="12" customHeight="1" x14ac:dyDescent="0.15">
      <c r="B785" s="2"/>
      <c r="C785" s="3"/>
      <c r="D785" s="3"/>
      <c r="E785" s="3"/>
      <c r="F785" s="4"/>
    </row>
    <row r="786" spans="2:6" ht="12" customHeight="1" x14ac:dyDescent="0.15">
      <c r="B786" s="2"/>
      <c r="C786" s="3"/>
      <c r="D786" s="3"/>
      <c r="E786" s="3"/>
      <c r="F786" s="4"/>
    </row>
    <row r="787" spans="2:6" ht="12" customHeight="1" x14ac:dyDescent="0.15">
      <c r="B787" s="2"/>
      <c r="C787" s="3"/>
      <c r="D787" s="3"/>
      <c r="E787" s="3"/>
      <c r="F787" s="4"/>
    </row>
    <row r="788" spans="2:6" ht="12" customHeight="1" x14ac:dyDescent="0.15">
      <c r="B788" s="2"/>
      <c r="C788" s="3"/>
      <c r="D788" s="3"/>
      <c r="E788" s="3"/>
      <c r="F788" s="4"/>
    </row>
    <row r="789" spans="2:6" ht="12" customHeight="1" x14ac:dyDescent="0.15">
      <c r="B789" s="2"/>
      <c r="C789" s="3"/>
      <c r="D789" s="3"/>
      <c r="E789" s="3"/>
      <c r="F789" s="4"/>
    </row>
    <row r="790" spans="2:6" ht="12" customHeight="1" x14ac:dyDescent="0.15">
      <c r="B790" s="2"/>
      <c r="C790" s="3"/>
      <c r="D790" s="3"/>
      <c r="E790" s="3"/>
      <c r="F790" s="4"/>
    </row>
    <row r="791" spans="2:6" ht="12" customHeight="1" x14ac:dyDescent="0.15">
      <c r="B791" s="2"/>
      <c r="C791" s="3"/>
      <c r="D791" s="3"/>
      <c r="E791" s="3"/>
      <c r="F791" s="4"/>
    </row>
    <row r="792" spans="2:6" ht="12" customHeight="1" x14ac:dyDescent="0.15">
      <c r="B792" s="2"/>
      <c r="C792" s="3"/>
      <c r="D792" s="3"/>
      <c r="E792" s="3"/>
      <c r="F792" s="4"/>
    </row>
    <row r="793" spans="2:6" ht="12" customHeight="1" x14ac:dyDescent="0.15">
      <c r="B793" s="2"/>
      <c r="C793" s="3"/>
      <c r="D793" s="3"/>
      <c r="E793" s="3"/>
      <c r="F793" s="4"/>
    </row>
    <row r="794" spans="2:6" ht="12" customHeight="1" x14ac:dyDescent="0.15">
      <c r="B794" s="2"/>
      <c r="C794" s="3"/>
      <c r="D794" s="3"/>
      <c r="E794" s="3"/>
      <c r="F794" s="4"/>
    </row>
    <row r="795" spans="2:6" ht="12" customHeight="1" x14ac:dyDescent="0.15">
      <c r="B795" s="2"/>
      <c r="C795" s="3"/>
      <c r="D795" s="3"/>
      <c r="E795" s="3"/>
      <c r="F795" s="4"/>
    </row>
    <row r="796" spans="2:6" ht="12" customHeight="1" x14ac:dyDescent="0.15">
      <c r="B796" s="2"/>
      <c r="C796" s="3"/>
      <c r="D796" s="3"/>
      <c r="E796" s="3"/>
      <c r="F796" s="4"/>
    </row>
    <row r="797" spans="2:6" ht="12" customHeight="1" x14ac:dyDescent="0.15">
      <c r="B797" s="2"/>
      <c r="C797" s="3"/>
      <c r="D797" s="3"/>
      <c r="E797" s="3"/>
      <c r="F797" s="4"/>
    </row>
    <row r="798" spans="2:6" ht="12" customHeight="1" x14ac:dyDescent="0.15">
      <c r="B798" s="2"/>
      <c r="C798" s="3"/>
      <c r="D798" s="3"/>
      <c r="E798" s="3"/>
      <c r="F798" s="4"/>
    </row>
    <row r="799" spans="2:6" ht="12" customHeight="1" x14ac:dyDescent="0.15">
      <c r="B799" s="2"/>
      <c r="C799" s="3"/>
      <c r="D799" s="3"/>
      <c r="E799" s="3"/>
      <c r="F799" s="4"/>
    </row>
    <row r="800" spans="2:6" ht="12" customHeight="1" x14ac:dyDescent="0.15">
      <c r="B800" s="2"/>
      <c r="C800" s="3"/>
      <c r="D800" s="3"/>
      <c r="E800" s="3"/>
      <c r="F800" s="4"/>
    </row>
    <row r="801" spans="2:6" ht="12" customHeight="1" x14ac:dyDescent="0.15">
      <c r="B801" s="2"/>
      <c r="C801" s="3"/>
      <c r="D801" s="3"/>
      <c r="E801" s="3"/>
      <c r="F801" s="4"/>
    </row>
    <row r="802" spans="2:6" ht="12" customHeight="1" x14ac:dyDescent="0.15">
      <c r="B802" s="2"/>
      <c r="C802" s="3"/>
      <c r="D802" s="3"/>
      <c r="E802" s="3"/>
      <c r="F802" s="4"/>
    </row>
    <row r="803" spans="2:6" ht="12" customHeight="1" x14ac:dyDescent="0.15">
      <c r="B803" s="2"/>
      <c r="C803" s="3"/>
      <c r="D803" s="3"/>
      <c r="E803" s="3"/>
      <c r="F803" s="4"/>
    </row>
    <row r="804" spans="2:6" ht="12" customHeight="1" x14ac:dyDescent="0.15">
      <c r="B804" s="2"/>
      <c r="C804" s="3"/>
      <c r="D804" s="3"/>
      <c r="E804" s="3"/>
      <c r="F804" s="4"/>
    </row>
    <row r="805" spans="2:6" ht="12" customHeight="1" x14ac:dyDescent="0.15">
      <c r="B805" s="2"/>
      <c r="C805" s="3"/>
      <c r="D805" s="3"/>
      <c r="E805" s="3"/>
      <c r="F805" s="4"/>
    </row>
    <row r="806" spans="2:6" ht="12" customHeight="1" x14ac:dyDescent="0.15">
      <c r="B806" s="2"/>
      <c r="C806" s="3"/>
      <c r="D806" s="3"/>
      <c r="E806" s="3"/>
      <c r="F806" s="4"/>
    </row>
    <row r="807" spans="2:6" ht="12" customHeight="1" x14ac:dyDescent="0.15">
      <c r="B807" s="2"/>
      <c r="C807" s="3"/>
      <c r="D807" s="3"/>
      <c r="E807" s="3"/>
      <c r="F807" s="4"/>
    </row>
    <row r="808" spans="2:6" ht="12" customHeight="1" x14ac:dyDescent="0.15">
      <c r="B808" s="2"/>
      <c r="C808" s="3"/>
      <c r="D808" s="3"/>
      <c r="E808" s="3"/>
      <c r="F808" s="4"/>
    </row>
    <row r="809" spans="2:6" ht="12" customHeight="1" x14ac:dyDescent="0.15">
      <c r="B809" s="2"/>
      <c r="C809" s="3"/>
      <c r="D809" s="3"/>
      <c r="E809" s="3"/>
      <c r="F809" s="4"/>
    </row>
    <row r="810" spans="2:6" ht="12" customHeight="1" x14ac:dyDescent="0.15">
      <c r="B810" s="2"/>
      <c r="C810" s="3"/>
      <c r="D810" s="3"/>
      <c r="E810" s="3"/>
      <c r="F810" s="4"/>
    </row>
    <row r="811" spans="2:6" ht="12" customHeight="1" x14ac:dyDescent="0.15">
      <c r="B811" s="2"/>
      <c r="C811" s="3"/>
      <c r="D811" s="3"/>
      <c r="E811" s="3"/>
      <c r="F811" s="4"/>
    </row>
    <row r="812" spans="2:6" ht="12" customHeight="1" x14ac:dyDescent="0.15">
      <c r="B812" s="2"/>
      <c r="C812" s="3"/>
      <c r="D812" s="3"/>
      <c r="E812" s="3"/>
      <c r="F812" s="4"/>
    </row>
    <row r="813" spans="2:6" ht="12" customHeight="1" x14ac:dyDescent="0.15">
      <c r="B813" s="2"/>
      <c r="C813" s="3"/>
      <c r="D813" s="3"/>
      <c r="E813" s="3"/>
      <c r="F813" s="4"/>
    </row>
    <row r="814" spans="2:6" ht="12" customHeight="1" x14ac:dyDescent="0.15">
      <c r="B814" s="2"/>
      <c r="C814" s="3"/>
      <c r="D814" s="3"/>
      <c r="E814" s="3"/>
      <c r="F814" s="4"/>
    </row>
    <row r="815" spans="2:6" ht="12" customHeight="1" x14ac:dyDescent="0.15">
      <c r="B815" s="2"/>
      <c r="C815" s="3"/>
      <c r="D815" s="3"/>
      <c r="E815" s="3"/>
      <c r="F815" s="4"/>
    </row>
    <row r="816" spans="2:6" ht="12" customHeight="1" x14ac:dyDescent="0.15">
      <c r="B816" s="2"/>
      <c r="C816" s="3"/>
      <c r="D816" s="3"/>
      <c r="E816" s="3"/>
      <c r="F816" s="4"/>
    </row>
    <row r="817" spans="2:6" ht="12" customHeight="1" x14ac:dyDescent="0.15">
      <c r="B817" s="2"/>
      <c r="C817" s="3"/>
      <c r="D817" s="3"/>
      <c r="E817" s="3"/>
      <c r="F817" s="4"/>
    </row>
    <row r="818" spans="2:6" ht="12" customHeight="1" x14ac:dyDescent="0.15">
      <c r="B818" s="2"/>
      <c r="C818" s="3"/>
      <c r="D818" s="3"/>
      <c r="E818" s="3"/>
      <c r="F818" s="4"/>
    </row>
    <row r="819" spans="2:6" ht="12" customHeight="1" x14ac:dyDescent="0.15">
      <c r="B819" s="2"/>
      <c r="C819" s="3"/>
      <c r="D819" s="3"/>
      <c r="E819" s="3"/>
      <c r="F819" s="4"/>
    </row>
    <row r="820" spans="2:6" ht="12" customHeight="1" x14ac:dyDescent="0.15">
      <c r="B820" s="2"/>
      <c r="C820" s="3"/>
      <c r="D820" s="3"/>
      <c r="E820" s="3"/>
      <c r="F820" s="4"/>
    </row>
    <row r="821" spans="2:6" ht="12" customHeight="1" x14ac:dyDescent="0.15">
      <c r="B821" s="2"/>
      <c r="C821" s="3"/>
      <c r="D821" s="3"/>
      <c r="E821" s="3"/>
      <c r="F821" s="4"/>
    </row>
    <row r="822" spans="2:6" ht="12" customHeight="1" x14ac:dyDescent="0.15">
      <c r="B822" s="2"/>
      <c r="C822" s="3"/>
      <c r="D822" s="3"/>
      <c r="E822" s="3"/>
      <c r="F822" s="4"/>
    </row>
    <row r="823" spans="2:6" ht="12" customHeight="1" x14ac:dyDescent="0.15">
      <c r="B823" s="2"/>
      <c r="C823" s="3"/>
      <c r="D823" s="3"/>
      <c r="E823" s="3"/>
      <c r="F823" s="4"/>
    </row>
    <row r="824" spans="2:6" ht="12" customHeight="1" x14ac:dyDescent="0.15">
      <c r="B824" s="2"/>
      <c r="C824" s="3"/>
      <c r="D824" s="3"/>
      <c r="E824" s="3"/>
      <c r="F824" s="4"/>
    </row>
    <row r="825" spans="2:6" ht="12" customHeight="1" x14ac:dyDescent="0.15">
      <c r="B825" s="2"/>
      <c r="C825" s="3"/>
      <c r="D825" s="3"/>
      <c r="E825" s="3"/>
      <c r="F825" s="4"/>
    </row>
    <row r="826" spans="2:6" ht="12" customHeight="1" x14ac:dyDescent="0.15">
      <c r="B826" s="2"/>
      <c r="C826" s="3"/>
      <c r="D826" s="3"/>
      <c r="E826" s="3"/>
      <c r="F826" s="4"/>
    </row>
    <row r="827" spans="2:6" ht="12" customHeight="1" x14ac:dyDescent="0.15">
      <c r="B827" s="2"/>
      <c r="C827" s="3"/>
      <c r="D827" s="3"/>
      <c r="E827" s="3"/>
      <c r="F827" s="4"/>
    </row>
    <row r="828" spans="2:6" ht="12" customHeight="1" x14ac:dyDescent="0.15">
      <c r="B828" s="2"/>
      <c r="C828" s="3"/>
      <c r="D828" s="3"/>
      <c r="E828" s="3"/>
      <c r="F828" s="4"/>
    </row>
    <row r="829" spans="2:6" ht="12" customHeight="1" x14ac:dyDescent="0.15">
      <c r="B829" s="2"/>
      <c r="C829" s="3"/>
      <c r="D829" s="3"/>
      <c r="E829" s="3"/>
      <c r="F829" s="4"/>
    </row>
    <row r="830" spans="2:6" ht="12" customHeight="1" x14ac:dyDescent="0.15">
      <c r="B830" s="2"/>
      <c r="C830" s="3"/>
      <c r="D830" s="3"/>
      <c r="E830" s="3"/>
      <c r="F830" s="4"/>
    </row>
    <row r="831" spans="2:6" ht="12" customHeight="1" x14ac:dyDescent="0.15">
      <c r="B831" s="2"/>
      <c r="C831" s="3"/>
      <c r="D831" s="3"/>
      <c r="E831" s="3"/>
      <c r="F831" s="4"/>
    </row>
    <row r="832" spans="2:6" ht="12" customHeight="1" x14ac:dyDescent="0.15">
      <c r="B832" s="2"/>
      <c r="C832" s="3"/>
      <c r="D832" s="3"/>
      <c r="E832" s="3"/>
      <c r="F832" s="4"/>
    </row>
    <row r="833" spans="2:6" ht="12" customHeight="1" x14ac:dyDescent="0.15">
      <c r="B833" s="2"/>
      <c r="C833" s="3"/>
      <c r="D833" s="3"/>
      <c r="E833" s="3"/>
      <c r="F833" s="4"/>
    </row>
    <row r="834" spans="2:6" ht="12" customHeight="1" x14ac:dyDescent="0.15">
      <c r="B834" s="2"/>
      <c r="C834" s="3"/>
      <c r="D834" s="3"/>
      <c r="E834" s="3"/>
      <c r="F834" s="4"/>
    </row>
    <row r="835" spans="2:6" ht="12" customHeight="1" x14ac:dyDescent="0.15">
      <c r="B835" s="2"/>
      <c r="C835" s="3"/>
      <c r="D835" s="3"/>
      <c r="E835" s="3"/>
      <c r="F835" s="4"/>
    </row>
    <row r="836" spans="2:6" ht="12" customHeight="1" x14ac:dyDescent="0.15">
      <c r="B836" s="2"/>
      <c r="C836" s="3"/>
      <c r="D836" s="3"/>
      <c r="E836" s="3"/>
      <c r="F836" s="4"/>
    </row>
    <row r="837" spans="2:6" ht="12" customHeight="1" x14ac:dyDescent="0.15">
      <c r="B837" s="2"/>
      <c r="C837" s="3"/>
      <c r="D837" s="3"/>
      <c r="E837" s="3"/>
      <c r="F837" s="4"/>
    </row>
    <row r="838" spans="2:6" ht="12" customHeight="1" x14ac:dyDescent="0.15">
      <c r="B838" s="2"/>
      <c r="C838" s="3"/>
      <c r="D838" s="3"/>
      <c r="E838" s="3"/>
      <c r="F838" s="4"/>
    </row>
    <row r="839" spans="2:6" ht="12" customHeight="1" x14ac:dyDescent="0.15">
      <c r="B839" s="2"/>
      <c r="C839" s="3"/>
      <c r="D839" s="3"/>
      <c r="E839" s="3"/>
      <c r="F839" s="4"/>
    </row>
    <row r="840" spans="2:6" ht="12" customHeight="1" x14ac:dyDescent="0.15">
      <c r="B840" s="2"/>
      <c r="C840" s="3"/>
      <c r="D840" s="3"/>
      <c r="E840" s="3"/>
      <c r="F840" s="4"/>
    </row>
    <row r="841" spans="2:6" ht="12" customHeight="1" x14ac:dyDescent="0.15">
      <c r="B841" s="2"/>
      <c r="C841" s="3"/>
      <c r="D841" s="3"/>
      <c r="E841" s="3"/>
      <c r="F841" s="4"/>
    </row>
    <row r="842" spans="2:6" ht="12" customHeight="1" x14ac:dyDescent="0.15">
      <c r="B842" s="2"/>
      <c r="C842" s="3"/>
      <c r="D842" s="3"/>
      <c r="E842" s="3"/>
      <c r="F842" s="4"/>
    </row>
    <row r="843" spans="2:6" ht="12" customHeight="1" x14ac:dyDescent="0.15">
      <c r="B843" s="2"/>
      <c r="C843" s="3"/>
      <c r="D843" s="3"/>
      <c r="E843" s="3"/>
      <c r="F843" s="4"/>
    </row>
    <row r="844" spans="2:6" ht="12" customHeight="1" x14ac:dyDescent="0.15">
      <c r="B844" s="2"/>
      <c r="C844" s="3"/>
      <c r="D844" s="3"/>
      <c r="E844" s="3"/>
      <c r="F844" s="4"/>
    </row>
    <row r="845" spans="2:6" ht="12" customHeight="1" x14ac:dyDescent="0.15">
      <c r="B845" s="2"/>
      <c r="C845" s="3"/>
      <c r="D845" s="3"/>
      <c r="E845" s="3"/>
      <c r="F845" s="4"/>
    </row>
    <row r="846" spans="2:6" ht="12" customHeight="1" x14ac:dyDescent="0.15">
      <c r="B846" s="2"/>
      <c r="C846" s="3"/>
      <c r="D846" s="3"/>
      <c r="E846" s="3"/>
      <c r="F846" s="4"/>
    </row>
    <row r="847" spans="2:6" ht="12" customHeight="1" x14ac:dyDescent="0.15">
      <c r="B847" s="2"/>
      <c r="C847" s="3"/>
      <c r="D847" s="3"/>
      <c r="E847" s="3"/>
      <c r="F847" s="4"/>
    </row>
    <row r="848" spans="2:6" ht="12" customHeight="1" x14ac:dyDescent="0.15">
      <c r="B848" s="2"/>
      <c r="C848" s="3"/>
      <c r="D848" s="3"/>
      <c r="E848" s="3"/>
      <c r="F848" s="4"/>
    </row>
    <row r="849" spans="2:6" ht="12" customHeight="1" x14ac:dyDescent="0.15">
      <c r="B849" s="2"/>
      <c r="C849" s="3"/>
      <c r="D849" s="3"/>
      <c r="E849" s="3"/>
      <c r="F849" s="4"/>
    </row>
    <row r="850" spans="2:6" ht="12" customHeight="1" x14ac:dyDescent="0.15">
      <c r="B850" s="2"/>
      <c r="C850" s="3"/>
      <c r="D850" s="3"/>
      <c r="E850" s="3"/>
      <c r="F850" s="4"/>
    </row>
    <row r="851" spans="2:6" ht="12" customHeight="1" x14ac:dyDescent="0.15">
      <c r="B851" s="2"/>
      <c r="C851" s="3"/>
      <c r="D851" s="3"/>
      <c r="E851" s="3"/>
      <c r="F851" s="4"/>
    </row>
    <row r="852" spans="2:6" ht="12" customHeight="1" x14ac:dyDescent="0.15">
      <c r="B852" s="2"/>
      <c r="C852" s="3"/>
      <c r="D852" s="3"/>
      <c r="E852" s="3"/>
      <c r="F852" s="4"/>
    </row>
    <row r="853" spans="2:6" ht="12" customHeight="1" x14ac:dyDescent="0.15">
      <c r="B853" s="2"/>
      <c r="C853" s="3"/>
      <c r="D853" s="3"/>
      <c r="E853" s="3"/>
      <c r="F853" s="4"/>
    </row>
    <row r="854" spans="2:6" ht="12" customHeight="1" x14ac:dyDescent="0.15">
      <c r="B854" s="2"/>
      <c r="C854" s="3"/>
      <c r="D854" s="3"/>
      <c r="E854" s="3"/>
      <c r="F854" s="4"/>
    </row>
    <row r="855" spans="2:6" ht="12" customHeight="1" x14ac:dyDescent="0.15">
      <c r="B855" s="2"/>
      <c r="C855" s="3"/>
      <c r="D855" s="3"/>
      <c r="E855" s="3"/>
      <c r="F855" s="4"/>
    </row>
    <row r="856" spans="2:6" ht="12" customHeight="1" x14ac:dyDescent="0.15">
      <c r="B856" s="2"/>
      <c r="C856" s="3"/>
      <c r="D856" s="3"/>
      <c r="E856" s="3"/>
      <c r="F856" s="4"/>
    </row>
    <row r="857" spans="2:6" ht="12" customHeight="1" x14ac:dyDescent="0.15">
      <c r="B857" s="2"/>
      <c r="C857" s="3"/>
      <c r="D857" s="3"/>
      <c r="E857" s="3"/>
      <c r="F857" s="4"/>
    </row>
    <row r="858" spans="2:6" ht="12" customHeight="1" x14ac:dyDescent="0.15">
      <c r="B858" s="2"/>
      <c r="C858" s="3"/>
      <c r="D858" s="3"/>
      <c r="E858" s="3"/>
      <c r="F858" s="4"/>
    </row>
    <row r="859" spans="2:6" ht="12" customHeight="1" x14ac:dyDescent="0.15">
      <c r="B859" s="2"/>
      <c r="C859" s="3"/>
      <c r="D859" s="3"/>
      <c r="E859" s="3"/>
      <c r="F859" s="4"/>
    </row>
    <row r="860" spans="2:6" ht="12" customHeight="1" x14ac:dyDescent="0.15">
      <c r="B860" s="2"/>
      <c r="C860" s="3"/>
      <c r="D860" s="3"/>
      <c r="E860" s="3"/>
      <c r="F860" s="4"/>
    </row>
    <row r="861" spans="2:6" ht="12" customHeight="1" x14ac:dyDescent="0.15">
      <c r="B861" s="2"/>
      <c r="C861" s="3"/>
      <c r="D861" s="3"/>
      <c r="E861" s="3"/>
      <c r="F861" s="4"/>
    </row>
    <row r="862" spans="2:6" ht="12" customHeight="1" x14ac:dyDescent="0.15">
      <c r="B862" s="2"/>
      <c r="C862" s="3"/>
      <c r="D862" s="3"/>
      <c r="E862" s="3"/>
      <c r="F862" s="4"/>
    </row>
    <row r="863" spans="2:6" ht="12" customHeight="1" x14ac:dyDescent="0.15">
      <c r="B863" s="2"/>
      <c r="C863" s="3"/>
      <c r="D863" s="3"/>
      <c r="E863" s="3"/>
      <c r="F863" s="4"/>
    </row>
    <row r="864" spans="2:6" ht="12" customHeight="1" x14ac:dyDescent="0.15">
      <c r="B864" s="2"/>
      <c r="C864" s="3"/>
      <c r="D864" s="3"/>
      <c r="E864" s="3"/>
      <c r="F864" s="4"/>
    </row>
    <row r="865" spans="2:6" ht="12" customHeight="1" x14ac:dyDescent="0.15">
      <c r="B865" s="2"/>
      <c r="C865" s="3"/>
      <c r="D865" s="3"/>
      <c r="E865" s="3"/>
      <c r="F865" s="4"/>
    </row>
    <row r="866" spans="2:6" ht="12" customHeight="1" x14ac:dyDescent="0.15">
      <c r="B866" s="2"/>
      <c r="C866" s="3"/>
      <c r="D866" s="3"/>
      <c r="E866" s="3"/>
      <c r="F866" s="4"/>
    </row>
    <row r="867" spans="2:6" ht="12" customHeight="1" x14ac:dyDescent="0.15">
      <c r="B867" s="2"/>
      <c r="C867" s="3"/>
      <c r="D867" s="3"/>
      <c r="E867" s="3"/>
      <c r="F867" s="4"/>
    </row>
    <row r="868" spans="2:6" ht="12" customHeight="1" x14ac:dyDescent="0.15">
      <c r="B868" s="2"/>
      <c r="C868" s="3"/>
      <c r="D868" s="3"/>
      <c r="E868" s="3"/>
      <c r="F868" s="4"/>
    </row>
    <row r="869" spans="2:6" ht="12" customHeight="1" x14ac:dyDescent="0.15">
      <c r="B869" s="2"/>
      <c r="C869" s="3"/>
      <c r="D869" s="3"/>
      <c r="E869" s="3"/>
      <c r="F869" s="4"/>
    </row>
    <row r="870" spans="2:6" ht="12" customHeight="1" x14ac:dyDescent="0.15">
      <c r="B870" s="2"/>
      <c r="C870" s="3"/>
      <c r="D870" s="3"/>
      <c r="E870" s="3"/>
      <c r="F870" s="4"/>
    </row>
    <row r="871" spans="2:6" ht="12" customHeight="1" x14ac:dyDescent="0.15">
      <c r="B871" s="2"/>
      <c r="C871" s="3"/>
      <c r="D871" s="3"/>
      <c r="E871" s="3"/>
      <c r="F871" s="4"/>
    </row>
    <row r="872" spans="2:6" ht="12" customHeight="1" x14ac:dyDescent="0.15">
      <c r="B872" s="2"/>
      <c r="C872" s="3"/>
      <c r="D872" s="3"/>
      <c r="E872" s="3"/>
      <c r="F872" s="4"/>
    </row>
    <row r="873" spans="2:6" ht="12" customHeight="1" x14ac:dyDescent="0.15">
      <c r="B873" s="2"/>
      <c r="C873" s="3"/>
      <c r="D873" s="3"/>
      <c r="E873" s="3"/>
      <c r="F873" s="4"/>
    </row>
    <row r="874" spans="2:6" ht="12" customHeight="1" x14ac:dyDescent="0.15">
      <c r="B874" s="2"/>
      <c r="C874" s="3"/>
      <c r="D874" s="3"/>
      <c r="E874" s="3"/>
      <c r="F874" s="4"/>
    </row>
    <row r="875" spans="2:6" ht="12" customHeight="1" x14ac:dyDescent="0.15">
      <c r="B875" s="2"/>
      <c r="C875" s="3"/>
      <c r="D875" s="3"/>
      <c r="E875" s="3"/>
      <c r="F875" s="4"/>
    </row>
    <row r="876" spans="2:6" ht="12" customHeight="1" x14ac:dyDescent="0.15">
      <c r="B876" s="2"/>
      <c r="C876" s="3"/>
      <c r="D876" s="3"/>
      <c r="E876" s="3"/>
      <c r="F876" s="4"/>
    </row>
    <row r="877" spans="2:6" ht="12" customHeight="1" x14ac:dyDescent="0.15">
      <c r="B877" s="2"/>
      <c r="C877" s="3"/>
      <c r="D877" s="3"/>
      <c r="E877" s="3"/>
      <c r="F877" s="4"/>
    </row>
    <row r="878" spans="2:6" ht="12" customHeight="1" x14ac:dyDescent="0.15">
      <c r="B878" s="2"/>
      <c r="C878" s="3"/>
      <c r="D878" s="3"/>
      <c r="E878" s="3"/>
      <c r="F878" s="4"/>
    </row>
    <row r="879" spans="2:6" ht="12" customHeight="1" x14ac:dyDescent="0.15">
      <c r="B879" s="2"/>
      <c r="C879" s="3"/>
      <c r="D879" s="3"/>
      <c r="E879" s="3"/>
      <c r="F879" s="4"/>
    </row>
    <row r="880" spans="2:6" ht="12" customHeight="1" x14ac:dyDescent="0.15">
      <c r="B880" s="2"/>
      <c r="C880" s="3"/>
      <c r="D880" s="3"/>
      <c r="E880" s="3"/>
      <c r="F880" s="4"/>
    </row>
    <row r="881" spans="2:6" ht="12" customHeight="1" x14ac:dyDescent="0.15">
      <c r="B881" s="2"/>
      <c r="C881" s="3"/>
      <c r="D881" s="3"/>
      <c r="E881" s="3"/>
      <c r="F881" s="4"/>
    </row>
    <row r="882" spans="2:6" ht="12" customHeight="1" x14ac:dyDescent="0.15">
      <c r="B882" s="2"/>
      <c r="C882" s="3"/>
      <c r="D882" s="3"/>
      <c r="E882" s="3"/>
      <c r="F882" s="4"/>
    </row>
    <row r="883" spans="2:6" ht="12" customHeight="1" x14ac:dyDescent="0.15">
      <c r="B883" s="2"/>
      <c r="C883" s="3"/>
      <c r="D883" s="3"/>
      <c r="E883" s="3"/>
      <c r="F883" s="4"/>
    </row>
    <row r="884" spans="2:6" ht="12" customHeight="1" x14ac:dyDescent="0.15">
      <c r="B884" s="2"/>
      <c r="C884" s="3"/>
      <c r="D884" s="3"/>
      <c r="E884" s="3"/>
      <c r="F884" s="4"/>
    </row>
    <row r="885" spans="2:6" ht="12" customHeight="1" x14ac:dyDescent="0.15">
      <c r="B885" s="2"/>
      <c r="C885" s="3"/>
      <c r="D885" s="3"/>
      <c r="E885" s="3"/>
      <c r="F885" s="4"/>
    </row>
    <row r="886" spans="2:6" ht="12" customHeight="1" x14ac:dyDescent="0.15">
      <c r="B886" s="2"/>
      <c r="C886" s="3"/>
      <c r="D886" s="3"/>
      <c r="E886" s="3"/>
      <c r="F886" s="4"/>
    </row>
    <row r="887" spans="2:6" ht="12" customHeight="1" x14ac:dyDescent="0.15">
      <c r="B887" s="2"/>
      <c r="C887" s="3"/>
      <c r="D887" s="3"/>
      <c r="E887" s="3"/>
      <c r="F887" s="4"/>
    </row>
    <row r="888" spans="2:6" ht="12" customHeight="1" x14ac:dyDescent="0.15">
      <c r="B888" s="2"/>
      <c r="C888" s="3"/>
      <c r="D888" s="3"/>
      <c r="E888" s="3"/>
      <c r="F888" s="4"/>
    </row>
    <row r="889" spans="2:6" ht="12" customHeight="1" x14ac:dyDescent="0.15">
      <c r="B889" s="2"/>
      <c r="C889" s="3"/>
      <c r="D889" s="3"/>
      <c r="E889" s="3"/>
      <c r="F889" s="4"/>
    </row>
    <row r="890" spans="2:6" ht="12" customHeight="1" x14ac:dyDescent="0.15">
      <c r="B890" s="2"/>
      <c r="C890" s="3"/>
      <c r="D890" s="3"/>
      <c r="E890" s="3"/>
      <c r="F890" s="4"/>
    </row>
    <row r="891" spans="2:6" ht="12" customHeight="1" x14ac:dyDescent="0.15">
      <c r="B891" s="2"/>
      <c r="C891" s="3"/>
      <c r="D891" s="3"/>
      <c r="E891" s="3"/>
      <c r="F891" s="4"/>
    </row>
    <row r="892" spans="2:6" ht="12" customHeight="1" x14ac:dyDescent="0.15">
      <c r="B892" s="2"/>
      <c r="C892" s="3"/>
      <c r="D892" s="3"/>
      <c r="E892" s="3"/>
      <c r="F892" s="4"/>
    </row>
    <row r="893" spans="2:6" ht="12" customHeight="1" x14ac:dyDescent="0.15">
      <c r="B893" s="2"/>
      <c r="C893" s="3"/>
      <c r="D893" s="3"/>
      <c r="E893" s="3"/>
      <c r="F893" s="4"/>
    </row>
    <row r="894" spans="2:6" ht="12" customHeight="1" x14ac:dyDescent="0.15">
      <c r="B894" s="2"/>
      <c r="C894" s="3"/>
      <c r="D894" s="3"/>
      <c r="E894" s="3"/>
      <c r="F894" s="4"/>
    </row>
    <row r="895" spans="2:6" ht="12" customHeight="1" x14ac:dyDescent="0.15">
      <c r="B895" s="2"/>
      <c r="C895" s="3"/>
      <c r="D895" s="3"/>
      <c r="E895" s="3"/>
      <c r="F895" s="4"/>
    </row>
    <row r="896" spans="2:6" ht="12" customHeight="1" x14ac:dyDescent="0.15">
      <c r="B896" s="2"/>
      <c r="C896" s="3"/>
      <c r="D896" s="3"/>
      <c r="E896" s="3"/>
      <c r="F896" s="4"/>
    </row>
    <row r="897" spans="2:6" ht="12" customHeight="1" x14ac:dyDescent="0.15">
      <c r="B897" s="2"/>
      <c r="C897" s="3"/>
      <c r="D897" s="3"/>
      <c r="E897" s="3"/>
      <c r="F897" s="4"/>
    </row>
    <row r="898" spans="2:6" ht="12" customHeight="1" x14ac:dyDescent="0.15">
      <c r="B898" s="2"/>
      <c r="C898" s="3"/>
      <c r="D898" s="3"/>
      <c r="E898" s="3"/>
      <c r="F898" s="4"/>
    </row>
    <row r="899" spans="2:6" ht="12" customHeight="1" x14ac:dyDescent="0.15">
      <c r="B899" s="2"/>
      <c r="C899" s="3"/>
      <c r="D899" s="3"/>
      <c r="E899" s="3"/>
      <c r="F899" s="4"/>
    </row>
    <row r="900" spans="2:6" ht="12" customHeight="1" x14ac:dyDescent="0.15">
      <c r="B900" s="2"/>
      <c r="C900" s="3"/>
      <c r="D900" s="3"/>
      <c r="E900" s="3"/>
      <c r="F900" s="4"/>
    </row>
    <row r="901" spans="2:6" ht="12" customHeight="1" x14ac:dyDescent="0.15">
      <c r="B901" s="2"/>
      <c r="C901" s="3"/>
      <c r="D901" s="3"/>
      <c r="E901" s="3"/>
      <c r="F901" s="4"/>
    </row>
    <row r="902" spans="2:6" ht="12" customHeight="1" x14ac:dyDescent="0.15">
      <c r="B902" s="2"/>
      <c r="C902" s="3"/>
      <c r="D902" s="3"/>
      <c r="E902" s="3"/>
      <c r="F902" s="4"/>
    </row>
    <row r="903" spans="2:6" ht="12" customHeight="1" x14ac:dyDescent="0.15">
      <c r="B903" s="2"/>
      <c r="C903" s="3"/>
      <c r="D903" s="3"/>
      <c r="E903" s="3"/>
      <c r="F903" s="4"/>
    </row>
    <row r="904" spans="2:6" ht="12" customHeight="1" x14ac:dyDescent="0.15">
      <c r="B904" s="2"/>
      <c r="C904" s="3"/>
      <c r="D904" s="3"/>
      <c r="E904" s="3"/>
      <c r="F904" s="4"/>
    </row>
    <row r="905" spans="2:6" ht="12" customHeight="1" x14ac:dyDescent="0.15">
      <c r="B905" s="2"/>
      <c r="C905" s="3"/>
      <c r="D905" s="3"/>
      <c r="E905" s="3"/>
      <c r="F905" s="4"/>
    </row>
    <row r="906" spans="2:6" ht="12" customHeight="1" x14ac:dyDescent="0.15">
      <c r="B906" s="2"/>
      <c r="C906" s="3"/>
      <c r="D906" s="3"/>
      <c r="E906" s="3"/>
      <c r="F906" s="4"/>
    </row>
    <row r="907" spans="2:6" ht="12" customHeight="1" x14ac:dyDescent="0.15">
      <c r="B907" s="2"/>
      <c r="C907" s="3"/>
      <c r="D907" s="3"/>
      <c r="E907" s="3"/>
      <c r="F907" s="4"/>
    </row>
    <row r="908" spans="2:6" ht="12" customHeight="1" x14ac:dyDescent="0.15">
      <c r="B908" s="2"/>
      <c r="C908" s="3"/>
      <c r="D908" s="3"/>
      <c r="E908" s="3"/>
      <c r="F908" s="4"/>
    </row>
    <row r="909" spans="2:6" ht="12" customHeight="1" x14ac:dyDescent="0.15">
      <c r="B909" s="2"/>
      <c r="C909" s="3"/>
      <c r="D909" s="3"/>
      <c r="E909" s="3"/>
      <c r="F909" s="4"/>
    </row>
    <row r="910" spans="2:6" ht="12" customHeight="1" x14ac:dyDescent="0.15">
      <c r="B910" s="2"/>
      <c r="C910" s="3"/>
      <c r="D910" s="3"/>
      <c r="E910" s="3"/>
      <c r="F910" s="4"/>
    </row>
    <row r="911" spans="2:6" ht="12" customHeight="1" x14ac:dyDescent="0.15">
      <c r="B911" s="2"/>
      <c r="C911" s="3"/>
      <c r="D911" s="3"/>
      <c r="E911" s="3"/>
      <c r="F911" s="4"/>
    </row>
    <row r="912" spans="2:6" ht="12" customHeight="1" x14ac:dyDescent="0.15">
      <c r="B912" s="2"/>
      <c r="C912" s="3"/>
      <c r="D912" s="3"/>
      <c r="E912" s="3"/>
      <c r="F912" s="4"/>
    </row>
    <row r="913" spans="2:6" ht="12" customHeight="1" x14ac:dyDescent="0.15">
      <c r="B913" s="2"/>
      <c r="C913" s="3"/>
      <c r="D913" s="3"/>
      <c r="E913" s="3"/>
      <c r="F913" s="4"/>
    </row>
    <row r="914" spans="2:6" ht="12" customHeight="1" x14ac:dyDescent="0.15">
      <c r="B914" s="2"/>
      <c r="C914" s="3"/>
      <c r="D914" s="3"/>
      <c r="E914" s="3"/>
      <c r="F914" s="4"/>
    </row>
    <row r="915" spans="2:6" ht="12" customHeight="1" x14ac:dyDescent="0.15">
      <c r="B915" s="2"/>
      <c r="C915" s="3"/>
      <c r="D915" s="3"/>
      <c r="E915" s="3"/>
      <c r="F915" s="4"/>
    </row>
    <row r="916" spans="2:6" ht="12" customHeight="1" x14ac:dyDescent="0.15">
      <c r="B916" s="2"/>
      <c r="C916" s="3"/>
      <c r="D916" s="3"/>
      <c r="E916" s="3"/>
      <c r="F916" s="4"/>
    </row>
    <row r="917" spans="2:6" ht="12" customHeight="1" x14ac:dyDescent="0.15">
      <c r="B917" s="2"/>
      <c r="C917" s="3"/>
      <c r="D917" s="3"/>
      <c r="E917" s="3"/>
      <c r="F917" s="4"/>
    </row>
    <row r="918" spans="2:6" ht="12" customHeight="1" x14ac:dyDescent="0.15">
      <c r="B918" s="2"/>
      <c r="C918" s="3"/>
      <c r="D918" s="3"/>
      <c r="E918" s="3"/>
      <c r="F918" s="4"/>
    </row>
    <row r="919" spans="2:6" ht="12" customHeight="1" x14ac:dyDescent="0.15">
      <c r="B919" s="2"/>
      <c r="C919" s="3"/>
      <c r="D919" s="3"/>
      <c r="E919" s="3"/>
      <c r="F919" s="4"/>
    </row>
    <row r="920" spans="2:6" ht="12" customHeight="1" x14ac:dyDescent="0.15">
      <c r="B920" s="2"/>
      <c r="C920" s="3"/>
      <c r="D920" s="3"/>
      <c r="E920" s="3"/>
      <c r="F920" s="4"/>
    </row>
    <row r="921" spans="2:6" ht="12" customHeight="1" x14ac:dyDescent="0.15">
      <c r="B921" s="2"/>
      <c r="C921" s="3"/>
      <c r="D921" s="3"/>
      <c r="E921" s="3"/>
      <c r="F921" s="4"/>
    </row>
    <row r="922" spans="2:6" ht="12" customHeight="1" x14ac:dyDescent="0.15">
      <c r="B922" s="2"/>
      <c r="C922" s="3"/>
      <c r="D922" s="3"/>
      <c r="E922" s="3"/>
      <c r="F922" s="4"/>
    </row>
    <row r="923" spans="2:6" ht="12" customHeight="1" x14ac:dyDescent="0.15">
      <c r="B923" s="2"/>
      <c r="C923" s="3"/>
      <c r="D923" s="3"/>
      <c r="E923" s="3"/>
      <c r="F923" s="4"/>
    </row>
    <row r="924" spans="2:6" ht="12" customHeight="1" x14ac:dyDescent="0.15">
      <c r="B924" s="2"/>
      <c r="C924" s="3"/>
      <c r="D924" s="3"/>
      <c r="E924" s="3"/>
      <c r="F924" s="4"/>
    </row>
    <row r="925" spans="2:6" ht="12" customHeight="1" x14ac:dyDescent="0.15">
      <c r="B925" s="2"/>
      <c r="C925" s="3"/>
      <c r="D925" s="3"/>
      <c r="E925" s="3"/>
      <c r="F925" s="4"/>
    </row>
    <row r="926" spans="2:6" ht="12" customHeight="1" x14ac:dyDescent="0.15">
      <c r="B926" s="2"/>
      <c r="C926" s="3"/>
      <c r="D926" s="3"/>
      <c r="E926" s="3"/>
      <c r="F926" s="4"/>
    </row>
    <row r="927" spans="2:6" ht="12" customHeight="1" x14ac:dyDescent="0.15">
      <c r="B927" s="2"/>
      <c r="C927" s="3"/>
      <c r="D927" s="3"/>
      <c r="E927" s="3"/>
      <c r="F927" s="4"/>
    </row>
    <row r="928" spans="2:6" ht="12" customHeight="1" x14ac:dyDescent="0.15">
      <c r="B928" s="2"/>
      <c r="C928" s="3"/>
      <c r="D928" s="3"/>
      <c r="E928" s="3"/>
      <c r="F928" s="4"/>
    </row>
    <row r="929" spans="2:6" ht="12" customHeight="1" x14ac:dyDescent="0.15">
      <c r="B929" s="2"/>
      <c r="C929" s="3"/>
      <c r="D929" s="3"/>
      <c r="E929" s="3"/>
      <c r="F929" s="4"/>
    </row>
    <row r="930" spans="2:6" ht="12" customHeight="1" x14ac:dyDescent="0.15">
      <c r="B930" s="2"/>
      <c r="C930" s="3"/>
      <c r="D930" s="3"/>
      <c r="E930" s="3"/>
      <c r="F930" s="4"/>
    </row>
    <row r="931" spans="2:6" ht="12" customHeight="1" x14ac:dyDescent="0.15">
      <c r="B931" s="2"/>
      <c r="C931" s="3"/>
      <c r="D931" s="3"/>
      <c r="E931" s="3"/>
      <c r="F931" s="4"/>
    </row>
    <row r="932" spans="2:6" ht="12" customHeight="1" x14ac:dyDescent="0.15">
      <c r="B932" s="2"/>
      <c r="C932" s="3"/>
      <c r="D932" s="3"/>
      <c r="E932" s="3"/>
      <c r="F932" s="4"/>
    </row>
    <row r="933" spans="2:6" ht="12" customHeight="1" x14ac:dyDescent="0.15">
      <c r="B933" s="2"/>
      <c r="C933" s="3"/>
      <c r="D933" s="3"/>
      <c r="E933" s="3"/>
      <c r="F933" s="4"/>
    </row>
    <row r="934" spans="2:6" ht="12" customHeight="1" x14ac:dyDescent="0.15">
      <c r="B934" s="2"/>
      <c r="C934" s="3"/>
      <c r="D934" s="3"/>
      <c r="E934" s="3"/>
      <c r="F934" s="4"/>
    </row>
    <row r="935" spans="2:6" ht="12" customHeight="1" x14ac:dyDescent="0.15">
      <c r="B935" s="2"/>
      <c r="C935" s="3"/>
      <c r="D935" s="3"/>
      <c r="E935" s="3"/>
      <c r="F935" s="4"/>
    </row>
    <row r="936" spans="2:6" ht="12" customHeight="1" x14ac:dyDescent="0.15">
      <c r="B936" s="2"/>
      <c r="C936" s="3"/>
      <c r="D936" s="3"/>
      <c r="E936" s="3"/>
      <c r="F936" s="4"/>
    </row>
    <row r="937" spans="2:6" ht="12" customHeight="1" x14ac:dyDescent="0.15">
      <c r="B937" s="2"/>
      <c r="C937" s="3"/>
      <c r="D937" s="3"/>
      <c r="E937" s="3"/>
      <c r="F937" s="4"/>
    </row>
    <row r="938" spans="2:6" ht="12" customHeight="1" x14ac:dyDescent="0.15">
      <c r="B938" s="2"/>
      <c r="C938" s="3"/>
      <c r="D938" s="3"/>
      <c r="E938" s="3"/>
      <c r="F938" s="4"/>
    </row>
    <row r="939" spans="2:6" ht="12" customHeight="1" x14ac:dyDescent="0.15">
      <c r="B939" s="2"/>
      <c r="C939" s="3"/>
      <c r="D939" s="3"/>
      <c r="E939" s="3"/>
      <c r="F939" s="4"/>
    </row>
    <row r="940" spans="2:6" ht="12" customHeight="1" x14ac:dyDescent="0.15">
      <c r="B940" s="2"/>
      <c r="C940" s="3"/>
      <c r="D940" s="3"/>
      <c r="E940" s="3"/>
      <c r="F940" s="4"/>
    </row>
    <row r="941" spans="2:6" ht="12" customHeight="1" x14ac:dyDescent="0.15">
      <c r="B941" s="2"/>
      <c r="C941" s="3"/>
      <c r="D941" s="3"/>
      <c r="E941" s="3"/>
      <c r="F941" s="4"/>
    </row>
    <row r="942" spans="2:6" ht="12" customHeight="1" x14ac:dyDescent="0.15">
      <c r="B942" s="2"/>
      <c r="C942" s="3"/>
      <c r="D942" s="3"/>
      <c r="E942" s="3"/>
      <c r="F942" s="4"/>
    </row>
    <row r="943" spans="2:6" ht="12" customHeight="1" x14ac:dyDescent="0.15">
      <c r="B943" s="2"/>
      <c r="C943" s="3"/>
      <c r="D943" s="3"/>
      <c r="E943" s="3"/>
      <c r="F943" s="4"/>
    </row>
    <row r="944" spans="2:6" ht="12" customHeight="1" x14ac:dyDescent="0.15">
      <c r="B944" s="2"/>
      <c r="C944" s="3"/>
      <c r="D944" s="3"/>
      <c r="E944" s="3"/>
      <c r="F944" s="4"/>
    </row>
    <row r="945" spans="2:6" ht="12" customHeight="1" x14ac:dyDescent="0.15">
      <c r="B945" s="2"/>
      <c r="C945" s="3"/>
      <c r="D945" s="3"/>
      <c r="E945" s="3"/>
      <c r="F945" s="4"/>
    </row>
    <row r="946" spans="2:6" ht="12" customHeight="1" x14ac:dyDescent="0.15">
      <c r="B946" s="2"/>
      <c r="C946" s="3"/>
      <c r="D946" s="3"/>
      <c r="E946" s="3"/>
      <c r="F946" s="4"/>
    </row>
    <row r="947" spans="2:6" ht="12" customHeight="1" x14ac:dyDescent="0.15">
      <c r="B947" s="2"/>
      <c r="C947" s="3"/>
      <c r="D947" s="3"/>
      <c r="E947" s="3"/>
      <c r="F947" s="4"/>
    </row>
    <row r="948" spans="2:6" ht="12" customHeight="1" x14ac:dyDescent="0.15">
      <c r="B948" s="2"/>
      <c r="C948" s="3"/>
      <c r="D948" s="3"/>
      <c r="E948" s="3"/>
      <c r="F948" s="4"/>
    </row>
    <row r="949" spans="2:6" ht="12" customHeight="1" x14ac:dyDescent="0.15">
      <c r="B949" s="2"/>
      <c r="C949" s="3"/>
      <c r="D949" s="3"/>
      <c r="E949" s="3"/>
      <c r="F949" s="4"/>
    </row>
    <row r="950" spans="2:6" ht="12" customHeight="1" x14ac:dyDescent="0.15">
      <c r="B950" s="2"/>
      <c r="C950" s="3"/>
      <c r="D950" s="3"/>
      <c r="E950" s="3"/>
      <c r="F950" s="4"/>
    </row>
    <row r="951" spans="2:6" ht="12" customHeight="1" x14ac:dyDescent="0.15">
      <c r="B951" s="2"/>
      <c r="C951" s="3"/>
      <c r="D951" s="3"/>
      <c r="E951" s="3"/>
      <c r="F951" s="4"/>
    </row>
    <row r="952" spans="2:6" ht="12" customHeight="1" x14ac:dyDescent="0.15">
      <c r="B952" s="2"/>
      <c r="C952" s="3"/>
      <c r="D952" s="3"/>
      <c r="E952" s="3"/>
      <c r="F952" s="4"/>
    </row>
    <row r="953" spans="2:6" ht="12" customHeight="1" x14ac:dyDescent="0.15">
      <c r="B953" s="2"/>
      <c r="C953" s="3"/>
      <c r="D953" s="3"/>
      <c r="E953" s="3"/>
      <c r="F953" s="4"/>
    </row>
    <row r="954" spans="2:6" ht="12" customHeight="1" x14ac:dyDescent="0.15">
      <c r="B954" s="2"/>
      <c r="C954" s="3"/>
      <c r="D954" s="3"/>
      <c r="E954" s="3"/>
      <c r="F954" s="4"/>
    </row>
    <row r="955" spans="2:6" ht="12" customHeight="1" x14ac:dyDescent="0.15">
      <c r="B955" s="2"/>
      <c r="C955" s="3"/>
      <c r="D955" s="3"/>
      <c r="E955" s="3"/>
      <c r="F955" s="4"/>
    </row>
    <row r="956" spans="2:6" ht="12" customHeight="1" x14ac:dyDescent="0.15">
      <c r="B956" s="2"/>
      <c r="C956" s="3"/>
      <c r="D956" s="3"/>
      <c r="E956" s="3"/>
      <c r="F956" s="4"/>
    </row>
    <row r="957" spans="2:6" ht="12" customHeight="1" x14ac:dyDescent="0.15">
      <c r="B957" s="2"/>
      <c r="C957" s="3"/>
      <c r="D957" s="3"/>
      <c r="E957" s="3"/>
      <c r="F957" s="4"/>
    </row>
    <row r="958" spans="2:6" ht="12" customHeight="1" x14ac:dyDescent="0.15">
      <c r="B958" s="2"/>
      <c r="C958" s="3"/>
      <c r="D958" s="3"/>
      <c r="E958" s="3"/>
      <c r="F958" s="4"/>
    </row>
    <row r="959" spans="2:6" ht="12" customHeight="1" x14ac:dyDescent="0.15">
      <c r="B959" s="2"/>
      <c r="C959" s="3"/>
      <c r="D959" s="3"/>
      <c r="E959" s="3"/>
      <c r="F959" s="4"/>
    </row>
    <row r="960" spans="2:6" ht="12" customHeight="1" x14ac:dyDescent="0.15">
      <c r="B960" s="2"/>
      <c r="C960" s="3"/>
      <c r="D960" s="3"/>
      <c r="E960" s="3"/>
      <c r="F960" s="4"/>
    </row>
    <row r="961" spans="2:6" ht="12" customHeight="1" x14ac:dyDescent="0.15">
      <c r="B961" s="2"/>
      <c r="C961" s="3"/>
      <c r="D961" s="3"/>
      <c r="E961" s="3"/>
      <c r="F961" s="4"/>
    </row>
    <row r="962" spans="2:6" ht="12" customHeight="1" x14ac:dyDescent="0.15">
      <c r="B962" s="2"/>
      <c r="C962" s="3"/>
      <c r="D962" s="3"/>
      <c r="E962" s="3"/>
      <c r="F962" s="4"/>
    </row>
    <row r="963" spans="2:6" ht="12" customHeight="1" x14ac:dyDescent="0.15">
      <c r="B963" s="2"/>
      <c r="C963" s="3"/>
      <c r="D963" s="3"/>
      <c r="E963" s="3"/>
      <c r="F963" s="4"/>
    </row>
    <row r="964" spans="2:6" ht="12" customHeight="1" x14ac:dyDescent="0.15">
      <c r="B964" s="2"/>
      <c r="C964" s="3"/>
      <c r="D964" s="3"/>
      <c r="E964" s="3"/>
      <c r="F964" s="4"/>
    </row>
    <row r="965" spans="2:6" ht="12" customHeight="1" x14ac:dyDescent="0.15">
      <c r="B965" s="2"/>
      <c r="C965" s="3"/>
      <c r="D965" s="3"/>
      <c r="E965" s="3"/>
      <c r="F965" s="4"/>
    </row>
    <row r="966" spans="2:6" ht="12" customHeight="1" x14ac:dyDescent="0.15">
      <c r="B966" s="2"/>
      <c r="C966" s="3"/>
      <c r="D966" s="3"/>
      <c r="E966" s="3"/>
      <c r="F966" s="4"/>
    </row>
    <row r="967" spans="2:6" ht="12" customHeight="1" x14ac:dyDescent="0.15">
      <c r="B967" s="2"/>
      <c r="C967" s="3"/>
      <c r="D967" s="3"/>
      <c r="E967" s="3"/>
      <c r="F967" s="4"/>
    </row>
    <row r="968" spans="2:6" ht="12" customHeight="1" x14ac:dyDescent="0.15">
      <c r="B968" s="2"/>
      <c r="C968" s="3"/>
      <c r="D968" s="3"/>
      <c r="E968" s="3"/>
      <c r="F968" s="4"/>
    </row>
    <row r="969" spans="2:6" ht="12" customHeight="1" x14ac:dyDescent="0.15">
      <c r="B969" s="2"/>
      <c r="C969" s="3"/>
      <c r="D969" s="3"/>
      <c r="E969" s="3"/>
      <c r="F969" s="4"/>
    </row>
    <row r="970" spans="2:6" ht="12" customHeight="1" x14ac:dyDescent="0.15">
      <c r="B970" s="2"/>
      <c r="C970" s="3"/>
      <c r="D970" s="3"/>
      <c r="E970" s="3"/>
      <c r="F970" s="4"/>
    </row>
    <row r="971" spans="2:6" ht="12" customHeight="1" x14ac:dyDescent="0.15">
      <c r="B971" s="2"/>
      <c r="C971" s="3"/>
      <c r="D971" s="3"/>
      <c r="E971" s="3"/>
      <c r="F971" s="4"/>
    </row>
    <row r="972" spans="2:6" ht="12" customHeight="1" x14ac:dyDescent="0.15">
      <c r="B972" s="2"/>
      <c r="C972" s="3"/>
      <c r="D972" s="3"/>
      <c r="E972" s="3"/>
      <c r="F972" s="4"/>
    </row>
    <row r="973" spans="2:6" ht="12" customHeight="1" x14ac:dyDescent="0.15">
      <c r="B973" s="2"/>
      <c r="C973" s="3"/>
      <c r="D973" s="3"/>
      <c r="E973" s="3"/>
      <c r="F973" s="4"/>
    </row>
    <row r="974" spans="2:6" ht="12" customHeight="1" x14ac:dyDescent="0.15">
      <c r="B974" s="2"/>
      <c r="C974" s="3"/>
      <c r="D974" s="3"/>
      <c r="E974" s="3"/>
      <c r="F974" s="4"/>
    </row>
    <row r="975" spans="2:6" ht="12" customHeight="1" x14ac:dyDescent="0.15">
      <c r="B975" s="2"/>
      <c r="C975" s="3"/>
      <c r="D975" s="3"/>
      <c r="E975" s="3"/>
      <c r="F975" s="4"/>
    </row>
    <row r="976" spans="2:6" ht="12" customHeight="1" x14ac:dyDescent="0.15">
      <c r="B976" s="2"/>
      <c r="C976" s="3"/>
      <c r="D976" s="3"/>
      <c r="E976" s="3"/>
      <c r="F976" s="4"/>
    </row>
    <row r="977" spans="2:6" ht="12" customHeight="1" x14ac:dyDescent="0.15">
      <c r="B977" s="2"/>
      <c r="C977" s="3"/>
      <c r="D977" s="3"/>
      <c r="E977" s="3"/>
      <c r="F977" s="4"/>
    </row>
    <row r="978" spans="2:6" ht="12" customHeight="1" x14ac:dyDescent="0.15">
      <c r="B978" s="2"/>
      <c r="C978" s="3"/>
      <c r="D978" s="3"/>
      <c r="E978" s="3"/>
      <c r="F978" s="4"/>
    </row>
    <row r="979" spans="2:6" ht="12" customHeight="1" x14ac:dyDescent="0.15">
      <c r="B979" s="2"/>
      <c r="C979" s="3"/>
      <c r="D979" s="3"/>
      <c r="E979" s="3"/>
      <c r="F979" s="4"/>
    </row>
    <row r="980" spans="2:6" ht="12" customHeight="1" x14ac:dyDescent="0.15">
      <c r="B980" s="2"/>
      <c r="C980" s="3"/>
      <c r="D980" s="3"/>
      <c r="E980" s="3"/>
      <c r="F980" s="4"/>
    </row>
    <row r="981" spans="2:6" ht="12" customHeight="1" x14ac:dyDescent="0.15">
      <c r="B981" s="2"/>
      <c r="C981" s="3"/>
      <c r="D981" s="3"/>
      <c r="E981" s="3"/>
      <c r="F981" s="4"/>
    </row>
    <row r="982" spans="2:6" ht="12" customHeight="1" x14ac:dyDescent="0.15">
      <c r="B982" s="2"/>
      <c r="C982" s="3"/>
      <c r="D982" s="3"/>
      <c r="E982" s="3"/>
      <c r="F982" s="4"/>
    </row>
    <row r="983" spans="2:6" ht="12" customHeight="1" x14ac:dyDescent="0.15">
      <c r="B983" s="2"/>
      <c r="C983" s="3"/>
      <c r="D983" s="3"/>
      <c r="E983" s="3"/>
      <c r="F983" s="4"/>
    </row>
    <row r="984" spans="2:6" ht="12" customHeight="1" x14ac:dyDescent="0.15">
      <c r="B984" s="2"/>
      <c r="C984" s="3"/>
      <c r="D984" s="3"/>
      <c r="E984" s="3"/>
      <c r="F984" s="4"/>
    </row>
    <row r="985" spans="2:6" ht="12" customHeight="1" x14ac:dyDescent="0.15">
      <c r="B985" s="2"/>
      <c r="C985" s="3"/>
      <c r="D985" s="3"/>
      <c r="E985" s="3"/>
      <c r="F985" s="4"/>
    </row>
    <row r="986" spans="2:6" ht="12" customHeight="1" x14ac:dyDescent="0.15">
      <c r="B986" s="2"/>
      <c r="C986" s="3"/>
      <c r="D986" s="3"/>
      <c r="E986" s="3"/>
      <c r="F986" s="4"/>
    </row>
    <row r="987" spans="2:6" ht="12" customHeight="1" x14ac:dyDescent="0.15">
      <c r="B987" s="2"/>
      <c r="C987" s="3"/>
      <c r="D987" s="3"/>
      <c r="E987" s="3"/>
      <c r="F987" s="4"/>
    </row>
    <row r="988" spans="2:6" ht="12" customHeight="1" x14ac:dyDescent="0.15">
      <c r="B988" s="2"/>
      <c r="C988" s="3"/>
      <c r="D988" s="3"/>
      <c r="E988" s="3"/>
      <c r="F988" s="4"/>
    </row>
    <row r="989" spans="2:6" ht="12" customHeight="1" x14ac:dyDescent="0.15">
      <c r="B989" s="2"/>
      <c r="C989" s="3"/>
      <c r="D989" s="3"/>
      <c r="E989" s="3"/>
      <c r="F989" s="4"/>
    </row>
    <row r="990" spans="2:6" ht="12" customHeight="1" x14ac:dyDescent="0.15">
      <c r="B990" s="2"/>
      <c r="C990" s="3"/>
      <c r="D990" s="3"/>
      <c r="E990" s="3"/>
      <c r="F990" s="4"/>
    </row>
    <row r="991" spans="2:6" ht="12" customHeight="1" x14ac:dyDescent="0.15">
      <c r="B991" s="2"/>
      <c r="C991" s="3"/>
      <c r="D991" s="3"/>
      <c r="E991" s="3"/>
      <c r="F991" s="4"/>
    </row>
    <row r="992" spans="2:6" ht="12" customHeight="1" x14ac:dyDescent="0.15">
      <c r="B992" s="2"/>
      <c r="C992" s="3"/>
      <c r="D992" s="3"/>
      <c r="E992" s="3"/>
      <c r="F992" s="4"/>
    </row>
    <row r="993" spans="2:6" ht="12" customHeight="1" x14ac:dyDescent="0.15">
      <c r="B993" s="2"/>
      <c r="C993" s="3"/>
      <c r="D993" s="3"/>
      <c r="E993" s="3"/>
      <c r="F993" s="4"/>
    </row>
    <row r="994" spans="2:6" ht="12" customHeight="1" x14ac:dyDescent="0.15">
      <c r="B994" s="2"/>
      <c r="C994" s="3"/>
      <c r="D994" s="3"/>
      <c r="E994" s="3"/>
      <c r="F994" s="4"/>
    </row>
    <row r="995" spans="2:6" ht="12" customHeight="1" x14ac:dyDescent="0.15">
      <c r="B995" s="2"/>
      <c r="C995" s="3"/>
      <c r="D995" s="3"/>
      <c r="E995" s="3"/>
      <c r="F995" s="4"/>
    </row>
    <row r="996" spans="2:6" ht="12" customHeight="1" x14ac:dyDescent="0.15">
      <c r="B996" s="2"/>
      <c r="C996" s="3"/>
      <c r="D996" s="3"/>
      <c r="E996" s="3"/>
      <c r="F996" s="4"/>
    </row>
    <row r="997" spans="2:6" ht="12" customHeight="1" x14ac:dyDescent="0.15">
      <c r="B997" s="2"/>
      <c r="C997" s="3"/>
      <c r="D997" s="3"/>
      <c r="E997" s="3"/>
      <c r="F997" s="4"/>
    </row>
    <row r="998" spans="2:6" ht="12" customHeight="1" x14ac:dyDescent="0.15">
      <c r="B998" s="2"/>
      <c r="C998" s="3"/>
      <c r="D998" s="3"/>
      <c r="E998" s="3"/>
      <c r="F998" s="4"/>
    </row>
    <row r="999" spans="2:6" ht="12" customHeight="1" x14ac:dyDescent="0.15">
      <c r="B999" s="2"/>
      <c r="C999" s="3"/>
      <c r="D999" s="3"/>
      <c r="E999" s="3"/>
      <c r="F999" s="4"/>
    </row>
    <row r="1000" spans="2:6" ht="12" customHeight="1" x14ac:dyDescent="0.15">
      <c r="B1000" s="2"/>
      <c r="C1000" s="3"/>
      <c r="D1000" s="3"/>
      <c r="E1000" s="3"/>
      <c r="F1000" s="4"/>
    </row>
    <row r="1001" spans="2:6" ht="12" customHeight="1" x14ac:dyDescent="0.15">
      <c r="B1001" s="2"/>
      <c r="C1001" s="3"/>
      <c r="D1001" s="3"/>
      <c r="E1001" s="3"/>
      <c r="F1001" s="4"/>
    </row>
    <row r="1002" spans="2:6" ht="12" customHeight="1" x14ac:dyDescent="0.15">
      <c r="B1002" s="2"/>
      <c r="C1002" s="3"/>
      <c r="D1002" s="3"/>
      <c r="E1002" s="3"/>
      <c r="F1002" s="4"/>
    </row>
    <row r="1003" spans="2:6" ht="12" customHeight="1" x14ac:dyDescent="0.15">
      <c r="B1003" s="2"/>
      <c r="C1003" s="3"/>
      <c r="D1003" s="3"/>
      <c r="E1003" s="3"/>
      <c r="F1003" s="4"/>
    </row>
  </sheetData>
  <mergeCells count="2">
    <mergeCell ref="A1:F1"/>
    <mergeCell ref="D6:E6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  <pageSetUpPr fitToPage="1"/>
  </sheetPr>
  <dimension ref="A1:Z1002"/>
  <sheetViews>
    <sheetView tabSelected="1" topLeftCell="A2" workbookViewId="0">
      <selection activeCell="F6" sqref="F6"/>
    </sheetView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3" width="13.1640625" customWidth="1"/>
    <col min="4" max="4" width="13" customWidth="1"/>
    <col min="5" max="5" width="15.5" customWidth="1"/>
    <col min="6" max="6" width="13" customWidth="1"/>
    <col min="7" max="7" width="4.5" customWidth="1"/>
  </cols>
  <sheetData>
    <row r="1" spans="1:26" ht="54" customHeight="1" x14ac:dyDescent="0.15">
      <c r="A1" s="434"/>
      <c r="B1" s="435"/>
      <c r="C1" s="435"/>
      <c r="D1" s="435"/>
      <c r="E1" s="435"/>
      <c r="F1" s="435"/>
    </row>
    <row r="2" spans="1:26" ht="12" customHeight="1" x14ac:dyDescent="0.15">
      <c r="B2" s="2"/>
      <c r="C2" s="3"/>
      <c r="D2" s="3"/>
      <c r="E2" s="3"/>
      <c r="F2" s="4"/>
    </row>
    <row r="3" spans="1:26" ht="18.75" customHeight="1" x14ac:dyDescent="0.2">
      <c r="A3" s="5" t="s">
        <v>0</v>
      </c>
      <c r="C3" s="3"/>
      <c r="D3" s="3"/>
      <c r="E3" s="3"/>
      <c r="F3" s="4"/>
    </row>
    <row r="4" spans="1:26" ht="12" customHeight="1" x14ac:dyDescent="0.15">
      <c r="A4" s="2" t="s">
        <v>1</v>
      </c>
      <c r="C4" s="3"/>
      <c r="D4" s="3"/>
      <c r="E4" s="3"/>
      <c r="F4" s="4"/>
    </row>
    <row r="5" spans="1:26" ht="12" customHeight="1" x14ac:dyDescent="0.15">
      <c r="A5" s="2"/>
      <c r="B5" s="274" t="s">
        <v>419</v>
      </c>
      <c r="C5" s="3"/>
      <c r="D5" s="3"/>
      <c r="E5" s="3"/>
      <c r="F5" s="4"/>
    </row>
    <row r="6" spans="1:26" ht="12" customHeight="1" x14ac:dyDescent="0.15">
      <c r="A6" s="2"/>
      <c r="B6" s="275" t="s">
        <v>189</v>
      </c>
      <c r="C6" s="3"/>
      <c r="D6" s="438" t="s">
        <v>510</v>
      </c>
      <c r="E6" s="438"/>
      <c r="F6" s="4"/>
      <c r="G6" s="429"/>
      <c r="H6" s="429"/>
    </row>
    <row r="7" spans="1:26" ht="12" customHeight="1" x14ac:dyDescent="0.15">
      <c r="A7" s="2"/>
      <c r="B7" s="115" t="s">
        <v>420</v>
      </c>
      <c r="C7" s="3"/>
      <c r="D7" s="3"/>
      <c r="E7" s="3"/>
      <c r="F7" s="4"/>
      <c r="G7" s="429"/>
      <c r="H7" s="429"/>
    </row>
    <row r="8" spans="1:26" ht="12" customHeight="1" x14ac:dyDescent="0.15">
      <c r="B8" s="2"/>
      <c r="C8" s="3"/>
      <c r="D8" s="3"/>
      <c r="E8" s="3"/>
      <c r="F8" s="4"/>
      <c r="G8" s="429"/>
      <c r="H8" s="429"/>
    </row>
    <row r="9" spans="1:26" ht="12" customHeight="1" x14ac:dyDescent="0.15">
      <c r="B9" s="6"/>
      <c r="C9" s="3"/>
      <c r="D9" s="3"/>
      <c r="E9" s="3"/>
      <c r="F9" s="4"/>
      <c r="G9" s="277" t="s">
        <v>511</v>
      </c>
      <c r="H9" s="429"/>
    </row>
    <row r="10" spans="1:26" ht="17.25" customHeight="1" x14ac:dyDescent="0.15">
      <c r="A10" s="8"/>
      <c r="B10" s="125" t="s">
        <v>363</v>
      </c>
      <c r="C10" s="126"/>
      <c r="D10" s="126"/>
      <c r="E10" s="126"/>
      <c r="F10" s="12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" customHeight="1" x14ac:dyDescent="0.15">
      <c r="B11" s="2"/>
      <c r="C11" s="3"/>
      <c r="D11" s="3"/>
      <c r="E11" s="3"/>
      <c r="F11" s="4"/>
    </row>
    <row r="12" spans="1:26" ht="15" customHeight="1" x14ac:dyDescent="0.15">
      <c r="B12" s="278" t="s">
        <v>4</v>
      </c>
      <c r="C12" s="279" t="s">
        <v>5</v>
      </c>
      <c r="D12" s="279" t="s">
        <v>364</v>
      </c>
      <c r="E12" s="280" t="s">
        <v>365</v>
      </c>
      <c r="F12" s="280" t="s">
        <v>366</v>
      </c>
    </row>
    <row r="13" spans="1:26" ht="12" hidden="1" customHeight="1" x14ac:dyDescent="0.15">
      <c r="B13" s="281" t="s">
        <v>421</v>
      </c>
      <c r="C13" s="282">
        <v>45111</v>
      </c>
      <c r="D13" s="283"/>
      <c r="E13" s="283">
        <v>7080</v>
      </c>
      <c r="F13" s="284">
        <f>E13</f>
        <v>7080</v>
      </c>
    </row>
    <row r="14" spans="1:26" ht="12" hidden="1" customHeight="1" x14ac:dyDescent="0.15">
      <c r="B14" s="281" t="s">
        <v>421</v>
      </c>
      <c r="C14" s="282">
        <v>45117</v>
      </c>
      <c r="D14" s="283"/>
      <c r="E14" s="283">
        <v>5900</v>
      </c>
      <c r="F14" s="284">
        <f t="shared" ref="F14:F40" si="0">F13-D14+E14</f>
        <v>12980</v>
      </c>
    </row>
    <row r="15" spans="1:26" ht="12" hidden="1" customHeight="1" x14ac:dyDescent="0.15">
      <c r="B15" s="281" t="s">
        <v>421</v>
      </c>
      <c r="C15" s="282">
        <v>45219</v>
      </c>
      <c r="D15" s="283"/>
      <c r="E15" s="283">
        <v>30110</v>
      </c>
      <c r="F15" s="284">
        <f t="shared" si="0"/>
        <v>43090</v>
      </c>
    </row>
    <row r="16" spans="1:26" ht="12" hidden="1" customHeight="1" x14ac:dyDescent="0.15">
      <c r="B16" s="281" t="s">
        <v>421</v>
      </c>
      <c r="C16" s="282">
        <v>45238</v>
      </c>
      <c r="D16" s="283"/>
      <c r="E16" s="283">
        <v>88000</v>
      </c>
      <c r="F16" s="284">
        <f t="shared" si="0"/>
        <v>131090</v>
      </c>
    </row>
    <row r="17" spans="2:6" ht="12" hidden="1" customHeight="1" x14ac:dyDescent="0.15">
      <c r="B17" s="281" t="s">
        <v>421</v>
      </c>
      <c r="C17" s="282">
        <v>45250</v>
      </c>
      <c r="D17" s="283"/>
      <c r="E17" s="283">
        <v>3530</v>
      </c>
      <c r="F17" s="284">
        <f t="shared" si="0"/>
        <v>134620</v>
      </c>
    </row>
    <row r="18" spans="2:6" ht="12" customHeight="1" x14ac:dyDescent="0.15">
      <c r="B18" s="330" t="s">
        <v>369</v>
      </c>
      <c r="C18" s="331">
        <v>45291</v>
      </c>
      <c r="D18" s="290"/>
      <c r="E18" s="290"/>
      <c r="F18" s="291">
        <f t="shared" si="0"/>
        <v>134620</v>
      </c>
    </row>
    <row r="19" spans="2:6" ht="12" customHeight="1" x14ac:dyDescent="0.15">
      <c r="B19" s="28" t="s">
        <v>370</v>
      </c>
      <c r="C19" s="332">
        <v>45321</v>
      </c>
      <c r="D19" s="283">
        <v>24132.959999999999</v>
      </c>
      <c r="E19" s="283"/>
      <c r="F19" s="284">
        <f t="shared" si="0"/>
        <v>110487.04000000001</v>
      </c>
    </row>
    <row r="20" spans="2:6" ht="12" customHeight="1" x14ac:dyDescent="0.15">
      <c r="B20" s="28" t="s">
        <v>421</v>
      </c>
      <c r="C20" s="332">
        <v>45335</v>
      </c>
      <c r="D20" s="283"/>
      <c r="E20" s="283">
        <v>24134</v>
      </c>
      <c r="F20" s="284">
        <f t="shared" si="0"/>
        <v>134621.04</v>
      </c>
    </row>
    <row r="21" spans="2:6" ht="12" customHeight="1" x14ac:dyDescent="0.15">
      <c r="B21" s="28" t="s">
        <v>373</v>
      </c>
      <c r="C21" s="282">
        <v>45335</v>
      </c>
      <c r="D21" s="283">
        <v>125141.93</v>
      </c>
      <c r="E21" s="283"/>
      <c r="F21" s="284">
        <f t="shared" si="0"/>
        <v>9479.1100000000151</v>
      </c>
    </row>
    <row r="22" spans="2:6" ht="12" customHeight="1" x14ac:dyDescent="0.15">
      <c r="B22" s="28" t="s">
        <v>374</v>
      </c>
      <c r="C22" s="282">
        <v>45335</v>
      </c>
      <c r="D22" s="283">
        <v>6195.41</v>
      </c>
      <c r="E22" s="283"/>
      <c r="F22" s="284">
        <f t="shared" si="0"/>
        <v>3283.7000000000153</v>
      </c>
    </row>
    <row r="23" spans="2:6" ht="12" customHeight="1" x14ac:dyDescent="0.15">
      <c r="B23" s="28" t="s">
        <v>375</v>
      </c>
      <c r="C23" s="282">
        <v>45336</v>
      </c>
      <c r="D23" s="283">
        <v>19331.14</v>
      </c>
      <c r="E23" s="283"/>
      <c r="F23" s="284">
        <f t="shared" si="0"/>
        <v>-16047.439999999984</v>
      </c>
    </row>
    <row r="24" spans="2:6" ht="12" customHeight="1" x14ac:dyDescent="0.15">
      <c r="B24" s="28" t="s">
        <v>376</v>
      </c>
      <c r="C24" s="282">
        <v>45336</v>
      </c>
      <c r="D24" s="283">
        <v>1548.85</v>
      </c>
      <c r="E24" s="283"/>
      <c r="F24" s="284">
        <f t="shared" si="0"/>
        <v>-17596.289999999983</v>
      </c>
    </row>
    <row r="25" spans="2:6" ht="12" customHeight="1" x14ac:dyDescent="0.15">
      <c r="B25" s="28" t="s">
        <v>421</v>
      </c>
      <c r="C25" s="282">
        <v>45358</v>
      </c>
      <c r="D25" s="283"/>
      <c r="E25" s="283">
        <v>17600</v>
      </c>
      <c r="F25" s="284">
        <f t="shared" si="0"/>
        <v>3.7100000000173168</v>
      </c>
    </row>
    <row r="26" spans="2:6" ht="12" customHeight="1" x14ac:dyDescent="0.15">
      <c r="B26" s="28" t="s">
        <v>378</v>
      </c>
      <c r="C26" s="333">
        <v>45397</v>
      </c>
      <c r="D26" s="283">
        <v>19331.142500000002</v>
      </c>
      <c r="E26" s="283"/>
      <c r="F26" s="284">
        <f t="shared" si="0"/>
        <v>-19327.432499999984</v>
      </c>
    </row>
    <row r="27" spans="2:6" ht="12" customHeight="1" x14ac:dyDescent="0.15">
      <c r="B27" s="28" t="s">
        <v>379</v>
      </c>
      <c r="C27" s="333">
        <v>45397</v>
      </c>
      <c r="D27" s="283">
        <v>1548.8525</v>
      </c>
      <c r="E27" s="283"/>
      <c r="F27" s="284">
        <f t="shared" si="0"/>
        <v>-20876.284999999985</v>
      </c>
    </row>
    <row r="28" spans="2:6" ht="12" customHeight="1" x14ac:dyDescent="0.15">
      <c r="B28" s="28" t="s">
        <v>380</v>
      </c>
      <c r="C28" s="59">
        <v>45397</v>
      </c>
      <c r="D28" s="283">
        <v>12098.891652568849</v>
      </c>
      <c r="E28" s="283"/>
      <c r="F28" s="284">
        <f t="shared" si="0"/>
        <v>-32975.176652568836</v>
      </c>
    </row>
    <row r="29" spans="2:6" ht="12" customHeight="1" x14ac:dyDescent="0.15">
      <c r="B29" s="28" t="s">
        <v>421</v>
      </c>
      <c r="C29" s="59">
        <v>45412</v>
      </c>
      <c r="D29" s="283"/>
      <c r="E29" s="283">
        <v>33000</v>
      </c>
      <c r="F29" s="284">
        <f t="shared" si="0"/>
        <v>24.823347431163711</v>
      </c>
    </row>
    <row r="30" spans="2:6" ht="12" customHeight="1" x14ac:dyDescent="0.15">
      <c r="B30" s="28" t="s">
        <v>385</v>
      </c>
      <c r="C30" s="59">
        <v>45474</v>
      </c>
      <c r="D30" s="283">
        <f>'Presupuesto 2024 Aprobado'!C52</f>
        <v>19331.142500000002</v>
      </c>
      <c r="E30" s="283"/>
      <c r="F30" s="284">
        <f t="shared" si="0"/>
        <v>-19306.319152568838</v>
      </c>
    </row>
    <row r="31" spans="2:6" ht="12" customHeight="1" x14ac:dyDescent="0.15">
      <c r="B31" s="28" t="s">
        <v>414</v>
      </c>
      <c r="C31" s="59">
        <v>45474</v>
      </c>
      <c r="D31" s="283">
        <f>'Presupuesto 2024 Aprobado'!D52</f>
        <v>1548.8525</v>
      </c>
      <c r="E31" s="283"/>
      <c r="F31" s="284">
        <f t="shared" si="0"/>
        <v>-20855.171652568839</v>
      </c>
    </row>
    <row r="32" spans="2:6" ht="12" customHeight="1" x14ac:dyDescent="0.15">
      <c r="B32" s="28" t="s">
        <v>421</v>
      </c>
      <c r="C32" s="59">
        <v>45490</v>
      </c>
      <c r="D32" s="283"/>
      <c r="E32" s="283">
        <v>20900</v>
      </c>
      <c r="F32" s="284">
        <f t="shared" si="0"/>
        <v>44.828347431161092</v>
      </c>
    </row>
    <row r="33" spans="2:6" ht="12" customHeight="1" x14ac:dyDescent="0.15">
      <c r="B33" s="28" t="s">
        <v>390</v>
      </c>
      <c r="C33" s="59">
        <v>45510</v>
      </c>
      <c r="D33" s="283">
        <v>11103.89</v>
      </c>
      <c r="E33" s="283"/>
      <c r="F33" s="284">
        <f t="shared" si="0"/>
        <v>-11059.061652568838</v>
      </c>
    </row>
    <row r="34" spans="2:6" ht="12" customHeight="1" x14ac:dyDescent="0.15">
      <c r="B34" s="28" t="s">
        <v>421</v>
      </c>
      <c r="C34" s="59">
        <v>45534</v>
      </c>
      <c r="D34" s="283"/>
      <c r="E34" s="283">
        <v>11100</v>
      </c>
      <c r="F34" s="284">
        <f t="shared" si="0"/>
        <v>40.938347431161674</v>
      </c>
    </row>
    <row r="35" spans="2:6" ht="12" customHeight="1" x14ac:dyDescent="0.15">
      <c r="B35" s="296" t="s">
        <v>392</v>
      </c>
      <c r="C35" s="59">
        <v>45566</v>
      </c>
      <c r="D35" s="283">
        <f>'Presupuesto 2024 Aprobado'!C52</f>
        <v>19331.142500000002</v>
      </c>
      <c r="E35" s="283"/>
      <c r="F35" s="284">
        <f t="shared" si="0"/>
        <v>-19290.20415256884</v>
      </c>
    </row>
    <row r="36" spans="2:6" ht="12" customHeight="1" x14ac:dyDescent="0.15">
      <c r="B36" s="296" t="s">
        <v>393</v>
      </c>
      <c r="C36" s="59">
        <v>45566</v>
      </c>
      <c r="D36" s="283">
        <f>'Presupuesto 2024 Aprobado'!D52</f>
        <v>1548.8525</v>
      </c>
      <c r="E36" s="283"/>
      <c r="F36" s="284">
        <f t="shared" si="0"/>
        <v>-20839.056652568841</v>
      </c>
    </row>
    <row r="37" spans="2:6" ht="12" customHeight="1" x14ac:dyDescent="0.15">
      <c r="B37" s="28" t="s">
        <v>421</v>
      </c>
      <c r="C37" s="59">
        <v>45570</v>
      </c>
      <c r="D37" s="283"/>
      <c r="E37" s="283">
        <v>21000</v>
      </c>
      <c r="F37" s="284">
        <f t="shared" si="0"/>
        <v>160.94334743115905</v>
      </c>
    </row>
    <row r="38" spans="2:6" s="429" customFormat="1" ht="28" customHeight="1" x14ac:dyDescent="0.15">
      <c r="B38" s="296" t="s">
        <v>512</v>
      </c>
      <c r="C38" s="431">
        <v>45664</v>
      </c>
      <c r="D38" s="283">
        <f>'PedidoVotoElec-11-10'!E33</f>
        <v>7287.158323807781</v>
      </c>
      <c r="E38" s="283"/>
      <c r="F38" s="284">
        <f t="shared" si="0"/>
        <v>-7126.214976376622</v>
      </c>
    </row>
    <row r="39" spans="2:6" s="429" customFormat="1" ht="32" customHeight="1" x14ac:dyDescent="0.15">
      <c r="B39" s="296" t="s">
        <v>513</v>
      </c>
      <c r="C39" s="431">
        <v>45664</v>
      </c>
      <c r="D39" s="283">
        <f>'PedidoVotoElec-09-12'!E34</f>
        <v>17344.062022769875</v>
      </c>
      <c r="E39" s="283"/>
      <c r="F39" s="284">
        <f t="shared" si="0"/>
        <v>-24470.276999146496</v>
      </c>
    </row>
    <row r="40" spans="2:6" s="429" customFormat="1" ht="21" customHeight="1" x14ac:dyDescent="0.15">
      <c r="B40" s="440" t="s">
        <v>514</v>
      </c>
      <c r="C40" s="431">
        <v>45664</v>
      </c>
      <c r="D40" s="283">
        <f>'Pedido Exceptional - ENERO2025'!E27</f>
        <v>6534.7067271729675</v>
      </c>
      <c r="E40" s="283"/>
      <c r="F40" s="284">
        <f t="shared" si="0"/>
        <v>-31004.983726319464</v>
      </c>
    </row>
    <row r="41" spans="2:6" ht="19" customHeight="1" x14ac:dyDescent="0.15">
      <c r="B41" s="341"/>
      <c r="C41" s="342" t="s">
        <v>422</v>
      </c>
      <c r="D41" s="343">
        <f>SUM(D13:D40)</f>
        <v>293358.98372631945</v>
      </c>
      <c r="E41" s="343">
        <f>SUM(E13:E40)</f>
        <v>262354</v>
      </c>
      <c r="F41" s="344">
        <f>E41-D41</f>
        <v>-31004.983726319449</v>
      </c>
    </row>
    <row r="42" spans="2:6" ht="15" customHeight="1" x14ac:dyDescent="0.15">
      <c r="B42" s="145"/>
      <c r="C42" s="345"/>
      <c r="D42" s="346"/>
      <c r="E42" s="346"/>
      <c r="F42" s="347"/>
    </row>
    <row r="43" spans="2:6" ht="15" customHeight="1" x14ac:dyDescent="0.15">
      <c r="B43" s="306" t="s">
        <v>396</v>
      </c>
      <c r="C43" s="8"/>
      <c r="D43" s="307"/>
      <c r="E43" s="346"/>
      <c r="F43" s="347"/>
    </row>
    <row r="44" spans="2:6" ht="27.75" customHeight="1" x14ac:dyDescent="0.15">
      <c r="B44" s="54" t="s">
        <v>423</v>
      </c>
      <c r="C44" s="55">
        <v>45597</v>
      </c>
      <c r="D44" s="308">
        <v>-3000</v>
      </c>
      <c r="E44" s="346"/>
      <c r="F44" s="347"/>
    </row>
    <row r="45" spans="2:6" ht="27.75" customHeight="1" x14ac:dyDescent="0.15">
      <c r="B45" s="441" t="s">
        <v>518</v>
      </c>
      <c r="C45" s="55">
        <v>45608</v>
      </c>
      <c r="D45" s="308">
        <v>-500</v>
      </c>
      <c r="E45" s="346"/>
      <c r="F45" s="347"/>
    </row>
    <row r="46" spans="2:6" ht="15" customHeight="1" x14ac:dyDescent="0.15">
      <c r="B46" s="145"/>
      <c r="C46" s="345"/>
      <c r="D46" s="346"/>
      <c r="E46" s="309"/>
      <c r="F46" s="339">
        <f>F41+D44+D45</f>
        <v>-34504.983726319449</v>
      </c>
    </row>
    <row r="47" spans="2:6" ht="15" customHeight="1" x14ac:dyDescent="0.15">
      <c r="B47" s="145"/>
      <c r="C47" s="345"/>
      <c r="D47" s="346"/>
      <c r="F47" s="311" t="s">
        <v>424</v>
      </c>
    </row>
    <row r="48" spans="2:6" ht="12" customHeight="1" x14ac:dyDescent="0.15">
      <c r="B48" s="2"/>
      <c r="C48" s="3"/>
      <c r="D48" s="3"/>
      <c r="E48" s="3"/>
      <c r="F48" s="4"/>
    </row>
    <row r="49" spans="2:6" ht="12" customHeight="1" x14ac:dyDescent="0.15">
      <c r="B49" s="320" t="s">
        <v>402</v>
      </c>
      <c r="C49" s="3"/>
      <c r="D49" s="3"/>
      <c r="E49" s="3"/>
      <c r="F49" s="4"/>
    </row>
    <row r="50" spans="2:6" ht="12" customHeight="1" x14ac:dyDescent="0.15">
      <c r="B50" s="2" t="s">
        <v>404</v>
      </c>
      <c r="C50" s="3"/>
      <c r="D50" s="3"/>
      <c r="E50" s="3"/>
      <c r="F50" s="4"/>
    </row>
    <row r="51" spans="2:6" ht="12" customHeight="1" x14ac:dyDescent="0.15">
      <c r="B51" s="321"/>
      <c r="C51" s="3"/>
      <c r="D51" s="3"/>
      <c r="E51" s="3"/>
      <c r="F51" s="4"/>
    </row>
    <row r="52" spans="2:6" ht="12" customHeight="1" x14ac:dyDescent="0.15">
      <c r="B52" s="322" t="s">
        <v>405</v>
      </c>
      <c r="C52" s="323"/>
      <c r="D52" s="324"/>
      <c r="E52" s="3"/>
      <c r="F52" s="4"/>
    </row>
    <row r="53" spans="2:6" ht="12" customHeight="1" x14ac:dyDescent="0.15">
      <c r="B53" s="325" t="s">
        <v>406</v>
      </c>
      <c r="C53" s="3"/>
      <c r="D53" s="48"/>
      <c r="E53" s="3"/>
      <c r="F53" s="4"/>
    </row>
    <row r="54" spans="2:6" ht="12" customHeight="1" x14ac:dyDescent="0.15">
      <c r="B54" s="325" t="s">
        <v>407</v>
      </c>
      <c r="C54" s="3"/>
      <c r="D54" s="48"/>
      <c r="E54" s="3"/>
      <c r="F54" s="4"/>
    </row>
    <row r="55" spans="2:6" ht="12" customHeight="1" x14ac:dyDescent="0.15">
      <c r="B55" s="327" t="s">
        <v>408</v>
      </c>
      <c r="C55" s="328"/>
      <c r="D55" s="329"/>
      <c r="E55" s="3"/>
      <c r="F55" s="4"/>
    </row>
    <row r="56" spans="2:6" ht="12" customHeight="1" x14ac:dyDescent="0.15">
      <c r="B56" s="2"/>
      <c r="C56" s="3"/>
      <c r="D56" s="3"/>
      <c r="E56" s="3"/>
      <c r="F56" s="4"/>
    </row>
    <row r="57" spans="2:6" ht="12" customHeight="1" x14ac:dyDescent="0.15">
      <c r="B57" s="2"/>
      <c r="C57" s="3"/>
      <c r="D57" s="3"/>
      <c r="E57" s="3"/>
      <c r="F57" s="4"/>
    </row>
    <row r="58" spans="2:6" ht="12" customHeight="1" x14ac:dyDescent="0.15">
      <c r="B58" s="2"/>
      <c r="C58" s="3"/>
      <c r="D58" s="3"/>
      <c r="E58" s="3"/>
      <c r="F58" s="4"/>
    </row>
    <row r="59" spans="2:6" ht="12" customHeight="1" x14ac:dyDescent="0.15">
      <c r="B59" s="2"/>
      <c r="C59" s="3"/>
      <c r="D59" s="3"/>
      <c r="E59" s="3"/>
      <c r="F59" s="4"/>
    </row>
    <row r="60" spans="2:6" ht="12" customHeight="1" x14ac:dyDescent="0.15">
      <c r="B60" s="2"/>
      <c r="C60" s="3"/>
      <c r="D60" s="3"/>
      <c r="E60" s="3"/>
      <c r="F60" s="4"/>
    </row>
    <row r="61" spans="2:6" ht="12" customHeight="1" x14ac:dyDescent="0.15">
      <c r="B61" s="2"/>
      <c r="C61" s="3"/>
      <c r="D61" s="3"/>
      <c r="E61" s="3"/>
      <c r="F61" s="4"/>
    </row>
    <row r="62" spans="2:6" ht="12" customHeight="1" x14ac:dyDescent="0.15">
      <c r="B62" s="2"/>
      <c r="C62" s="3"/>
      <c r="D62" s="3"/>
      <c r="E62" s="3"/>
      <c r="F62" s="4"/>
    </row>
    <row r="63" spans="2:6" ht="12" customHeight="1" x14ac:dyDescent="0.15">
      <c r="B63" s="2"/>
      <c r="C63" s="3"/>
      <c r="D63" s="3"/>
      <c r="E63" s="3"/>
      <c r="F63" s="4"/>
    </row>
    <row r="64" spans="2:6" ht="12" customHeight="1" x14ac:dyDescent="0.15">
      <c r="B64" s="2"/>
      <c r="C64" s="3"/>
      <c r="D64" s="3"/>
      <c r="E64" s="3"/>
      <c r="F64" s="4"/>
    </row>
    <row r="65" spans="2:6" ht="12" customHeight="1" x14ac:dyDescent="0.15">
      <c r="B65" s="2"/>
      <c r="C65" s="3"/>
      <c r="D65" s="3"/>
      <c r="E65" s="3"/>
      <c r="F65" s="4"/>
    </row>
    <row r="66" spans="2:6" ht="12" customHeight="1" x14ac:dyDescent="0.15">
      <c r="B66" s="2"/>
      <c r="C66" s="3"/>
      <c r="D66" s="3"/>
      <c r="E66" s="3"/>
      <c r="F66" s="4"/>
    </row>
    <row r="67" spans="2:6" ht="12" customHeight="1" x14ac:dyDescent="0.15">
      <c r="B67" s="2"/>
      <c r="C67" s="3"/>
      <c r="D67" s="3"/>
      <c r="E67" s="3"/>
      <c r="F67" s="4"/>
    </row>
    <row r="68" spans="2:6" ht="12" customHeight="1" x14ac:dyDescent="0.15">
      <c r="B68" s="2"/>
      <c r="C68" s="3"/>
      <c r="D68" s="3"/>
      <c r="E68" s="3"/>
      <c r="F68" s="4"/>
    </row>
    <row r="69" spans="2:6" ht="12" customHeight="1" x14ac:dyDescent="0.15">
      <c r="B69" s="2"/>
      <c r="C69" s="3"/>
      <c r="D69" s="3"/>
      <c r="E69" s="3"/>
      <c r="F69" s="4"/>
    </row>
    <row r="70" spans="2:6" ht="12" customHeight="1" x14ac:dyDescent="0.15">
      <c r="B70" s="2"/>
      <c r="C70" s="3"/>
      <c r="D70" s="3"/>
      <c r="E70" s="3"/>
      <c r="F70" s="4"/>
    </row>
    <row r="71" spans="2:6" ht="12" customHeight="1" x14ac:dyDescent="0.15">
      <c r="B71" s="2"/>
      <c r="C71" s="3"/>
      <c r="D71" s="3"/>
      <c r="E71" s="3"/>
      <c r="F71" s="4"/>
    </row>
    <row r="72" spans="2:6" ht="12" customHeight="1" x14ac:dyDescent="0.15">
      <c r="B72" s="2"/>
      <c r="C72" s="3"/>
      <c r="D72" s="3"/>
      <c r="E72" s="3"/>
      <c r="F72" s="4"/>
    </row>
    <row r="73" spans="2:6" ht="12" customHeight="1" x14ac:dyDescent="0.15">
      <c r="B73" s="2"/>
      <c r="C73" s="3"/>
      <c r="D73" s="3"/>
      <c r="E73" s="3"/>
      <c r="F73" s="4"/>
    </row>
    <row r="74" spans="2:6" ht="12" customHeight="1" x14ac:dyDescent="0.15">
      <c r="B74" s="2"/>
      <c r="C74" s="3"/>
      <c r="D74" s="3"/>
      <c r="E74" s="3"/>
      <c r="F74" s="4"/>
    </row>
    <row r="75" spans="2:6" ht="12" customHeight="1" x14ac:dyDescent="0.15">
      <c r="B75" s="2"/>
      <c r="C75" s="3"/>
      <c r="D75" s="3"/>
      <c r="E75" s="3"/>
      <c r="F75" s="4"/>
    </row>
    <row r="76" spans="2:6" ht="12" customHeight="1" x14ac:dyDescent="0.15">
      <c r="B76" s="2"/>
      <c r="C76" s="3"/>
      <c r="D76" s="3"/>
      <c r="E76" s="3"/>
      <c r="F76" s="4"/>
    </row>
    <row r="77" spans="2:6" ht="12" customHeight="1" x14ac:dyDescent="0.15">
      <c r="B77" s="2"/>
      <c r="C77" s="3"/>
      <c r="D77" s="3"/>
      <c r="E77" s="3"/>
      <c r="F77" s="4"/>
    </row>
    <row r="78" spans="2:6" ht="12" customHeight="1" x14ac:dyDescent="0.15">
      <c r="B78" s="2"/>
      <c r="C78" s="3"/>
      <c r="D78" s="3"/>
      <c r="E78" s="3"/>
      <c r="F78" s="4"/>
    </row>
    <row r="79" spans="2:6" ht="12" customHeight="1" x14ac:dyDescent="0.15">
      <c r="B79" s="2"/>
      <c r="C79" s="3"/>
      <c r="D79" s="3"/>
      <c r="E79" s="3"/>
      <c r="F79" s="4"/>
    </row>
    <row r="80" spans="2:6" ht="12" customHeight="1" x14ac:dyDescent="0.15">
      <c r="B80" s="2"/>
      <c r="C80" s="3"/>
      <c r="D80" s="3"/>
      <c r="E80" s="3"/>
      <c r="F80" s="4"/>
    </row>
    <row r="81" spans="2:6" ht="12" customHeight="1" x14ac:dyDescent="0.15">
      <c r="B81" s="2"/>
      <c r="C81" s="3"/>
      <c r="D81" s="3"/>
      <c r="E81" s="3"/>
      <c r="F81" s="4"/>
    </row>
    <row r="82" spans="2:6" ht="12" customHeight="1" x14ac:dyDescent="0.15">
      <c r="B82" s="2"/>
      <c r="C82" s="3"/>
      <c r="D82" s="3"/>
      <c r="E82" s="3"/>
      <c r="F82" s="4"/>
    </row>
    <row r="83" spans="2:6" ht="12" customHeight="1" x14ac:dyDescent="0.15">
      <c r="B83" s="2"/>
      <c r="C83" s="3"/>
      <c r="D83" s="3"/>
      <c r="E83" s="3"/>
      <c r="F83" s="4"/>
    </row>
    <row r="84" spans="2:6" ht="12" customHeight="1" x14ac:dyDescent="0.15">
      <c r="B84" s="2"/>
      <c r="C84" s="3"/>
      <c r="D84" s="3"/>
      <c r="E84" s="3"/>
      <c r="F84" s="4"/>
    </row>
    <row r="85" spans="2:6" ht="12" customHeight="1" x14ac:dyDescent="0.15">
      <c r="B85" s="2"/>
      <c r="C85" s="3"/>
      <c r="D85" s="3"/>
      <c r="E85" s="3"/>
      <c r="F85" s="4"/>
    </row>
    <row r="86" spans="2:6" ht="12" customHeight="1" x14ac:dyDescent="0.15">
      <c r="B86" s="2"/>
      <c r="C86" s="3"/>
      <c r="D86" s="3"/>
      <c r="E86" s="3"/>
      <c r="F86" s="4"/>
    </row>
    <row r="87" spans="2:6" ht="12" customHeight="1" x14ac:dyDescent="0.15">
      <c r="B87" s="2"/>
      <c r="C87" s="3"/>
      <c r="D87" s="3"/>
      <c r="E87" s="3"/>
      <c r="F87" s="4"/>
    </row>
    <row r="88" spans="2:6" ht="12" customHeight="1" x14ac:dyDescent="0.15">
      <c r="B88" s="2"/>
      <c r="C88" s="3"/>
      <c r="D88" s="3"/>
      <c r="E88" s="3"/>
      <c r="F88" s="4"/>
    </row>
    <row r="89" spans="2:6" ht="12" customHeight="1" x14ac:dyDescent="0.15">
      <c r="B89" s="2"/>
      <c r="C89" s="3"/>
      <c r="D89" s="3"/>
      <c r="E89" s="3"/>
      <c r="F89" s="4"/>
    </row>
    <row r="90" spans="2:6" ht="12" customHeight="1" x14ac:dyDescent="0.15">
      <c r="B90" s="2"/>
      <c r="C90" s="3"/>
      <c r="D90" s="3"/>
      <c r="E90" s="3"/>
      <c r="F90" s="4"/>
    </row>
    <row r="91" spans="2:6" ht="12" customHeight="1" x14ac:dyDescent="0.15">
      <c r="B91" s="2"/>
      <c r="C91" s="3"/>
      <c r="D91" s="3"/>
      <c r="E91" s="3"/>
      <c r="F91" s="4"/>
    </row>
    <row r="92" spans="2:6" ht="12" customHeight="1" x14ac:dyDescent="0.15">
      <c r="B92" s="2"/>
      <c r="C92" s="3"/>
      <c r="D92" s="3"/>
      <c r="E92" s="3"/>
      <c r="F92" s="4"/>
    </row>
    <row r="93" spans="2:6" ht="12" customHeight="1" x14ac:dyDescent="0.15">
      <c r="B93" s="2"/>
      <c r="C93" s="3"/>
      <c r="D93" s="3"/>
      <c r="E93" s="3"/>
      <c r="F93" s="4"/>
    </row>
    <row r="94" spans="2:6" ht="12" customHeight="1" x14ac:dyDescent="0.15">
      <c r="B94" s="2"/>
      <c r="C94" s="3"/>
      <c r="D94" s="3"/>
      <c r="E94" s="3"/>
      <c r="F94" s="4"/>
    </row>
    <row r="95" spans="2:6" ht="12" customHeight="1" x14ac:dyDescent="0.15">
      <c r="B95" s="2"/>
      <c r="C95" s="3"/>
      <c r="D95" s="3"/>
      <c r="E95" s="3"/>
      <c r="F95" s="4"/>
    </row>
    <row r="96" spans="2:6" ht="12" customHeight="1" x14ac:dyDescent="0.15">
      <c r="B96" s="2"/>
      <c r="C96" s="3"/>
      <c r="D96" s="3"/>
      <c r="E96" s="3"/>
      <c r="F96" s="4"/>
    </row>
    <row r="97" spans="2:6" ht="12" customHeight="1" x14ac:dyDescent="0.15">
      <c r="B97" s="2"/>
      <c r="C97" s="3"/>
      <c r="D97" s="3"/>
      <c r="E97" s="3"/>
      <c r="F97" s="4"/>
    </row>
    <row r="98" spans="2:6" ht="12" customHeight="1" x14ac:dyDescent="0.15">
      <c r="B98" s="2"/>
      <c r="C98" s="3"/>
      <c r="D98" s="3"/>
      <c r="E98" s="3"/>
      <c r="F98" s="4"/>
    </row>
    <row r="99" spans="2:6" ht="12" customHeight="1" x14ac:dyDescent="0.15">
      <c r="B99" s="2"/>
      <c r="C99" s="3"/>
      <c r="D99" s="3"/>
      <c r="E99" s="3"/>
      <c r="F99" s="4"/>
    </row>
    <row r="100" spans="2:6" ht="12" customHeight="1" x14ac:dyDescent="0.15">
      <c r="B100" s="2"/>
      <c r="C100" s="3"/>
      <c r="D100" s="3"/>
      <c r="E100" s="3"/>
      <c r="F100" s="4"/>
    </row>
    <row r="101" spans="2:6" ht="12" customHeight="1" x14ac:dyDescent="0.15">
      <c r="B101" s="2"/>
      <c r="C101" s="3"/>
      <c r="D101" s="3"/>
      <c r="E101" s="3"/>
      <c r="F101" s="4"/>
    </row>
    <row r="102" spans="2:6" ht="12" customHeight="1" x14ac:dyDescent="0.15">
      <c r="B102" s="2"/>
      <c r="C102" s="3"/>
      <c r="D102" s="3"/>
      <c r="E102" s="3"/>
      <c r="F102" s="4"/>
    </row>
    <row r="103" spans="2:6" ht="12" customHeight="1" x14ac:dyDescent="0.15">
      <c r="B103" s="2"/>
      <c r="C103" s="3"/>
      <c r="D103" s="3"/>
      <c r="E103" s="3"/>
      <c r="F103" s="4"/>
    </row>
    <row r="104" spans="2:6" ht="12" customHeight="1" x14ac:dyDescent="0.15">
      <c r="B104" s="2"/>
      <c r="C104" s="3"/>
      <c r="D104" s="3"/>
      <c r="E104" s="3"/>
      <c r="F104" s="4"/>
    </row>
    <row r="105" spans="2:6" ht="12" customHeight="1" x14ac:dyDescent="0.15">
      <c r="B105" s="2"/>
      <c r="C105" s="3"/>
      <c r="D105" s="3"/>
      <c r="E105" s="3"/>
      <c r="F105" s="4"/>
    </row>
    <row r="106" spans="2:6" ht="12" customHeight="1" x14ac:dyDescent="0.15">
      <c r="B106" s="2"/>
      <c r="C106" s="3"/>
      <c r="D106" s="3"/>
      <c r="E106" s="3"/>
      <c r="F106" s="4"/>
    </row>
    <row r="107" spans="2:6" ht="12" customHeight="1" x14ac:dyDescent="0.15">
      <c r="B107" s="2"/>
      <c r="C107" s="3"/>
      <c r="D107" s="3"/>
      <c r="E107" s="3"/>
      <c r="F107" s="4"/>
    </row>
    <row r="108" spans="2:6" ht="12" customHeight="1" x14ac:dyDescent="0.15">
      <c r="B108" s="2"/>
      <c r="C108" s="3"/>
      <c r="D108" s="3"/>
      <c r="E108" s="3"/>
      <c r="F108" s="4"/>
    </row>
    <row r="109" spans="2:6" ht="12" customHeight="1" x14ac:dyDescent="0.15">
      <c r="B109" s="2"/>
      <c r="C109" s="3"/>
      <c r="D109" s="3"/>
      <c r="E109" s="3"/>
      <c r="F109" s="4"/>
    </row>
    <row r="110" spans="2:6" ht="12" customHeight="1" x14ac:dyDescent="0.15">
      <c r="B110" s="2"/>
      <c r="C110" s="3"/>
      <c r="D110" s="3"/>
      <c r="E110" s="3"/>
      <c r="F110" s="4"/>
    </row>
    <row r="111" spans="2:6" ht="12" customHeight="1" x14ac:dyDescent="0.15">
      <c r="B111" s="2"/>
      <c r="C111" s="3"/>
      <c r="D111" s="3"/>
      <c r="E111" s="3"/>
      <c r="F111" s="4"/>
    </row>
    <row r="112" spans="2:6" ht="12" customHeight="1" x14ac:dyDescent="0.15">
      <c r="B112" s="2"/>
      <c r="C112" s="3"/>
      <c r="D112" s="3"/>
      <c r="E112" s="3"/>
      <c r="F112" s="4"/>
    </row>
    <row r="113" spans="2:6" ht="12" customHeight="1" x14ac:dyDescent="0.15">
      <c r="B113" s="2"/>
      <c r="C113" s="3"/>
      <c r="D113" s="3"/>
      <c r="E113" s="3"/>
      <c r="F113" s="4"/>
    </row>
    <row r="114" spans="2:6" ht="12" customHeight="1" x14ac:dyDescent="0.15">
      <c r="B114" s="2"/>
      <c r="C114" s="3"/>
      <c r="D114" s="3"/>
      <c r="E114" s="3"/>
      <c r="F114" s="4"/>
    </row>
    <row r="115" spans="2:6" ht="12" customHeight="1" x14ac:dyDescent="0.15">
      <c r="B115" s="2"/>
      <c r="C115" s="3"/>
      <c r="D115" s="3"/>
      <c r="E115" s="3"/>
      <c r="F115" s="4"/>
    </row>
    <row r="116" spans="2:6" ht="12" customHeight="1" x14ac:dyDescent="0.15">
      <c r="B116" s="2"/>
      <c r="C116" s="3"/>
      <c r="D116" s="3"/>
      <c r="E116" s="3"/>
      <c r="F116" s="4"/>
    </row>
    <row r="117" spans="2:6" ht="12" customHeight="1" x14ac:dyDescent="0.15">
      <c r="B117" s="2"/>
      <c r="C117" s="3"/>
      <c r="D117" s="3"/>
      <c r="E117" s="3"/>
      <c r="F117" s="4"/>
    </row>
    <row r="118" spans="2:6" ht="12" customHeight="1" x14ac:dyDescent="0.15">
      <c r="B118" s="2"/>
      <c r="C118" s="3"/>
      <c r="D118" s="3"/>
      <c r="E118" s="3"/>
      <c r="F118" s="4"/>
    </row>
    <row r="119" spans="2:6" ht="12" customHeight="1" x14ac:dyDescent="0.15">
      <c r="B119" s="2"/>
      <c r="C119" s="3"/>
      <c r="D119" s="3"/>
      <c r="E119" s="3"/>
      <c r="F119" s="4"/>
    </row>
    <row r="120" spans="2:6" ht="12" customHeight="1" x14ac:dyDescent="0.15">
      <c r="B120" s="2"/>
      <c r="C120" s="3"/>
      <c r="D120" s="3"/>
      <c r="E120" s="3"/>
      <c r="F120" s="4"/>
    </row>
    <row r="121" spans="2:6" ht="12" customHeight="1" x14ac:dyDescent="0.15">
      <c r="B121" s="2"/>
      <c r="C121" s="3"/>
      <c r="D121" s="3"/>
      <c r="E121" s="3"/>
      <c r="F121" s="4"/>
    </row>
    <row r="122" spans="2:6" ht="12" customHeight="1" x14ac:dyDescent="0.15">
      <c r="B122" s="2"/>
      <c r="C122" s="3"/>
      <c r="D122" s="3"/>
      <c r="E122" s="3"/>
      <c r="F122" s="4"/>
    </row>
    <row r="123" spans="2:6" ht="12" customHeight="1" x14ac:dyDescent="0.15">
      <c r="B123" s="2"/>
      <c r="C123" s="3"/>
      <c r="D123" s="3"/>
      <c r="E123" s="3"/>
      <c r="F123" s="4"/>
    </row>
    <row r="124" spans="2:6" ht="12" customHeight="1" x14ac:dyDescent="0.15">
      <c r="B124" s="2"/>
      <c r="C124" s="3"/>
      <c r="D124" s="3"/>
      <c r="E124" s="3"/>
      <c r="F124" s="4"/>
    </row>
    <row r="125" spans="2:6" ht="12" customHeight="1" x14ac:dyDescent="0.15">
      <c r="B125" s="2"/>
      <c r="C125" s="3"/>
      <c r="D125" s="3"/>
      <c r="E125" s="3"/>
      <c r="F125" s="4"/>
    </row>
    <row r="126" spans="2:6" ht="12" customHeight="1" x14ac:dyDescent="0.15">
      <c r="B126" s="2"/>
      <c r="C126" s="3"/>
      <c r="D126" s="3"/>
      <c r="E126" s="3"/>
      <c r="F126" s="4"/>
    </row>
    <row r="127" spans="2:6" ht="12" customHeight="1" x14ac:dyDescent="0.15">
      <c r="B127" s="2"/>
      <c r="C127" s="3"/>
      <c r="D127" s="3"/>
      <c r="E127" s="3"/>
      <c r="F127" s="4"/>
    </row>
    <row r="128" spans="2:6" ht="12" customHeight="1" x14ac:dyDescent="0.15">
      <c r="B128" s="2"/>
      <c r="C128" s="3"/>
      <c r="D128" s="3"/>
      <c r="E128" s="3"/>
      <c r="F128" s="4"/>
    </row>
    <row r="129" spans="2:6" ht="12" customHeight="1" x14ac:dyDescent="0.15">
      <c r="B129" s="2"/>
      <c r="C129" s="3"/>
      <c r="D129" s="3"/>
      <c r="E129" s="3"/>
      <c r="F129" s="4"/>
    </row>
    <row r="130" spans="2:6" ht="12" customHeight="1" x14ac:dyDescent="0.15">
      <c r="B130" s="2"/>
      <c r="C130" s="3"/>
      <c r="D130" s="3"/>
      <c r="E130" s="3"/>
      <c r="F130" s="4"/>
    </row>
    <row r="131" spans="2:6" ht="12" customHeight="1" x14ac:dyDescent="0.15">
      <c r="B131" s="2"/>
      <c r="C131" s="3"/>
      <c r="D131" s="3"/>
      <c r="E131" s="3"/>
      <c r="F131" s="4"/>
    </row>
    <row r="132" spans="2:6" ht="12" customHeight="1" x14ac:dyDescent="0.15">
      <c r="B132" s="2"/>
      <c r="C132" s="3"/>
      <c r="D132" s="3"/>
      <c r="E132" s="3"/>
      <c r="F132" s="4"/>
    </row>
    <row r="133" spans="2:6" ht="12" customHeight="1" x14ac:dyDescent="0.15">
      <c r="B133" s="2"/>
      <c r="C133" s="3"/>
      <c r="D133" s="3"/>
      <c r="E133" s="3"/>
      <c r="F133" s="4"/>
    </row>
    <row r="134" spans="2:6" ht="12" customHeight="1" x14ac:dyDescent="0.15">
      <c r="B134" s="2"/>
      <c r="C134" s="3"/>
      <c r="D134" s="3"/>
      <c r="E134" s="3"/>
      <c r="F134" s="4"/>
    </row>
    <row r="135" spans="2:6" ht="12" customHeight="1" x14ac:dyDescent="0.15">
      <c r="B135" s="2"/>
      <c r="C135" s="3"/>
      <c r="D135" s="3"/>
      <c r="E135" s="3"/>
      <c r="F135" s="4"/>
    </row>
    <row r="136" spans="2:6" ht="12" customHeight="1" x14ac:dyDescent="0.15">
      <c r="B136" s="2"/>
      <c r="C136" s="3"/>
      <c r="D136" s="3"/>
      <c r="E136" s="3"/>
      <c r="F136" s="4"/>
    </row>
    <row r="137" spans="2:6" ht="12" customHeight="1" x14ac:dyDescent="0.15">
      <c r="B137" s="2"/>
      <c r="C137" s="3"/>
      <c r="D137" s="3"/>
      <c r="E137" s="3"/>
      <c r="F137" s="4"/>
    </row>
    <row r="138" spans="2:6" ht="12" customHeight="1" x14ac:dyDescent="0.15">
      <c r="B138" s="2"/>
      <c r="C138" s="3"/>
      <c r="D138" s="3"/>
      <c r="E138" s="3"/>
      <c r="F138" s="4"/>
    </row>
    <row r="139" spans="2:6" ht="12" customHeight="1" x14ac:dyDescent="0.15">
      <c r="B139" s="2"/>
      <c r="C139" s="3"/>
      <c r="D139" s="3"/>
      <c r="E139" s="3"/>
      <c r="F139" s="4"/>
    </row>
    <row r="140" spans="2:6" ht="12" customHeight="1" x14ac:dyDescent="0.15">
      <c r="B140" s="2"/>
      <c r="C140" s="3"/>
      <c r="D140" s="3"/>
      <c r="E140" s="3"/>
      <c r="F140" s="4"/>
    </row>
    <row r="141" spans="2:6" ht="12" customHeight="1" x14ac:dyDescent="0.15">
      <c r="B141" s="2"/>
      <c r="C141" s="3"/>
      <c r="D141" s="3"/>
      <c r="E141" s="3"/>
      <c r="F141" s="4"/>
    </row>
    <row r="142" spans="2:6" ht="12" customHeight="1" x14ac:dyDescent="0.15">
      <c r="B142" s="2"/>
      <c r="C142" s="3"/>
      <c r="D142" s="3"/>
      <c r="E142" s="3"/>
      <c r="F142" s="4"/>
    </row>
    <row r="143" spans="2:6" ht="12" customHeight="1" x14ac:dyDescent="0.15">
      <c r="B143" s="2"/>
      <c r="C143" s="3"/>
      <c r="D143" s="3"/>
      <c r="E143" s="3"/>
      <c r="F143" s="4"/>
    </row>
    <row r="144" spans="2:6" ht="12" customHeight="1" x14ac:dyDescent="0.15">
      <c r="B144" s="2"/>
      <c r="C144" s="3"/>
      <c r="D144" s="3"/>
      <c r="E144" s="3"/>
      <c r="F144" s="4"/>
    </row>
    <row r="145" spans="2:6" ht="12" customHeight="1" x14ac:dyDescent="0.15">
      <c r="B145" s="2"/>
      <c r="C145" s="3"/>
      <c r="D145" s="3"/>
      <c r="E145" s="3"/>
      <c r="F145" s="4"/>
    </row>
    <row r="146" spans="2:6" ht="12" customHeight="1" x14ac:dyDescent="0.15">
      <c r="B146" s="2"/>
      <c r="C146" s="3"/>
      <c r="D146" s="3"/>
      <c r="E146" s="3"/>
      <c r="F146" s="4"/>
    </row>
    <row r="147" spans="2:6" ht="12" customHeight="1" x14ac:dyDescent="0.15">
      <c r="B147" s="2"/>
      <c r="C147" s="3"/>
      <c r="D147" s="3"/>
      <c r="E147" s="3"/>
      <c r="F147" s="4"/>
    </row>
    <row r="148" spans="2:6" ht="12" customHeight="1" x14ac:dyDescent="0.15">
      <c r="B148" s="2"/>
      <c r="C148" s="3"/>
      <c r="D148" s="3"/>
      <c r="E148" s="3"/>
      <c r="F148" s="4"/>
    </row>
    <row r="149" spans="2:6" ht="12" customHeight="1" x14ac:dyDescent="0.15">
      <c r="B149" s="2"/>
      <c r="C149" s="3"/>
      <c r="D149" s="3"/>
      <c r="E149" s="3"/>
      <c r="F149" s="4"/>
    </row>
    <row r="150" spans="2:6" ht="12" customHeight="1" x14ac:dyDescent="0.15">
      <c r="B150" s="2"/>
      <c r="C150" s="3"/>
      <c r="D150" s="3"/>
      <c r="E150" s="3"/>
      <c r="F150" s="4"/>
    </row>
    <row r="151" spans="2:6" ht="12" customHeight="1" x14ac:dyDescent="0.15">
      <c r="B151" s="2"/>
      <c r="C151" s="3"/>
      <c r="D151" s="3"/>
      <c r="E151" s="3"/>
      <c r="F151" s="4"/>
    </row>
    <row r="152" spans="2:6" ht="12" customHeight="1" x14ac:dyDescent="0.15">
      <c r="B152" s="2"/>
      <c r="C152" s="3"/>
      <c r="D152" s="3"/>
      <c r="E152" s="3"/>
      <c r="F152" s="4"/>
    </row>
    <row r="153" spans="2:6" ht="12" customHeight="1" x14ac:dyDescent="0.15">
      <c r="B153" s="2"/>
      <c r="C153" s="3"/>
      <c r="D153" s="3"/>
      <c r="E153" s="3"/>
      <c r="F153" s="4"/>
    </row>
    <row r="154" spans="2:6" ht="12" customHeight="1" x14ac:dyDescent="0.15">
      <c r="B154" s="2"/>
      <c r="C154" s="3"/>
      <c r="D154" s="3"/>
      <c r="E154" s="3"/>
      <c r="F154" s="4"/>
    </row>
    <row r="155" spans="2:6" ht="12" customHeight="1" x14ac:dyDescent="0.15">
      <c r="B155" s="2"/>
      <c r="C155" s="3"/>
      <c r="D155" s="3"/>
      <c r="E155" s="3"/>
      <c r="F155" s="4"/>
    </row>
    <row r="156" spans="2:6" ht="12" customHeight="1" x14ac:dyDescent="0.15">
      <c r="B156" s="2"/>
      <c r="C156" s="3"/>
      <c r="D156" s="3"/>
      <c r="E156" s="3"/>
      <c r="F156" s="4"/>
    </row>
    <row r="157" spans="2:6" ht="12" customHeight="1" x14ac:dyDescent="0.15">
      <c r="B157" s="2"/>
      <c r="C157" s="3"/>
      <c r="D157" s="3"/>
      <c r="E157" s="3"/>
      <c r="F157" s="4"/>
    </row>
    <row r="158" spans="2:6" ht="12" customHeight="1" x14ac:dyDescent="0.15">
      <c r="B158" s="2"/>
      <c r="C158" s="3"/>
      <c r="D158" s="3"/>
      <c r="E158" s="3"/>
      <c r="F158" s="4"/>
    </row>
    <row r="159" spans="2:6" ht="12" customHeight="1" x14ac:dyDescent="0.15">
      <c r="B159" s="2"/>
      <c r="C159" s="3"/>
      <c r="D159" s="3"/>
      <c r="E159" s="3"/>
      <c r="F159" s="4"/>
    </row>
    <row r="160" spans="2:6" ht="12" customHeight="1" x14ac:dyDescent="0.15">
      <c r="B160" s="2"/>
      <c r="C160" s="3"/>
      <c r="D160" s="3"/>
      <c r="E160" s="3"/>
      <c r="F160" s="4"/>
    </row>
    <row r="161" spans="2:6" ht="12" customHeight="1" x14ac:dyDescent="0.15">
      <c r="B161" s="2"/>
      <c r="C161" s="3"/>
      <c r="D161" s="3"/>
      <c r="E161" s="3"/>
      <c r="F161" s="4"/>
    </row>
    <row r="162" spans="2:6" ht="12" customHeight="1" x14ac:dyDescent="0.15">
      <c r="B162" s="2"/>
      <c r="C162" s="3"/>
      <c r="D162" s="3"/>
      <c r="E162" s="3"/>
      <c r="F162" s="4"/>
    </row>
    <row r="163" spans="2:6" ht="12" customHeight="1" x14ac:dyDescent="0.15">
      <c r="B163" s="2"/>
      <c r="C163" s="3"/>
      <c r="D163" s="3"/>
      <c r="E163" s="3"/>
      <c r="F163" s="4"/>
    </row>
    <row r="164" spans="2:6" ht="12" customHeight="1" x14ac:dyDescent="0.15">
      <c r="B164" s="2"/>
      <c r="C164" s="3"/>
      <c r="D164" s="3"/>
      <c r="E164" s="3"/>
      <c r="F164" s="4"/>
    </row>
    <row r="165" spans="2:6" ht="12" customHeight="1" x14ac:dyDescent="0.15">
      <c r="B165" s="2"/>
      <c r="C165" s="3"/>
      <c r="D165" s="3"/>
      <c r="E165" s="3"/>
      <c r="F165" s="4"/>
    </row>
    <row r="166" spans="2:6" ht="12" customHeight="1" x14ac:dyDescent="0.15">
      <c r="B166" s="2"/>
      <c r="C166" s="3"/>
      <c r="D166" s="3"/>
      <c r="E166" s="3"/>
      <c r="F166" s="4"/>
    </row>
    <row r="167" spans="2:6" ht="12" customHeight="1" x14ac:dyDescent="0.15">
      <c r="B167" s="2"/>
      <c r="C167" s="3"/>
      <c r="D167" s="3"/>
      <c r="E167" s="3"/>
      <c r="F167" s="4"/>
    </row>
    <row r="168" spans="2:6" ht="12" customHeight="1" x14ac:dyDescent="0.15">
      <c r="B168" s="2"/>
      <c r="C168" s="3"/>
      <c r="D168" s="3"/>
      <c r="E168" s="3"/>
      <c r="F168" s="4"/>
    </row>
    <row r="169" spans="2:6" ht="12" customHeight="1" x14ac:dyDescent="0.15">
      <c r="B169" s="2"/>
      <c r="C169" s="3"/>
      <c r="D169" s="3"/>
      <c r="E169" s="3"/>
      <c r="F169" s="4"/>
    </row>
    <row r="170" spans="2:6" ht="12" customHeight="1" x14ac:dyDescent="0.15">
      <c r="B170" s="2"/>
      <c r="C170" s="3"/>
      <c r="D170" s="3"/>
      <c r="E170" s="3"/>
      <c r="F170" s="4"/>
    </row>
    <row r="171" spans="2:6" ht="12" customHeight="1" x14ac:dyDescent="0.15">
      <c r="B171" s="2"/>
      <c r="C171" s="3"/>
      <c r="D171" s="3"/>
      <c r="E171" s="3"/>
      <c r="F171" s="4"/>
    </row>
    <row r="172" spans="2:6" ht="12" customHeight="1" x14ac:dyDescent="0.15">
      <c r="B172" s="2"/>
      <c r="C172" s="3"/>
      <c r="D172" s="3"/>
      <c r="E172" s="3"/>
      <c r="F172" s="4"/>
    </row>
    <row r="173" spans="2:6" ht="12" customHeight="1" x14ac:dyDescent="0.15">
      <c r="B173" s="2"/>
      <c r="C173" s="3"/>
      <c r="D173" s="3"/>
      <c r="E173" s="3"/>
      <c r="F173" s="4"/>
    </row>
    <row r="174" spans="2:6" ht="12" customHeight="1" x14ac:dyDescent="0.15">
      <c r="B174" s="2"/>
      <c r="C174" s="3"/>
      <c r="D174" s="3"/>
      <c r="E174" s="3"/>
      <c r="F174" s="4"/>
    </row>
    <row r="175" spans="2:6" ht="12" customHeight="1" x14ac:dyDescent="0.15">
      <c r="B175" s="2"/>
      <c r="C175" s="3"/>
      <c r="D175" s="3"/>
      <c r="E175" s="3"/>
      <c r="F175" s="4"/>
    </row>
    <row r="176" spans="2:6" ht="12" customHeight="1" x14ac:dyDescent="0.15">
      <c r="B176" s="2"/>
      <c r="C176" s="3"/>
      <c r="D176" s="3"/>
      <c r="E176" s="3"/>
      <c r="F176" s="4"/>
    </row>
    <row r="177" spans="2:6" ht="12" customHeight="1" x14ac:dyDescent="0.15">
      <c r="B177" s="2"/>
      <c r="C177" s="3"/>
      <c r="D177" s="3"/>
      <c r="E177" s="3"/>
      <c r="F177" s="4"/>
    </row>
    <row r="178" spans="2:6" ht="12" customHeight="1" x14ac:dyDescent="0.15">
      <c r="B178" s="2"/>
      <c r="C178" s="3"/>
      <c r="D178" s="3"/>
      <c r="E178" s="3"/>
      <c r="F178" s="4"/>
    </row>
    <row r="179" spans="2:6" ht="12" customHeight="1" x14ac:dyDescent="0.15">
      <c r="B179" s="2"/>
      <c r="C179" s="3"/>
      <c r="D179" s="3"/>
      <c r="E179" s="3"/>
      <c r="F179" s="4"/>
    </row>
    <row r="180" spans="2:6" ht="12" customHeight="1" x14ac:dyDescent="0.15">
      <c r="B180" s="2"/>
      <c r="C180" s="3"/>
      <c r="D180" s="3"/>
      <c r="E180" s="3"/>
      <c r="F180" s="4"/>
    </row>
    <row r="181" spans="2:6" ht="12" customHeight="1" x14ac:dyDescent="0.15">
      <c r="B181" s="2"/>
      <c r="C181" s="3"/>
      <c r="D181" s="3"/>
      <c r="E181" s="3"/>
      <c r="F181" s="4"/>
    </row>
    <row r="182" spans="2:6" ht="12" customHeight="1" x14ac:dyDescent="0.15">
      <c r="B182" s="2"/>
      <c r="C182" s="3"/>
      <c r="D182" s="3"/>
      <c r="E182" s="3"/>
      <c r="F182" s="4"/>
    </row>
    <row r="183" spans="2:6" ht="12" customHeight="1" x14ac:dyDescent="0.15">
      <c r="B183" s="2"/>
      <c r="C183" s="3"/>
      <c r="D183" s="3"/>
      <c r="E183" s="3"/>
      <c r="F183" s="4"/>
    </row>
    <row r="184" spans="2:6" ht="12" customHeight="1" x14ac:dyDescent="0.15">
      <c r="B184" s="2"/>
      <c r="C184" s="3"/>
      <c r="D184" s="3"/>
      <c r="E184" s="3"/>
      <c r="F184" s="4"/>
    </row>
    <row r="185" spans="2:6" ht="12" customHeight="1" x14ac:dyDescent="0.15">
      <c r="B185" s="2"/>
      <c r="C185" s="3"/>
      <c r="D185" s="3"/>
      <c r="E185" s="3"/>
      <c r="F185" s="4"/>
    </row>
    <row r="186" spans="2:6" ht="12" customHeight="1" x14ac:dyDescent="0.15">
      <c r="B186" s="2"/>
      <c r="C186" s="3"/>
      <c r="D186" s="3"/>
      <c r="E186" s="3"/>
      <c r="F186" s="4"/>
    </row>
    <row r="187" spans="2:6" ht="12" customHeight="1" x14ac:dyDescent="0.15">
      <c r="B187" s="2"/>
      <c r="C187" s="3"/>
      <c r="D187" s="3"/>
      <c r="E187" s="3"/>
      <c r="F187" s="4"/>
    </row>
    <row r="188" spans="2:6" ht="12" customHeight="1" x14ac:dyDescent="0.15">
      <c r="B188" s="2"/>
      <c r="C188" s="3"/>
      <c r="D188" s="3"/>
      <c r="E188" s="3"/>
      <c r="F188" s="4"/>
    </row>
    <row r="189" spans="2:6" ht="12" customHeight="1" x14ac:dyDescent="0.15">
      <c r="B189" s="2"/>
      <c r="C189" s="3"/>
      <c r="D189" s="3"/>
      <c r="E189" s="3"/>
      <c r="F189" s="4"/>
    </row>
    <row r="190" spans="2:6" ht="12" customHeight="1" x14ac:dyDescent="0.15">
      <c r="B190" s="2"/>
      <c r="C190" s="3"/>
      <c r="D190" s="3"/>
      <c r="E190" s="3"/>
      <c r="F190" s="4"/>
    </row>
    <row r="191" spans="2:6" ht="12" customHeight="1" x14ac:dyDescent="0.15">
      <c r="B191" s="2"/>
      <c r="C191" s="3"/>
      <c r="D191" s="3"/>
      <c r="E191" s="3"/>
      <c r="F191" s="4"/>
    </row>
    <row r="192" spans="2:6" ht="12" customHeight="1" x14ac:dyDescent="0.15">
      <c r="B192" s="2"/>
      <c r="C192" s="3"/>
      <c r="D192" s="3"/>
      <c r="E192" s="3"/>
      <c r="F192" s="4"/>
    </row>
    <row r="193" spans="2:6" ht="12" customHeight="1" x14ac:dyDescent="0.15">
      <c r="B193" s="2"/>
      <c r="C193" s="3"/>
      <c r="D193" s="3"/>
      <c r="E193" s="3"/>
      <c r="F193" s="4"/>
    </row>
    <row r="194" spans="2:6" ht="12" customHeight="1" x14ac:dyDescent="0.15">
      <c r="B194" s="2"/>
      <c r="C194" s="3"/>
      <c r="D194" s="3"/>
      <c r="E194" s="3"/>
      <c r="F194" s="4"/>
    </row>
    <row r="195" spans="2:6" ht="12" customHeight="1" x14ac:dyDescent="0.15">
      <c r="B195" s="2"/>
      <c r="C195" s="3"/>
      <c r="D195" s="3"/>
      <c r="E195" s="3"/>
      <c r="F195" s="4"/>
    </row>
    <row r="196" spans="2:6" ht="12" customHeight="1" x14ac:dyDescent="0.15">
      <c r="B196" s="2"/>
      <c r="C196" s="3"/>
      <c r="D196" s="3"/>
      <c r="E196" s="3"/>
      <c r="F196" s="4"/>
    </row>
    <row r="197" spans="2:6" ht="12" customHeight="1" x14ac:dyDescent="0.15">
      <c r="B197" s="2"/>
      <c r="C197" s="3"/>
      <c r="D197" s="3"/>
      <c r="E197" s="3"/>
      <c r="F197" s="4"/>
    </row>
    <row r="198" spans="2:6" ht="12" customHeight="1" x14ac:dyDescent="0.15">
      <c r="B198" s="2"/>
      <c r="C198" s="3"/>
      <c r="D198" s="3"/>
      <c r="E198" s="3"/>
      <c r="F198" s="4"/>
    </row>
    <row r="199" spans="2:6" ht="12" customHeight="1" x14ac:dyDescent="0.15">
      <c r="B199" s="2"/>
      <c r="C199" s="3"/>
      <c r="D199" s="3"/>
      <c r="E199" s="3"/>
      <c r="F199" s="4"/>
    </row>
    <row r="200" spans="2:6" ht="12" customHeight="1" x14ac:dyDescent="0.15">
      <c r="B200" s="2"/>
      <c r="C200" s="3"/>
      <c r="D200" s="3"/>
      <c r="E200" s="3"/>
      <c r="F200" s="4"/>
    </row>
    <row r="201" spans="2:6" ht="12" customHeight="1" x14ac:dyDescent="0.15">
      <c r="B201" s="2"/>
      <c r="C201" s="3"/>
      <c r="D201" s="3"/>
      <c r="E201" s="3"/>
      <c r="F201" s="4"/>
    </row>
    <row r="202" spans="2:6" ht="12" customHeight="1" x14ac:dyDescent="0.15">
      <c r="B202" s="2"/>
      <c r="C202" s="3"/>
      <c r="D202" s="3"/>
      <c r="E202" s="3"/>
      <c r="F202" s="4"/>
    </row>
    <row r="203" spans="2:6" ht="12" customHeight="1" x14ac:dyDescent="0.15">
      <c r="B203" s="2"/>
      <c r="C203" s="3"/>
      <c r="D203" s="3"/>
      <c r="E203" s="3"/>
      <c r="F203" s="4"/>
    </row>
    <row r="204" spans="2:6" ht="12" customHeight="1" x14ac:dyDescent="0.15">
      <c r="B204" s="2"/>
      <c r="C204" s="3"/>
      <c r="D204" s="3"/>
      <c r="E204" s="3"/>
      <c r="F204" s="4"/>
    </row>
    <row r="205" spans="2:6" ht="12" customHeight="1" x14ac:dyDescent="0.15">
      <c r="B205" s="2"/>
      <c r="C205" s="3"/>
      <c r="D205" s="3"/>
      <c r="E205" s="3"/>
      <c r="F205" s="4"/>
    </row>
    <row r="206" spans="2:6" ht="12" customHeight="1" x14ac:dyDescent="0.15">
      <c r="B206" s="2"/>
      <c r="C206" s="3"/>
      <c r="D206" s="3"/>
      <c r="E206" s="3"/>
      <c r="F206" s="4"/>
    </row>
    <row r="207" spans="2:6" ht="12" customHeight="1" x14ac:dyDescent="0.15">
      <c r="B207" s="2"/>
      <c r="C207" s="3"/>
      <c r="D207" s="3"/>
      <c r="E207" s="3"/>
      <c r="F207" s="4"/>
    </row>
    <row r="208" spans="2:6" ht="12" customHeight="1" x14ac:dyDescent="0.15">
      <c r="B208" s="2"/>
      <c r="C208" s="3"/>
      <c r="D208" s="3"/>
      <c r="E208" s="3"/>
      <c r="F208" s="4"/>
    </row>
    <row r="209" spans="2:6" ht="12" customHeight="1" x14ac:dyDescent="0.15">
      <c r="B209" s="2"/>
      <c r="C209" s="3"/>
      <c r="D209" s="3"/>
      <c r="E209" s="3"/>
      <c r="F209" s="4"/>
    </row>
    <row r="210" spans="2:6" ht="12" customHeight="1" x14ac:dyDescent="0.15">
      <c r="B210" s="2"/>
      <c r="C210" s="3"/>
      <c r="D210" s="3"/>
      <c r="E210" s="3"/>
      <c r="F210" s="4"/>
    </row>
    <row r="211" spans="2:6" ht="12" customHeight="1" x14ac:dyDescent="0.15">
      <c r="B211" s="2"/>
      <c r="C211" s="3"/>
      <c r="D211" s="3"/>
      <c r="E211" s="3"/>
      <c r="F211" s="4"/>
    </row>
    <row r="212" spans="2:6" ht="12" customHeight="1" x14ac:dyDescent="0.15">
      <c r="B212" s="2"/>
      <c r="C212" s="3"/>
      <c r="D212" s="3"/>
      <c r="E212" s="3"/>
      <c r="F212" s="4"/>
    </row>
    <row r="213" spans="2:6" ht="12" customHeight="1" x14ac:dyDescent="0.15">
      <c r="B213" s="2"/>
      <c r="C213" s="3"/>
      <c r="D213" s="3"/>
      <c r="E213" s="3"/>
      <c r="F213" s="4"/>
    </row>
    <row r="214" spans="2:6" ht="12" customHeight="1" x14ac:dyDescent="0.15">
      <c r="B214" s="2"/>
      <c r="C214" s="3"/>
      <c r="D214" s="3"/>
      <c r="E214" s="3"/>
      <c r="F214" s="4"/>
    </row>
    <row r="215" spans="2:6" ht="12" customHeight="1" x14ac:dyDescent="0.15">
      <c r="B215" s="2"/>
      <c r="C215" s="3"/>
      <c r="D215" s="3"/>
      <c r="E215" s="3"/>
      <c r="F215" s="4"/>
    </row>
    <row r="216" spans="2:6" ht="12" customHeight="1" x14ac:dyDescent="0.15">
      <c r="B216" s="2"/>
      <c r="C216" s="3"/>
      <c r="D216" s="3"/>
      <c r="E216" s="3"/>
      <c r="F216" s="4"/>
    </row>
    <row r="217" spans="2:6" ht="12" customHeight="1" x14ac:dyDescent="0.15">
      <c r="B217" s="2"/>
      <c r="C217" s="3"/>
      <c r="D217" s="3"/>
      <c r="E217" s="3"/>
      <c r="F217" s="4"/>
    </row>
    <row r="218" spans="2:6" ht="12" customHeight="1" x14ac:dyDescent="0.15">
      <c r="B218" s="2"/>
      <c r="C218" s="3"/>
      <c r="D218" s="3"/>
      <c r="E218" s="3"/>
      <c r="F218" s="4"/>
    </row>
    <row r="219" spans="2:6" ht="12" customHeight="1" x14ac:dyDescent="0.15">
      <c r="B219" s="2"/>
      <c r="C219" s="3"/>
      <c r="D219" s="3"/>
      <c r="E219" s="3"/>
      <c r="F219" s="4"/>
    </row>
    <row r="220" spans="2:6" ht="12" customHeight="1" x14ac:dyDescent="0.15">
      <c r="B220" s="2"/>
      <c r="C220" s="3"/>
      <c r="D220" s="3"/>
      <c r="E220" s="3"/>
      <c r="F220" s="4"/>
    </row>
    <row r="221" spans="2:6" ht="12" customHeight="1" x14ac:dyDescent="0.15">
      <c r="B221" s="2"/>
      <c r="C221" s="3"/>
      <c r="D221" s="3"/>
      <c r="E221" s="3"/>
      <c r="F221" s="4"/>
    </row>
    <row r="222" spans="2:6" ht="12" customHeight="1" x14ac:dyDescent="0.15">
      <c r="B222" s="2"/>
      <c r="C222" s="3"/>
      <c r="D222" s="3"/>
      <c r="E222" s="3"/>
      <c r="F222" s="4"/>
    </row>
    <row r="223" spans="2:6" ht="12" customHeight="1" x14ac:dyDescent="0.15">
      <c r="B223" s="2"/>
      <c r="C223" s="3"/>
      <c r="D223" s="3"/>
      <c r="E223" s="3"/>
      <c r="F223" s="4"/>
    </row>
    <row r="224" spans="2:6" ht="12" customHeight="1" x14ac:dyDescent="0.15">
      <c r="B224" s="2"/>
      <c r="C224" s="3"/>
      <c r="D224" s="3"/>
      <c r="E224" s="3"/>
      <c r="F224" s="4"/>
    </row>
    <row r="225" spans="2:6" ht="12" customHeight="1" x14ac:dyDescent="0.15">
      <c r="B225" s="2"/>
      <c r="C225" s="3"/>
      <c r="D225" s="3"/>
      <c r="E225" s="3"/>
      <c r="F225" s="4"/>
    </row>
    <row r="226" spans="2:6" ht="12" customHeight="1" x14ac:dyDescent="0.15">
      <c r="B226" s="2"/>
      <c r="C226" s="3"/>
      <c r="D226" s="3"/>
      <c r="E226" s="3"/>
      <c r="F226" s="4"/>
    </row>
    <row r="227" spans="2:6" ht="12" customHeight="1" x14ac:dyDescent="0.15">
      <c r="B227" s="2"/>
      <c r="C227" s="3"/>
      <c r="D227" s="3"/>
      <c r="E227" s="3"/>
      <c r="F227" s="4"/>
    </row>
    <row r="228" spans="2:6" ht="12" customHeight="1" x14ac:dyDescent="0.15">
      <c r="B228" s="2"/>
      <c r="C228" s="3"/>
      <c r="D228" s="3"/>
      <c r="E228" s="3"/>
      <c r="F228" s="4"/>
    </row>
    <row r="229" spans="2:6" ht="12" customHeight="1" x14ac:dyDescent="0.15">
      <c r="B229" s="2"/>
      <c r="C229" s="3"/>
      <c r="D229" s="3"/>
      <c r="E229" s="3"/>
      <c r="F229" s="4"/>
    </row>
    <row r="230" spans="2:6" ht="12" customHeight="1" x14ac:dyDescent="0.15">
      <c r="B230" s="2"/>
      <c r="C230" s="3"/>
      <c r="D230" s="3"/>
      <c r="E230" s="3"/>
      <c r="F230" s="4"/>
    </row>
    <row r="231" spans="2:6" ht="12" customHeight="1" x14ac:dyDescent="0.15">
      <c r="B231" s="2"/>
      <c r="C231" s="3"/>
      <c r="D231" s="3"/>
      <c r="E231" s="3"/>
      <c r="F231" s="4"/>
    </row>
    <row r="232" spans="2:6" ht="12" customHeight="1" x14ac:dyDescent="0.15">
      <c r="B232" s="2"/>
      <c r="C232" s="3"/>
      <c r="D232" s="3"/>
      <c r="E232" s="3"/>
      <c r="F232" s="4"/>
    </row>
    <row r="233" spans="2:6" ht="12" customHeight="1" x14ac:dyDescent="0.15">
      <c r="B233" s="2"/>
      <c r="C233" s="3"/>
      <c r="D233" s="3"/>
      <c r="E233" s="3"/>
      <c r="F233" s="4"/>
    </row>
    <row r="234" spans="2:6" ht="12" customHeight="1" x14ac:dyDescent="0.15">
      <c r="B234" s="2"/>
      <c r="C234" s="3"/>
      <c r="D234" s="3"/>
      <c r="E234" s="3"/>
      <c r="F234" s="4"/>
    </row>
    <row r="235" spans="2:6" ht="12" customHeight="1" x14ac:dyDescent="0.15">
      <c r="B235" s="2"/>
      <c r="C235" s="3"/>
      <c r="D235" s="3"/>
      <c r="E235" s="3"/>
      <c r="F235" s="4"/>
    </row>
    <row r="236" spans="2:6" ht="12" customHeight="1" x14ac:dyDescent="0.15">
      <c r="B236" s="2"/>
      <c r="C236" s="3"/>
      <c r="D236" s="3"/>
      <c r="E236" s="3"/>
      <c r="F236" s="4"/>
    </row>
    <row r="237" spans="2:6" ht="12" customHeight="1" x14ac:dyDescent="0.15">
      <c r="B237" s="2"/>
      <c r="C237" s="3"/>
      <c r="D237" s="3"/>
      <c r="E237" s="3"/>
      <c r="F237" s="4"/>
    </row>
    <row r="238" spans="2:6" ht="12" customHeight="1" x14ac:dyDescent="0.15">
      <c r="B238" s="2"/>
      <c r="C238" s="3"/>
      <c r="D238" s="3"/>
      <c r="E238" s="3"/>
      <c r="F238" s="4"/>
    </row>
    <row r="239" spans="2:6" ht="12" customHeight="1" x14ac:dyDescent="0.15">
      <c r="B239" s="2"/>
      <c r="C239" s="3"/>
      <c r="D239" s="3"/>
      <c r="E239" s="3"/>
      <c r="F239" s="4"/>
    </row>
    <row r="240" spans="2:6" ht="12" customHeight="1" x14ac:dyDescent="0.15">
      <c r="B240" s="2"/>
      <c r="C240" s="3"/>
      <c r="D240" s="3"/>
      <c r="E240" s="3"/>
      <c r="F240" s="4"/>
    </row>
    <row r="241" spans="2:6" ht="12" customHeight="1" x14ac:dyDescent="0.15">
      <c r="B241" s="2"/>
      <c r="C241" s="3"/>
      <c r="D241" s="3"/>
      <c r="E241" s="3"/>
      <c r="F241" s="4"/>
    </row>
    <row r="242" spans="2:6" ht="12" customHeight="1" x14ac:dyDescent="0.15">
      <c r="B242" s="2"/>
      <c r="C242" s="3"/>
      <c r="D242" s="3"/>
      <c r="E242" s="3"/>
      <c r="F242" s="4"/>
    </row>
    <row r="243" spans="2:6" ht="12" customHeight="1" x14ac:dyDescent="0.15">
      <c r="B243" s="2"/>
      <c r="C243" s="3"/>
      <c r="D243" s="3"/>
      <c r="E243" s="3"/>
      <c r="F243" s="4"/>
    </row>
    <row r="244" spans="2:6" ht="12" customHeight="1" x14ac:dyDescent="0.15">
      <c r="B244" s="2"/>
      <c r="C244" s="3"/>
      <c r="D244" s="3"/>
      <c r="E244" s="3"/>
      <c r="F244" s="4"/>
    </row>
    <row r="245" spans="2:6" ht="12" customHeight="1" x14ac:dyDescent="0.15">
      <c r="B245" s="2"/>
      <c r="C245" s="3"/>
      <c r="D245" s="3"/>
      <c r="E245" s="3"/>
      <c r="F245" s="4"/>
    </row>
    <row r="246" spans="2:6" ht="12" customHeight="1" x14ac:dyDescent="0.15">
      <c r="B246" s="2"/>
      <c r="C246" s="3"/>
      <c r="D246" s="3"/>
      <c r="E246" s="3"/>
      <c r="F246" s="4"/>
    </row>
    <row r="247" spans="2:6" ht="12" customHeight="1" x14ac:dyDescent="0.15">
      <c r="B247" s="2"/>
      <c r="C247" s="3"/>
      <c r="D247" s="3"/>
      <c r="E247" s="3"/>
      <c r="F247" s="4"/>
    </row>
    <row r="248" spans="2:6" ht="12" customHeight="1" x14ac:dyDescent="0.15">
      <c r="B248" s="2"/>
      <c r="C248" s="3"/>
      <c r="D248" s="3"/>
      <c r="E248" s="3"/>
      <c r="F248" s="4"/>
    </row>
    <row r="249" spans="2:6" ht="12" customHeight="1" x14ac:dyDescent="0.15">
      <c r="B249" s="2"/>
      <c r="C249" s="3"/>
      <c r="D249" s="3"/>
      <c r="E249" s="3"/>
      <c r="F249" s="4"/>
    </row>
    <row r="250" spans="2:6" ht="12" customHeight="1" x14ac:dyDescent="0.15">
      <c r="B250" s="2"/>
      <c r="C250" s="3"/>
      <c r="D250" s="3"/>
      <c r="E250" s="3"/>
      <c r="F250" s="4"/>
    </row>
    <row r="251" spans="2:6" ht="12" customHeight="1" x14ac:dyDescent="0.15">
      <c r="B251" s="2"/>
      <c r="C251" s="3"/>
      <c r="D251" s="3"/>
      <c r="E251" s="3"/>
      <c r="F251" s="4"/>
    </row>
    <row r="252" spans="2:6" ht="12" customHeight="1" x14ac:dyDescent="0.15">
      <c r="B252" s="2"/>
      <c r="C252" s="3"/>
      <c r="D252" s="3"/>
      <c r="E252" s="3"/>
      <c r="F252" s="4"/>
    </row>
    <row r="253" spans="2:6" ht="12" customHeight="1" x14ac:dyDescent="0.15">
      <c r="B253" s="2"/>
      <c r="C253" s="3"/>
      <c r="D253" s="3"/>
      <c r="E253" s="3"/>
      <c r="F253" s="4"/>
    </row>
    <row r="254" spans="2:6" ht="12" customHeight="1" x14ac:dyDescent="0.15">
      <c r="B254" s="2"/>
      <c r="C254" s="3"/>
      <c r="D254" s="3"/>
      <c r="E254" s="3"/>
      <c r="F254" s="4"/>
    </row>
    <row r="255" spans="2:6" ht="12" customHeight="1" x14ac:dyDescent="0.15">
      <c r="B255" s="2"/>
      <c r="C255" s="3"/>
      <c r="D255" s="3"/>
      <c r="E255" s="3"/>
      <c r="F255" s="4"/>
    </row>
    <row r="256" spans="2:6" ht="12" customHeight="1" x14ac:dyDescent="0.15">
      <c r="B256" s="2"/>
      <c r="C256" s="3"/>
      <c r="D256" s="3"/>
      <c r="E256" s="3"/>
      <c r="F256" s="4"/>
    </row>
    <row r="257" spans="2:6" ht="12" customHeight="1" x14ac:dyDescent="0.15">
      <c r="B257" s="2"/>
      <c r="C257" s="3"/>
      <c r="D257" s="3"/>
      <c r="E257" s="3"/>
      <c r="F257" s="4"/>
    </row>
    <row r="258" spans="2:6" ht="12" customHeight="1" x14ac:dyDescent="0.15">
      <c r="B258" s="2"/>
      <c r="C258" s="3"/>
      <c r="D258" s="3"/>
      <c r="E258" s="3"/>
      <c r="F258" s="4"/>
    </row>
    <row r="259" spans="2:6" ht="12" customHeight="1" x14ac:dyDescent="0.15">
      <c r="B259" s="2"/>
      <c r="C259" s="3"/>
      <c r="D259" s="3"/>
      <c r="E259" s="3"/>
      <c r="F259" s="4"/>
    </row>
    <row r="260" spans="2:6" ht="12" customHeight="1" x14ac:dyDescent="0.15">
      <c r="B260" s="2"/>
      <c r="C260" s="3"/>
      <c r="D260" s="3"/>
      <c r="E260" s="3"/>
      <c r="F260" s="4"/>
    </row>
    <row r="261" spans="2:6" ht="12" customHeight="1" x14ac:dyDescent="0.15">
      <c r="B261" s="2"/>
      <c r="C261" s="3"/>
      <c r="D261" s="3"/>
      <c r="E261" s="3"/>
      <c r="F261" s="4"/>
    </row>
    <row r="262" spans="2:6" ht="12" customHeight="1" x14ac:dyDescent="0.15">
      <c r="B262" s="2"/>
      <c r="C262" s="3"/>
      <c r="D262" s="3"/>
      <c r="E262" s="3"/>
      <c r="F262" s="4"/>
    </row>
    <row r="263" spans="2:6" ht="12" customHeight="1" x14ac:dyDescent="0.15">
      <c r="B263" s="2"/>
      <c r="C263" s="3"/>
      <c r="D263" s="3"/>
      <c r="E263" s="3"/>
      <c r="F263" s="4"/>
    </row>
    <row r="264" spans="2:6" ht="12" customHeight="1" x14ac:dyDescent="0.15">
      <c r="B264" s="2"/>
      <c r="C264" s="3"/>
      <c r="D264" s="3"/>
      <c r="E264" s="3"/>
      <c r="F264" s="4"/>
    </row>
    <row r="265" spans="2:6" ht="12" customHeight="1" x14ac:dyDescent="0.15">
      <c r="B265" s="2"/>
      <c r="C265" s="3"/>
      <c r="D265" s="3"/>
      <c r="E265" s="3"/>
      <c r="F265" s="4"/>
    </row>
    <row r="266" spans="2:6" ht="12" customHeight="1" x14ac:dyDescent="0.15">
      <c r="B266" s="2"/>
      <c r="C266" s="3"/>
      <c r="D266" s="3"/>
      <c r="E266" s="3"/>
      <c r="F266" s="4"/>
    </row>
    <row r="267" spans="2:6" ht="12" customHeight="1" x14ac:dyDescent="0.15">
      <c r="B267" s="2"/>
      <c r="C267" s="3"/>
      <c r="D267" s="3"/>
      <c r="E267" s="3"/>
      <c r="F267" s="4"/>
    </row>
    <row r="268" spans="2:6" ht="12" customHeight="1" x14ac:dyDescent="0.15">
      <c r="B268" s="2"/>
      <c r="C268" s="3"/>
      <c r="D268" s="3"/>
      <c r="E268" s="3"/>
      <c r="F268" s="4"/>
    </row>
    <row r="269" spans="2:6" ht="12" customHeight="1" x14ac:dyDescent="0.15">
      <c r="B269" s="2"/>
      <c r="C269" s="3"/>
      <c r="D269" s="3"/>
      <c r="E269" s="3"/>
      <c r="F269" s="4"/>
    </row>
    <row r="270" spans="2:6" ht="12" customHeight="1" x14ac:dyDescent="0.15">
      <c r="B270" s="2"/>
      <c r="C270" s="3"/>
      <c r="D270" s="3"/>
      <c r="E270" s="3"/>
      <c r="F270" s="4"/>
    </row>
    <row r="271" spans="2:6" ht="12" customHeight="1" x14ac:dyDescent="0.15">
      <c r="B271" s="2"/>
      <c r="C271" s="3"/>
      <c r="D271" s="3"/>
      <c r="E271" s="3"/>
      <c r="F271" s="4"/>
    </row>
    <row r="272" spans="2:6" ht="12" customHeight="1" x14ac:dyDescent="0.15">
      <c r="B272" s="2"/>
      <c r="C272" s="3"/>
      <c r="D272" s="3"/>
      <c r="E272" s="3"/>
      <c r="F272" s="4"/>
    </row>
    <row r="273" spans="2:6" ht="12" customHeight="1" x14ac:dyDescent="0.15">
      <c r="B273" s="2"/>
      <c r="C273" s="3"/>
      <c r="D273" s="3"/>
      <c r="E273" s="3"/>
      <c r="F273" s="4"/>
    </row>
    <row r="274" spans="2:6" ht="12" customHeight="1" x14ac:dyDescent="0.15">
      <c r="B274" s="2"/>
      <c r="C274" s="3"/>
      <c r="D274" s="3"/>
      <c r="E274" s="3"/>
      <c r="F274" s="4"/>
    </row>
    <row r="275" spans="2:6" ht="12" customHeight="1" x14ac:dyDescent="0.15">
      <c r="B275" s="2"/>
      <c r="C275" s="3"/>
      <c r="D275" s="3"/>
      <c r="E275" s="3"/>
      <c r="F275" s="4"/>
    </row>
    <row r="276" spans="2:6" ht="12" customHeight="1" x14ac:dyDescent="0.15">
      <c r="B276" s="2"/>
      <c r="C276" s="3"/>
      <c r="D276" s="3"/>
      <c r="E276" s="3"/>
      <c r="F276" s="4"/>
    </row>
    <row r="277" spans="2:6" ht="12" customHeight="1" x14ac:dyDescent="0.15">
      <c r="B277" s="2"/>
      <c r="C277" s="3"/>
      <c r="D277" s="3"/>
      <c r="E277" s="3"/>
      <c r="F277" s="4"/>
    </row>
    <row r="278" spans="2:6" ht="12" customHeight="1" x14ac:dyDescent="0.15">
      <c r="B278" s="2"/>
      <c r="C278" s="3"/>
      <c r="D278" s="3"/>
      <c r="E278" s="3"/>
      <c r="F278" s="4"/>
    </row>
    <row r="279" spans="2:6" ht="12" customHeight="1" x14ac:dyDescent="0.15">
      <c r="B279" s="2"/>
      <c r="C279" s="3"/>
      <c r="D279" s="3"/>
      <c r="E279" s="3"/>
      <c r="F279" s="4"/>
    </row>
    <row r="280" spans="2:6" ht="12" customHeight="1" x14ac:dyDescent="0.15">
      <c r="B280" s="2"/>
      <c r="C280" s="3"/>
      <c r="D280" s="3"/>
      <c r="E280" s="3"/>
      <c r="F280" s="4"/>
    </row>
    <row r="281" spans="2:6" ht="12" customHeight="1" x14ac:dyDescent="0.15">
      <c r="B281" s="2"/>
      <c r="C281" s="3"/>
      <c r="D281" s="3"/>
      <c r="E281" s="3"/>
      <c r="F281" s="4"/>
    </row>
    <row r="282" spans="2:6" ht="12" customHeight="1" x14ac:dyDescent="0.15">
      <c r="B282" s="2"/>
      <c r="C282" s="3"/>
      <c r="D282" s="3"/>
      <c r="E282" s="3"/>
      <c r="F282" s="4"/>
    </row>
    <row r="283" spans="2:6" ht="12" customHeight="1" x14ac:dyDescent="0.15">
      <c r="B283" s="2"/>
      <c r="C283" s="3"/>
      <c r="D283" s="3"/>
      <c r="E283" s="3"/>
      <c r="F283" s="4"/>
    </row>
    <row r="284" spans="2:6" ht="12" customHeight="1" x14ac:dyDescent="0.15">
      <c r="B284" s="2"/>
      <c r="C284" s="3"/>
      <c r="D284" s="3"/>
      <c r="E284" s="3"/>
      <c r="F284" s="4"/>
    </row>
    <row r="285" spans="2:6" ht="12" customHeight="1" x14ac:dyDescent="0.15">
      <c r="B285" s="2"/>
      <c r="C285" s="3"/>
      <c r="D285" s="3"/>
      <c r="E285" s="3"/>
      <c r="F285" s="4"/>
    </row>
    <row r="286" spans="2:6" ht="12" customHeight="1" x14ac:dyDescent="0.15">
      <c r="B286" s="2"/>
      <c r="C286" s="3"/>
      <c r="D286" s="3"/>
      <c r="E286" s="3"/>
      <c r="F286" s="4"/>
    </row>
    <row r="287" spans="2:6" ht="12" customHeight="1" x14ac:dyDescent="0.15">
      <c r="B287" s="2"/>
      <c r="C287" s="3"/>
      <c r="D287" s="3"/>
      <c r="E287" s="3"/>
      <c r="F287" s="4"/>
    </row>
    <row r="288" spans="2:6" ht="12" customHeight="1" x14ac:dyDescent="0.15">
      <c r="B288" s="2"/>
      <c r="C288" s="3"/>
      <c r="D288" s="3"/>
      <c r="E288" s="3"/>
      <c r="F288" s="4"/>
    </row>
    <row r="289" spans="2:6" ht="12" customHeight="1" x14ac:dyDescent="0.15">
      <c r="B289" s="2"/>
      <c r="C289" s="3"/>
      <c r="D289" s="3"/>
      <c r="E289" s="3"/>
      <c r="F289" s="4"/>
    </row>
    <row r="290" spans="2:6" ht="12" customHeight="1" x14ac:dyDescent="0.15">
      <c r="B290" s="2"/>
      <c r="C290" s="3"/>
      <c r="D290" s="3"/>
      <c r="E290" s="3"/>
      <c r="F290" s="4"/>
    </row>
    <row r="291" spans="2:6" ht="12" customHeight="1" x14ac:dyDescent="0.15">
      <c r="B291" s="2"/>
      <c r="C291" s="3"/>
      <c r="D291" s="3"/>
      <c r="E291" s="3"/>
      <c r="F291" s="4"/>
    </row>
    <row r="292" spans="2:6" ht="12" customHeight="1" x14ac:dyDescent="0.15">
      <c r="B292" s="2"/>
      <c r="C292" s="3"/>
      <c r="D292" s="3"/>
      <c r="E292" s="3"/>
      <c r="F292" s="4"/>
    </row>
    <row r="293" spans="2:6" ht="12" customHeight="1" x14ac:dyDescent="0.15">
      <c r="B293" s="2"/>
      <c r="C293" s="3"/>
      <c r="D293" s="3"/>
      <c r="E293" s="3"/>
      <c r="F293" s="4"/>
    </row>
    <row r="294" spans="2:6" ht="12" customHeight="1" x14ac:dyDescent="0.15">
      <c r="B294" s="2"/>
      <c r="C294" s="3"/>
      <c r="D294" s="3"/>
      <c r="E294" s="3"/>
      <c r="F294" s="4"/>
    </row>
    <row r="295" spans="2:6" ht="12" customHeight="1" x14ac:dyDescent="0.15">
      <c r="B295" s="2"/>
      <c r="C295" s="3"/>
      <c r="D295" s="3"/>
      <c r="E295" s="3"/>
      <c r="F295" s="4"/>
    </row>
    <row r="296" spans="2:6" ht="12" customHeight="1" x14ac:dyDescent="0.15">
      <c r="B296" s="2"/>
      <c r="C296" s="3"/>
      <c r="D296" s="3"/>
      <c r="E296" s="3"/>
      <c r="F296" s="4"/>
    </row>
    <row r="297" spans="2:6" ht="12" customHeight="1" x14ac:dyDescent="0.15">
      <c r="B297" s="2"/>
      <c r="C297" s="3"/>
      <c r="D297" s="3"/>
      <c r="E297" s="3"/>
      <c r="F297" s="4"/>
    </row>
    <row r="298" spans="2:6" ht="12" customHeight="1" x14ac:dyDescent="0.15">
      <c r="B298" s="2"/>
      <c r="C298" s="3"/>
      <c r="D298" s="3"/>
      <c r="E298" s="3"/>
      <c r="F298" s="4"/>
    </row>
    <row r="299" spans="2:6" ht="12" customHeight="1" x14ac:dyDescent="0.15">
      <c r="B299" s="2"/>
      <c r="C299" s="3"/>
      <c r="D299" s="3"/>
      <c r="E299" s="3"/>
      <c r="F299" s="4"/>
    </row>
    <row r="300" spans="2:6" ht="12" customHeight="1" x14ac:dyDescent="0.15">
      <c r="B300" s="2"/>
      <c r="C300" s="3"/>
      <c r="D300" s="3"/>
      <c r="E300" s="3"/>
      <c r="F300" s="4"/>
    </row>
    <row r="301" spans="2:6" ht="12" customHeight="1" x14ac:dyDescent="0.15">
      <c r="B301" s="2"/>
      <c r="C301" s="3"/>
      <c r="D301" s="3"/>
      <c r="E301" s="3"/>
      <c r="F301" s="4"/>
    </row>
    <row r="302" spans="2:6" ht="12" customHeight="1" x14ac:dyDescent="0.15">
      <c r="B302" s="2"/>
      <c r="C302" s="3"/>
      <c r="D302" s="3"/>
      <c r="E302" s="3"/>
      <c r="F302" s="4"/>
    </row>
    <row r="303" spans="2:6" ht="12" customHeight="1" x14ac:dyDescent="0.15">
      <c r="B303" s="2"/>
      <c r="C303" s="3"/>
      <c r="D303" s="3"/>
      <c r="E303" s="3"/>
      <c r="F303" s="4"/>
    </row>
    <row r="304" spans="2:6" ht="12" customHeight="1" x14ac:dyDescent="0.15">
      <c r="B304" s="2"/>
      <c r="C304" s="3"/>
      <c r="D304" s="3"/>
      <c r="E304" s="3"/>
      <c r="F304" s="4"/>
    </row>
    <row r="305" spans="2:6" ht="12" customHeight="1" x14ac:dyDescent="0.15">
      <c r="B305" s="2"/>
      <c r="C305" s="3"/>
      <c r="D305" s="3"/>
      <c r="E305" s="3"/>
      <c r="F305" s="4"/>
    </row>
    <row r="306" spans="2:6" ht="12" customHeight="1" x14ac:dyDescent="0.15">
      <c r="B306" s="2"/>
      <c r="C306" s="3"/>
      <c r="D306" s="3"/>
      <c r="E306" s="3"/>
      <c r="F306" s="4"/>
    </row>
    <row r="307" spans="2:6" ht="12" customHeight="1" x14ac:dyDescent="0.15">
      <c r="B307" s="2"/>
      <c r="C307" s="3"/>
      <c r="D307" s="3"/>
      <c r="E307" s="3"/>
      <c r="F307" s="4"/>
    </row>
    <row r="308" spans="2:6" ht="12" customHeight="1" x14ac:dyDescent="0.15">
      <c r="B308" s="2"/>
      <c r="C308" s="3"/>
      <c r="D308" s="3"/>
      <c r="E308" s="3"/>
      <c r="F308" s="4"/>
    </row>
    <row r="309" spans="2:6" ht="12" customHeight="1" x14ac:dyDescent="0.15">
      <c r="B309" s="2"/>
      <c r="C309" s="3"/>
      <c r="D309" s="3"/>
      <c r="E309" s="3"/>
      <c r="F309" s="4"/>
    </row>
    <row r="310" spans="2:6" ht="12" customHeight="1" x14ac:dyDescent="0.15">
      <c r="B310" s="2"/>
      <c r="C310" s="3"/>
      <c r="D310" s="3"/>
      <c r="E310" s="3"/>
      <c r="F310" s="4"/>
    </row>
    <row r="311" spans="2:6" ht="12" customHeight="1" x14ac:dyDescent="0.15">
      <c r="B311" s="2"/>
      <c r="C311" s="3"/>
      <c r="D311" s="3"/>
      <c r="E311" s="3"/>
      <c r="F311" s="4"/>
    </row>
    <row r="312" spans="2:6" ht="12" customHeight="1" x14ac:dyDescent="0.15">
      <c r="B312" s="2"/>
      <c r="C312" s="3"/>
      <c r="D312" s="3"/>
      <c r="E312" s="3"/>
      <c r="F312" s="4"/>
    </row>
    <row r="313" spans="2:6" ht="12" customHeight="1" x14ac:dyDescent="0.15">
      <c r="B313" s="2"/>
      <c r="C313" s="3"/>
      <c r="D313" s="3"/>
      <c r="E313" s="3"/>
      <c r="F313" s="4"/>
    </row>
    <row r="314" spans="2:6" ht="12" customHeight="1" x14ac:dyDescent="0.15">
      <c r="B314" s="2"/>
      <c r="C314" s="3"/>
      <c r="D314" s="3"/>
      <c r="E314" s="3"/>
      <c r="F314" s="4"/>
    </row>
    <row r="315" spans="2:6" ht="12" customHeight="1" x14ac:dyDescent="0.15">
      <c r="B315" s="2"/>
      <c r="C315" s="3"/>
      <c r="D315" s="3"/>
      <c r="E315" s="3"/>
      <c r="F315" s="4"/>
    </row>
    <row r="316" spans="2:6" ht="12" customHeight="1" x14ac:dyDescent="0.15">
      <c r="B316" s="2"/>
      <c r="C316" s="3"/>
      <c r="D316" s="3"/>
      <c r="E316" s="3"/>
      <c r="F316" s="4"/>
    </row>
    <row r="317" spans="2:6" ht="12" customHeight="1" x14ac:dyDescent="0.15">
      <c r="B317" s="2"/>
      <c r="C317" s="3"/>
      <c r="D317" s="3"/>
      <c r="E317" s="3"/>
      <c r="F317" s="4"/>
    </row>
    <row r="318" spans="2:6" ht="12" customHeight="1" x14ac:dyDescent="0.15">
      <c r="B318" s="2"/>
      <c r="C318" s="3"/>
      <c r="D318" s="3"/>
      <c r="E318" s="3"/>
      <c r="F318" s="4"/>
    </row>
    <row r="319" spans="2:6" ht="12" customHeight="1" x14ac:dyDescent="0.15">
      <c r="B319" s="2"/>
      <c r="C319" s="3"/>
      <c r="D319" s="3"/>
      <c r="E319" s="3"/>
      <c r="F319" s="4"/>
    </row>
    <row r="320" spans="2:6" ht="12" customHeight="1" x14ac:dyDescent="0.15">
      <c r="B320" s="2"/>
      <c r="C320" s="3"/>
      <c r="D320" s="3"/>
      <c r="E320" s="3"/>
      <c r="F320" s="4"/>
    </row>
    <row r="321" spans="2:6" ht="12" customHeight="1" x14ac:dyDescent="0.15">
      <c r="B321" s="2"/>
      <c r="C321" s="3"/>
      <c r="D321" s="3"/>
      <c r="E321" s="3"/>
      <c r="F321" s="4"/>
    </row>
    <row r="322" spans="2:6" ht="12" customHeight="1" x14ac:dyDescent="0.15">
      <c r="B322" s="2"/>
      <c r="C322" s="3"/>
      <c r="D322" s="3"/>
      <c r="E322" s="3"/>
      <c r="F322" s="4"/>
    </row>
    <row r="323" spans="2:6" ht="12" customHeight="1" x14ac:dyDescent="0.15">
      <c r="B323" s="2"/>
      <c r="C323" s="3"/>
      <c r="D323" s="3"/>
      <c r="E323" s="3"/>
      <c r="F323" s="4"/>
    </row>
    <row r="324" spans="2:6" ht="12" customHeight="1" x14ac:dyDescent="0.15">
      <c r="B324" s="2"/>
      <c r="C324" s="3"/>
      <c r="D324" s="3"/>
      <c r="E324" s="3"/>
      <c r="F324" s="4"/>
    </row>
    <row r="325" spans="2:6" ht="12" customHeight="1" x14ac:dyDescent="0.15">
      <c r="B325" s="2"/>
      <c r="C325" s="3"/>
      <c r="D325" s="3"/>
      <c r="E325" s="3"/>
      <c r="F325" s="4"/>
    </row>
    <row r="326" spans="2:6" ht="12" customHeight="1" x14ac:dyDescent="0.15">
      <c r="B326" s="2"/>
      <c r="C326" s="3"/>
      <c r="D326" s="3"/>
      <c r="E326" s="3"/>
      <c r="F326" s="4"/>
    </row>
    <row r="327" spans="2:6" ht="12" customHeight="1" x14ac:dyDescent="0.15">
      <c r="B327" s="2"/>
      <c r="C327" s="3"/>
      <c r="D327" s="3"/>
      <c r="E327" s="3"/>
      <c r="F327" s="4"/>
    </row>
    <row r="328" spans="2:6" ht="12" customHeight="1" x14ac:dyDescent="0.15">
      <c r="B328" s="2"/>
      <c r="C328" s="3"/>
      <c r="D328" s="3"/>
      <c r="E328" s="3"/>
      <c r="F328" s="4"/>
    </row>
    <row r="329" spans="2:6" ht="12" customHeight="1" x14ac:dyDescent="0.15">
      <c r="B329" s="2"/>
      <c r="C329" s="3"/>
      <c r="D329" s="3"/>
      <c r="E329" s="3"/>
      <c r="F329" s="4"/>
    </row>
    <row r="330" spans="2:6" ht="12" customHeight="1" x14ac:dyDescent="0.15">
      <c r="B330" s="2"/>
      <c r="C330" s="3"/>
      <c r="D330" s="3"/>
      <c r="E330" s="3"/>
      <c r="F330" s="4"/>
    </row>
    <row r="331" spans="2:6" ht="12" customHeight="1" x14ac:dyDescent="0.15">
      <c r="B331" s="2"/>
      <c r="C331" s="3"/>
      <c r="D331" s="3"/>
      <c r="E331" s="3"/>
      <c r="F331" s="4"/>
    </row>
    <row r="332" spans="2:6" ht="12" customHeight="1" x14ac:dyDescent="0.15">
      <c r="B332" s="2"/>
      <c r="C332" s="3"/>
      <c r="D332" s="3"/>
      <c r="E332" s="3"/>
      <c r="F332" s="4"/>
    </row>
    <row r="333" spans="2:6" ht="12" customHeight="1" x14ac:dyDescent="0.15">
      <c r="B333" s="2"/>
      <c r="C333" s="3"/>
      <c r="D333" s="3"/>
      <c r="E333" s="3"/>
      <c r="F333" s="4"/>
    </row>
    <row r="334" spans="2:6" ht="12" customHeight="1" x14ac:dyDescent="0.15">
      <c r="B334" s="2"/>
      <c r="C334" s="3"/>
      <c r="D334" s="3"/>
      <c r="E334" s="3"/>
      <c r="F334" s="4"/>
    </row>
    <row r="335" spans="2:6" ht="12" customHeight="1" x14ac:dyDescent="0.15">
      <c r="B335" s="2"/>
      <c r="C335" s="3"/>
      <c r="D335" s="3"/>
      <c r="E335" s="3"/>
      <c r="F335" s="4"/>
    </row>
    <row r="336" spans="2:6" ht="12" customHeight="1" x14ac:dyDescent="0.15">
      <c r="B336" s="2"/>
      <c r="C336" s="3"/>
      <c r="D336" s="3"/>
      <c r="E336" s="3"/>
      <c r="F336" s="4"/>
    </row>
    <row r="337" spans="2:6" ht="12" customHeight="1" x14ac:dyDescent="0.15">
      <c r="B337" s="2"/>
      <c r="C337" s="3"/>
      <c r="D337" s="3"/>
      <c r="E337" s="3"/>
      <c r="F337" s="4"/>
    </row>
    <row r="338" spans="2:6" ht="12" customHeight="1" x14ac:dyDescent="0.15">
      <c r="B338" s="2"/>
      <c r="C338" s="3"/>
      <c r="D338" s="3"/>
      <c r="E338" s="3"/>
      <c r="F338" s="4"/>
    </row>
    <row r="339" spans="2:6" ht="12" customHeight="1" x14ac:dyDescent="0.15">
      <c r="B339" s="2"/>
      <c r="C339" s="3"/>
      <c r="D339" s="3"/>
      <c r="E339" s="3"/>
      <c r="F339" s="4"/>
    </row>
    <row r="340" spans="2:6" ht="12" customHeight="1" x14ac:dyDescent="0.15">
      <c r="B340" s="2"/>
      <c r="C340" s="3"/>
      <c r="D340" s="3"/>
      <c r="E340" s="3"/>
      <c r="F340" s="4"/>
    </row>
    <row r="341" spans="2:6" ht="12" customHeight="1" x14ac:dyDescent="0.15">
      <c r="B341" s="2"/>
      <c r="C341" s="3"/>
      <c r="D341" s="3"/>
      <c r="E341" s="3"/>
      <c r="F341" s="4"/>
    </row>
    <row r="342" spans="2:6" ht="12" customHeight="1" x14ac:dyDescent="0.15">
      <c r="B342" s="2"/>
      <c r="C342" s="3"/>
      <c r="D342" s="3"/>
      <c r="E342" s="3"/>
      <c r="F342" s="4"/>
    </row>
    <row r="343" spans="2:6" ht="12" customHeight="1" x14ac:dyDescent="0.15">
      <c r="B343" s="2"/>
      <c r="C343" s="3"/>
      <c r="D343" s="3"/>
      <c r="E343" s="3"/>
      <c r="F343" s="4"/>
    </row>
    <row r="344" spans="2:6" ht="12" customHeight="1" x14ac:dyDescent="0.15">
      <c r="B344" s="2"/>
      <c r="C344" s="3"/>
      <c r="D344" s="3"/>
      <c r="E344" s="3"/>
      <c r="F344" s="4"/>
    </row>
    <row r="345" spans="2:6" ht="12" customHeight="1" x14ac:dyDescent="0.15">
      <c r="B345" s="2"/>
      <c r="C345" s="3"/>
      <c r="D345" s="3"/>
      <c r="E345" s="3"/>
      <c r="F345" s="4"/>
    </row>
    <row r="346" spans="2:6" ht="12" customHeight="1" x14ac:dyDescent="0.15">
      <c r="B346" s="2"/>
      <c r="C346" s="3"/>
      <c r="D346" s="3"/>
      <c r="E346" s="3"/>
      <c r="F346" s="4"/>
    </row>
    <row r="347" spans="2:6" ht="12" customHeight="1" x14ac:dyDescent="0.15">
      <c r="B347" s="2"/>
      <c r="C347" s="3"/>
      <c r="D347" s="3"/>
      <c r="E347" s="3"/>
      <c r="F347" s="4"/>
    </row>
    <row r="348" spans="2:6" ht="12" customHeight="1" x14ac:dyDescent="0.15">
      <c r="B348" s="2"/>
      <c r="C348" s="3"/>
      <c r="D348" s="3"/>
      <c r="E348" s="3"/>
      <c r="F348" s="4"/>
    </row>
    <row r="349" spans="2:6" ht="12" customHeight="1" x14ac:dyDescent="0.15">
      <c r="B349" s="2"/>
      <c r="C349" s="3"/>
      <c r="D349" s="3"/>
      <c r="E349" s="3"/>
      <c r="F349" s="4"/>
    </row>
    <row r="350" spans="2:6" ht="12" customHeight="1" x14ac:dyDescent="0.15">
      <c r="B350" s="2"/>
      <c r="C350" s="3"/>
      <c r="D350" s="3"/>
      <c r="E350" s="3"/>
      <c r="F350" s="4"/>
    </row>
    <row r="351" spans="2:6" ht="12" customHeight="1" x14ac:dyDescent="0.15">
      <c r="B351" s="2"/>
      <c r="C351" s="3"/>
      <c r="D351" s="3"/>
      <c r="E351" s="3"/>
      <c r="F351" s="4"/>
    </row>
    <row r="352" spans="2:6" ht="12" customHeight="1" x14ac:dyDescent="0.15">
      <c r="B352" s="2"/>
      <c r="C352" s="3"/>
      <c r="D352" s="3"/>
      <c r="E352" s="3"/>
      <c r="F352" s="4"/>
    </row>
    <row r="353" spans="2:6" ht="12" customHeight="1" x14ac:dyDescent="0.15">
      <c r="B353" s="2"/>
      <c r="C353" s="3"/>
      <c r="D353" s="3"/>
      <c r="E353" s="3"/>
      <c r="F353" s="4"/>
    </row>
    <row r="354" spans="2:6" ht="12" customHeight="1" x14ac:dyDescent="0.15">
      <c r="B354" s="2"/>
      <c r="C354" s="3"/>
      <c r="D354" s="3"/>
      <c r="E354" s="3"/>
      <c r="F354" s="4"/>
    </row>
    <row r="355" spans="2:6" ht="12" customHeight="1" x14ac:dyDescent="0.15">
      <c r="B355" s="2"/>
      <c r="C355" s="3"/>
      <c r="D355" s="3"/>
      <c r="E355" s="3"/>
      <c r="F355" s="4"/>
    </row>
    <row r="356" spans="2:6" ht="12" customHeight="1" x14ac:dyDescent="0.15">
      <c r="B356" s="2"/>
      <c r="C356" s="3"/>
      <c r="D356" s="3"/>
      <c r="E356" s="3"/>
      <c r="F356" s="4"/>
    </row>
    <row r="357" spans="2:6" ht="12" customHeight="1" x14ac:dyDescent="0.15">
      <c r="B357" s="2"/>
      <c r="C357" s="3"/>
      <c r="D357" s="3"/>
      <c r="E357" s="3"/>
      <c r="F357" s="4"/>
    </row>
    <row r="358" spans="2:6" ht="12" customHeight="1" x14ac:dyDescent="0.15">
      <c r="B358" s="2"/>
      <c r="C358" s="3"/>
      <c r="D358" s="3"/>
      <c r="E358" s="3"/>
      <c r="F358" s="4"/>
    </row>
    <row r="359" spans="2:6" ht="12" customHeight="1" x14ac:dyDescent="0.15">
      <c r="B359" s="2"/>
      <c r="C359" s="3"/>
      <c r="D359" s="3"/>
      <c r="E359" s="3"/>
      <c r="F359" s="4"/>
    </row>
    <row r="360" spans="2:6" ht="12" customHeight="1" x14ac:dyDescent="0.15">
      <c r="B360" s="2"/>
      <c r="C360" s="3"/>
      <c r="D360" s="3"/>
      <c r="E360" s="3"/>
      <c r="F360" s="4"/>
    </row>
    <row r="361" spans="2:6" ht="12" customHeight="1" x14ac:dyDescent="0.15">
      <c r="B361" s="2"/>
      <c r="C361" s="3"/>
      <c r="D361" s="3"/>
      <c r="E361" s="3"/>
      <c r="F361" s="4"/>
    </row>
    <row r="362" spans="2:6" ht="12" customHeight="1" x14ac:dyDescent="0.15">
      <c r="B362" s="2"/>
      <c r="C362" s="3"/>
      <c r="D362" s="3"/>
      <c r="E362" s="3"/>
      <c r="F362" s="4"/>
    </row>
    <row r="363" spans="2:6" ht="12" customHeight="1" x14ac:dyDescent="0.15">
      <c r="B363" s="2"/>
      <c r="C363" s="3"/>
      <c r="D363" s="3"/>
      <c r="E363" s="3"/>
      <c r="F363" s="4"/>
    </row>
    <row r="364" spans="2:6" ht="12" customHeight="1" x14ac:dyDescent="0.15">
      <c r="B364" s="2"/>
      <c r="C364" s="3"/>
      <c r="D364" s="3"/>
      <c r="E364" s="3"/>
      <c r="F364" s="4"/>
    </row>
    <row r="365" spans="2:6" ht="12" customHeight="1" x14ac:dyDescent="0.15">
      <c r="B365" s="2"/>
      <c r="C365" s="3"/>
      <c r="D365" s="3"/>
      <c r="E365" s="3"/>
      <c r="F365" s="4"/>
    </row>
    <row r="366" spans="2:6" ht="12" customHeight="1" x14ac:dyDescent="0.15">
      <c r="B366" s="2"/>
      <c r="C366" s="3"/>
      <c r="D366" s="3"/>
      <c r="E366" s="3"/>
      <c r="F366" s="4"/>
    </row>
    <row r="367" spans="2:6" ht="12" customHeight="1" x14ac:dyDescent="0.15">
      <c r="B367" s="2"/>
      <c r="C367" s="3"/>
      <c r="D367" s="3"/>
      <c r="E367" s="3"/>
      <c r="F367" s="4"/>
    </row>
    <row r="368" spans="2:6" ht="12" customHeight="1" x14ac:dyDescent="0.15">
      <c r="B368" s="2"/>
      <c r="C368" s="3"/>
      <c r="D368" s="3"/>
      <c r="E368" s="3"/>
      <c r="F368" s="4"/>
    </row>
    <row r="369" spans="2:6" ht="12" customHeight="1" x14ac:dyDescent="0.15">
      <c r="B369" s="2"/>
      <c r="C369" s="3"/>
      <c r="D369" s="3"/>
      <c r="E369" s="3"/>
      <c r="F369" s="4"/>
    </row>
    <row r="370" spans="2:6" ht="12" customHeight="1" x14ac:dyDescent="0.15">
      <c r="B370" s="2"/>
      <c r="C370" s="3"/>
      <c r="D370" s="3"/>
      <c r="E370" s="3"/>
      <c r="F370" s="4"/>
    </row>
    <row r="371" spans="2:6" ht="12" customHeight="1" x14ac:dyDescent="0.15">
      <c r="B371" s="2"/>
      <c r="C371" s="3"/>
      <c r="D371" s="3"/>
      <c r="E371" s="3"/>
      <c r="F371" s="4"/>
    </row>
    <row r="372" spans="2:6" ht="12" customHeight="1" x14ac:dyDescent="0.15">
      <c r="B372" s="2"/>
      <c r="C372" s="3"/>
      <c r="D372" s="3"/>
      <c r="E372" s="3"/>
      <c r="F372" s="4"/>
    </row>
    <row r="373" spans="2:6" ht="12" customHeight="1" x14ac:dyDescent="0.15">
      <c r="B373" s="2"/>
      <c r="C373" s="3"/>
      <c r="D373" s="3"/>
      <c r="E373" s="3"/>
      <c r="F373" s="4"/>
    </row>
    <row r="374" spans="2:6" ht="12" customHeight="1" x14ac:dyDescent="0.15">
      <c r="B374" s="2"/>
      <c r="C374" s="3"/>
      <c r="D374" s="3"/>
      <c r="E374" s="3"/>
      <c r="F374" s="4"/>
    </row>
    <row r="375" spans="2:6" ht="12" customHeight="1" x14ac:dyDescent="0.15">
      <c r="B375" s="2"/>
      <c r="C375" s="3"/>
      <c r="D375" s="3"/>
      <c r="E375" s="3"/>
      <c r="F375" s="4"/>
    </row>
    <row r="376" spans="2:6" ht="12" customHeight="1" x14ac:dyDescent="0.15">
      <c r="B376" s="2"/>
      <c r="C376" s="3"/>
      <c r="D376" s="3"/>
      <c r="E376" s="3"/>
      <c r="F376" s="4"/>
    </row>
    <row r="377" spans="2:6" ht="12" customHeight="1" x14ac:dyDescent="0.15">
      <c r="B377" s="2"/>
      <c r="C377" s="3"/>
      <c r="D377" s="3"/>
      <c r="E377" s="3"/>
      <c r="F377" s="4"/>
    </row>
    <row r="378" spans="2:6" ht="12" customHeight="1" x14ac:dyDescent="0.15">
      <c r="B378" s="2"/>
      <c r="C378" s="3"/>
      <c r="D378" s="3"/>
      <c r="E378" s="3"/>
      <c r="F378" s="4"/>
    </row>
    <row r="379" spans="2:6" ht="12" customHeight="1" x14ac:dyDescent="0.15">
      <c r="B379" s="2"/>
      <c r="C379" s="3"/>
      <c r="D379" s="3"/>
      <c r="E379" s="3"/>
      <c r="F379" s="4"/>
    </row>
    <row r="380" spans="2:6" ht="12" customHeight="1" x14ac:dyDescent="0.15">
      <c r="B380" s="2"/>
      <c r="C380" s="3"/>
      <c r="D380" s="3"/>
      <c r="E380" s="3"/>
      <c r="F380" s="4"/>
    </row>
    <row r="381" spans="2:6" ht="12" customHeight="1" x14ac:dyDescent="0.15">
      <c r="B381" s="2"/>
      <c r="C381" s="3"/>
      <c r="D381" s="3"/>
      <c r="E381" s="3"/>
      <c r="F381" s="4"/>
    </row>
    <row r="382" spans="2:6" ht="12" customHeight="1" x14ac:dyDescent="0.15">
      <c r="B382" s="2"/>
      <c r="C382" s="3"/>
      <c r="D382" s="3"/>
      <c r="E382" s="3"/>
      <c r="F382" s="4"/>
    </row>
    <row r="383" spans="2:6" ht="12" customHeight="1" x14ac:dyDescent="0.15">
      <c r="B383" s="2"/>
      <c r="C383" s="3"/>
      <c r="D383" s="3"/>
      <c r="E383" s="3"/>
      <c r="F383" s="4"/>
    </row>
    <row r="384" spans="2:6" ht="12" customHeight="1" x14ac:dyDescent="0.15">
      <c r="B384" s="2"/>
      <c r="C384" s="3"/>
      <c r="D384" s="3"/>
      <c r="E384" s="3"/>
      <c r="F384" s="4"/>
    </row>
    <row r="385" spans="2:6" ht="12" customHeight="1" x14ac:dyDescent="0.15">
      <c r="B385" s="2"/>
      <c r="C385" s="3"/>
      <c r="D385" s="3"/>
      <c r="E385" s="3"/>
      <c r="F385" s="4"/>
    </row>
    <row r="386" spans="2:6" ht="12" customHeight="1" x14ac:dyDescent="0.15">
      <c r="B386" s="2"/>
      <c r="C386" s="3"/>
      <c r="D386" s="3"/>
      <c r="E386" s="3"/>
      <c r="F386" s="4"/>
    </row>
    <row r="387" spans="2:6" ht="12" customHeight="1" x14ac:dyDescent="0.15">
      <c r="B387" s="2"/>
      <c r="C387" s="3"/>
      <c r="D387" s="3"/>
      <c r="E387" s="3"/>
      <c r="F387" s="4"/>
    </row>
    <row r="388" spans="2:6" ht="12" customHeight="1" x14ac:dyDescent="0.15">
      <c r="B388" s="2"/>
      <c r="C388" s="3"/>
      <c r="D388" s="3"/>
      <c r="E388" s="3"/>
      <c r="F388" s="4"/>
    </row>
    <row r="389" spans="2:6" ht="12" customHeight="1" x14ac:dyDescent="0.15">
      <c r="B389" s="2"/>
      <c r="C389" s="3"/>
      <c r="D389" s="3"/>
      <c r="E389" s="3"/>
      <c r="F389" s="4"/>
    </row>
    <row r="390" spans="2:6" ht="12" customHeight="1" x14ac:dyDescent="0.15">
      <c r="B390" s="2"/>
      <c r="C390" s="3"/>
      <c r="D390" s="3"/>
      <c r="E390" s="3"/>
      <c r="F390" s="4"/>
    </row>
    <row r="391" spans="2:6" ht="12" customHeight="1" x14ac:dyDescent="0.15">
      <c r="B391" s="2"/>
      <c r="C391" s="3"/>
      <c r="D391" s="3"/>
      <c r="E391" s="3"/>
      <c r="F391" s="4"/>
    </row>
    <row r="392" spans="2:6" ht="12" customHeight="1" x14ac:dyDescent="0.15">
      <c r="B392" s="2"/>
      <c r="C392" s="3"/>
      <c r="D392" s="3"/>
      <c r="E392" s="3"/>
      <c r="F392" s="4"/>
    </row>
    <row r="393" spans="2:6" ht="12" customHeight="1" x14ac:dyDescent="0.15">
      <c r="B393" s="2"/>
      <c r="C393" s="3"/>
      <c r="D393" s="3"/>
      <c r="E393" s="3"/>
      <c r="F393" s="4"/>
    </row>
    <row r="394" spans="2:6" ht="12" customHeight="1" x14ac:dyDescent="0.15">
      <c r="B394" s="2"/>
      <c r="C394" s="3"/>
      <c r="D394" s="3"/>
      <c r="E394" s="3"/>
      <c r="F394" s="4"/>
    </row>
    <row r="395" spans="2:6" ht="12" customHeight="1" x14ac:dyDescent="0.15">
      <c r="B395" s="2"/>
      <c r="C395" s="3"/>
      <c r="D395" s="3"/>
      <c r="E395" s="3"/>
      <c r="F395" s="4"/>
    </row>
    <row r="396" spans="2:6" ht="12" customHeight="1" x14ac:dyDescent="0.15">
      <c r="B396" s="2"/>
      <c r="C396" s="3"/>
      <c r="D396" s="3"/>
      <c r="E396" s="3"/>
      <c r="F396" s="4"/>
    </row>
    <row r="397" spans="2:6" ht="12" customHeight="1" x14ac:dyDescent="0.15">
      <c r="B397" s="2"/>
      <c r="C397" s="3"/>
      <c r="D397" s="3"/>
      <c r="E397" s="3"/>
      <c r="F397" s="4"/>
    </row>
    <row r="398" spans="2:6" ht="12" customHeight="1" x14ac:dyDescent="0.15">
      <c r="B398" s="2"/>
      <c r="C398" s="3"/>
      <c r="D398" s="3"/>
      <c r="E398" s="3"/>
      <c r="F398" s="4"/>
    </row>
    <row r="399" spans="2:6" ht="12" customHeight="1" x14ac:dyDescent="0.15">
      <c r="B399" s="2"/>
      <c r="C399" s="3"/>
      <c r="D399" s="3"/>
      <c r="E399" s="3"/>
      <c r="F399" s="4"/>
    </row>
    <row r="400" spans="2:6" ht="12" customHeight="1" x14ac:dyDescent="0.15">
      <c r="B400" s="2"/>
      <c r="C400" s="3"/>
      <c r="D400" s="3"/>
      <c r="E400" s="3"/>
      <c r="F400" s="4"/>
    </row>
    <row r="401" spans="2:6" ht="12" customHeight="1" x14ac:dyDescent="0.15">
      <c r="B401" s="2"/>
      <c r="C401" s="3"/>
      <c r="D401" s="3"/>
      <c r="E401" s="3"/>
      <c r="F401" s="4"/>
    </row>
    <row r="402" spans="2:6" ht="12" customHeight="1" x14ac:dyDescent="0.15">
      <c r="B402" s="2"/>
      <c r="C402" s="3"/>
      <c r="D402" s="3"/>
      <c r="E402" s="3"/>
      <c r="F402" s="4"/>
    </row>
    <row r="403" spans="2:6" ht="12" customHeight="1" x14ac:dyDescent="0.15">
      <c r="B403" s="2"/>
      <c r="C403" s="3"/>
      <c r="D403" s="3"/>
      <c r="E403" s="3"/>
      <c r="F403" s="4"/>
    </row>
    <row r="404" spans="2:6" ht="12" customHeight="1" x14ac:dyDescent="0.15">
      <c r="B404" s="2"/>
      <c r="C404" s="3"/>
      <c r="D404" s="3"/>
      <c r="E404" s="3"/>
      <c r="F404" s="4"/>
    </row>
    <row r="405" spans="2:6" ht="12" customHeight="1" x14ac:dyDescent="0.15">
      <c r="B405" s="2"/>
      <c r="C405" s="3"/>
      <c r="D405" s="3"/>
      <c r="E405" s="3"/>
      <c r="F405" s="4"/>
    </row>
    <row r="406" spans="2:6" ht="12" customHeight="1" x14ac:dyDescent="0.15">
      <c r="B406" s="2"/>
      <c r="C406" s="3"/>
      <c r="D406" s="3"/>
      <c r="E406" s="3"/>
      <c r="F406" s="4"/>
    </row>
    <row r="407" spans="2:6" ht="12" customHeight="1" x14ac:dyDescent="0.15">
      <c r="B407" s="2"/>
      <c r="C407" s="3"/>
      <c r="D407" s="3"/>
      <c r="E407" s="3"/>
      <c r="F407" s="4"/>
    </row>
    <row r="408" spans="2:6" ht="12" customHeight="1" x14ac:dyDescent="0.15">
      <c r="B408" s="2"/>
      <c r="C408" s="3"/>
      <c r="D408" s="3"/>
      <c r="E408" s="3"/>
      <c r="F408" s="4"/>
    </row>
    <row r="409" spans="2:6" ht="12" customHeight="1" x14ac:dyDescent="0.15">
      <c r="B409" s="2"/>
      <c r="C409" s="3"/>
      <c r="D409" s="3"/>
      <c r="E409" s="3"/>
      <c r="F409" s="4"/>
    </row>
    <row r="410" spans="2:6" ht="12" customHeight="1" x14ac:dyDescent="0.15">
      <c r="B410" s="2"/>
      <c r="C410" s="3"/>
      <c r="D410" s="3"/>
      <c r="E410" s="3"/>
      <c r="F410" s="4"/>
    </row>
    <row r="411" spans="2:6" ht="12" customHeight="1" x14ac:dyDescent="0.15">
      <c r="B411" s="2"/>
      <c r="C411" s="3"/>
      <c r="D411" s="3"/>
      <c r="E411" s="3"/>
      <c r="F411" s="4"/>
    </row>
    <row r="412" spans="2:6" ht="12" customHeight="1" x14ac:dyDescent="0.15">
      <c r="B412" s="2"/>
      <c r="C412" s="3"/>
      <c r="D412" s="3"/>
      <c r="E412" s="3"/>
      <c r="F412" s="4"/>
    </row>
    <row r="413" spans="2:6" ht="12" customHeight="1" x14ac:dyDescent="0.15">
      <c r="B413" s="2"/>
      <c r="C413" s="3"/>
      <c r="D413" s="3"/>
      <c r="E413" s="3"/>
      <c r="F413" s="4"/>
    </row>
    <row r="414" spans="2:6" ht="12" customHeight="1" x14ac:dyDescent="0.15">
      <c r="B414" s="2"/>
      <c r="C414" s="3"/>
      <c r="D414" s="3"/>
      <c r="E414" s="3"/>
      <c r="F414" s="4"/>
    </row>
    <row r="415" spans="2:6" ht="12" customHeight="1" x14ac:dyDescent="0.15">
      <c r="B415" s="2"/>
      <c r="C415" s="3"/>
      <c r="D415" s="3"/>
      <c r="E415" s="3"/>
      <c r="F415" s="4"/>
    </row>
    <row r="416" spans="2:6" ht="12" customHeight="1" x14ac:dyDescent="0.15">
      <c r="B416" s="2"/>
      <c r="C416" s="3"/>
      <c r="D416" s="3"/>
      <c r="E416" s="3"/>
      <c r="F416" s="4"/>
    </row>
    <row r="417" spans="2:6" ht="12" customHeight="1" x14ac:dyDescent="0.15">
      <c r="B417" s="2"/>
      <c r="C417" s="3"/>
      <c r="D417" s="3"/>
      <c r="E417" s="3"/>
      <c r="F417" s="4"/>
    </row>
    <row r="418" spans="2:6" ht="12" customHeight="1" x14ac:dyDescent="0.15">
      <c r="B418" s="2"/>
      <c r="C418" s="3"/>
      <c r="D418" s="3"/>
      <c r="E418" s="3"/>
      <c r="F418" s="4"/>
    </row>
    <row r="419" spans="2:6" ht="12" customHeight="1" x14ac:dyDescent="0.15">
      <c r="B419" s="2"/>
      <c r="C419" s="3"/>
      <c r="D419" s="3"/>
      <c r="E419" s="3"/>
      <c r="F419" s="4"/>
    </row>
    <row r="420" spans="2:6" ht="12" customHeight="1" x14ac:dyDescent="0.15">
      <c r="B420" s="2"/>
      <c r="C420" s="3"/>
      <c r="D420" s="3"/>
      <c r="E420" s="3"/>
      <c r="F420" s="4"/>
    </row>
    <row r="421" spans="2:6" ht="12" customHeight="1" x14ac:dyDescent="0.15">
      <c r="B421" s="2"/>
      <c r="C421" s="3"/>
      <c r="D421" s="3"/>
      <c r="E421" s="3"/>
      <c r="F421" s="4"/>
    </row>
    <row r="422" spans="2:6" ht="12" customHeight="1" x14ac:dyDescent="0.15">
      <c r="B422" s="2"/>
      <c r="C422" s="3"/>
      <c r="D422" s="3"/>
      <c r="E422" s="3"/>
      <c r="F422" s="4"/>
    </row>
    <row r="423" spans="2:6" ht="12" customHeight="1" x14ac:dyDescent="0.15">
      <c r="B423" s="2"/>
      <c r="C423" s="3"/>
      <c r="D423" s="3"/>
      <c r="E423" s="3"/>
      <c r="F423" s="4"/>
    </row>
    <row r="424" spans="2:6" ht="12" customHeight="1" x14ac:dyDescent="0.15">
      <c r="B424" s="2"/>
      <c r="C424" s="3"/>
      <c r="D424" s="3"/>
      <c r="E424" s="3"/>
      <c r="F424" s="4"/>
    </row>
    <row r="425" spans="2:6" ht="12" customHeight="1" x14ac:dyDescent="0.15">
      <c r="B425" s="2"/>
      <c r="C425" s="3"/>
      <c r="D425" s="3"/>
      <c r="E425" s="3"/>
      <c r="F425" s="4"/>
    </row>
    <row r="426" spans="2:6" ht="12" customHeight="1" x14ac:dyDescent="0.15">
      <c r="B426" s="2"/>
      <c r="C426" s="3"/>
      <c r="D426" s="3"/>
      <c r="E426" s="3"/>
      <c r="F426" s="4"/>
    </row>
    <row r="427" spans="2:6" ht="12" customHeight="1" x14ac:dyDescent="0.15">
      <c r="B427" s="2"/>
      <c r="C427" s="3"/>
      <c r="D427" s="3"/>
      <c r="E427" s="3"/>
      <c r="F427" s="4"/>
    </row>
    <row r="428" spans="2:6" ht="12" customHeight="1" x14ac:dyDescent="0.15">
      <c r="B428" s="2"/>
      <c r="C428" s="3"/>
      <c r="D428" s="3"/>
      <c r="E428" s="3"/>
      <c r="F428" s="4"/>
    </row>
    <row r="429" spans="2:6" ht="12" customHeight="1" x14ac:dyDescent="0.15">
      <c r="B429" s="2"/>
      <c r="C429" s="3"/>
      <c r="D429" s="3"/>
      <c r="E429" s="3"/>
      <c r="F429" s="4"/>
    </row>
    <row r="430" spans="2:6" ht="12" customHeight="1" x14ac:dyDescent="0.15">
      <c r="B430" s="2"/>
      <c r="C430" s="3"/>
      <c r="D430" s="3"/>
      <c r="E430" s="3"/>
      <c r="F430" s="4"/>
    </row>
    <row r="431" spans="2:6" ht="12" customHeight="1" x14ac:dyDescent="0.15">
      <c r="B431" s="2"/>
      <c r="C431" s="3"/>
      <c r="D431" s="3"/>
      <c r="E431" s="3"/>
      <c r="F431" s="4"/>
    </row>
    <row r="432" spans="2:6" ht="12" customHeight="1" x14ac:dyDescent="0.15">
      <c r="B432" s="2"/>
      <c r="C432" s="3"/>
      <c r="D432" s="3"/>
      <c r="E432" s="3"/>
      <c r="F432" s="4"/>
    </row>
    <row r="433" spans="2:6" ht="12" customHeight="1" x14ac:dyDescent="0.15">
      <c r="B433" s="2"/>
      <c r="C433" s="3"/>
      <c r="D433" s="3"/>
      <c r="E433" s="3"/>
      <c r="F433" s="4"/>
    </row>
    <row r="434" spans="2:6" ht="12" customHeight="1" x14ac:dyDescent="0.15">
      <c r="B434" s="2"/>
      <c r="C434" s="3"/>
      <c r="D434" s="3"/>
      <c r="E434" s="3"/>
      <c r="F434" s="4"/>
    </row>
    <row r="435" spans="2:6" ht="12" customHeight="1" x14ac:dyDescent="0.15">
      <c r="B435" s="2"/>
      <c r="C435" s="3"/>
      <c r="D435" s="3"/>
      <c r="E435" s="3"/>
      <c r="F435" s="4"/>
    </row>
    <row r="436" spans="2:6" ht="12" customHeight="1" x14ac:dyDescent="0.15">
      <c r="B436" s="2"/>
      <c r="C436" s="3"/>
      <c r="D436" s="3"/>
      <c r="E436" s="3"/>
      <c r="F436" s="4"/>
    </row>
    <row r="437" spans="2:6" ht="12" customHeight="1" x14ac:dyDescent="0.15">
      <c r="B437" s="2"/>
      <c r="C437" s="3"/>
      <c r="D437" s="3"/>
      <c r="E437" s="3"/>
      <c r="F437" s="4"/>
    </row>
    <row r="438" spans="2:6" ht="12" customHeight="1" x14ac:dyDescent="0.15">
      <c r="B438" s="2"/>
      <c r="C438" s="3"/>
      <c r="D438" s="3"/>
      <c r="E438" s="3"/>
      <c r="F438" s="4"/>
    </row>
    <row r="439" spans="2:6" ht="12" customHeight="1" x14ac:dyDescent="0.15">
      <c r="B439" s="2"/>
      <c r="C439" s="3"/>
      <c r="D439" s="3"/>
      <c r="E439" s="3"/>
      <c r="F439" s="4"/>
    </row>
    <row r="440" spans="2:6" ht="12" customHeight="1" x14ac:dyDescent="0.15">
      <c r="B440" s="2"/>
      <c r="C440" s="3"/>
      <c r="D440" s="3"/>
      <c r="E440" s="3"/>
      <c r="F440" s="4"/>
    </row>
    <row r="441" spans="2:6" ht="12" customHeight="1" x14ac:dyDescent="0.15">
      <c r="B441" s="2"/>
      <c r="C441" s="3"/>
      <c r="D441" s="3"/>
      <c r="E441" s="3"/>
      <c r="F441" s="4"/>
    </row>
    <row r="442" spans="2:6" ht="12" customHeight="1" x14ac:dyDescent="0.15">
      <c r="B442" s="2"/>
      <c r="C442" s="3"/>
      <c r="D442" s="3"/>
      <c r="E442" s="3"/>
      <c r="F442" s="4"/>
    </row>
    <row r="443" spans="2:6" ht="12" customHeight="1" x14ac:dyDescent="0.15">
      <c r="B443" s="2"/>
      <c r="C443" s="3"/>
      <c r="D443" s="3"/>
      <c r="E443" s="3"/>
      <c r="F443" s="4"/>
    </row>
    <row r="444" spans="2:6" ht="12" customHeight="1" x14ac:dyDescent="0.15">
      <c r="B444" s="2"/>
      <c r="C444" s="3"/>
      <c r="D444" s="3"/>
      <c r="E444" s="3"/>
      <c r="F444" s="4"/>
    </row>
    <row r="445" spans="2:6" ht="12" customHeight="1" x14ac:dyDescent="0.15">
      <c r="B445" s="2"/>
      <c r="C445" s="3"/>
      <c r="D445" s="3"/>
      <c r="E445" s="3"/>
      <c r="F445" s="4"/>
    </row>
    <row r="446" spans="2:6" ht="12" customHeight="1" x14ac:dyDescent="0.15">
      <c r="B446" s="2"/>
      <c r="C446" s="3"/>
      <c r="D446" s="3"/>
      <c r="E446" s="3"/>
      <c r="F446" s="4"/>
    </row>
    <row r="447" spans="2:6" ht="12" customHeight="1" x14ac:dyDescent="0.15">
      <c r="B447" s="2"/>
      <c r="C447" s="3"/>
      <c r="D447" s="3"/>
      <c r="E447" s="3"/>
      <c r="F447" s="4"/>
    </row>
    <row r="448" spans="2:6" ht="12" customHeight="1" x14ac:dyDescent="0.15">
      <c r="B448" s="2"/>
      <c r="C448" s="3"/>
      <c r="D448" s="3"/>
      <c r="E448" s="3"/>
      <c r="F448" s="4"/>
    </row>
    <row r="449" spans="2:6" ht="12" customHeight="1" x14ac:dyDescent="0.15">
      <c r="B449" s="2"/>
      <c r="C449" s="3"/>
      <c r="D449" s="3"/>
      <c r="E449" s="3"/>
      <c r="F449" s="4"/>
    </row>
    <row r="450" spans="2:6" ht="12" customHeight="1" x14ac:dyDescent="0.15">
      <c r="B450" s="2"/>
      <c r="C450" s="3"/>
      <c r="D450" s="3"/>
      <c r="E450" s="3"/>
      <c r="F450" s="4"/>
    </row>
    <row r="451" spans="2:6" ht="12" customHeight="1" x14ac:dyDescent="0.15">
      <c r="B451" s="2"/>
      <c r="C451" s="3"/>
      <c r="D451" s="3"/>
      <c r="E451" s="3"/>
      <c r="F451" s="4"/>
    </row>
    <row r="452" spans="2:6" ht="12" customHeight="1" x14ac:dyDescent="0.15">
      <c r="B452" s="2"/>
      <c r="C452" s="3"/>
      <c r="D452" s="3"/>
      <c r="E452" s="3"/>
      <c r="F452" s="4"/>
    </row>
    <row r="453" spans="2:6" ht="12" customHeight="1" x14ac:dyDescent="0.15">
      <c r="B453" s="2"/>
      <c r="C453" s="3"/>
      <c r="D453" s="3"/>
      <c r="E453" s="3"/>
      <c r="F453" s="4"/>
    </row>
    <row r="454" spans="2:6" ht="12" customHeight="1" x14ac:dyDescent="0.15">
      <c r="B454" s="2"/>
      <c r="C454" s="3"/>
      <c r="D454" s="3"/>
      <c r="E454" s="3"/>
      <c r="F454" s="4"/>
    </row>
    <row r="455" spans="2:6" ht="12" customHeight="1" x14ac:dyDescent="0.15">
      <c r="B455" s="2"/>
      <c r="C455" s="3"/>
      <c r="D455" s="3"/>
      <c r="E455" s="3"/>
      <c r="F455" s="4"/>
    </row>
    <row r="456" spans="2:6" ht="12" customHeight="1" x14ac:dyDescent="0.15">
      <c r="B456" s="2"/>
      <c r="C456" s="3"/>
      <c r="D456" s="3"/>
      <c r="E456" s="3"/>
      <c r="F456" s="4"/>
    </row>
    <row r="457" spans="2:6" ht="12" customHeight="1" x14ac:dyDescent="0.15">
      <c r="B457" s="2"/>
      <c r="C457" s="3"/>
      <c r="D457" s="3"/>
      <c r="E457" s="3"/>
      <c r="F457" s="4"/>
    </row>
    <row r="458" spans="2:6" ht="12" customHeight="1" x14ac:dyDescent="0.15">
      <c r="B458" s="2"/>
      <c r="C458" s="3"/>
      <c r="D458" s="3"/>
      <c r="E458" s="3"/>
      <c r="F458" s="4"/>
    </row>
    <row r="459" spans="2:6" ht="12" customHeight="1" x14ac:dyDescent="0.15">
      <c r="B459" s="2"/>
      <c r="C459" s="3"/>
      <c r="D459" s="3"/>
      <c r="E459" s="3"/>
      <c r="F459" s="4"/>
    </row>
    <row r="460" spans="2:6" ht="12" customHeight="1" x14ac:dyDescent="0.15">
      <c r="B460" s="2"/>
      <c r="C460" s="3"/>
      <c r="D460" s="3"/>
      <c r="E460" s="3"/>
      <c r="F460" s="4"/>
    </row>
    <row r="461" spans="2:6" ht="12" customHeight="1" x14ac:dyDescent="0.15">
      <c r="B461" s="2"/>
      <c r="C461" s="3"/>
      <c r="D461" s="3"/>
      <c r="E461" s="3"/>
      <c r="F461" s="4"/>
    </row>
    <row r="462" spans="2:6" ht="12" customHeight="1" x14ac:dyDescent="0.15">
      <c r="B462" s="2"/>
      <c r="C462" s="3"/>
      <c r="D462" s="3"/>
      <c r="E462" s="3"/>
      <c r="F462" s="4"/>
    </row>
    <row r="463" spans="2:6" ht="12" customHeight="1" x14ac:dyDescent="0.15">
      <c r="B463" s="2"/>
      <c r="C463" s="3"/>
      <c r="D463" s="3"/>
      <c r="E463" s="3"/>
      <c r="F463" s="4"/>
    </row>
    <row r="464" spans="2:6" ht="12" customHeight="1" x14ac:dyDescent="0.15">
      <c r="B464" s="2"/>
      <c r="C464" s="3"/>
      <c r="D464" s="3"/>
      <c r="E464" s="3"/>
      <c r="F464" s="4"/>
    </row>
    <row r="465" spans="2:6" ht="12" customHeight="1" x14ac:dyDescent="0.15">
      <c r="B465" s="2"/>
      <c r="C465" s="3"/>
      <c r="D465" s="3"/>
      <c r="E465" s="3"/>
      <c r="F465" s="4"/>
    </row>
    <row r="466" spans="2:6" ht="12" customHeight="1" x14ac:dyDescent="0.15">
      <c r="B466" s="2"/>
      <c r="C466" s="3"/>
      <c r="D466" s="3"/>
      <c r="E466" s="3"/>
      <c r="F466" s="4"/>
    </row>
    <row r="467" spans="2:6" ht="12" customHeight="1" x14ac:dyDescent="0.15">
      <c r="B467" s="2"/>
      <c r="C467" s="3"/>
      <c r="D467" s="3"/>
      <c r="E467" s="3"/>
      <c r="F467" s="4"/>
    </row>
    <row r="468" spans="2:6" ht="12" customHeight="1" x14ac:dyDescent="0.15">
      <c r="B468" s="2"/>
      <c r="C468" s="3"/>
      <c r="D468" s="3"/>
      <c r="E468" s="3"/>
      <c r="F468" s="4"/>
    </row>
    <row r="469" spans="2:6" ht="12" customHeight="1" x14ac:dyDescent="0.15">
      <c r="B469" s="2"/>
      <c r="C469" s="3"/>
      <c r="D469" s="3"/>
      <c r="E469" s="3"/>
      <c r="F469" s="4"/>
    </row>
    <row r="470" spans="2:6" ht="12" customHeight="1" x14ac:dyDescent="0.15">
      <c r="B470" s="2"/>
      <c r="C470" s="3"/>
      <c r="D470" s="3"/>
      <c r="E470" s="3"/>
      <c r="F470" s="4"/>
    </row>
    <row r="471" spans="2:6" ht="12" customHeight="1" x14ac:dyDescent="0.15">
      <c r="B471" s="2"/>
      <c r="C471" s="3"/>
      <c r="D471" s="3"/>
      <c r="E471" s="3"/>
      <c r="F471" s="4"/>
    </row>
    <row r="472" spans="2:6" ht="12" customHeight="1" x14ac:dyDescent="0.15">
      <c r="B472" s="2"/>
      <c r="C472" s="3"/>
      <c r="D472" s="3"/>
      <c r="E472" s="3"/>
      <c r="F472" s="4"/>
    </row>
    <row r="473" spans="2:6" ht="12" customHeight="1" x14ac:dyDescent="0.15">
      <c r="B473" s="2"/>
      <c r="C473" s="3"/>
      <c r="D473" s="3"/>
      <c r="E473" s="3"/>
      <c r="F473" s="4"/>
    </row>
    <row r="474" spans="2:6" ht="12" customHeight="1" x14ac:dyDescent="0.15">
      <c r="B474" s="2"/>
      <c r="C474" s="3"/>
      <c r="D474" s="3"/>
      <c r="E474" s="3"/>
      <c r="F474" s="4"/>
    </row>
    <row r="475" spans="2:6" ht="12" customHeight="1" x14ac:dyDescent="0.15">
      <c r="B475" s="2"/>
      <c r="C475" s="3"/>
      <c r="D475" s="3"/>
      <c r="E475" s="3"/>
      <c r="F475" s="4"/>
    </row>
    <row r="476" spans="2:6" ht="12" customHeight="1" x14ac:dyDescent="0.15">
      <c r="B476" s="2"/>
      <c r="C476" s="3"/>
      <c r="D476" s="3"/>
      <c r="E476" s="3"/>
      <c r="F476" s="4"/>
    </row>
    <row r="477" spans="2:6" ht="12" customHeight="1" x14ac:dyDescent="0.15">
      <c r="B477" s="2"/>
      <c r="C477" s="3"/>
      <c r="D477" s="3"/>
      <c r="E477" s="3"/>
      <c r="F477" s="4"/>
    </row>
    <row r="478" spans="2:6" ht="12" customHeight="1" x14ac:dyDescent="0.15">
      <c r="B478" s="2"/>
      <c r="C478" s="3"/>
      <c r="D478" s="3"/>
      <c r="E478" s="3"/>
      <c r="F478" s="4"/>
    </row>
    <row r="479" spans="2:6" ht="12" customHeight="1" x14ac:dyDescent="0.15">
      <c r="B479" s="2"/>
      <c r="C479" s="3"/>
      <c r="D479" s="3"/>
      <c r="E479" s="3"/>
      <c r="F479" s="4"/>
    </row>
    <row r="480" spans="2:6" ht="12" customHeight="1" x14ac:dyDescent="0.15">
      <c r="B480" s="2"/>
      <c r="C480" s="3"/>
      <c r="D480" s="3"/>
      <c r="E480" s="3"/>
      <c r="F480" s="4"/>
    </row>
    <row r="481" spans="2:6" ht="12" customHeight="1" x14ac:dyDescent="0.15">
      <c r="B481" s="2"/>
      <c r="C481" s="3"/>
      <c r="D481" s="3"/>
      <c r="E481" s="3"/>
      <c r="F481" s="4"/>
    </row>
    <row r="482" spans="2:6" ht="12" customHeight="1" x14ac:dyDescent="0.15">
      <c r="B482" s="2"/>
      <c r="C482" s="3"/>
      <c r="D482" s="3"/>
      <c r="E482" s="3"/>
      <c r="F482" s="4"/>
    </row>
    <row r="483" spans="2:6" ht="12" customHeight="1" x14ac:dyDescent="0.15">
      <c r="B483" s="2"/>
      <c r="C483" s="3"/>
      <c r="D483" s="3"/>
      <c r="E483" s="3"/>
      <c r="F483" s="4"/>
    </row>
    <row r="484" spans="2:6" ht="12" customHeight="1" x14ac:dyDescent="0.15">
      <c r="B484" s="2"/>
      <c r="C484" s="3"/>
      <c r="D484" s="3"/>
      <c r="E484" s="3"/>
      <c r="F484" s="4"/>
    </row>
    <row r="485" spans="2:6" ht="12" customHeight="1" x14ac:dyDescent="0.15">
      <c r="B485" s="2"/>
      <c r="C485" s="3"/>
      <c r="D485" s="3"/>
      <c r="E485" s="3"/>
      <c r="F485" s="4"/>
    </row>
    <row r="486" spans="2:6" ht="12" customHeight="1" x14ac:dyDescent="0.15">
      <c r="B486" s="2"/>
      <c r="C486" s="3"/>
      <c r="D486" s="3"/>
      <c r="E486" s="3"/>
      <c r="F486" s="4"/>
    </row>
    <row r="487" spans="2:6" ht="12" customHeight="1" x14ac:dyDescent="0.15">
      <c r="B487" s="2"/>
      <c r="C487" s="3"/>
      <c r="D487" s="3"/>
      <c r="E487" s="3"/>
      <c r="F487" s="4"/>
    </row>
    <row r="488" spans="2:6" ht="12" customHeight="1" x14ac:dyDescent="0.15">
      <c r="B488" s="2"/>
      <c r="C488" s="3"/>
      <c r="D488" s="3"/>
      <c r="E488" s="3"/>
      <c r="F488" s="4"/>
    </row>
    <row r="489" spans="2:6" ht="12" customHeight="1" x14ac:dyDescent="0.15">
      <c r="B489" s="2"/>
      <c r="C489" s="3"/>
      <c r="D489" s="3"/>
      <c r="E489" s="3"/>
      <c r="F489" s="4"/>
    </row>
    <row r="490" spans="2:6" ht="12" customHeight="1" x14ac:dyDescent="0.15">
      <c r="B490" s="2"/>
      <c r="C490" s="3"/>
      <c r="D490" s="3"/>
      <c r="E490" s="3"/>
      <c r="F490" s="4"/>
    </row>
    <row r="491" spans="2:6" ht="12" customHeight="1" x14ac:dyDescent="0.15">
      <c r="B491" s="2"/>
      <c r="C491" s="3"/>
      <c r="D491" s="3"/>
      <c r="E491" s="3"/>
      <c r="F491" s="4"/>
    </row>
    <row r="492" spans="2:6" ht="12" customHeight="1" x14ac:dyDescent="0.15">
      <c r="B492" s="2"/>
      <c r="C492" s="3"/>
      <c r="D492" s="3"/>
      <c r="E492" s="3"/>
      <c r="F492" s="4"/>
    </row>
    <row r="493" spans="2:6" ht="12" customHeight="1" x14ac:dyDescent="0.15">
      <c r="B493" s="2"/>
      <c r="C493" s="3"/>
      <c r="D493" s="3"/>
      <c r="E493" s="3"/>
      <c r="F493" s="4"/>
    </row>
    <row r="494" spans="2:6" ht="12" customHeight="1" x14ac:dyDescent="0.15">
      <c r="B494" s="2"/>
      <c r="C494" s="3"/>
      <c r="D494" s="3"/>
      <c r="E494" s="3"/>
      <c r="F494" s="4"/>
    </row>
    <row r="495" spans="2:6" ht="12" customHeight="1" x14ac:dyDescent="0.15">
      <c r="B495" s="2"/>
      <c r="C495" s="3"/>
      <c r="D495" s="3"/>
      <c r="E495" s="3"/>
      <c r="F495" s="4"/>
    </row>
    <row r="496" spans="2:6" ht="12" customHeight="1" x14ac:dyDescent="0.15">
      <c r="B496" s="2"/>
      <c r="C496" s="3"/>
      <c r="D496" s="3"/>
      <c r="E496" s="3"/>
      <c r="F496" s="4"/>
    </row>
    <row r="497" spans="2:6" ht="12" customHeight="1" x14ac:dyDescent="0.15">
      <c r="B497" s="2"/>
      <c r="C497" s="3"/>
      <c r="D497" s="3"/>
      <c r="E497" s="3"/>
      <c r="F497" s="4"/>
    </row>
    <row r="498" spans="2:6" ht="12" customHeight="1" x14ac:dyDescent="0.15">
      <c r="B498" s="2"/>
      <c r="C498" s="3"/>
      <c r="D498" s="3"/>
      <c r="E498" s="3"/>
      <c r="F498" s="4"/>
    </row>
    <row r="499" spans="2:6" ht="12" customHeight="1" x14ac:dyDescent="0.15">
      <c r="B499" s="2"/>
      <c r="C499" s="3"/>
      <c r="D499" s="3"/>
      <c r="E499" s="3"/>
      <c r="F499" s="4"/>
    </row>
    <row r="500" spans="2:6" ht="12" customHeight="1" x14ac:dyDescent="0.15">
      <c r="B500" s="2"/>
      <c r="C500" s="3"/>
      <c r="D500" s="3"/>
      <c r="E500" s="3"/>
      <c r="F500" s="4"/>
    </row>
    <row r="501" spans="2:6" ht="12" customHeight="1" x14ac:dyDescent="0.15">
      <c r="B501" s="2"/>
      <c r="C501" s="3"/>
      <c r="D501" s="3"/>
      <c r="E501" s="3"/>
      <c r="F501" s="4"/>
    </row>
    <row r="502" spans="2:6" ht="12" customHeight="1" x14ac:dyDescent="0.15">
      <c r="B502" s="2"/>
      <c r="C502" s="3"/>
      <c r="D502" s="3"/>
      <c r="E502" s="3"/>
      <c r="F502" s="4"/>
    </row>
    <row r="503" spans="2:6" ht="12" customHeight="1" x14ac:dyDescent="0.15">
      <c r="B503" s="2"/>
      <c r="C503" s="3"/>
      <c r="D503" s="3"/>
      <c r="E503" s="3"/>
      <c r="F503" s="4"/>
    </row>
    <row r="504" spans="2:6" ht="12" customHeight="1" x14ac:dyDescent="0.15">
      <c r="B504" s="2"/>
      <c r="C504" s="3"/>
      <c r="D504" s="3"/>
      <c r="E504" s="3"/>
      <c r="F504" s="4"/>
    </row>
    <row r="505" spans="2:6" ht="12" customHeight="1" x14ac:dyDescent="0.15">
      <c r="B505" s="2"/>
      <c r="C505" s="3"/>
      <c r="D505" s="3"/>
      <c r="E505" s="3"/>
      <c r="F505" s="4"/>
    </row>
    <row r="506" spans="2:6" ht="12" customHeight="1" x14ac:dyDescent="0.15">
      <c r="B506" s="2"/>
      <c r="C506" s="3"/>
      <c r="D506" s="3"/>
      <c r="E506" s="3"/>
      <c r="F506" s="4"/>
    </row>
    <row r="507" spans="2:6" ht="12" customHeight="1" x14ac:dyDescent="0.15">
      <c r="B507" s="2"/>
      <c r="C507" s="3"/>
      <c r="D507" s="3"/>
      <c r="E507" s="3"/>
      <c r="F507" s="4"/>
    </row>
    <row r="508" spans="2:6" ht="12" customHeight="1" x14ac:dyDescent="0.15">
      <c r="B508" s="2"/>
      <c r="C508" s="3"/>
      <c r="D508" s="3"/>
      <c r="E508" s="3"/>
      <c r="F508" s="4"/>
    </row>
    <row r="509" spans="2:6" ht="12" customHeight="1" x14ac:dyDescent="0.15">
      <c r="B509" s="2"/>
      <c r="C509" s="3"/>
      <c r="D509" s="3"/>
      <c r="E509" s="3"/>
      <c r="F509" s="4"/>
    </row>
    <row r="510" spans="2:6" ht="12" customHeight="1" x14ac:dyDescent="0.15">
      <c r="B510" s="2"/>
      <c r="C510" s="3"/>
      <c r="D510" s="3"/>
      <c r="E510" s="3"/>
      <c r="F510" s="4"/>
    </row>
    <row r="511" spans="2:6" ht="12" customHeight="1" x14ac:dyDescent="0.15">
      <c r="B511" s="2"/>
      <c r="C511" s="3"/>
      <c r="D511" s="3"/>
      <c r="E511" s="3"/>
      <c r="F511" s="4"/>
    </row>
    <row r="512" spans="2:6" ht="12" customHeight="1" x14ac:dyDescent="0.15">
      <c r="B512" s="2"/>
      <c r="C512" s="3"/>
      <c r="D512" s="3"/>
      <c r="E512" s="3"/>
      <c r="F512" s="4"/>
    </row>
    <row r="513" spans="2:6" ht="12" customHeight="1" x14ac:dyDescent="0.15">
      <c r="B513" s="2"/>
      <c r="C513" s="3"/>
      <c r="D513" s="3"/>
      <c r="E513" s="3"/>
      <c r="F513" s="4"/>
    </row>
    <row r="514" spans="2:6" ht="12" customHeight="1" x14ac:dyDescent="0.15">
      <c r="B514" s="2"/>
      <c r="C514" s="3"/>
      <c r="D514" s="3"/>
      <c r="E514" s="3"/>
      <c r="F514" s="4"/>
    </row>
    <row r="515" spans="2:6" ht="12" customHeight="1" x14ac:dyDescent="0.15">
      <c r="B515" s="2"/>
      <c r="C515" s="3"/>
      <c r="D515" s="3"/>
      <c r="E515" s="3"/>
      <c r="F515" s="4"/>
    </row>
    <row r="516" spans="2:6" ht="12" customHeight="1" x14ac:dyDescent="0.15">
      <c r="B516" s="2"/>
      <c r="C516" s="3"/>
      <c r="D516" s="3"/>
      <c r="E516" s="3"/>
      <c r="F516" s="4"/>
    </row>
    <row r="517" spans="2:6" ht="12" customHeight="1" x14ac:dyDescent="0.15">
      <c r="B517" s="2"/>
      <c r="C517" s="3"/>
      <c r="D517" s="3"/>
      <c r="E517" s="3"/>
      <c r="F517" s="4"/>
    </row>
    <row r="518" spans="2:6" ht="12" customHeight="1" x14ac:dyDescent="0.15">
      <c r="B518" s="2"/>
      <c r="C518" s="3"/>
      <c r="D518" s="3"/>
      <c r="E518" s="3"/>
      <c r="F518" s="4"/>
    </row>
    <row r="519" spans="2:6" ht="12" customHeight="1" x14ac:dyDescent="0.15">
      <c r="B519" s="2"/>
      <c r="C519" s="3"/>
      <c r="D519" s="3"/>
      <c r="E519" s="3"/>
      <c r="F519" s="4"/>
    </row>
    <row r="520" spans="2:6" ht="12" customHeight="1" x14ac:dyDescent="0.15">
      <c r="B520" s="2"/>
      <c r="C520" s="3"/>
      <c r="D520" s="3"/>
      <c r="E520" s="3"/>
      <c r="F520" s="4"/>
    </row>
    <row r="521" spans="2:6" ht="12" customHeight="1" x14ac:dyDescent="0.15">
      <c r="B521" s="2"/>
      <c r="C521" s="3"/>
      <c r="D521" s="3"/>
      <c r="E521" s="3"/>
      <c r="F521" s="4"/>
    </row>
    <row r="522" spans="2:6" ht="12" customHeight="1" x14ac:dyDescent="0.15">
      <c r="B522" s="2"/>
      <c r="C522" s="3"/>
      <c r="D522" s="3"/>
      <c r="E522" s="3"/>
      <c r="F522" s="4"/>
    </row>
    <row r="523" spans="2:6" ht="12" customHeight="1" x14ac:dyDescent="0.15">
      <c r="B523" s="2"/>
      <c r="C523" s="3"/>
      <c r="D523" s="3"/>
      <c r="E523" s="3"/>
      <c r="F523" s="4"/>
    </row>
    <row r="524" spans="2:6" ht="12" customHeight="1" x14ac:dyDescent="0.15">
      <c r="B524" s="2"/>
      <c r="C524" s="3"/>
      <c r="D524" s="3"/>
      <c r="E524" s="3"/>
      <c r="F524" s="4"/>
    </row>
    <row r="525" spans="2:6" ht="12" customHeight="1" x14ac:dyDescent="0.15">
      <c r="B525" s="2"/>
      <c r="C525" s="3"/>
      <c r="D525" s="3"/>
      <c r="E525" s="3"/>
      <c r="F525" s="4"/>
    </row>
    <row r="526" spans="2:6" ht="12" customHeight="1" x14ac:dyDescent="0.15">
      <c r="B526" s="2"/>
      <c r="C526" s="3"/>
      <c r="D526" s="3"/>
      <c r="E526" s="3"/>
      <c r="F526" s="4"/>
    </row>
    <row r="527" spans="2:6" ht="12" customHeight="1" x14ac:dyDescent="0.15">
      <c r="B527" s="2"/>
      <c r="C527" s="3"/>
      <c r="D527" s="3"/>
      <c r="E527" s="3"/>
      <c r="F527" s="4"/>
    </row>
    <row r="528" spans="2:6" ht="12" customHeight="1" x14ac:dyDescent="0.15">
      <c r="B528" s="2"/>
      <c r="C528" s="3"/>
      <c r="D528" s="3"/>
      <c r="E528" s="3"/>
      <c r="F528" s="4"/>
    </row>
    <row r="529" spans="2:6" ht="12" customHeight="1" x14ac:dyDescent="0.15">
      <c r="B529" s="2"/>
      <c r="C529" s="3"/>
      <c r="D529" s="3"/>
      <c r="E529" s="3"/>
      <c r="F529" s="4"/>
    </row>
    <row r="530" spans="2:6" ht="12" customHeight="1" x14ac:dyDescent="0.15">
      <c r="B530" s="2"/>
      <c r="C530" s="3"/>
      <c r="D530" s="3"/>
      <c r="E530" s="3"/>
      <c r="F530" s="4"/>
    </row>
    <row r="531" spans="2:6" ht="12" customHeight="1" x14ac:dyDescent="0.15">
      <c r="B531" s="2"/>
      <c r="C531" s="3"/>
      <c r="D531" s="3"/>
      <c r="E531" s="3"/>
      <c r="F531" s="4"/>
    </row>
    <row r="532" spans="2:6" ht="12" customHeight="1" x14ac:dyDescent="0.15">
      <c r="B532" s="2"/>
      <c r="C532" s="3"/>
      <c r="D532" s="3"/>
      <c r="E532" s="3"/>
      <c r="F532" s="4"/>
    </row>
    <row r="533" spans="2:6" ht="12" customHeight="1" x14ac:dyDescent="0.15">
      <c r="B533" s="2"/>
      <c r="C533" s="3"/>
      <c r="D533" s="3"/>
      <c r="E533" s="3"/>
      <c r="F533" s="4"/>
    </row>
    <row r="534" spans="2:6" ht="12" customHeight="1" x14ac:dyDescent="0.15">
      <c r="B534" s="2"/>
      <c r="C534" s="3"/>
      <c r="D534" s="3"/>
      <c r="E534" s="3"/>
      <c r="F534" s="4"/>
    </row>
    <row r="535" spans="2:6" ht="12" customHeight="1" x14ac:dyDescent="0.15">
      <c r="B535" s="2"/>
      <c r="C535" s="3"/>
      <c r="D535" s="3"/>
      <c r="E535" s="3"/>
      <c r="F535" s="4"/>
    </row>
    <row r="536" spans="2:6" ht="12" customHeight="1" x14ac:dyDescent="0.15">
      <c r="B536" s="2"/>
      <c r="C536" s="3"/>
      <c r="D536" s="3"/>
      <c r="E536" s="3"/>
      <c r="F536" s="4"/>
    </row>
    <row r="537" spans="2:6" ht="12" customHeight="1" x14ac:dyDescent="0.15">
      <c r="B537" s="2"/>
      <c r="C537" s="3"/>
      <c r="D537" s="3"/>
      <c r="E537" s="3"/>
      <c r="F537" s="4"/>
    </row>
    <row r="538" spans="2:6" ht="12" customHeight="1" x14ac:dyDescent="0.15">
      <c r="B538" s="2"/>
      <c r="C538" s="3"/>
      <c r="D538" s="3"/>
      <c r="E538" s="3"/>
      <c r="F538" s="4"/>
    </row>
    <row r="539" spans="2:6" ht="12" customHeight="1" x14ac:dyDescent="0.15">
      <c r="B539" s="2"/>
      <c r="C539" s="3"/>
      <c r="D539" s="3"/>
      <c r="E539" s="3"/>
      <c r="F539" s="4"/>
    </row>
    <row r="540" spans="2:6" ht="12" customHeight="1" x14ac:dyDescent="0.15">
      <c r="B540" s="2"/>
      <c r="C540" s="3"/>
      <c r="D540" s="3"/>
      <c r="E540" s="3"/>
      <c r="F540" s="4"/>
    </row>
    <row r="541" spans="2:6" ht="12" customHeight="1" x14ac:dyDescent="0.15">
      <c r="B541" s="2"/>
      <c r="C541" s="3"/>
      <c r="D541" s="3"/>
      <c r="E541" s="3"/>
      <c r="F541" s="4"/>
    </row>
    <row r="542" spans="2:6" ht="12" customHeight="1" x14ac:dyDescent="0.15">
      <c r="B542" s="2"/>
      <c r="C542" s="3"/>
      <c r="D542" s="3"/>
      <c r="E542" s="3"/>
      <c r="F542" s="4"/>
    </row>
    <row r="543" spans="2:6" ht="12" customHeight="1" x14ac:dyDescent="0.15">
      <c r="B543" s="2"/>
      <c r="C543" s="3"/>
      <c r="D543" s="3"/>
      <c r="E543" s="3"/>
      <c r="F543" s="4"/>
    </row>
    <row r="544" spans="2:6" ht="12" customHeight="1" x14ac:dyDescent="0.15">
      <c r="B544" s="2"/>
      <c r="C544" s="3"/>
      <c r="D544" s="3"/>
      <c r="E544" s="3"/>
      <c r="F544" s="4"/>
    </row>
    <row r="545" spans="2:6" ht="12" customHeight="1" x14ac:dyDescent="0.15">
      <c r="B545" s="2"/>
      <c r="C545" s="3"/>
      <c r="D545" s="3"/>
      <c r="E545" s="3"/>
      <c r="F545" s="4"/>
    </row>
    <row r="546" spans="2:6" ht="12" customHeight="1" x14ac:dyDescent="0.15">
      <c r="B546" s="2"/>
      <c r="C546" s="3"/>
      <c r="D546" s="3"/>
      <c r="E546" s="3"/>
      <c r="F546" s="4"/>
    </row>
    <row r="547" spans="2:6" ht="12" customHeight="1" x14ac:dyDescent="0.15">
      <c r="B547" s="2"/>
      <c r="C547" s="3"/>
      <c r="D547" s="3"/>
      <c r="E547" s="3"/>
      <c r="F547" s="4"/>
    </row>
    <row r="548" spans="2:6" ht="12" customHeight="1" x14ac:dyDescent="0.15">
      <c r="B548" s="2"/>
      <c r="C548" s="3"/>
      <c r="D548" s="3"/>
      <c r="E548" s="3"/>
      <c r="F548" s="4"/>
    </row>
    <row r="549" spans="2:6" ht="12" customHeight="1" x14ac:dyDescent="0.15">
      <c r="B549" s="2"/>
      <c r="C549" s="3"/>
      <c r="D549" s="3"/>
      <c r="E549" s="3"/>
      <c r="F549" s="4"/>
    </row>
    <row r="550" spans="2:6" ht="12" customHeight="1" x14ac:dyDescent="0.15">
      <c r="B550" s="2"/>
      <c r="C550" s="3"/>
      <c r="D550" s="3"/>
      <c r="E550" s="3"/>
      <c r="F550" s="4"/>
    </row>
    <row r="551" spans="2:6" ht="12" customHeight="1" x14ac:dyDescent="0.15">
      <c r="B551" s="2"/>
      <c r="C551" s="3"/>
      <c r="D551" s="3"/>
      <c r="E551" s="3"/>
      <c r="F551" s="4"/>
    </row>
    <row r="552" spans="2:6" ht="12" customHeight="1" x14ac:dyDescent="0.15">
      <c r="B552" s="2"/>
      <c r="C552" s="3"/>
      <c r="D552" s="3"/>
      <c r="E552" s="3"/>
      <c r="F552" s="4"/>
    </row>
    <row r="553" spans="2:6" ht="12" customHeight="1" x14ac:dyDescent="0.15">
      <c r="B553" s="2"/>
      <c r="C553" s="3"/>
      <c r="D553" s="3"/>
      <c r="E553" s="3"/>
      <c r="F553" s="4"/>
    </row>
    <row r="554" spans="2:6" ht="12" customHeight="1" x14ac:dyDescent="0.15">
      <c r="B554" s="2"/>
      <c r="C554" s="3"/>
      <c r="D554" s="3"/>
      <c r="E554" s="3"/>
      <c r="F554" s="4"/>
    </row>
    <row r="555" spans="2:6" ht="12" customHeight="1" x14ac:dyDescent="0.15">
      <c r="B555" s="2"/>
      <c r="C555" s="3"/>
      <c r="D555" s="3"/>
      <c r="E555" s="3"/>
      <c r="F555" s="4"/>
    </row>
    <row r="556" spans="2:6" ht="12" customHeight="1" x14ac:dyDescent="0.15">
      <c r="B556" s="2"/>
      <c r="C556" s="3"/>
      <c r="D556" s="3"/>
      <c r="E556" s="3"/>
      <c r="F556" s="4"/>
    </row>
    <row r="557" spans="2:6" ht="12" customHeight="1" x14ac:dyDescent="0.15">
      <c r="B557" s="2"/>
      <c r="C557" s="3"/>
      <c r="D557" s="3"/>
      <c r="E557" s="3"/>
      <c r="F557" s="4"/>
    </row>
    <row r="558" spans="2:6" ht="12" customHeight="1" x14ac:dyDescent="0.15">
      <c r="B558" s="2"/>
      <c r="C558" s="3"/>
      <c r="D558" s="3"/>
      <c r="E558" s="3"/>
      <c r="F558" s="4"/>
    </row>
    <row r="559" spans="2:6" ht="12" customHeight="1" x14ac:dyDescent="0.15">
      <c r="B559" s="2"/>
      <c r="C559" s="3"/>
      <c r="D559" s="3"/>
      <c r="E559" s="3"/>
      <c r="F559" s="4"/>
    </row>
    <row r="560" spans="2:6" ht="12" customHeight="1" x14ac:dyDescent="0.15">
      <c r="B560" s="2"/>
      <c r="C560" s="3"/>
      <c r="D560" s="3"/>
      <c r="E560" s="3"/>
      <c r="F560" s="4"/>
    </row>
    <row r="561" spans="2:6" ht="12" customHeight="1" x14ac:dyDescent="0.15">
      <c r="B561" s="2"/>
      <c r="C561" s="3"/>
      <c r="D561" s="3"/>
      <c r="E561" s="3"/>
      <c r="F561" s="4"/>
    </row>
    <row r="562" spans="2:6" ht="12" customHeight="1" x14ac:dyDescent="0.15">
      <c r="B562" s="2"/>
      <c r="C562" s="3"/>
      <c r="D562" s="3"/>
      <c r="E562" s="3"/>
      <c r="F562" s="4"/>
    </row>
    <row r="563" spans="2:6" ht="12" customHeight="1" x14ac:dyDescent="0.15">
      <c r="B563" s="2"/>
      <c r="C563" s="3"/>
      <c r="D563" s="3"/>
      <c r="E563" s="3"/>
      <c r="F563" s="4"/>
    </row>
    <row r="564" spans="2:6" ht="12" customHeight="1" x14ac:dyDescent="0.15">
      <c r="B564" s="2"/>
      <c r="C564" s="3"/>
      <c r="D564" s="3"/>
      <c r="E564" s="3"/>
      <c r="F564" s="4"/>
    </row>
    <row r="565" spans="2:6" ht="12" customHeight="1" x14ac:dyDescent="0.15">
      <c r="B565" s="2"/>
      <c r="C565" s="3"/>
      <c r="D565" s="3"/>
      <c r="E565" s="3"/>
      <c r="F565" s="4"/>
    </row>
    <row r="566" spans="2:6" ht="12" customHeight="1" x14ac:dyDescent="0.15">
      <c r="B566" s="2"/>
      <c r="C566" s="3"/>
      <c r="D566" s="3"/>
      <c r="E566" s="3"/>
      <c r="F566" s="4"/>
    </row>
    <row r="567" spans="2:6" ht="12" customHeight="1" x14ac:dyDescent="0.15">
      <c r="B567" s="2"/>
      <c r="C567" s="3"/>
      <c r="D567" s="3"/>
      <c r="E567" s="3"/>
      <c r="F567" s="4"/>
    </row>
    <row r="568" spans="2:6" ht="12" customHeight="1" x14ac:dyDescent="0.15">
      <c r="B568" s="2"/>
      <c r="C568" s="3"/>
      <c r="D568" s="3"/>
      <c r="E568" s="3"/>
      <c r="F568" s="4"/>
    </row>
    <row r="569" spans="2:6" ht="12" customHeight="1" x14ac:dyDescent="0.15">
      <c r="B569" s="2"/>
      <c r="C569" s="3"/>
      <c r="D569" s="3"/>
      <c r="E569" s="3"/>
      <c r="F569" s="4"/>
    </row>
    <row r="570" spans="2:6" ht="12" customHeight="1" x14ac:dyDescent="0.15">
      <c r="B570" s="2"/>
      <c r="C570" s="3"/>
      <c r="D570" s="3"/>
      <c r="E570" s="3"/>
      <c r="F570" s="4"/>
    </row>
    <row r="571" spans="2:6" ht="12" customHeight="1" x14ac:dyDescent="0.15">
      <c r="B571" s="2"/>
      <c r="C571" s="3"/>
      <c r="D571" s="3"/>
      <c r="E571" s="3"/>
      <c r="F571" s="4"/>
    </row>
    <row r="572" spans="2:6" ht="12" customHeight="1" x14ac:dyDescent="0.15">
      <c r="B572" s="2"/>
      <c r="C572" s="3"/>
      <c r="D572" s="3"/>
      <c r="E572" s="3"/>
      <c r="F572" s="4"/>
    </row>
    <row r="573" spans="2:6" ht="12" customHeight="1" x14ac:dyDescent="0.15">
      <c r="B573" s="2"/>
      <c r="C573" s="3"/>
      <c r="D573" s="3"/>
      <c r="E573" s="3"/>
      <c r="F573" s="4"/>
    </row>
    <row r="574" spans="2:6" ht="12" customHeight="1" x14ac:dyDescent="0.15">
      <c r="B574" s="2"/>
      <c r="C574" s="3"/>
      <c r="D574" s="3"/>
      <c r="E574" s="3"/>
      <c r="F574" s="4"/>
    </row>
    <row r="575" spans="2:6" ht="12" customHeight="1" x14ac:dyDescent="0.15">
      <c r="B575" s="2"/>
      <c r="C575" s="3"/>
      <c r="D575" s="3"/>
      <c r="E575" s="3"/>
      <c r="F575" s="4"/>
    </row>
    <row r="576" spans="2:6" ht="12" customHeight="1" x14ac:dyDescent="0.15">
      <c r="B576" s="2"/>
      <c r="C576" s="3"/>
      <c r="D576" s="3"/>
      <c r="E576" s="3"/>
      <c r="F576" s="4"/>
    </row>
    <row r="577" spans="2:6" ht="12" customHeight="1" x14ac:dyDescent="0.15">
      <c r="B577" s="2"/>
      <c r="C577" s="3"/>
      <c r="D577" s="3"/>
      <c r="E577" s="3"/>
      <c r="F577" s="4"/>
    </row>
    <row r="578" spans="2:6" ht="12" customHeight="1" x14ac:dyDescent="0.15">
      <c r="B578" s="2"/>
      <c r="C578" s="3"/>
      <c r="D578" s="3"/>
      <c r="E578" s="3"/>
      <c r="F578" s="4"/>
    </row>
    <row r="579" spans="2:6" ht="12" customHeight="1" x14ac:dyDescent="0.15">
      <c r="B579" s="2"/>
      <c r="C579" s="3"/>
      <c r="D579" s="3"/>
      <c r="E579" s="3"/>
      <c r="F579" s="4"/>
    </row>
    <row r="580" spans="2:6" ht="12" customHeight="1" x14ac:dyDescent="0.15">
      <c r="B580" s="2"/>
      <c r="C580" s="3"/>
      <c r="D580" s="3"/>
      <c r="E580" s="3"/>
      <c r="F580" s="4"/>
    </row>
    <row r="581" spans="2:6" ht="12" customHeight="1" x14ac:dyDescent="0.15">
      <c r="B581" s="2"/>
      <c r="C581" s="3"/>
      <c r="D581" s="3"/>
      <c r="E581" s="3"/>
      <c r="F581" s="4"/>
    </row>
    <row r="582" spans="2:6" ht="12" customHeight="1" x14ac:dyDescent="0.15">
      <c r="B582" s="2"/>
      <c r="C582" s="3"/>
      <c r="D582" s="3"/>
      <c r="E582" s="3"/>
      <c r="F582" s="4"/>
    </row>
    <row r="583" spans="2:6" ht="12" customHeight="1" x14ac:dyDescent="0.15">
      <c r="B583" s="2"/>
      <c r="C583" s="3"/>
      <c r="D583" s="3"/>
      <c r="E583" s="3"/>
      <c r="F583" s="4"/>
    </row>
    <row r="584" spans="2:6" ht="12" customHeight="1" x14ac:dyDescent="0.15">
      <c r="B584" s="2"/>
      <c r="C584" s="3"/>
      <c r="D584" s="3"/>
      <c r="E584" s="3"/>
      <c r="F584" s="4"/>
    </row>
    <row r="585" spans="2:6" ht="12" customHeight="1" x14ac:dyDescent="0.15">
      <c r="B585" s="2"/>
      <c r="C585" s="3"/>
      <c r="D585" s="3"/>
      <c r="E585" s="3"/>
      <c r="F585" s="4"/>
    </row>
    <row r="586" spans="2:6" ht="12" customHeight="1" x14ac:dyDescent="0.15">
      <c r="B586" s="2"/>
      <c r="C586" s="3"/>
      <c r="D586" s="3"/>
      <c r="E586" s="3"/>
      <c r="F586" s="4"/>
    </row>
    <row r="587" spans="2:6" ht="12" customHeight="1" x14ac:dyDescent="0.15">
      <c r="B587" s="2"/>
      <c r="C587" s="3"/>
      <c r="D587" s="3"/>
      <c r="E587" s="3"/>
      <c r="F587" s="4"/>
    </row>
    <row r="588" spans="2:6" ht="12" customHeight="1" x14ac:dyDescent="0.15">
      <c r="B588" s="2"/>
      <c r="C588" s="3"/>
      <c r="D588" s="3"/>
      <c r="E588" s="3"/>
      <c r="F588" s="4"/>
    </row>
    <row r="589" spans="2:6" ht="12" customHeight="1" x14ac:dyDescent="0.15">
      <c r="B589" s="2"/>
      <c r="C589" s="3"/>
      <c r="D589" s="3"/>
      <c r="E589" s="3"/>
      <c r="F589" s="4"/>
    </row>
    <row r="590" spans="2:6" ht="12" customHeight="1" x14ac:dyDescent="0.15">
      <c r="B590" s="2"/>
      <c r="C590" s="3"/>
      <c r="D590" s="3"/>
      <c r="E590" s="3"/>
      <c r="F590" s="4"/>
    </row>
    <row r="591" spans="2:6" ht="12" customHeight="1" x14ac:dyDescent="0.15">
      <c r="B591" s="2"/>
      <c r="C591" s="3"/>
      <c r="D591" s="3"/>
      <c r="E591" s="3"/>
      <c r="F591" s="4"/>
    </row>
    <row r="592" spans="2:6" ht="12" customHeight="1" x14ac:dyDescent="0.15">
      <c r="B592" s="2"/>
      <c r="C592" s="3"/>
      <c r="D592" s="3"/>
      <c r="E592" s="3"/>
      <c r="F592" s="4"/>
    </row>
    <row r="593" spans="2:6" ht="12" customHeight="1" x14ac:dyDescent="0.15">
      <c r="B593" s="2"/>
      <c r="C593" s="3"/>
      <c r="D593" s="3"/>
      <c r="E593" s="3"/>
      <c r="F593" s="4"/>
    </row>
    <row r="594" spans="2:6" ht="12" customHeight="1" x14ac:dyDescent="0.15">
      <c r="B594" s="2"/>
      <c r="C594" s="3"/>
      <c r="D594" s="3"/>
      <c r="E594" s="3"/>
      <c r="F594" s="4"/>
    </row>
    <row r="595" spans="2:6" ht="12" customHeight="1" x14ac:dyDescent="0.15">
      <c r="B595" s="2"/>
      <c r="C595" s="3"/>
      <c r="D595" s="3"/>
      <c r="E595" s="3"/>
      <c r="F595" s="4"/>
    </row>
    <row r="596" spans="2:6" ht="12" customHeight="1" x14ac:dyDescent="0.15">
      <c r="B596" s="2"/>
      <c r="C596" s="3"/>
      <c r="D596" s="3"/>
      <c r="E596" s="3"/>
      <c r="F596" s="4"/>
    </row>
    <row r="597" spans="2:6" ht="12" customHeight="1" x14ac:dyDescent="0.15">
      <c r="B597" s="2"/>
      <c r="C597" s="3"/>
      <c r="D597" s="3"/>
      <c r="E597" s="3"/>
      <c r="F597" s="4"/>
    </row>
    <row r="598" spans="2:6" ht="12" customHeight="1" x14ac:dyDescent="0.15">
      <c r="B598" s="2"/>
      <c r="C598" s="3"/>
      <c r="D598" s="3"/>
      <c r="E598" s="3"/>
      <c r="F598" s="4"/>
    </row>
    <row r="599" spans="2:6" ht="12" customHeight="1" x14ac:dyDescent="0.15">
      <c r="B599" s="2"/>
      <c r="C599" s="3"/>
      <c r="D599" s="3"/>
      <c r="E599" s="3"/>
      <c r="F599" s="4"/>
    </row>
    <row r="600" spans="2:6" ht="12" customHeight="1" x14ac:dyDescent="0.15">
      <c r="B600" s="2"/>
      <c r="C600" s="3"/>
      <c r="D600" s="3"/>
      <c r="E600" s="3"/>
      <c r="F600" s="4"/>
    </row>
    <row r="601" spans="2:6" ht="12" customHeight="1" x14ac:dyDescent="0.15">
      <c r="B601" s="2"/>
      <c r="C601" s="3"/>
      <c r="D601" s="3"/>
      <c r="E601" s="3"/>
      <c r="F601" s="4"/>
    </row>
    <row r="602" spans="2:6" ht="12" customHeight="1" x14ac:dyDescent="0.15">
      <c r="B602" s="2"/>
      <c r="C602" s="3"/>
      <c r="D602" s="3"/>
      <c r="E602" s="3"/>
      <c r="F602" s="4"/>
    </row>
    <row r="603" spans="2:6" ht="12" customHeight="1" x14ac:dyDescent="0.15">
      <c r="B603" s="2"/>
      <c r="C603" s="3"/>
      <c r="D603" s="3"/>
      <c r="E603" s="3"/>
      <c r="F603" s="4"/>
    </row>
    <row r="604" spans="2:6" ht="12" customHeight="1" x14ac:dyDescent="0.15">
      <c r="B604" s="2"/>
      <c r="C604" s="3"/>
      <c r="D604" s="3"/>
      <c r="E604" s="3"/>
      <c r="F604" s="4"/>
    </row>
    <row r="605" spans="2:6" ht="12" customHeight="1" x14ac:dyDescent="0.15">
      <c r="B605" s="2"/>
      <c r="C605" s="3"/>
      <c r="D605" s="3"/>
      <c r="E605" s="3"/>
      <c r="F605" s="4"/>
    </row>
    <row r="606" spans="2:6" ht="12" customHeight="1" x14ac:dyDescent="0.15">
      <c r="B606" s="2"/>
      <c r="C606" s="3"/>
      <c r="D606" s="3"/>
      <c r="E606" s="3"/>
      <c r="F606" s="4"/>
    </row>
    <row r="607" spans="2:6" ht="12" customHeight="1" x14ac:dyDescent="0.15">
      <c r="B607" s="2"/>
      <c r="C607" s="3"/>
      <c r="D607" s="3"/>
      <c r="E607" s="3"/>
      <c r="F607" s="4"/>
    </row>
    <row r="608" spans="2:6" ht="12" customHeight="1" x14ac:dyDescent="0.15">
      <c r="B608" s="2"/>
      <c r="C608" s="3"/>
      <c r="D608" s="3"/>
      <c r="E608" s="3"/>
      <c r="F608" s="4"/>
    </row>
    <row r="609" spans="2:6" ht="12" customHeight="1" x14ac:dyDescent="0.15">
      <c r="B609" s="2"/>
      <c r="C609" s="3"/>
      <c r="D609" s="3"/>
      <c r="E609" s="3"/>
      <c r="F609" s="4"/>
    </row>
    <row r="610" spans="2:6" ht="12" customHeight="1" x14ac:dyDescent="0.15">
      <c r="B610" s="2"/>
      <c r="C610" s="3"/>
      <c r="D610" s="3"/>
      <c r="E610" s="3"/>
      <c r="F610" s="4"/>
    </row>
    <row r="611" spans="2:6" ht="12" customHeight="1" x14ac:dyDescent="0.15">
      <c r="B611" s="2"/>
      <c r="C611" s="3"/>
      <c r="D611" s="3"/>
      <c r="E611" s="3"/>
      <c r="F611" s="4"/>
    </row>
    <row r="612" spans="2:6" ht="12" customHeight="1" x14ac:dyDescent="0.15">
      <c r="B612" s="2"/>
      <c r="C612" s="3"/>
      <c r="D612" s="3"/>
      <c r="E612" s="3"/>
      <c r="F612" s="4"/>
    </row>
    <row r="613" spans="2:6" ht="12" customHeight="1" x14ac:dyDescent="0.15">
      <c r="B613" s="2"/>
      <c r="C613" s="3"/>
      <c r="D613" s="3"/>
      <c r="E613" s="3"/>
      <c r="F613" s="4"/>
    </row>
    <row r="614" spans="2:6" ht="12" customHeight="1" x14ac:dyDescent="0.15">
      <c r="B614" s="2"/>
      <c r="C614" s="3"/>
      <c r="D614" s="3"/>
      <c r="E614" s="3"/>
      <c r="F614" s="4"/>
    </row>
    <row r="615" spans="2:6" ht="12" customHeight="1" x14ac:dyDescent="0.15">
      <c r="B615" s="2"/>
      <c r="C615" s="3"/>
      <c r="D615" s="3"/>
      <c r="E615" s="3"/>
      <c r="F615" s="4"/>
    </row>
    <row r="616" spans="2:6" ht="12" customHeight="1" x14ac:dyDescent="0.15">
      <c r="B616" s="2"/>
      <c r="C616" s="3"/>
      <c r="D616" s="3"/>
      <c r="E616" s="3"/>
      <c r="F616" s="4"/>
    </row>
    <row r="617" spans="2:6" ht="12" customHeight="1" x14ac:dyDescent="0.15">
      <c r="B617" s="2"/>
      <c r="C617" s="3"/>
      <c r="D617" s="3"/>
      <c r="E617" s="3"/>
      <c r="F617" s="4"/>
    </row>
    <row r="618" spans="2:6" ht="12" customHeight="1" x14ac:dyDescent="0.15">
      <c r="B618" s="2"/>
      <c r="C618" s="3"/>
      <c r="D618" s="3"/>
      <c r="E618" s="3"/>
      <c r="F618" s="4"/>
    </row>
    <row r="619" spans="2:6" ht="12" customHeight="1" x14ac:dyDescent="0.15">
      <c r="B619" s="2"/>
      <c r="C619" s="3"/>
      <c r="D619" s="3"/>
      <c r="E619" s="3"/>
      <c r="F619" s="4"/>
    </row>
    <row r="620" spans="2:6" ht="12" customHeight="1" x14ac:dyDescent="0.15">
      <c r="B620" s="2"/>
      <c r="C620" s="3"/>
      <c r="D620" s="3"/>
      <c r="E620" s="3"/>
      <c r="F620" s="4"/>
    </row>
    <row r="621" spans="2:6" ht="12" customHeight="1" x14ac:dyDescent="0.15">
      <c r="B621" s="2"/>
      <c r="C621" s="3"/>
      <c r="D621" s="3"/>
      <c r="E621" s="3"/>
      <c r="F621" s="4"/>
    </row>
    <row r="622" spans="2:6" ht="12" customHeight="1" x14ac:dyDescent="0.15">
      <c r="B622" s="2"/>
      <c r="C622" s="3"/>
      <c r="D622" s="3"/>
      <c r="E622" s="3"/>
      <c r="F622" s="4"/>
    </row>
    <row r="623" spans="2:6" ht="12" customHeight="1" x14ac:dyDescent="0.15">
      <c r="B623" s="2"/>
      <c r="C623" s="3"/>
      <c r="D623" s="3"/>
      <c r="E623" s="3"/>
      <c r="F623" s="4"/>
    </row>
    <row r="624" spans="2:6" ht="12" customHeight="1" x14ac:dyDescent="0.15">
      <c r="B624" s="2"/>
      <c r="C624" s="3"/>
      <c r="D624" s="3"/>
      <c r="E624" s="3"/>
      <c r="F624" s="4"/>
    </row>
    <row r="625" spans="2:6" ht="12" customHeight="1" x14ac:dyDescent="0.15">
      <c r="B625" s="2"/>
      <c r="C625" s="3"/>
      <c r="D625" s="3"/>
      <c r="E625" s="3"/>
      <c r="F625" s="4"/>
    </row>
    <row r="626" spans="2:6" ht="12" customHeight="1" x14ac:dyDescent="0.15">
      <c r="B626" s="2"/>
      <c r="C626" s="3"/>
      <c r="D626" s="3"/>
      <c r="E626" s="3"/>
      <c r="F626" s="4"/>
    </row>
    <row r="627" spans="2:6" ht="12" customHeight="1" x14ac:dyDescent="0.15">
      <c r="B627" s="2"/>
      <c r="C627" s="3"/>
      <c r="D627" s="3"/>
      <c r="E627" s="3"/>
      <c r="F627" s="4"/>
    </row>
    <row r="628" spans="2:6" ht="12" customHeight="1" x14ac:dyDescent="0.15">
      <c r="B628" s="2"/>
      <c r="C628" s="3"/>
      <c r="D628" s="3"/>
      <c r="E628" s="3"/>
      <c r="F628" s="4"/>
    </row>
    <row r="629" spans="2:6" ht="12" customHeight="1" x14ac:dyDescent="0.15">
      <c r="B629" s="2"/>
      <c r="C629" s="3"/>
      <c r="D629" s="3"/>
      <c r="E629" s="3"/>
      <c r="F629" s="4"/>
    </row>
    <row r="630" spans="2:6" ht="12" customHeight="1" x14ac:dyDescent="0.15">
      <c r="B630" s="2"/>
      <c r="C630" s="3"/>
      <c r="D630" s="3"/>
      <c r="E630" s="3"/>
      <c r="F630" s="4"/>
    </row>
    <row r="631" spans="2:6" ht="12" customHeight="1" x14ac:dyDescent="0.15">
      <c r="B631" s="2"/>
      <c r="C631" s="3"/>
      <c r="D631" s="3"/>
      <c r="E631" s="3"/>
      <c r="F631" s="4"/>
    </row>
    <row r="632" spans="2:6" ht="12" customHeight="1" x14ac:dyDescent="0.15">
      <c r="B632" s="2"/>
      <c r="C632" s="3"/>
      <c r="D632" s="3"/>
      <c r="E632" s="3"/>
      <c r="F632" s="4"/>
    </row>
    <row r="633" spans="2:6" ht="12" customHeight="1" x14ac:dyDescent="0.15">
      <c r="B633" s="2"/>
      <c r="C633" s="3"/>
      <c r="D633" s="3"/>
      <c r="E633" s="3"/>
      <c r="F633" s="4"/>
    </row>
    <row r="634" spans="2:6" ht="12" customHeight="1" x14ac:dyDescent="0.15">
      <c r="B634" s="2"/>
      <c r="C634" s="3"/>
      <c r="D634" s="3"/>
      <c r="E634" s="3"/>
      <c r="F634" s="4"/>
    </row>
    <row r="635" spans="2:6" ht="12" customHeight="1" x14ac:dyDescent="0.15">
      <c r="B635" s="2"/>
      <c r="C635" s="3"/>
      <c r="D635" s="3"/>
      <c r="E635" s="3"/>
      <c r="F635" s="4"/>
    </row>
    <row r="636" spans="2:6" ht="12" customHeight="1" x14ac:dyDescent="0.15">
      <c r="B636" s="2"/>
      <c r="C636" s="3"/>
      <c r="D636" s="3"/>
      <c r="E636" s="3"/>
      <c r="F636" s="4"/>
    </row>
    <row r="637" spans="2:6" ht="12" customHeight="1" x14ac:dyDescent="0.15">
      <c r="B637" s="2"/>
      <c r="C637" s="3"/>
      <c r="D637" s="3"/>
      <c r="E637" s="3"/>
      <c r="F637" s="4"/>
    </row>
    <row r="638" spans="2:6" ht="12" customHeight="1" x14ac:dyDescent="0.15">
      <c r="B638" s="2"/>
      <c r="C638" s="3"/>
      <c r="D638" s="3"/>
      <c r="E638" s="3"/>
      <c r="F638" s="4"/>
    </row>
    <row r="639" spans="2:6" ht="12" customHeight="1" x14ac:dyDescent="0.15">
      <c r="B639" s="2"/>
      <c r="C639" s="3"/>
      <c r="D639" s="3"/>
      <c r="E639" s="3"/>
      <c r="F639" s="4"/>
    </row>
    <row r="640" spans="2:6" ht="12" customHeight="1" x14ac:dyDescent="0.15">
      <c r="B640" s="2"/>
      <c r="C640" s="3"/>
      <c r="D640" s="3"/>
      <c r="E640" s="3"/>
      <c r="F640" s="4"/>
    </row>
    <row r="641" spans="2:6" ht="12" customHeight="1" x14ac:dyDescent="0.15">
      <c r="B641" s="2"/>
      <c r="C641" s="3"/>
      <c r="D641" s="3"/>
      <c r="E641" s="3"/>
      <c r="F641" s="4"/>
    </row>
    <row r="642" spans="2:6" ht="12" customHeight="1" x14ac:dyDescent="0.15">
      <c r="B642" s="2"/>
      <c r="C642" s="3"/>
      <c r="D642" s="3"/>
      <c r="E642" s="3"/>
      <c r="F642" s="4"/>
    </row>
    <row r="643" spans="2:6" ht="12" customHeight="1" x14ac:dyDescent="0.15">
      <c r="B643" s="2"/>
      <c r="C643" s="3"/>
      <c r="D643" s="3"/>
      <c r="E643" s="3"/>
      <c r="F643" s="4"/>
    </row>
    <row r="644" spans="2:6" ht="12" customHeight="1" x14ac:dyDescent="0.15">
      <c r="B644" s="2"/>
      <c r="C644" s="3"/>
      <c r="D644" s="3"/>
      <c r="E644" s="3"/>
      <c r="F644" s="4"/>
    </row>
    <row r="645" spans="2:6" ht="12" customHeight="1" x14ac:dyDescent="0.15">
      <c r="B645" s="2"/>
      <c r="C645" s="3"/>
      <c r="D645" s="3"/>
      <c r="E645" s="3"/>
      <c r="F645" s="4"/>
    </row>
    <row r="646" spans="2:6" ht="12" customHeight="1" x14ac:dyDescent="0.15">
      <c r="B646" s="2"/>
      <c r="C646" s="3"/>
      <c r="D646" s="3"/>
      <c r="E646" s="3"/>
      <c r="F646" s="4"/>
    </row>
    <row r="647" spans="2:6" ht="12" customHeight="1" x14ac:dyDescent="0.15">
      <c r="B647" s="2"/>
      <c r="C647" s="3"/>
      <c r="D647" s="3"/>
      <c r="E647" s="3"/>
      <c r="F647" s="4"/>
    </row>
    <row r="648" spans="2:6" ht="12" customHeight="1" x14ac:dyDescent="0.15">
      <c r="B648" s="2"/>
      <c r="C648" s="3"/>
      <c r="D648" s="3"/>
      <c r="E648" s="3"/>
      <c r="F648" s="4"/>
    </row>
    <row r="649" spans="2:6" ht="12" customHeight="1" x14ac:dyDescent="0.15">
      <c r="B649" s="2"/>
      <c r="C649" s="3"/>
      <c r="D649" s="3"/>
      <c r="E649" s="3"/>
      <c r="F649" s="4"/>
    </row>
    <row r="650" spans="2:6" ht="12" customHeight="1" x14ac:dyDescent="0.15">
      <c r="B650" s="2"/>
      <c r="C650" s="3"/>
      <c r="D650" s="3"/>
      <c r="E650" s="3"/>
      <c r="F650" s="4"/>
    </row>
    <row r="651" spans="2:6" ht="12" customHeight="1" x14ac:dyDescent="0.15">
      <c r="B651" s="2"/>
      <c r="C651" s="3"/>
      <c r="D651" s="3"/>
      <c r="E651" s="3"/>
      <c r="F651" s="4"/>
    </row>
    <row r="652" spans="2:6" ht="12" customHeight="1" x14ac:dyDescent="0.15">
      <c r="B652" s="2"/>
      <c r="C652" s="3"/>
      <c r="D652" s="3"/>
      <c r="E652" s="3"/>
      <c r="F652" s="4"/>
    </row>
    <row r="653" spans="2:6" ht="12" customHeight="1" x14ac:dyDescent="0.15">
      <c r="B653" s="2"/>
      <c r="C653" s="3"/>
      <c r="D653" s="3"/>
      <c r="E653" s="3"/>
      <c r="F653" s="4"/>
    </row>
    <row r="654" spans="2:6" ht="12" customHeight="1" x14ac:dyDescent="0.15">
      <c r="B654" s="2"/>
      <c r="C654" s="3"/>
      <c r="D654" s="3"/>
      <c r="E654" s="3"/>
      <c r="F654" s="4"/>
    </row>
    <row r="655" spans="2:6" ht="12" customHeight="1" x14ac:dyDescent="0.15">
      <c r="B655" s="2"/>
      <c r="C655" s="3"/>
      <c r="D655" s="3"/>
      <c r="E655" s="3"/>
      <c r="F655" s="4"/>
    </row>
    <row r="656" spans="2:6" ht="12" customHeight="1" x14ac:dyDescent="0.15">
      <c r="B656" s="2"/>
      <c r="C656" s="3"/>
      <c r="D656" s="3"/>
      <c r="E656" s="3"/>
      <c r="F656" s="4"/>
    </row>
    <row r="657" spans="2:6" ht="12" customHeight="1" x14ac:dyDescent="0.15">
      <c r="B657" s="2"/>
      <c r="C657" s="3"/>
      <c r="D657" s="3"/>
      <c r="E657" s="3"/>
      <c r="F657" s="4"/>
    </row>
    <row r="658" spans="2:6" ht="12" customHeight="1" x14ac:dyDescent="0.15">
      <c r="B658" s="2"/>
      <c r="C658" s="3"/>
      <c r="D658" s="3"/>
      <c r="E658" s="3"/>
      <c r="F658" s="4"/>
    </row>
    <row r="659" spans="2:6" ht="12" customHeight="1" x14ac:dyDescent="0.15">
      <c r="B659" s="2"/>
      <c r="C659" s="3"/>
      <c r="D659" s="3"/>
      <c r="E659" s="3"/>
      <c r="F659" s="4"/>
    </row>
    <row r="660" spans="2:6" ht="12" customHeight="1" x14ac:dyDescent="0.15">
      <c r="B660" s="2"/>
      <c r="C660" s="3"/>
      <c r="D660" s="3"/>
      <c r="E660" s="3"/>
      <c r="F660" s="4"/>
    </row>
    <row r="661" spans="2:6" ht="12" customHeight="1" x14ac:dyDescent="0.15">
      <c r="B661" s="2"/>
      <c r="C661" s="3"/>
      <c r="D661" s="3"/>
      <c r="E661" s="3"/>
      <c r="F661" s="4"/>
    </row>
    <row r="662" spans="2:6" ht="12" customHeight="1" x14ac:dyDescent="0.15">
      <c r="B662" s="2"/>
      <c r="C662" s="3"/>
      <c r="D662" s="3"/>
      <c r="E662" s="3"/>
      <c r="F662" s="4"/>
    </row>
    <row r="663" spans="2:6" ht="12" customHeight="1" x14ac:dyDescent="0.15">
      <c r="B663" s="2"/>
      <c r="C663" s="3"/>
      <c r="D663" s="3"/>
      <c r="E663" s="3"/>
      <c r="F663" s="4"/>
    </row>
    <row r="664" spans="2:6" ht="12" customHeight="1" x14ac:dyDescent="0.15">
      <c r="B664" s="2"/>
      <c r="C664" s="3"/>
      <c r="D664" s="3"/>
      <c r="E664" s="3"/>
      <c r="F664" s="4"/>
    </row>
    <row r="665" spans="2:6" ht="12" customHeight="1" x14ac:dyDescent="0.15">
      <c r="B665" s="2"/>
      <c r="C665" s="3"/>
      <c r="D665" s="3"/>
      <c r="E665" s="3"/>
      <c r="F665" s="4"/>
    </row>
    <row r="666" spans="2:6" ht="12" customHeight="1" x14ac:dyDescent="0.15">
      <c r="B666" s="2"/>
      <c r="C666" s="3"/>
      <c r="D666" s="3"/>
      <c r="E666" s="3"/>
      <c r="F666" s="4"/>
    </row>
    <row r="667" spans="2:6" ht="12" customHeight="1" x14ac:dyDescent="0.15">
      <c r="B667" s="2"/>
      <c r="C667" s="3"/>
      <c r="D667" s="3"/>
      <c r="E667" s="3"/>
      <c r="F667" s="4"/>
    </row>
    <row r="668" spans="2:6" ht="12" customHeight="1" x14ac:dyDescent="0.15">
      <c r="B668" s="2"/>
      <c r="C668" s="3"/>
      <c r="D668" s="3"/>
      <c r="E668" s="3"/>
      <c r="F668" s="4"/>
    </row>
    <row r="669" spans="2:6" ht="12" customHeight="1" x14ac:dyDescent="0.15">
      <c r="B669" s="2"/>
      <c r="C669" s="3"/>
      <c r="D669" s="3"/>
      <c r="E669" s="3"/>
      <c r="F669" s="4"/>
    </row>
    <row r="670" spans="2:6" ht="12" customHeight="1" x14ac:dyDescent="0.15">
      <c r="B670" s="2"/>
      <c r="C670" s="3"/>
      <c r="D670" s="3"/>
      <c r="E670" s="3"/>
      <c r="F670" s="4"/>
    </row>
    <row r="671" spans="2:6" ht="12" customHeight="1" x14ac:dyDescent="0.15">
      <c r="B671" s="2"/>
      <c r="C671" s="3"/>
      <c r="D671" s="3"/>
      <c r="E671" s="3"/>
      <c r="F671" s="4"/>
    </row>
    <row r="672" spans="2:6" ht="12" customHeight="1" x14ac:dyDescent="0.15">
      <c r="B672" s="2"/>
      <c r="C672" s="3"/>
      <c r="D672" s="3"/>
      <c r="E672" s="3"/>
      <c r="F672" s="4"/>
    </row>
    <row r="673" spans="2:6" ht="12" customHeight="1" x14ac:dyDescent="0.15">
      <c r="B673" s="2"/>
      <c r="C673" s="3"/>
      <c r="D673" s="3"/>
      <c r="E673" s="3"/>
      <c r="F673" s="4"/>
    </row>
    <row r="674" spans="2:6" ht="12" customHeight="1" x14ac:dyDescent="0.15">
      <c r="B674" s="2"/>
      <c r="C674" s="3"/>
      <c r="D674" s="3"/>
      <c r="E674" s="3"/>
      <c r="F674" s="4"/>
    </row>
    <row r="675" spans="2:6" ht="12" customHeight="1" x14ac:dyDescent="0.15">
      <c r="B675" s="2"/>
      <c r="C675" s="3"/>
      <c r="D675" s="3"/>
      <c r="E675" s="3"/>
      <c r="F675" s="4"/>
    </row>
    <row r="676" spans="2:6" ht="12" customHeight="1" x14ac:dyDescent="0.15">
      <c r="B676" s="2"/>
      <c r="C676" s="3"/>
      <c r="D676" s="3"/>
      <c r="E676" s="3"/>
      <c r="F676" s="4"/>
    </row>
    <row r="677" spans="2:6" ht="12" customHeight="1" x14ac:dyDescent="0.15">
      <c r="B677" s="2"/>
      <c r="C677" s="3"/>
      <c r="D677" s="3"/>
      <c r="E677" s="3"/>
      <c r="F677" s="4"/>
    </row>
    <row r="678" spans="2:6" ht="12" customHeight="1" x14ac:dyDescent="0.15">
      <c r="B678" s="2"/>
      <c r="C678" s="3"/>
      <c r="D678" s="3"/>
      <c r="E678" s="3"/>
      <c r="F678" s="4"/>
    </row>
    <row r="679" spans="2:6" ht="12" customHeight="1" x14ac:dyDescent="0.15">
      <c r="B679" s="2"/>
      <c r="C679" s="3"/>
      <c r="D679" s="3"/>
      <c r="E679" s="3"/>
      <c r="F679" s="4"/>
    </row>
    <row r="680" spans="2:6" ht="12" customHeight="1" x14ac:dyDescent="0.15">
      <c r="B680" s="2"/>
      <c r="C680" s="3"/>
      <c r="D680" s="3"/>
      <c r="E680" s="3"/>
      <c r="F680" s="4"/>
    </row>
    <row r="681" spans="2:6" ht="12" customHeight="1" x14ac:dyDescent="0.15">
      <c r="B681" s="2"/>
      <c r="C681" s="3"/>
      <c r="D681" s="3"/>
      <c r="E681" s="3"/>
      <c r="F681" s="4"/>
    </row>
    <row r="682" spans="2:6" ht="12" customHeight="1" x14ac:dyDescent="0.15">
      <c r="B682" s="2"/>
      <c r="C682" s="3"/>
      <c r="D682" s="3"/>
      <c r="E682" s="3"/>
      <c r="F682" s="4"/>
    </row>
    <row r="683" spans="2:6" ht="12" customHeight="1" x14ac:dyDescent="0.15">
      <c r="B683" s="2"/>
      <c r="C683" s="3"/>
      <c r="D683" s="3"/>
      <c r="E683" s="3"/>
      <c r="F683" s="4"/>
    </row>
    <row r="684" spans="2:6" ht="12" customHeight="1" x14ac:dyDescent="0.15">
      <c r="B684" s="2"/>
      <c r="C684" s="3"/>
      <c r="D684" s="3"/>
      <c r="E684" s="3"/>
      <c r="F684" s="4"/>
    </row>
    <row r="685" spans="2:6" ht="12" customHeight="1" x14ac:dyDescent="0.15">
      <c r="B685" s="2"/>
      <c r="C685" s="3"/>
      <c r="D685" s="3"/>
      <c r="E685" s="3"/>
      <c r="F685" s="4"/>
    </row>
    <row r="686" spans="2:6" ht="12" customHeight="1" x14ac:dyDescent="0.15">
      <c r="B686" s="2"/>
      <c r="C686" s="3"/>
      <c r="D686" s="3"/>
      <c r="E686" s="3"/>
      <c r="F686" s="4"/>
    </row>
    <row r="687" spans="2:6" ht="12" customHeight="1" x14ac:dyDescent="0.15">
      <c r="B687" s="2"/>
      <c r="C687" s="3"/>
      <c r="D687" s="3"/>
      <c r="E687" s="3"/>
      <c r="F687" s="4"/>
    </row>
    <row r="688" spans="2:6" ht="12" customHeight="1" x14ac:dyDescent="0.15">
      <c r="B688" s="2"/>
      <c r="C688" s="3"/>
      <c r="D688" s="3"/>
      <c r="E688" s="3"/>
      <c r="F688" s="4"/>
    </row>
    <row r="689" spans="2:6" ht="12" customHeight="1" x14ac:dyDescent="0.15">
      <c r="B689" s="2"/>
      <c r="C689" s="3"/>
      <c r="D689" s="3"/>
      <c r="E689" s="3"/>
      <c r="F689" s="4"/>
    </row>
    <row r="690" spans="2:6" ht="12" customHeight="1" x14ac:dyDescent="0.15">
      <c r="B690" s="2"/>
      <c r="C690" s="3"/>
      <c r="D690" s="3"/>
      <c r="E690" s="3"/>
      <c r="F690" s="4"/>
    </row>
    <row r="691" spans="2:6" ht="12" customHeight="1" x14ac:dyDescent="0.15">
      <c r="B691" s="2"/>
      <c r="C691" s="3"/>
      <c r="D691" s="3"/>
      <c r="E691" s="3"/>
      <c r="F691" s="4"/>
    </row>
    <row r="692" spans="2:6" ht="12" customHeight="1" x14ac:dyDescent="0.15">
      <c r="B692" s="2"/>
      <c r="C692" s="3"/>
      <c r="D692" s="3"/>
      <c r="E692" s="3"/>
      <c r="F692" s="4"/>
    </row>
    <row r="693" spans="2:6" ht="12" customHeight="1" x14ac:dyDescent="0.15">
      <c r="B693" s="2"/>
      <c r="C693" s="3"/>
      <c r="D693" s="3"/>
      <c r="E693" s="3"/>
      <c r="F693" s="4"/>
    </row>
    <row r="694" spans="2:6" ht="12" customHeight="1" x14ac:dyDescent="0.15">
      <c r="B694" s="2"/>
      <c r="C694" s="3"/>
      <c r="D694" s="3"/>
      <c r="E694" s="3"/>
      <c r="F694" s="4"/>
    </row>
    <row r="695" spans="2:6" ht="12" customHeight="1" x14ac:dyDescent="0.15">
      <c r="B695" s="2"/>
      <c r="C695" s="3"/>
      <c r="D695" s="3"/>
      <c r="E695" s="3"/>
      <c r="F695" s="4"/>
    </row>
    <row r="696" spans="2:6" ht="12" customHeight="1" x14ac:dyDescent="0.15">
      <c r="B696" s="2"/>
      <c r="C696" s="3"/>
      <c r="D696" s="3"/>
      <c r="E696" s="3"/>
      <c r="F696" s="4"/>
    </row>
    <row r="697" spans="2:6" ht="12" customHeight="1" x14ac:dyDescent="0.15">
      <c r="B697" s="2"/>
      <c r="C697" s="3"/>
      <c r="D697" s="3"/>
      <c r="E697" s="3"/>
      <c r="F697" s="4"/>
    </row>
    <row r="698" spans="2:6" ht="12" customHeight="1" x14ac:dyDescent="0.15">
      <c r="B698" s="2"/>
      <c r="C698" s="3"/>
      <c r="D698" s="3"/>
      <c r="E698" s="3"/>
      <c r="F698" s="4"/>
    </row>
    <row r="699" spans="2:6" ht="12" customHeight="1" x14ac:dyDescent="0.15">
      <c r="B699" s="2"/>
      <c r="C699" s="3"/>
      <c r="D699" s="3"/>
      <c r="E699" s="3"/>
      <c r="F699" s="4"/>
    </row>
    <row r="700" spans="2:6" ht="12" customHeight="1" x14ac:dyDescent="0.15">
      <c r="B700" s="2"/>
      <c r="C700" s="3"/>
      <c r="D700" s="3"/>
      <c r="E700" s="3"/>
      <c r="F700" s="4"/>
    </row>
    <row r="701" spans="2:6" ht="12" customHeight="1" x14ac:dyDescent="0.15">
      <c r="B701" s="2"/>
      <c r="C701" s="3"/>
      <c r="D701" s="3"/>
      <c r="E701" s="3"/>
      <c r="F701" s="4"/>
    </row>
    <row r="702" spans="2:6" ht="12" customHeight="1" x14ac:dyDescent="0.15">
      <c r="B702" s="2"/>
      <c r="C702" s="3"/>
      <c r="D702" s="3"/>
      <c r="E702" s="3"/>
      <c r="F702" s="4"/>
    </row>
    <row r="703" spans="2:6" ht="12" customHeight="1" x14ac:dyDescent="0.15">
      <c r="B703" s="2"/>
      <c r="C703" s="3"/>
      <c r="D703" s="3"/>
      <c r="E703" s="3"/>
      <c r="F703" s="4"/>
    </row>
    <row r="704" spans="2:6" ht="12" customHeight="1" x14ac:dyDescent="0.15">
      <c r="B704" s="2"/>
      <c r="C704" s="3"/>
      <c r="D704" s="3"/>
      <c r="E704" s="3"/>
      <c r="F704" s="4"/>
    </row>
    <row r="705" spans="2:6" ht="12" customHeight="1" x14ac:dyDescent="0.15">
      <c r="B705" s="2"/>
      <c r="C705" s="3"/>
      <c r="D705" s="3"/>
      <c r="E705" s="3"/>
      <c r="F705" s="4"/>
    </row>
    <row r="706" spans="2:6" ht="12" customHeight="1" x14ac:dyDescent="0.15">
      <c r="B706" s="2"/>
      <c r="C706" s="3"/>
      <c r="D706" s="3"/>
      <c r="E706" s="3"/>
      <c r="F706" s="4"/>
    </row>
    <row r="707" spans="2:6" ht="12" customHeight="1" x14ac:dyDescent="0.15">
      <c r="B707" s="2"/>
      <c r="C707" s="3"/>
      <c r="D707" s="3"/>
      <c r="E707" s="3"/>
      <c r="F707" s="4"/>
    </row>
    <row r="708" spans="2:6" ht="12" customHeight="1" x14ac:dyDescent="0.15">
      <c r="B708" s="2"/>
      <c r="C708" s="3"/>
      <c r="D708" s="3"/>
      <c r="E708" s="3"/>
      <c r="F708" s="4"/>
    </row>
    <row r="709" spans="2:6" ht="12" customHeight="1" x14ac:dyDescent="0.15">
      <c r="B709" s="2"/>
      <c r="C709" s="3"/>
      <c r="D709" s="3"/>
      <c r="E709" s="3"/>
      <c r="F709" s="4"/>
    </row>
    <row r="710" spans="2:6" ht="12" customHeight="1" x14ac:dyDescent="0.15">
      <c r="B710" s="2"/>
      <c r="C710" s="3"/>
      <c r="D710" s="3"/>
      <c r="E710" s="3"/>
      <c r="F710" s="4"/>
    </row>
    <row r="711" spans="2:6" ht="12" customHeight="1" x14ac:dyDescent="0.15">
      <c r="B711" s="2"/>
      <c r="C711" s="3"/>
      <c r="D711" s="3"/>
      <c r="E711" s="3"/>
      <c r="F711" s="4"/>
    </row>
    <row r="712" spans="2:6" ht="12" customHeight="1" x14ac:dyDescent="0.15">
      <c r="B712" s="2"/>
      <c r="C712" s="3"/>
      <c r="D712" s="3"/>
      <c r="E712" s="3"/>
      <c r="F712" s="4"/>
    </row>
    <row r="713" spans="2:6" ht="12" customHeight="1" x14ac:dyDescent="0.15">
      <c r="B713" s="2"/>
      <c r="C713" s="3"/>
      <c r="D713" s="3"/>
      <c r="E713" s="3"/>
      <c r="F713" s="4"/>
    </row>
    <row r="714" spans="2:6" ht="12" customHeight="1" x14ac:dyDescent="0.15">
      <c r="B714" s="2"/>
      <c r="C714" s="3"/>
      <c r="D714" s="3"/>
      <c r="E714" s="3"/>
      <c r="F714" s="4"/>
    </row>
    <row r="715" spans="2:6" ht="12" customHeight="1" x14ac:dyDescent="0.15">
      <c r="B715" s="2"/>
      <c r="C715" s="3"/>
      <c r="D715" s="3"/>
      <c r="E715" s="3"/>
      <c r="F715" s="4"/>
    </row>
    <row r="716" spans="2:6" ht="12" customHeight="1" x14ac:dyDescent="0.15">
      <c r="B716" s="2"/>
      <c r="C716" s="3"/>
      <c r="D716" s="3"/>
      <c r="E716" s="3"/>
      <c r="F716" s="4"/>
    </row>
    <row r="717" spans="2:6" ht="12" customHeight="1" x14ac:dyDescent="0.15">
      <c r="B717" s="2"/>
      <c r="C717" s="3"/>
      <c r="D717" s="3"/>
      <c r="E717" s="3"/>
      <c r="F717" s="4"/>
    </row>
    <row r="718" spans="2:6" ht="12" customHeight="1" x14ac:dyDescent="0.15">
      <c r="B718" s="2"/>
      <c r="C718" s="3"/>
      <c r="D718" s="3"/>
      <c r="E718" s="3"/>
      <c r="F718" s="4"/>
    </row>
    <row r="719" spans="2:6" ht="12" customHeight="1" x14ac:dyDescent="0.15">
      <c r="B719" s="2"/>
      <c r="C719" s="3"/>
      <c r="D719" s="3"/>
      <c r="E719" s="3"/>
      <c r="F719" s="4"/>
    </row>
    <row r="720" spans="2:6" ht="12" customHeight="1" x14ac:dyDescent="0.15">
      <c r="B720" s="2"/>
      <c r="C720" s="3"/>
      <c r="D720" s="3"/>
      <c r="E720" s="3"/>
      <c r="F720" s="4"/>
    </row>
    <row r="721" spans="2:6" ht="12" customHeight="1" x14ac:dyDescent="0.15">
      <c r="B721" s="2"/>
      <c r="C721" s="3"/>
      <c r="D721" s="3"/>
      <c r="E721" s="3"/>
      <c r="F721" s="4"/>
    </row>
    <row r="722" spans="2:6" ht="12" customHeight="1" x14ac:dyDescent="0.15">
      <c r="B722" s="2"/>
      <c r="C722" s="3"/>
      <c r="D722" s="3"/>
      <c r="E722" s="3"/>
      <c r="F722" s="4"/>
    </row>
    <row r="723" spans="2:6" ht="12" customHeight="1" x14ac:dyDescent="0.15">
      <c r="B723" s="2"/>
      <c r="C723" s="3"/>
      <c r="D723" s="3"/>
      <c r="E723" s="3"/>
      <c r="F723" s="4"/>
    </row>
    <row r="724" spans="2:6" ht="12" customHeight="1" x14ac:dyDescent="0.15">
      <c r="B724" s="2"/>
      <c r="C724" s="3"/>
      <c r="D724" s="3"/>
      <c r="E724" s="3"/>
      <c r="F724" s="4"/>
    </row>
    <row r="725" spans="2:6" ht="12" customHeight="1" x14ac:dyDescent="0.15">
      <c r="B725" s="2"/>
      <c r="C725" s="3"/>
      <c r="D725" s="3"/>
      <c r="E725" s="3"/>
      <c r="F725" s="4"/>
    </row>
    <row r="726" spans="2:6" ht="12" customHeight="1" x14ac:dyDescent="0.15">
      <c r="B726" s="2"/>
      <c r="C726" s="3"/>
      <c r="D726" s="3"/>
      <c r="E726" s="3"/>
      <c r="F726" s="4"/>
    </row>
    <row r="727" spans="2:6" ht="12" customHeight="1" x14ac:dyDescent="0.15">
      <c r="B727" s="2"/>
      <c r="C727" s="3"/>
      <c r="D727" s="3"/>
      <c r="E727" s="3"/>
      <c r="F727" s="4"/>
    </row>
    <row r="728" spans="2:6" ht="12" customHeight="1" x14ac:dyDescent="0.15">
      <c r="B728" s="2"/>
      <c r="C728" s="3"/>
      <c r="D728" s="3"/>
      <c r="E728" s="3"/>
      <c r="F728" s="4"/>
    </row>
    <row r="729" spans="2:6" ht="12" customHeight="1" x14ac:dyDescent="0.15">
      <c r="B729" s="2"/>
      <c r="C729" s="3"/>
      <c r="D729" s="3"/>
      <c r="E729" s="3"/>
      <c r="F729" s="4"/>
    </row>
    <row r="730" spans="2:6" ht="12" customHeight="1" x14ac:dyDescent="0.15">
      <c r="B730" s="2"/>
      <c r="C730" s="3"/>
      <c r="D730" s="3"/>
      <c r="E730" s="3"/>
      <c r="F730" s="4"/>
    </row>
    <row r="731" spans="2:6" ht="12" customHeight="1" x14ac:dyDescent="0.15">
      <c r="B731" s="2"/>
      <c r="C731" s="3"/>
      <c r="D731" s="3"/>
      <c r="E731" s="3"/>
      <c r="F731" s="4"/>
    </row>
    <row r="732" spans="2:6" ht="12" customHeight="1" x14ac:dyDescent="0.15">
      <c r="B732" s="2"/>
      <c r="C732" s="3"/>
      <c r="D732" s="3"/>
      <c r="E732" s="3"/>
      <c r="F732" s="4"/>
    </row>
    <row r="733" spans="2:6" ht="12" customHeight="1" x14ac:dyDescent="0.15">
      <c r="B733" s="2"/>
      <c r="C733" s="3"/>
      <c r="D733" s="3"/>
      <c r="E733" s="3"/>
      <c r="F733" s="4"/>
    </row>
    <row r="734" spans="2:6" ht="12" customHeight="1" x14ac:dyDescent="0.15">
      <c r="B734" s="2"/>
      <c r="C734" s="3"/>
      <c r="D734" s="3"/>
      <c r="E734" s="3"/>
      <c r="F734" s="4"/>
    </row>
    <row r="735" spans="2:6" ht="12" customHeight="1" x14ac:dyDescent="0.15">
      <c r="B735" s="2"/>
      <c r="C735" s="3"/>
      <c r="D735" s="3"/>
      <c r="E735" s="3"/>
      <c r="F735" s="4"/>
    </row>
    <row r="736" spans="2:6" ht="12" customHeight="1" x14ac:dyDescent="0.15">
      <c r="B736" s="2"/>
      <c r="C736" s="3"/>
      <c r="D736" s="3"/>
      <c r="E736" s="3"/>
      <c r="F736" s="4"/>
    </row>
    <row r="737" spans="2:6" ht="12" customHeight="1" x14ac:dyDescent="0.15">
      <c r="B737" s="2"/>
      <c r="C737" s="3"/>
      <c r="D737" s="3"/>
      <c r="E737" s="3"/>
      <c r="F737" s="4"/>
    </row>
    <row r="738" spans="2:6" ht="12" customHeight="1" x14ac:dyDescent="0.15">
      <c r="B738" s="2"/>
      <c r="C738" s="3"/>
      <c r="D738" s="3"/>
      <c r="E738" s="3"/>
      <c r="F738" s="4"/>
    </row>
    <row r="739" spans="2:6" ht="12" customHeight="1" x14ac:dyDescent="0.15">
      <c r="B739" s="2"/>
      <c r="C739" s="3"/>
      <c r="D739" s="3"/>
      <c r="E739" s="3"/>
      <c r="F739" s="4"/>
    </row>
    <row r="740" spans="2:6" ht="12" customHeight="1" x14ac:dyDescent="0.15">
      <c r="B740" s="2"/>
      <c r="C740" s="3"/>
      <c r="D740" s="3"/>
      <c r="E740" s="3"/>
      <c r="F740" s="4"/>
    </row>
    <row r="741" spans="2:6" ht="12" customHeight="1" x14ac:dyDescent="0.15">
      <c r="B741" s="2"/>
      <c r="C741" s="3"/>
      <c r="D741" s="3"/>
      <c r="E741" s="3"/>
      <c r="F741" s="4"/>
    </row>
    <row r="742" spans="2:6" ht="12" customHeight="1" x14ac:dyDescent="0.15">
      <c r="B742" s="2"/>
      <c r="C742" s="3"/>
      <c r="D742" s="3"/>
      <c r="E742" s="3"/>
      <c r="F742" s="4"/>
    </row>
    <row r="743" spans="2:6" ht="12" customHeight="1" x14ac:dyDescent="0.15">
      <c r="B743" s="2"/>
      <c r="C743" s="3"/>
      <c r="D743" s="3"/>
      <c r="E743" s="3"/>
      <c r="F743" s="4"/>
    </row>
    <row r="744" spans="2:6" ht="12" customHeight="1" x14ac:dyDescent="0.15">
      <c r="B744" s="2"/>
      <c r="C744" s="3"/>
      <c r="D744" s="3"/>
      <c r="E744" s="3"/>
      <c r="F744" s="4"/>
    </row>
    <row r="745" spans="2:6" ht="12" customHeight="1" x14ac:dyDescent="0.15">
      <c r="B745" s="2"/>
      <c r="C745" s="3"/>
      <c r="D745" s="3"/>
      <c r="E745" s="3"/>
      <c r="F745" s="4"/>
    </row>
    <row r="746" spans="2:6" ht="12" customHeight="1" x14ac:dyDescent="0.15">
      <c r="B746" s="2"/>
      <c r="C746" s="3"/>
      <c r="D746" s="3"/>
      <c r="E746" s="3"/>
      <c r="F746" s="4"/>
    </row>
    <row r="747" spans="2:6" ht="12" customHeight="1" x14ac:dyDescent="0.15">
      <c r="B747" s="2"/>
      <c r="C747" s="3"/>
      <c r="D747" s="3"/>
      <c r="E747" s="3"/>
      <c r="F747" s="4"/>
    </row>
    <row r="748" spans="2:6" ht="12" customHeight="1" x14ac:dyDescent="0.15">
      <c r="B748" s="2"/>
      <c r="C748" s="3"/>
      <c r="D748" s="3"/>
      <c r="E748" s="3"/>
      <c r="F748" s="4"/>
    </row>
    <row r="749" spans="2:6" ht="12" customHeight="1" x14ac:dyDescent="0.15">
      <c r="B749" s="2"/>
      <c r="C749" s="3"/>
      <c r="D749" s="3"/>
      <c r="E749" s="3"/>
      <c r="F749" s="4"/>
    </row>
    <row r="750" spans="2:6" ht="12" customHeight="1" x14ac:dyDescent="0.15">
      <c r="B750" s="2"/>
      <c r="C750" s="3"/>
      <c r="D750" s="3"/>
      <c r="E750" s="3"/>
      <c r="F750" s="4"/>
    </row>
    <row r="751" spans="2:6" ht="12" customHeight="1" x14ac:dyDescent="0.15">
      <c r="B751" s="2"/>
      <c r="C751" s="3"/>
      <c r="D751" s="3"/>
      <c r="E751" s="3"/>
      <c r="F751" s="4"/>
    </row>
    <row r="752" spans="2:6" ht="12" customHeight="1" x14ac:dyDescent="0.15">
      <c r="B752" s="2"/>
      <c r="C752" s="3"/>
      <c r="D752" s="3"/>
      <c r="E752" s="3"/>
      <c r="F752" s="4"/>
    </row>
    <row r="753" spans="2:6" ht="12" customHeight="1" x14ac:dyDescent="0.15">
      <c r="B753" s="2"/>
      <c r="C753" s="3"/>
      <c r="D753" s="3"/>
      <c r="E753" s="3"/>
      <c r="F753" s="4"/>
    </row>
    <row r="754" spans="2:6" ht="12" customHeight="1" x14ac:dyDescent="0.15">
      <c r="B754" s="2"/>
      <c r="C754" s="3"/>
      <c r="D754" s="3"/>
      <c r="E754" s="3"/>
      <c r="F754" s="4"/>
    </row>
    <row r="755" spans="2:6" ht="12" customHeight="1" x14ac:dyDescent="0.15">
      <c r="B755" s="2"/>
      <c r="C755" s="3"/>
      <c r="D755" s="3"/>
      <c r="E755" s="3"/>
      <c r="F755" s="4"/>
    </row>
    <row r="756" spans="2:6" ht="12" customHeight="1" x14ac:dyDescent="0.15">
      <c r="B756" s="2"/>
      <c r="C756" s="3"/>
      <c r="D756" s="3"/>
      <c r="E756" s="3"/>
      <c r="F756" s="4"/>
    </row>
    <row r="757" spans="2:6" ht="12" customHeight="1" x14ac:dyDescent="0.15">
      <c r="B757" s="2"/>
      <c r="C757" s="3"/>
      <c r="D757" s="3"/>
      <c r="E757" s="3"/>
      <c r="F757" s="4"/>
    </row>
    <row r="758" spans="2:6" ht="12" customHeight="1" x14ac:dyDescent="0.15">
      <c r="B758" s="2"/>
      <c r="C758" s="3"/>
      <c r="D758" s="3"/>
      <c r="E758" s="3"/>
      <c r="F758" s="4"/>
    </row>
    <row r="759" spans="2:6" ht="12" customHeight="1" x14ac:dyDescent="0.15">
      <c r="B759" s="2"/>
      <c r="C759" s="3"/>
      <c r="D759" s="3"/>
      <c r="E759" s="3"/>
      <c r="F759" s="4"/>
    </row>
    <row r="760" spans="2:6" ht="12" customHeight="1" x14ac:dyDescent="0.15">
      <c r="B760" s="2"/>
      <c r="C760" s="3"/>
      <c r="D760" s="3"/>
      <c r="E760" s="3"/>
      <c r="F760" s="4"/>
    </row>
    <row r="761" spans="2:6" ht="12" customHeight="1" x14ac:dyDescent="0.15">
      <c r="B761" s="2"/>
      <c r="C761" s="3"/>
      <c r="D761" s="3"/>
      <c r="E761" s="3"/>
      <c r="F761" s="4"/>
    </row>
    <row r="762" spans="2:6" ht="12" customHeight="1" x14ac:dyDescent="0.15">
      <c r="B762" s="2"/>
      <c r="C762" s="3"/>
      <c r="D762" s="3"/>
      <c r="E762" s="3"/>
      <c r="F762" s="4"/>
    </row>
    <row r="763" spans="2:6" ht="12" customHeight="1" x14ac:dyDescent="0.15">
      <c r="B763" s="2"/>
      <c r="C763" s="3"/>
      <c r="D763" s="3"/>
      <c r="E763" s="3"/>
      <c r="F763" s="4"/>
    </row>
    <row r="764" spans="2:6" ht="12" customHeight="1" x14ac:dyDescent="0.15">
      <c r="B764" s="2"/>
      <c r="C764" s="3"/>
      <c r="D764" s="3"/>
      <c r="E764" s="3"/>
      <c r="F764" s="4"/>
    </row>
    <row r="765" spans="2:6" ht="12" customHeight="1" x14ac:dyDescent="0.15">
      <c r="B765" s="2"/>
      <c r="C765" s="3"/>
      <c r="D765" s="3"/>
      <c r="E765" s="3"/>
      <c r="F765" s="4"/>
    </row>
    <row r="766" spans="2:6" ht="12" customHeight="1" x14ac:dyDescent="0.15">
      <c r="B766" s="2"/>
      <c r="C766" s="3"/>
      <c r="D766" s="3"/>
      <c r="E766" s="3"/>
      <c r="F766" s="4"/>
    </row>
    <row r="767" spans="2:6" ht="12" customHeight="1" x14ac:dyDescent="0.15">
      <c r="B767" s="2"/>
      <c r="C767" s="3"/>
      <c r="D767" s="3"/>
      <c r="E767" s="3"/>
      <c r="F767" s="4"/>
    </row>
    <row r="768" spans="2:6" ht="12" customHeight="1" x14ac:dyDescent="0.15">
      <c r="B768" s="2"/>
      <c r="C768" s="3"/>
      <c r="D768" s="3"/>
      <c r="E768" s="3"/>
      <c r="F768" s="4"/>
    </row>
    <row r="769" spans="2:6" ht="12" customHeight="1" x14ac:dyDescent="0.15">
      <c r="B769" s="2"/>
      <c r="C769" s="3"/>
      <c r="D769" s="3"/>
      <c r="E769" s="3"/>
      <c r="F769" s="4"/>
    </row>
    <row r="770" spans="2:6" ht="12" customHeight="1" x14ac:dyDescent="0.15">
      <c r="B770" s="2"/>
      <c r="C770" s="3"/>
      <c r="D770" s="3"/>
      <c r="E770" s="3"/>
      <c r="F770" s="4"/>
    </row>
    <row r="771" spans="2:6" ht="12" customHeight="1" x14ac:dyDescent="0.15">
      <c r="B771" s="2"/>
      <c r="C771" s="3"/>
      <c r="D771" s="3"/>
      <c r="E771" s="3"/>
      <c r="F771" s="4"/>
    </row>
    <row r="772" spans="2:6" ht="12" customHeight="1" x14ac:dyDescent="0.15">
      <c r="B772" s="2"/>
      <c r="C772" s="3"/>
      <c r="D772" s="3"/>
      <c r="E772" s="3"/>
      <c r="F772" s="4"/>
    </row>
    <row r="773" spans="2:6" ht="12" customHeight="1" x14ac:dyDescent="0.15">
      <c r="B773" s="2"/>
      <c r="C773" s="3"/>
      <c r="D773" s="3"/>
      <c r="E773" s="3"/>
      <c r="F773" s="4"/>
    </row>
    <row r="774" spans="2:6" ht="12" customHeight="1" x14ac:dyDescent="0.15">
      <c r="B774" s="2"/>
      <c r="C774" s="3"/>
      <c r="D774" s="3"/>
      <c r="E774" s="3"/>
      <c r="F774" s="4"/>
    </row>
    <row r="775" spans="2:6" ht="12" customHeight="1" x14ac:dyDescent="0.15">
      <c r="B775" s="2"/>
      <c r="C775" s="3"/>
      <c r="D775" s="3"/>
      <c r="E775" s="3"/>
      <c r="F775" s="4"/>
    </row>
    <row r="776" spans="2:6" ht="12" customHeight="1" x14ac:dyDescent="0.15">
      <c r="B776" s="2"/>
      <c r="C776" s="3"/>
      <c r="D776" s="3"/>
      <c r="E776" s="3"/>
      <c r="F776" s="4"/>
    </row>
    <row r="777" spans="2:6" ht="12" customHeight="1" x14ac:dyDescent="0.15">
      <c r="B777" s="2"/>
      <c r="C777" s="3"/>
      <c r="D777" s="3"/>
      <c r="E777" s="3"/>
      <c r="F777" s="4"/>
    </row>
    <row r="778" spans="2:6" ht="12" customHeight="1" x14ac:dyDescent="0.15">
      <c r="B778" s="2"/>
      <c r="C778" s="3"/>
      <c r="D778" s="3"/>
      <c r="E778" s="3"/>
      <c r="F778" s="4"/>
    </row>
    <row r="779" spans="2:6" ht="12" customHeight="1" x14ac:dyDescent="0.15">
      <c r="B779" s="2"/>
      <c r="C779" s="3"/>
      <c r="D779" s="3"/>
      <c r="E779" s="3"/>
      <c r="F779" s="4"/>
    </row>
    <row r="780" spans="2:6" ht="12" customHeight="1" x14ac:dyDescent="0.15">
      <c r="B780" s="2"/>
      <c r="C780" s="3"/>
      <c r="D780" s="3"/>
      <c r="E780" s="3"/>
      <c r="F780" s="4"/>
    </row>
    <row r="781" spans="2:6" ht="12" customHeight="1" x14ac:dyDescent="0.15">
      <c r="B781" s="2"/>
      <c r="C781" s="3"/>
      <c r="D781" s="3"/>
      <c r="E781" s="3"/>
      <c r="F781" s="4"/>
    </row>
    <row r="782" spans="2:6" ht="12" customHeight="1" x14ac:dyDescent="0.15">
      <c r="B782" s="2"/>
      <c r="C782" s="3"/>
      <c r="D782" s="3"/>
      <c r="E782" s="3"/>
      <c r="F782" s="4"/>
    </row>
    <row r="783" spans="2:6" ht="12" customHeight="1" x14ac:dyDescent="0.15">
      <c r="B783" s="2"/>
      <c r="C783" s="3"/>
      <c r="D783" s="3"/>
      <c r="E783" s="3"/>
      <c r="F783" s="4"/>
    </row>
    <row r="784" spans="2:6" ht="12" customHeight="1" x14ac:dyDescent="0.15">
      <c r="B784" s="2"/>
      <c r="C784" s="3"/>
      <c r="D784" s="3"/>
      <c r="E784" s="3"/>
      <c r="F784" s="4"/>
    </row>
    <row r="785" spans="2:6" ht="12" customHeight="1" x14ac:dyDescent="0.15">
      <c r="B785" s="2"/>
      <c r="C785" s="3"/>
      <c r="D785" s="3"/>
      <c r="E785" s="3"/>
      <c r="F785" s="4"/>
    </row>
    <row r="786" spans="2:6" ht="12" customHeight="1" x14ac:dyDescent="0.15">
      <c r="B786" s="2"/>
      <c r="C786" s="3"/>
      <c r="D786" s="3"/>
      <c r="E786" s="3"/>
      <c r="F786" s="4"/>
    </row>
    <row r="787" spans="2:6" ht="12" customHeight="1" x14ac:dyDescent="0.15">
      <c r="B787" s="2"/>
      <c r="C787" s="3"/>
      <c r="D787" s="3"/>
      <c r="E787" s="3"/>
      <c r="F787" s="4"/>
    </row>
    <row r="788" spans="2:6" ht="12" customHeight="1" x14ac:dyDescent="0.15">
      <c r="B788" s="2"/>
      <c r="C788" s="3"/>
      <c r="D788" s="3"/>
      <c r="E788" s="3"/>
      <c r="F788" s="4"/>
    </row>
    <row r="789" spans="2:6" ht="12" customHeight="1" x14ac:dyDescent="0.15">
      <c r="B789" s="2"/>
      <c r="C789" s="3"/>
      <c r="D789" s="3"/>
      <c r="E789" s="3"/>
      <c r="F789" s="4"/>
    </row>
    <row r="790" spans="2:6" ht="12" customHeight="1" x14ac:dyDescent="0.15">
      <c r="B790" s="2"/>
      <c r="C790" s="3"/>
      <c r="D790" s="3"/>
      <c r="E790" s="3"/>
      <c r="F790" s="4"/>
    </row>
    <row r="791" spans="2:6" ht="12" customHeight="1" x14ac:dyDescent="0.15">
      <c r="B791" s="2"/>
      <c r="C791" s="3"/>
      <c r="D791" s="3"/>
      <c r="E791" s="3"/>
      <c r="F791" s="4"/>
    </row>
    <row r="792" spans="2:6" ht="12" customHeight="1" x14ac:dyDescent="0.15">
      <c r="B792" s="2"/>
      <c r="C792" s="3"/>
      <c r="D792" s="3"/>
      <c r="E792" s="3"/>
      <c r="F792" s="4"/>
    </row>
    <row r="793" spans="2:6" ht="12" customHeight="1" x14ac:dyDescent="0.15">
      <c r="B793" s="2"/>
      <c r="C793" s="3"/>
      <c r="D793" s="3"/>
      <c r="E793" s="3"/>
      <c r="F793" s="4"/>
    </row>
    <row r="794" spans="2:6" ht="12" customHeight="1" x14ac:dyDescent="0.15">
      <c r="B794" s="2"/>
      <c r="C794" s="3"/>
      <c r="D794" s="3"/>
      <c r="E794" s="3"/>
      <c r="F794" s="4"/>
    </row>
    <row r="795" spans="2:6" ht="12" customHeight="1" x14ac:dyDescent="0.15">
      <c r="B795" s="2"/>
      <c r="C795" s="3"/>
      <c r="D795" s="3"/>
      <c r="E795" s="3"/>
      <c r="F795" s="4"/>
    </row>
    <row r="796" spans="2:6" ht="12" customHeight="1" x14ac:dyDescent="0.15">
      <c r="B796" s="2"/>
      <c r="C796" s="3"/>
      <c r="D796" s="3"/>
      <c r="E796" s="3"/>
      <c r="F796" s="4"/>
    </row>
    <row r="797" spans="2:6" ht="12" customHeight="1" x14ac:dyDescent="0.15">
      <c r="B797" s="2"/>
      <c r="C797" s="3"/>
      <c r="D797" s="3"/>
      <c r="E797" s="3"/>
      <c r="F797" s="4"/>
    </row>
    <row r="798" spans="2:6" ht="12" customHeight="1" x14ac:dyDescent="0.15">
      <c r="B798" s="2"/>
      <c r="C798" s="3"/>
      <c r="D798" s="3"/>
      <c r="E798" s="3"/>
      <c r="F798" s="4"/>
    </row>
    <row r="799" spans="2:6" ht="12" customHeight="1" x14ac:dyDescent="0.15">
      <c r="B799" s="2"/>
      <c r="C799" s="3"/>
      <c r="D799" s="3"/>
      <c r="E799" s="3"/>
      <c r="F799" s="4"/>
    </row>
    <row r="800" spans="2:6" ht="12" customHeight="1" x14ac:dyDescent="0.15">
      <c r="B800" s="2"/>
      <c r="C800" s="3"/>
      <c r="D800" s="3"/>
      <c r="E800" s="3"/>
      <c r="F800" s="4"/>
    </row>
    <row r="801" spans="2:6" ht="12" customHeight="1" x14ac:dyDescent="0.15">
      <c r="B801" s="2"/>
      <c r="C801" s="3"/>
      <c r="D801" s="3"/>
      <c r="E801" s="3"/>
      <c r="F801" s="4"/>
    </row>
    <row r="802" spans="2:6" ht="12" customHeight="1" x14ac:dyDescent="0.15">
      <c r="B802" s="2"/>
      <c r="C802" s="3"/>
      <c r="D802" s="3"/>
      <c r="E802" s="3"/>
      <c r="F802" s="4"/>
    </row>
    <row r="803" spans="2:6" ht="12" customHeight="1" x14ac:dyDescent="0.15">
      <c r="B803" s="2"/>
      <c r="C803" s="3"/>
      <c r="D803" s="3"/>
      <c r="E803" s="3"/>
      <c r="F803" s="4"/>
    </row>
    <row r="804" spans="2:6" ht="12" customHeight="1" x14ac:dyDescent="0.15">
      <c r="B804" s="2"/>
      <c r="C804" s="3"/>
      <c r="D804" s="3"/>
      <c r="E804" s="3"/>
      <c r="F804" s="4"/>
    </row>
    <row r="805" spans="2:6" ht="12" customHeight="1" x14ac:dyDescent="0.15">
      <c r="B805" s="2"/>
      <c r="C805" s="3"/>
      <c r="D805" s="3"/>
      <c r="E805" s="3"/>
      <c r="F805" s="4"/>
    </row>
    <row r="806" spans="2:6" ht="12" customHeight="1" x14ac:dyDescent="0.15">
      <c r="B806" s="2"/>
      <c r="C806" s="3"/>
      <c r="D806" s="3"/>
      <c r="E806" s="3"/>
      <c r="F806" s="4"/>
    </row>
    <row r="807" spans="2:6" ht="12" customHeight="1" x14ac:dyDescent="0.15">
      <c r="B807" s="2"/>
      <c r="C807" s="3"/>
      <c r="D807" s="3"/>
      <c r="E807" s="3"/>
      <c r="F807" s="4"/>
    </row>
    <row r="808" spans="2:6" ht="12" customHeight="1" x14ac:dyDescent="0.15">
      <c r="B808" s="2"/>
      <c r="C808" s="3"/>
      <c r="D808" s="3"/>
      <c r="E808" s="3"/>
      <c r="F808" s="4"/>
    </row>
    <row r="809" spans="2:6" ht="12" customHeight="1" x14ac:dyDescent="0.15">
      <c r="B809" s="2"/>
      <c r="C809" s="3"/>
      <c r="D809" s="3"/>
      <c r="E809" s="3"/>
      <c r="F809" s="4"/>
    </row>
    <row r="810" spans="2:6" ht="12" customHeight="1" x14ac:dyDescent="0.15">
      <c r="B810" s="2"/>
      <c r="C810" s="3"/>
      <c r="D810" s="3"/>
      <c r="E810" s="3"/>
      <c r="F810" s="4"/>
    </row>
    <row r="811" spans="2:6" ht="12" customHeight="1" x14ac:dyDescent="0.15">
      <c r="B811" s="2"/>
      <c r="C811" s="3"/>
      <c r="D811" s="3"/>
      <c r="E811" s="3"/>
      <c r="F811" s="4"/>
    </row>
    <row r="812" spans="2:6" ht="12" customHeight="1" x14ac:dyDescent="0.15">
      <c r="B812" s="2"/>
      <c r="C812" s="3"/>
      <c r="D812" s="3"/>
      <c r="E812" s="3"/>
      <c r="F812" s="4"/>
    </row>
    <row r="813" spans="2:6" ht="12" customHeight="1" x14ac:dyDescent="0.15">
      <c r="B813" s="2"/>
      <c r="C813" s="3"/>
      <c r="D813" s="3"/>
      <c r="E813" s="3"/>
      <c r="F813" s="4"/>
    </row>
    <row r="814" spans="2:6" ht="12" customHeight="1" x14ac:dyDescent="0.15">
      <c r="B814" s="2"/>
      <c r="C814" s="3"/>
      <c r="D814" s="3"/>
      <c r="E814" s="3"/>
      <c r="F814" s="4"/>
    </row>
    <row r="815" spans="2:6" ht="12" customHeight="1" x14ac:dyDescent="0.15">
      <c r="B815" s="2"/>
      <c r="C815" s="3"/>
      <c r="D815" s="3"/>
      <c r="E815" s="3"/>
      <c r="F815" s="4"/>
    </row>
    <row r="816" spans="2:6" ht="12" customHeight="1" x14ac:dyDescent="0.15">
      <c r="B816" s="2"/>
      <c r="C816" s="3"/>
      <c r="D816" s="3"/>
      <c r="E816" s="3"/>
      <c r="F816" s="4"/>
    </row>
    <row r="817" spans="2:6" ht="12" customHeight="1" x14ac:dyDescent="0.15">
      <c r="B817" s="2"/>
      <c r="C817" s="3"/>
      <c r="D817" s="3"/>
      <c r="E817" s="3"/>
      <c r="F817" s="4"/>
    </row>
    <row r="818" spans="2:6" ht="12" customHeight="1" x14ac:dyDescent="0.15">
      <c r="B818" s="2"/>
      <c r="C818" s="3"/>
      <c r="D818" s="3"/>
      <c r="E818" s="3"/>
      <c r="F818" s="4"/>
    </row>
    <row r="819" spans="2:6" ht="12" customHeight="1" x14ac:dyDescent="0.15">
      <c r="B819" s="2"/>
      <c r="C819" s="3"/>
      <c r="D819" s="3"/>
      <c r="E819" s="3"/>
      <c r="F819" s="4"/>
    </row>
    <row r="820" spans="2:6" ht="12" customHeight="1" x14ac:dyDescent="0.15">
      <c r="B820" s="2"/>
      <c r="C820" s="3"/>
      <c r="D820" s="3"/>
      <c r="E820" s="3"/>
      <c r="F820" s="4"/>
    </row>
    <row r="821" spans="2:6" ht="12" customHeight="1" x14ac:dyDescent="0.15">
      <c r="B821" s="2"/>
      <c r="C821" s="3"/>
      <c r="D821" s="3"/>
      <c r="E821" s="3"/>
      <c r="F821" s="4"/>
    </row>
    <row r="822" spans="2:6" ht="12" customHeight="1" x14ac:dyDescent="0.15">
      <c r="B822" s="2"/>
      <c r="C822" s="3"/>
      <c r="D822" s="3"/>
      <c r="E822" s="3"/>
      <c r="F822" s="4"/>
    </row>
    <row r="823" spans="2:6" ht="12" customHeight="1" x14ac:dyDescent="0.15">
      <c r="B823" s="2"/>
      <c r="C823" s="3"/>
      <c r="D823" s="3"/>
      <c r="E823" s="3"/>
      <c r="F823" s="4"/>
    </row>
    <row r="824" spans="2:6" ht="12" customHeight="1" x14ac:dyDescent="0.15">
      <c r="B824" s="2"/>
      <c r="C824" s="3"/>
      <c r="D824" s="3"/>
      <c r="E824" s="3"/>
      <c r="F824" s="4"/>
    </row>
    <row r="825" spans="2:6" ht="12" customHeight="1" x14ac:dyDescent="0.15">
      <c r="B825" s="2"/>
      <c r="C825" s="3"/>
      <c r="D825" s="3"/>
      <c r="E825" s="3"/>
      <c r="F825" s="4"/>
    </row>
    <row r="826" spans="2:6" ht="12" customHeight="1" x14ac:dyDescent="0.15">
      <c r="B826" s="2"/>
      <c r="C826" s="3"/>
      <c r="D826" s="3"/>
      <c r="E826" s="3"/>
      <c r="F826" s="4"/>
    </row>
    <row r="827" spans="2:6" ht="12" customHeight="1" x14ac:dyDescent="0.15">
      <c r="B827" s="2"/>
      <c r="C827" s="3"/>
      <c r="D827" s="3"/>
      <c r="E827" s="3"/>
      <c r="F827" s="4"/>
    </row>
    <row r="828" spans="2:6" ht="12" customHeight="1" x14ac:dyDescent="0.15">
      <c r="B828" s="2"/>
      <c r="C828" s="3"/>
      <c r="D828" s="3"/>
      <c r="E828" s="3"/>
      <c r="F828" s="4"/>
    </row>
    <row r="829" spans="2:6" ht="12" customHeight="1" x14ac:dyDescent="0.15">
      <c r="B829" s="2"/>
      <c r="C829" s="3"/>
      <c r="D829" s="3"/>
      <c r="E829" s="3"/>
      <c r="F829" s="4"/>
    </row>
    <row r="830" spans="2:6" ht="12" customHeight="1" x14ac:dyDescent="0.15">
      <c r="B830" s="2"/>
      <c r="C830" s="3"/>
      <c r="D830" s="3"/>
      <c r="E830" s="3"/>
      <c r="F830" s="4"/>
    </row>
    <row r="831" spans="2:6" ht="12" customHeight="1" x14ac:dyDescent="0.15">
      <c r="B831" s="2"/>
      <c r="C831" s="3"/>
      <c r="D831" s="3"/>
      <c r="E831" s="3"/>
      <c r="F831" s="4"/>
    </row>
    <row r="832" spans="2:6" ht="12" customHeight="1" x14ac:dyDescent="0.15">
      <c r="B832" s="2"/>
      <c r="C832" s="3"/>
      <c r="D832" s="3"/>
      <c r="E832" s="3"/>
      <c r="F832" s="4"/>
    </row>
    <row r="833" spans="2:6" ht="12" customHeight="1" x14ac:dyDescent="0.15">
      <c r="B833" s="2"/>
      <c r="C833" s="3"/>
      <c r="D833" s="3"/>
      <c r="E833" s="3"/>
      <c r="F833" s="4"/>
    </row>
    <row r="834" spans="2:6" ht="12" customHeight="1" x14ac:dyDescent="0.15">
      <c r="B834" s="2"/>
      <c r="C834" s="3"/>
      <c r="D834" s="3"/>
      <c r="E834" s="3"/>
      <c r="F834" s="4"/>
    </row>
    <row r="835" spans="2:6" ht="12" customHeight="1" x14ac:dyDescent="0.15">
      <c r="B835" s="2"/>
      <c r="C835" s="3"/>
      <c r="D835" s="3"/>
      <c r="E835" s="3"/>
      <c r="F835" s="4"/>
    </row>
    <row r="836" spans="2:6" ht="12" customHeight="1" x14ac:dyDescent="0.15">
      <c r="B836" s="2"/>
      <c r="C836" s="3"/>
      <c r="D836" s="3"/>
      <c r="E836" s="3"/>
      <c r="F836" s="4"/>
    </row>
    <row r="837" spans="2:6" ht="12" customHeight="1" x14ac:dyDescent="0.15">
      <c r="B837" s="2"/>
      <c r="C837" s="3"/>
      <c r="D837" s="3"/>
      <c r="E837" s="3"/>
      <c r="F837" s="4"/>
    </row>
    <row r="838" spans="2:6" ht="12" customHeight="1" x14ac:dyDescent="0.15">
      <c r="B838" s="2"/>
      <c r="C838" s="3"/>
      <c r="D838" s="3"/>
      <c r="E838" s="3"/>
      <c r="F838" s="4"/>
    </row>
    <row r="839" spans="2:6" ht="12" customHeight="1" x14ac:dyDescent="0.15">
      <c r="B839" s="2"/>
      <c r="C839" s="3"/>
      <c r="D839" s="3"/>
      <c r="E839" s="3"/>
      <c r="F839" s="4"/>
    </row>
    <row r="840" spans="2:6" ht="12" customHeight="1" x14ac:dyDescent="0.15">
      <c r="B840" s="2"/>
      <c r="C840" s="3"/>
      <c r="D840" s="3"/>
      <c r="E840" s="3"/>
      <c r="F840" s="4"/>
    </row>
    <row r="841" spans="2:6" ht="12" customHeight="1" x14ac:dyDescent="0.15">
      <c r="B841" s="2"/>
      <c r="C841" s="3"/>
      <c r="D841" s="3"/>
      <c r="E841" s="3"/>
      <c r="F841" s="4"/>
    </row>
    <row r="842" spans="2:6" ht="12" customHeight="1" x14ac:dyDescent="0.15">
      <c r="B842" s="2"/>
      <c r="C842" s="3"/>
      <c r="D842" s="3"/>
      <c r="E842" s="3"/>
      <c r="F842" s="4"/>
    </row>
    <row r="843" spans="2:6" ht="12" customHeight="1" x14ac:dyDescent="0.15">
      <c r="B843" s="2"/>
      <c r="C843" s="3"/>
      <c r="D843" s="3"/>
      <c r="E843" s="3"/>
      <c r="F843" s="4"/>
    </row>
    <row r="844" spans="2:6" ht="12" customHeight="1" x14ac:dyDescent="0.15">
      <c r="B844" s="2"/>
      <c r="C844" s="3"/>
      <c r="D844" s="3"/>
      <c r="E844" s="3"/>
      <c r="F844" s="4"/>
    </row>
    <row r="845" spans="2:6" ht="12" customHeight="1" x14ac:dyDescent="0.15">
      <c r="B845" s="2"/>
      <c r="C845" s="3"/>
      <c r="D845" s="3"/>
      <c r="E845" s="3"/>
      <c r="F845" s="4"/>
    </row>
    <row r="846" spans="2:6" ht="12" customHeight="1" x14ac:dyDescent="0.15">
      <c r="B846" s="2"/>
      <c r="C846" s="3"/>
      <c r="D846" s="3"/>
      <c r="E846" s="3"/>
      <c r="F846" s="4"/>
    </row>
    <row r="847" spans="2:6" ht="12" customHeight="1" x14ac:dyDescent="0.15">
      <c r="B847" s="2"/>
      <c r="C847" s="3"/>
      <c r="D847" s="3"/>
      <c r="E847" s="3"/>
      <c r="F847" s="4"/>
    </row>
    <row r="848" spans="2:6" ht="12" customHeight="1" x14ac:dyDescent="0.15">
      <c r="B848" s="2"/>
      <c r="C848" s="3"/>
      <c r="D848" s="3"/>
      <c r="E848" s="3"/>
      <c r="F848" s="4"/>
    </row>
    <row r="849" spans="2:6" ht="12" customHeight="1" x14ac:dyDescent="0.15">
      <c r="B849" s="2"/>
      <c r="C849" s="3"/>
      <c r="D849" s="3"/>
      <c r="E849" s="3"/>
      <c r="F849" s="4"/>
    </row>
    <row r="850" spans="2:6" ht="12" customHeight="1" x14ac:dyDescent="0.15">
      <c r="B850" s="2"/>
      <c r="C850" s="3"/>
      <c r="D850" s="3"/>
      <c r="E850" s="3"/>
      <c r="F850" s="4"/>
    </row>
    <row r="851" spans="2:6" ht="12" customHeight="1" x14ac:dyDescent="0.15">
      <c r="B851" s="2"/>
      <c r="C851" s="3"/>
      <c r="D851" s="3"/>
      <c r="E851" s="3"/>
      <c r="F851" s="4"/>
    </row>
    <row r="852" spans="2:6" ht="12" customHeight="1" x14ac:dyDescent="0.15">
      <c r="B852" s="2"/>
      <c r="C852" s="3"/>
      <c r="D852" s="3"/>
      <c r="E852" s="3"/>
      <c r="F852" s="4"/>
    </row>
    <row r="853" spans="2:6" ht="12" customHeight="1" x14ac:dyDescent="0.15">
      <c r="B853" s="2"/>
      <c r="C853" s="3"/>
      <c r="D853" s="3"/>
      <c r="E853" s="3"/>
      <c r="F853" s="4"/>
    </row>
    <row r="854" spans="2:6" ht="12" customHeight="1" x14ac:dyDescent="0.15">
      <c r="B854" s="2"/>
      <c r="C854" s="3"/>
      <c r="D854" s="3"/>
      <c r="E854" s="3"/>
      <c r="F854" s="4"/>
    </row>
    <row r="855" spans="2:6" ht="12" customHeight="1" x14ac:dyDescent="0.15">
      <c r="B855" s="2"/>
      <c r="C855" s="3"/>
      <c r="D855" s="3"/>
      <c r="E855" s="3"/>
      <c r="F855" s="4"/>
    </row>
    <row r="856" spans="2:6" ht="12" customHeight="1" x14ac:dyDescent="0.15">
      <c r="B856" s="2"/>
      <c r="C856" s="3"/>
      <c r="D856" s="3"/>
      <c r="E856" s="3"/>
      <c r="F856" s="4"/>
    </row>
    <row r="857" spans="2:6" ht="12" customHeight="1" x14ac:dyDescent="0.15">
      <c r="B857" s="2"/>
      <c r="C857" s="3"/>
      <c r="D857" s="3"/>
      <c r="E857" s="3"/>
      <c r="F857" s="4"/>
    </row>
    <row r="858" spans="2:6" ht="12" customHeight="1" x14ac:dyDescent="0.15">
      <c r="B858" s="2"/>
      <c r="C858" s="3"/>
      <c r="D858" s="3"/>
      <c r="E858" s="3"/>
      <c r="F858" s="4"/>
    </row>
    <row r="859" spans="2:6" ht="12" customHeight="1" x14ac:dyDescent="0.15">
      <c r="B859" s="2"/>
      <c r="C859" s="3"/>
      <c r="D859" s="3"/>
      <c r="E859" s="3"/>
      <c r="F859" s="4"/>
    </row>
    <row r="860" spans="2:6" ht="12" customHeight="1" x14ac:dyDescent="0.15">
      <c r="B860" s="2"/>
      <c r="C860" s="3"/>
      <c r="D860" s="3"/>
      <c r="E860" s="3"/>
      <c r="F860" s="4"/>
    </row>
    <row r="861" spans="2:6" ht="12" customHeight="1" x14ac:dyDescent="0.15">
      <c r="B861" s="2"/>
      <c r="C861" s="3"/>
      <c r="D861" s="3"/>
      <c r="E861" s="3"/>
      <c r="F861" s="4"/>
    </row>
    <row r="862" spans="2:6" ht="12" customHeight="1" x14ac:dyDescent="0.15">
      <c r="B862" s="2"/>
      <c r="C862" s="3"/>
      <c r="D862" s="3"/>
      <c r="E862" s="3"/>
      <c r="F862" s="4"/>
    </row>
    <row r="863" spans="2:6" ht="12" customHeight="1" x14ac:dyDescent="0.15">
      <c r="B863" s="2"/>
      <c r="C863" s="3"/>
      <c r="D863" s="3"/>
      <c r="E863" s="3"/>
      <c r="F863" s="4"/>
    </row>
    <row r="864" spans="2:6" ht="12" customHeight="1" x14ac:dyDescent="0.15">
      <c r="B864" s="2"/>
      <c r="C864" s="3"/>
      <c r="D864" s="3"/>
      <c r="E864" s="3"/>
      <c r="F864" s="4"/>
    </row>
    <row r="865" spans="2:6" ht="12" customHeight="1" x14ac:dyDescent="0.15">
      <c r="B865" s="2"/>
      <c r="C865" s="3"/>
      <c r="D865" s="3"/>
      <c r="E865" s="3"/>
      <c r="F865" s="4"/>
    </row>
    <row r="866" spans="2:6" ht="12" customHeight="1" x14ac:dyDescent="0.15">
      <c r="B866" s="2"/>
      <c r="C866" s="3"/>
      <c r="D866" s="3"/>
      <c r="E866" s="3"/>
      <c r="F866" s="4"/>
    </row>
    <row r="867" spans="2:6" ht="12" customHeight="1" x14ac:dyDescent="0.15">
      <c r="B867" s="2"/>
      <c r="C867" s="3"/>
      <c r="D867" s="3"/>
      <c r="E867" s="3"/>
      <c r="F867" s="4"/>
    </row>
    <row r="868" spans="2:6" ht="12" customHeight="1" x14ac:dyDescent="0.15">
      <c r="B868" s="2"/>
      <c r="C868" s="3"/>
      <c r="D868" s="3"/>
      <c r="E868" s="3"/>
      <c r="F868" s="4"/>
    </row>
    <row r="869" spans="2:6" ht="12" customHeight="1" x14ac:dyDescent="0.15">
      <c r="B869" s="2"/>
      <c r="C869" s="3"/>
      <c r="D869" s="3"/>
      <c r="E869" s="3"/>
      <c r="F869" s="4"/>
    </row>
    <row r="870" spans="2:6" ht="12" customHeight="1" x14ac:dyDescent="0.15">
      <c r="B870" s="2"/>
      <c r="C870" s="3"/>
      <c r="D870" s="3"/>
      <c r="E870" s="3"/>
      <c r="F870" s="4"/>
    </row>
    <row r="871" spans="2:6" ht="12" customHeight="1" x14ac:dyDescent="0.15">
      <c r="B871" s="2"/>
      <c r="C871" s="3"/>
      <c r="D871" s="3"/>
      <c r="E871" s="3"/>
      <c r="F871" s="4"/>
    </row>
    <row r="872" spans="2:6" ht="12" customHeight="1" x14ac:dyDescent="0.15">
      <c r="B872" s="2"/>
      <c r="C872" s="3"/>
      <c r="D872" s="3"/>
      <c r="E872" s="3"/>
      <c r="F872" s="4"/>
    </row>
    <row r="873" spans="2:6" ht="12" customHeight="1" x14ac:dyDescent="0.15">
      <c r="B873" s="2"/>
      <c r="C873" s="3"/>
      <c r="D873" s="3"/>
      <c r="E873" s="3"/>
      <c r="F873" s="4"/>
    </row>
    <row r="874" spans="2:6" ht="12" customHeight="1" x14ac:dyDescent="0.15">
      <c r="B874" s="2"/>
      <c r="C874" s="3"/>
      <c r="D874" s="3"/>
      <c r="E874" s="3"/>
      <c r="F874" s="4"/>
    </row>
    <row r="875" spans="2:6" ht="12" customHeight="1" x14ac:dyDescent="0.15">
      <c r="B875" s="2"/>
      <c r="C875" s="3"/>
      <c r="D875" s="3"/>
      <c r="E875" s="3"/>
      <c r="F875" s="4"/>
    </row>
    <row r="876" spans="2:6" ht="12" customHeight="1" x14ac:dyDescent="0.15">
      <c r="B876" s="2"/>
      <c r="C876" s="3"/>
      <c r="D876" s="3"/>
      <c r="E876" s="3"/>
      <c r="F876" s="4"/>
    </row>
    <row r="877" spans="2:6" ht="12" customHeight="1" x14ac:dyDescent="0.15">
      <c r="B877" s="2"/>
      <c r="C877" s="3"/>
      <c r="D877" s="3"/>
      <c r="E877" s="3"/>
      <c r="F877" s="4"/>
    </row>
    <row r="878" spans="2:6" ht="12" customHeight="1" x14ac:dyDescent="0.15">
      <c r="B878" s="2"/>
      <c r="C878" s="3"/>
      <c r="D878" s="3"/>
      <c r="E878" s="3"/>
      <c r="F878" s="4"/>
    </row>
    <row r="879" spans="2:6" ht="12" customHeight="1" x14ac:dyDescent="0.15">
      <c r="B879" s="2"/>
      <c r="C879" s="3"/>
      <c r="D879" s="3"/>
      <c r="E879" s="3"/>
      <c r="F879" s="4"/>
    </row>
    <row r="880" spans="2:6" ht="12" customHeight="1" x14ac:dyDescent="0.15">
      <c r="B880" s="2"/>
      <c r="C880" s="3"/>
      <c r="D880" s="3"/>
      <c r="E880" s="3"/>
      <c r="F880" s="4"/>
    </row>
    <row r="881" spans="2:6" ht="12" customHeight="1" x14ac:dyDescent="0.15">
      <c r="B881" s="2"/>
      <c r="C881" s="3"/>
      <c r="D881" s="3"/>
      <c r="E881" s="3"/>
      <c r="F881" s="4"/>
    </row>
    <row r="882" spans="2:6" ht="12" customHeight="1" x14ac:dyDescent="0.15">
      <c r="B882" s="2"/>
      <c r="C882" s="3"/>
      <c r="D882" s="3"/>
      <c r="E882" s="3"/>
      <c r="F882" s="4"/>
    </row>
    <row r="883" spans="2:6" ht="12" customHeight="1" x14ac:dyDescent="0.15">
      <c r="B883" s="2"/>
      <c r="C883" s="3"/>
      <c r="D883" s="3"/>
      <c r="E883" s="3"/>
      <c r="F883" s="4"/>
    </row>
    <row r="884" spans="2:6" ht="12" customHeight="1" x14ac:dyDescent="0.15">
      <c r="B884" s="2"/>
      <c r="C884" s="3"/>
      <c r="D884" s="3"/>
      <c r="E884" s="3"/>
      <c r="F884" s="4"/>
    </row>
    <row r="885" spans="2:6" ht="12" customHeight="1" x14ac:dyDescent="0.15">
      <c r="B885" s="2"/>
      <c r="C885" s="3"/>
      <c r="D885" s="3"/>
      <c r="E885" s="3"/>
      <c r="F885" s="4"/>
    </row>
    <row r="886" spans="2:6" ht="12" customHeight="1" x14ac:dyDescent="0.15">
      <c r="B886" s="2"/>
      <c r="C886" s="3"/>
      <c r="D886" s="3"/>
      <c r="E886" s="3"/>
      <c r="F886" s="4"/>
    </row>
    <row r="887" spans="2:6" ht="12" customHeight="1" x14ac:dyDescent="0.15">
      <c r="B887" s="2"/>
      <c r="C887" s="3"/>
      <c r="D887" s="3"/>
      <c r="E887" s="3"/>
      <c r="F887" s="4"/>
    </row>
    <row r="888" spans="2:6" ht="12" customHeight="1" x14ac:dyDescent="0.15">
      <c r="B888" s="2"/>
      <c r="C888" s="3"/>
      <c r="D888" s="3"/>
      <c r="E888" s="3"/>
      <c r="F888" s="4"/>
    </row>
    <row r="889" spans="2:6" ht="12" customHeight="1" x14ac:dyDescent="0.15">
      <c r="B889" s="2"/>
      <c r="C889" s="3"/>
      <c r="D889" s="3"/>
      <c r="E889" s="3"/>
      <c r="F889" s="4"/>
    </row>
    <row r="890" spans="2:6" ht="12" customHeight="1" x14ac:dyDescent="0.15">
      <c r="B890" s="2"/>
      <c r="C890" s="3"/>
      <c r="D890" s="3"/>
      <c r="E890" s="3"/>
      <c r="F890" s="4"/>
    </row>
    <row r="891" spans="2:6" ht="12" customHeight="1" x14ac:dyDescent="0.15">
      <c r="B891" s="2"/>
      <c r="C891" s="3"/>
      <c r="D891" s="3"/>
      <c r="E891" s="3"/>
      <c r="F891" s="4"/>
    </row>
    <row r="892" spans="2:6" ht="12" customHeight="1" x14ac:dyDescent="0.15">
      <c r="B892" s="2"/>
      <c r="C892" s="3"/>
      <c r="D892" s="3"/>
      <c r="E892" s="3"/>
      <c r="F892" s="4"/>
    </row>
    <row r="893" spans="2:6" ht="12" customHeight="1" x14ac:dyDescent="0.15">
      <c r="B893" s="2"/>
      <c r="C893" s="3"/>
      <c r="D893" s="3"/>
      <c r="E893" s="3"/>
      <c r="F893" s="4"/>
    </row>
    <row r="894" spans="2:6" ht="12" customHeight="1" x14ac:dyDescent="0.15">
      <c r="B894" s="2"/>
      <c r="C894" s="3"/>
      <c r="D894" s="3"/>
      <c r="E894" s="3"/>
      <c r="F894" s="4"/>
    </row>
    <row r="895" spans="2:6" ht="12" customHeight="1" x14ac:dyDescent="0.15">
      <c r="B895" s="2"/>
      <c r="C895" s="3"/>
      <c r="D895" s="3"/>
      <c r="E895" s="3"/>
      <c r="F895" s="4"/>
    </row>
    <row r="896" spans="2:6" ht="12" customHeight="1" x14ac:dyDescent="0.15">
      <c r="B896" s="2"/>
      <c r="C896" s="3"/>
      <c r="D896" s="3"/>
      <c r="E896" s="3"/>
      <c r="F896" s="4"/>
    </row>
    <row r="897" spans="2:6" ht="12" customHeight="1" x14ac:dyDescent="0.15">
      <c r="B897" s="2"/>
      <c r="C897" s="3"/>
      <c r="D897" s="3"/>
      <c r="E897" s="3"/>
      <c r="F897" s="4"/>
    </row>
    <row r="898" spans="2:6" ht="12" customHeight="1" x14ac:dyDescent="0.15">
      <c r="B898" s="2"/>
      <c r="C898" s="3"/>
      <c r="D898" s="3"/>
      <c r="E898" s="3"/>
      <c r="F898" s="4"/>
    </row>
    <row r="899" spans="2:6" ht="12" customHeight="1" x14ac:dyDescent="0.15">
      <c r="B899" s="2"/>
      <c r="C899" s="3"/>
      <c r="D899" s="3"/>
      <c r="E899" s="3"/>
      <c r="F899" s="4"/>
    </row>
    <row r="900" spans="2:6" ht="12" customHeight="1" x14ac:dyDescent="0.15">
      <c r="B900" s="2"/>
      <c r="C900" s="3"/>
      <c r="D900" s="3"/>
      <c r="E900" s="3"/>
      <c r="F900" s="4"/>
    </row>
    <row r="901" spans="2:6" ht="12" customHeight="1" x14ac:dyDescent="0.15">
      <c r="B901" s="2"/>
      <c r="C901" s="3"/>
      <c r="D901" s="3"/>
      <c r="E901" s="3"/>
      <c r="F901" s="4"/>
    </row>
    <row r="902" spans="2:6" ht="12" customHeight="1" x14ac:dyDescent="0.15">
      <c r="B902" s="2"/>
      <c r="C902" s="3"/>
      <c r="D902" s="3"/>
      <c r="E902" s="3"/>
      <c r="F902" s="4"/>
    </row>
    <row r="903" spans="2:6" ht="12" customHeight="1" x14ac:dyDescent="0.15">
      <c r="B903" s="2"/>
      <c r="C903" s="3"/>
      <c r="D903" s="3"/>
      <c r="E903" s="3"/>
      <c r="F903" s="4"/>
    </row>
    <row r="904" spans="2:6" ht="12" customHeight="1" x14ac:dyDescent="0.15">
      <c r="B904" s="2"/>
      <c r="C904" s="3"/>
      <c r="D904" s="3"/>
      <c r="E904" s="3"/>
      <c r="F904" s="4"/>
    </row>
    <row r="905" spans="2:6" ht="12" customHeight="1" x14ac:dyDescent="0.15">
      <c r="B905" s="2"/>
      <c r="C905" s="3"/>
      <c r="D905" s="3"/>
      <c r="E905" s="3"/>
      <c r="F905" s="4"/>
    </row>
    <row r="906" spans="2:6" ht="12" customHeight="1" x14ac:dyDescent="0.15">
      <c r="B906" s="2"/>
      <c r="C906" s="3"/>
      <c r="D906" s="3"/>
      <c r="E906" s="3"/>
      <c r="F906" s="4"/>
    </row>
    <row r="907" spans="2:6" ht="12" customHeight="1" x14ac:dyDescent="0.15">
      <c r="B907" s="2"/>
      <c r="C907" s="3"/>
      <c r="D907" s="3"/>
      <c r="E907" s="3"/>
      <c r="F907" s="4"/>
    </row>
    <row r="908" spans="2:6" ht="12" customHeight="1" x14ac:dyDescent="0.15">
      <c r="B908" s="2"/>
      <c r="C908" s="3"/>
      <c r="D908" s="3"/>
      <c r="E908" s="3"/>
      <c r="F908" s="4"/>
    </row>
    <row r="909" spans="2:6" ht="12" customHeight="1" x14ac:dyDescent="0.15">
      <c r="B909" s="2"/>
      <c r="C909" s="3"/>
      <c r="D909" s="3"/>
      <c r="E909" s="3"/>
      <c r="F909" s="4"/>
    </row>
    <row r="910" spans="2:6" ht="12" customHeight="1" x14ac:dyDescent="0.15">
      <c r="B910" s="2"/>
      <c r="C910" s="3"/>
      <c r="D910" s="3"/>
      <c r="E910" s="3"/>
      <c r="F910" s="4"/>
    </row>
    <row r="911" spans="2:6" ht="12" customHeight="1" x14ac:dyDescent="0.15">
      <c r="B911" s="2"/>
      <c r="C911" s="3"/>
      <c r="D911" s="3"/>
      <c r="E911" s="3"/>
      <c r="F911" s="4"/>
    </row>
    <row r="912" spans="2:6" ht="12" customHeight="1" x14ac:dyDescent="0.15">
      <c r="B912" s="2"/>
      <c r="C912" s="3"/>
      <c r="D912" s="3"/>
      <c r="E912" s="3"/>
      <c r="F912" s="4"/>
    </row>
    <row r="913" spans="2:6" ht="12" customHeight="1" x14ac:dyDescent="0.15">
      <c r="B913" s="2"/>
      <c r="C913" s="3"/>
      <c r="D913" s="3"/>
      <c r="E913" s="3"/>
      <c r="F913" s="4"/>
    </row>
    <row r="914" spans="2:6" ht="12" customHeight="1" x14ac:dyDescent="0.15">
      <c r="B914" s="2"/>
      <c r="C914" s="3"/>
      <c r="D914" s="3"/>
      <c r="E914" s="3"/>
      <c r="F914" s="4"/>
    </row>
    <row r="915" spans="2:6" ht="12" customHeight="1" x14ac:dyDescent="0.15">
      <c r="B915" s="2"/>
      <c r="C915" s="3"/>
      <c r="D915" s="3"/>
      <c r="E915" s="3"/>
      <c r="F915" s="4"/>
    </row>
    <row r="916" spans="2:6" ht="12" customHeight="1" x14ac:dyDescent="0.15">
      <c r="B916" s="2"/>
      <c r="C916" s="3"/>
      <c r="D916" s="3"/>
      <c r="E916" s="3"/>
      <c r="F916" s="4"/>
    </row>
    <row r="917" spans="2:6" ht="12" customHeight="1" x14ac:dyDescent="0.15">
      <c r="B917" s="2"/>
      <c r="C917" s="3"/>
      <c r="D917" s="3"/>
      <c r="E917" s="3"/>
      <c r="F917" s="4"/>
    </row>
    <row r="918" spans="2:6" ht="12" customHeight="1" x14ac:dyDescent="0.15">
      <c r="B918" s="2"/>
      <c r="C918" s="3"/>
      <c r="D918" s="3"/>
      <c r="E918" s="3"/>
      <c r="F918" s="4"/>
    </row>
    <row r="919" spans="2:6" ht="12" customHeight="1" x14ac:dyDescent="0.15">
      <c r="B919" s="2"/>
      <c r="C919" s="3"/>
      <c r="D919" s="3"/>
      <c r="E919" s="3"/>
      <c r="F919" s="4"/>
    </row>
    <row r="920" spans="2:6" ht="12" customHeight="1" x14ac:dyDescent="0.15">
      <c r="B920" s="2"/>
      <c r="C920" s="3"/>
      <c r="D920" s="3"/>
      <c r="E920" s="3"/>
      <c r="F920" s="4"/>
    </row>
    <row r="921" spans="2:6" ht="12" customHeight="1" x14ac:dyDescent="0.15">
      <c r="B921" s="2"/>
      <c r="C921" s="3"/>
      <c r="D921" s="3"/>
      <c r="E921" s="3"/>
      <c r="F921" s="4"/>
    </row>
    <row r="922" spans="2:6" ht="12" customHeight="1" x14ac:dyDescent="0.15">
      <c r="B922" s="2"/>
      <c r="C922" s="3"/>
      <c r="D922" s="3"/>
      <c r="E922" s="3"/>
      <c r="F922" s="4"/>
    </row>
    <row r="923" spans="2:6" ht="12" customHeight="1" x14ac:dyDescent="0.15">
      <c r="B923" s="2"/>
      <c r="C923" s="3"/>
      <c r="D923" s="3"/>
      <c r="E923" s="3"/>
      <c r="F923" s="4"/>
    </row>
    <row r="924" spans="2:6" ht="12" customHeight="1" x14ac:dyDescent="0.15">
      <c r="B924" s="2"/>
      <c r="C924" s="3"/>
      <c r="D924" s="3"/>
      <c r="E924" s="3"/>
      <c r="F924" s="4"/>
    </row>
    <row r="925" spans="2:6" ht="12" customHeight="1" x14ac:dyDescent="0.15">
      <c r="B925" s="2"/>
      <c r="C925" s="3"/>
      <c r="D925" s="3"/>
      <c r="E925" s="3"/>
      <c r="F925" s="4"/>
    </row>
    <row r="926" spans="2:6" ht="12" customHeight="1" x14ac:dyDescent="0.15">
      <c r="B926" s="2"/>
      <c r="C926" s="3"/>
      <c r="D926" s="3"/>
      <c r="E926" s="3"/>
      <c r="F926" s="4"/>
    </row>
    <row r="927" spans="2:6" ht="12" customHeight="1" x14ac:dyDescent="0.15">
      <c r="B927" s="2"/>
      <c r="C927" s="3"/>
      <c r="D927" s="3"/>
      <c r="E927" s="3"/>
      <c r="F927" s="4"/>
    </row>
    <row r="928" spans="2:6" ht="12" customHeight="1" x14ac:dyDescent="0.15">
      <c r="B928" s="2"/>
      <c r="C928" s="3"/>
      <c r="D928" s="3"/>
      <c r="E928" s="3"/>
      <c r="F928" s="4"/>
    </row>
    <row r="929" spans="2:6" ht="12" customHeight="1" x14ac:dyDescent="0.15">
      <c r="B929" s="2"/>
      <c r="C929" s="3"/>
      <c r="D929" s="3"/>
      <c r="E929" s="3"/>
      <c r="F929" s="4"/>
    </row>
    <row r="930" spans="2:6" ht="12" customHeight="1" x14ac:dyDescent="0.15">
      <c r="B930" s="2"/>
      <c r="C930" s="3"/>
      <c r="D930" s="3"/>
      <c r="E930" s="3"/>
      <c r="F930" s="4"/>
    </row>
    <row r="931" spans="2:6" ht="12" customHeight="1" x14ac:dyDescent="0.15">
      <c r="B931" s="2"/>
      <c r="C931" s="3"/>
      <c r="D931" s="3"/>
      <c r="E931" s="3"/>
      <c r="F931" s="4"/>
    </row>
    <row r="932" spans="2:6" ht="12" customHeight="1" x14ac:dyDescent="0.15">
      <c r="B932" s="2"/>
      <c r="C932" s="3"/>
      <c r="D932" s="3"/>
      <c r="E932" s="3"/>
      <c r="F932" s="4"/>
    </row>
    <row r="933" spans="2:6" ht="12" customHeight="1" x14ac:dyDescent="0.15">
      <c r="B933" s="2"/>
      <c r="C933" s="3"/>
      <c r="D933" s="3"/>
      <c r="E933" s="3"/>
      <c r="F933" s="4"/>
    </row>
    <row r="934" spans="2:6" ht="12" customHeight="1" x14ac:dyDescent="0.15">
      <c r="B934" s="2"/>
      <c r="C934" s="3"/>
      <c r="D934" s="3"/>
      <c r="E934" s="3"/>
      <c r="F934" s="4"/>
    </row>
    <row r="935" spans="2:6" ht="12" customHeight="1" x14ac:dyDescent="0.15">
      <c r="B935" s="2"/>
      <c r="C935" s="3"/>
      <c r="D935" s="3"/>
      <c r="E935" s="3"/>
      <c r="F935" s="4"/>
    </row>
    <row r="936" spans="2:6" ht="12" customHeight="1" x14ac:dyDescent="0.15">
      <c r="B936" s="2"/>
      <c r="C936" s="3"/>
      <c r="D936" s="3"/>
      <c r="E936" s="3"/>
      <c r="F936" s="4"/>
    </row>
    <row r="937" spans="2:6" ht="12" customHeight="1" x14ac:dyDescent="0.15">
      <c r="B937" s="2"/>
      <c r="C937" s="3"/>
      <c r="D937" s="3"/>
      <c r="E937" s="3"/>
      <c r="F937" s="4"/>
    </row>
    <row r="938" spans="2:6" ht="12" customHeight="1" x14ac:dyDescent="0.15">
      <c r="B938" s="2"/>
      <c r="C938" s="3"/>
      <c r="D938" s="3"/>
      <c r="E938" s="3"/>
      <c r="F938" s="4"/>
    </row>
    <row r="939" spans="2:6" ht="12" customHeight="1" x14ac:dyDescent="0.15">
      <c r="B939" s="2"/>
      <c r="C939" s="3"/>
      <c r="D939" s="3"/>
      <c r="E939" s="3"/>
      <c r="F939" s="4"/>
    </row>
    <row r="940" spans="2:6" ht="12" customHeight="1" x14ac:dyDescent="0.15">
      <c r="B940" s="2"/>
      <c r="C940" s="3"/>
      <c r="D940" s="3"/>
      <c r="E940" s="3"/>
      <c r="F940" s="4"/>
    </row>
    <row r="941" spans="2:6" ht="12" customHeight="1" x14ac:dyDescent="0.15">
      <c r="B941" s="2"/>
      <c r="C941" s="3"/>
      <c r="D941" s="3"/>
      <c r="E941" s="3"/>
      <c r="F941" s="4"/>
    </row>
    <row r="942" spans="2:6" ht="12" customHeight="1" x14ac:dyDescent="0.15">
      <c r="B942" s="2"/>
      <c r="C942" s="3"/>
      <c r="D942" s="3"/>
      <c r="E942" s="3"/>
      <c r="F942" s="4"/>
    </row>
    <row r="943" spans="2:6" ht="12" customHeight="1" x14ac:dyDescent="0.15">
      <c r="B943" s="2"/>
      <c r="C943" s="3"/>
      <c r="D943" s="3"/>
      <c r="E943" s="3"/>
      <c r="F943" s="4"/>
    </row>
    <row r="944" spans="2:6" ht="12" customHeight="1" x14ac:dyDescent="0.15">
      <c r="B944" s="2"/>
      <c r="C944" s="3"/>
      <c r="D944" s="3"/>
      <c r="E944" s="3"/>
      <c r="F944" s="4"/>
    </row>
    <row r="945" spans="2:6" ht="12" customHeight="1" x14ac:dyDescent="0.15">
      <c r="B945" s="2"/>
      <c r="C945" s="3"/>
      <c r="D945" s="3"/>
      <c r="E945" s="3"/>
      <c r="F945" s="4"/>
    </row>
    <row r="946" spans="2:6" ht="12" customHeight="1" x14ac:dyDescent="0.15">
      <c r="B946" s="2"/>
      <c r="C946" s="3"/>
      <c r="D946" s="3"/>
      <c r="E946" s="3"/>
      <c r="F946" s="4"/>
    </row>
    <row r="947" spans="2:6" ht="12" customHeight="1" x14ac:dyDescent="0.15">
      <c r="B947" s="2"/>
      <c r="C947" s="3"/>
      <c r="D947" s="3"/>
      <c r="E947" s="3"/>
      <c r="F947" s="4"/>
    </row>
    <row r="948" spans="2:6" ht="12" customHeight="1" x14ac:dyDescent="0.15">
      <c r="B948" s="2"/>
      <c r="C948" s="3"/>
      <c r="D948" s="3"/>
      <c r="E948" s="3"/>
      <c r="F948" s="4"/>
    </row>
    <row r="949" spans="2:6" ht="12" customHeight="1" x14ac:dyDescent="0.15">
      <c r="B949" s="2"/>
      <c r="C949" s="3"/>
      <c r="D949" s="3"/>
      <c r="E949" s="3"/>
      <c r="F949" s="4"/>
    </row>
    <row r="950" spans="2:6" ht="12" customHeight="1" x14ac:dyDescent="0.15">
      <c r="B950" s="2"/>
      <c r="C950" s="3"/>
      <c r="D950" s="3"/>
      <c r="E950" s="3"/>
      <c r="F950" s="4"/>
    </row>
    <row r="951" spans="2:6" ht="12" customHeight="1" x14ac:dyDescent="0.15">
      <c r="B951" s="2"/>
      <c r="C951" s="3"/>
      <c r="D951" s="3"/>
      <c r="E951" s="3"/>
      <c r="F951" s="4"/>
    </row>
    <row r="952" spans="2:6" ht="12" customHeight="1" x14ac:dyDescent="0.15">
      <c r="B952" s="2"/>
      <c r="C952" s="3"/>
      <c r="D952" s="3"/>
      <c r="E952" s="3"/>
      <c r="F952" s="4"/>
    </row>
    <row r="953" spans="2:6" ht="12" customHeight="1" x14ac:dyDescent="0.15">
      <c r="B953" s="2"/>
      <c r="C953" s="3"/>
      <c r="D953" s="3"/>
      <c r="E953" s="3"/>
      <c r="F953" s="4"/>
    </row>
    <row r="954" spans="2:6" ht="12" customHeight="1" x14ac:dyDescent="0.15">
      <c r="B954" s="2"/>
      <c r="C954" s="3"/>
      <c r="D954" s="3"/>
      <c r="E954" s="3"/>
      <c r="F954" s="4"/>
    </row>
    <row r="955" spans="2:6" ht="12" customHeight="1" x14ac:dyDescent="0.15">
      <c r="B955" s="2"/>
      <c r="C955" s="3"/>
      <c r="D955" s="3"/>
      <c r="E955" s="3"/>
      <c r="F955" s="4"/>
    </row>
    <row r="956" spans="2:6" ht="12" customHeight="1" x14ac:dyDescent="0.15">
      <c r="B956" s="2"/>
      <c r="C956" s="3"/>
      <c r="D956" s="3"/>
      <c r="E956" s="3"/>
      <c r="F956" s="4"/>
    </row>
    <row r="957" spans="2:6" ht="12" customHeight="1" x14ac:dyDescent="0.15">
      <c r="B957" s="2"/>
      <c r="C957" s="3"/>
      <c r="D957" s="3"/>
      <c r="E957" s="3"/>
      <c r="F957" s="4"/>
    </row>
    <row r="958" spans="2:6" ht="12" customHeight="1" x14ac:dyDescent="0.15">
      <c r="B958" s="2"/>
      <c r="C958" s="3"/>
      <c r="D958" s="3"/>
      <c r="E958" s="3"/>
      <c r="F958" s="4"/>
    </row>
    <row r="959" spans="2:6" ht="12" customHeight="1" x14ac:dyDescent="0.15">
      <c r="B959" s="2"/>
      <c r="C959" s="3"/>
      <c r="D959" s="3"/>
      <c r="E959" s="3"/>
      <c r="F959" s="4"/>
    </row>
    <row r="960" spans="2:6" ht="12" customHeight="1" x14ac:dyDescent="0.15">
      <c r="B960" s="2"/>
      <c r="C960" s="3"/>
      <c r="D960" s="3"/>
      <c r="E960" s="3"/>
      <c r="F960" s="4"/>
    </row>
    <row r="961" spans="2:6" ht="12" customHeight="1" x14ac:dyDescent="0.15">
      <c r="B961" s="2"/>
      <c r="C961" s="3"/>
      <c r="D961" s="3"/>
      <c r="E961" s="3"/>
      <c r="F961" s="4"/>
    </row>
    <row r="962" spans="2:6" ht="12" customHeight="1" x14ac:dyDescent="0.15">
      <c r="B962" s="2"/>
      <c r="C962" s="3"/>
      <c r="D962" s="3"/>
      <c r="E962" s="3"/>
      <c r="F962" s="4"/>
    </row>
    <row r="963" spans="2:6" ht="12" customHeight="1" x14ac:dyDescent="0.15">
      <c r="B963" s="2"/>
      <c r="C963" s="3"/>
      <c r="D963" s="3"/>
      <c r="E963" s="3"/>
      <c r="F963" s="4"/>
    </row>
    <row r="964" spans="2:6" ht="12" customHeight="1" x14ac:dyDescent="0.15">
      <c r="B964" s="2"/>
      <c r="C964" s="3"/>
      <c r="D964" s="3"/>
      <c r="E964" s="3"/>
      <c r="F964" s="4"/>
    </row>
    <row r="965" spans="2:6" ht="12" customHeight="1" x14ac:dyDescent="0.15">
      <c r="B965" s="2"/>
      <c r="C965" s="3"/>
      <c r="D965" s="3"/>
      <c r="E965" s="3"/>
      <c r="F965" s="4"/>
    </row>
    <row r="966" spans="2:6" ht="12" customHeight="1" x14ac:dyDescent="0.15">
      <c r="B966" s="2"/>
      <c r="C966" s="3"/>
      <c r="D966" s="3"/>
      <c r="E966" s="3"/>
      <c r="F966" s="4"/>
    </row>
    <row r="967" spans="2:6" ht="12" customHeight="1" x14ac:dyDescent="0.15">
      <c r="B967" s="2"/>
      <c r="C967" s="3"/>
      <c r="D967" s="3"/>
      <c r="E967" s="3"/>
      <c r="F967" s="4"/>
    </row>
    <row r="968" spans="2:6" ht="12" customHeight="1" x14ac:dyDescent="0.15">
      <c r="B968" s="2"/>
      <c r="C968" s="3"/>
      <c r="D968" s="3"/>
      <c r="E968" s="3"/>
      <c r="F968" s="4"/>
    </row>
    <row r="969" spans="2:6" ht="12" customHeight="1" x14ac:dyDescent="0.15">
      <c r="B969" s="2"/>
      <c r="C969" s="3"/>
      <c r="D969" s="3"/>
      <c r="E969" s="3"/>
      <c r="F969" s="4"/>
    </row>
    <row r="970" spans="2:6" ht="12" customHeight="1" x14ac:dyDescent="0.15">
      <c r="B970" s="2"/>
      <c r="C970" s="3"/>
      <c r="D970" s="3"/>
      <c r="E970" s="3"/>
      <c r="F970" s="4"/>
    </row>
    <row r="971" spans="2:6" ht="12" customHeight="1" x14ac:dyDescent="0.15">
      <c r="B971" s="2"/>
      <c r="C971" s="3"/>
      <c r="D971" s="3"/>
      <c r="E971" s="3"/>
      <c r="F971" s="4"/>
    </row>
    <row r="972" spans="2:6" ht="12" customHeight="1" x14ac:dyDescent="0.15">
      <c r="B972" s="2"/>
      <c r="C972" s="3"/>
      <c r="D972" s="3"/>
      <c r="E972" s="3"/>
      <c r="F972" s="4"/>
    </row>
    <row r="973" spans="2:6" ht="12" customHeight="1" x14ac:dyDescent="0.15">
      <c r="B973" s="2"/>
      <c r="C973" s="3"/>
      <c r="D973" s="3"/>
      <c r="E973" s="3"/>
      <c r="F973" s="4"/>
    </row>
    <row r="974" spans="2:6" ht="12" customHeight="1" x14ac:dyDescent="0.15">
      <c r="B974" s="2"/>
      <c r="C974" s="3"/>
      <c r="D974" s="3"/>
      <c r="E974" s="3"/>
      <c r="F974" s="4"/>
    </row>
    <row r="975" spans="2:6" ht="12" customHeight="1" x14ac:dyDescent="0.15">
      <c r="B975" s="2"/>
      <c r="C975" s="3"/>
      <c r="D975" s="3"/>
      <c r="E975" s="3"/>
      <c r="F975" s="4"/>
    </row>
    <row r="976" spans="2:6" ht="12" customHeight="1" x14ac:dyDescent="0.15">
      <c r="B976" s="2"/>
      <c r="C976" s="3"/>
      <c r="D976" s="3"/>
      <c r="E976" s="3"/>
      <c r="F976" s="4"/>
    </row>
    <row r="977" spans="2:6" ht="12" customHeight="1" x14ac:dyDescent="0.15">
      <c r="B977" s="2"/>
      <c r="C977" s="3"/>
      <c r="D977" s="3"/>
      <c r="E977" s="3"/>
      <c r="F977" s="4"/>
    </row>
    <row r="978" spans="2:6" ht="12" customHeight="1" x14ac:dyDescent="0.15">
      <c r="B978" s="2"/>
      <c r="C978" s="3"/>
      <c r="D978" s="3"/>
      <c r="E978" s="3"/>
      <c r="F978" s="4"/>
    </row>
    <row r="979" spans="2:6" ht="12" customHeight="1" x14ac:dyDescent="0.15">
      <c r="B979" s="2"/>
      <c r="C979" s="3"/>
      <c r="D979" s="3"/>
      <c r="E979" s="3"/>
      <c r="F979" s="4"/>
    </row>
    <row r="980" spans="2:6" ht="12" customHeight="1" x14ac:dyDescent="0.15">
      <c r="B980" s="2"/>
      <c r="C980" s="3"/>
      <c r="D980" s="3"/>
      <c r="E980" s="3"/>
      <c r="F980" s="4"/>
    </row>
    <row r="981" spans="2:6" ht="12" customHeight="1" x14ac:dyDescent="0.15">
      <c r="B981" s="2"/>
      <c r="C981" s="3"/>
      <c r="D981" s="3"/>
      <c r="E981" s="3"/>
      <c r="F981" s="4"/>
    </row>
    <row r="982" spans="2:6" ht="12" customHeight="1" x14ac:dyDescent="0.15">
      <c r="B982" s="2"/>
      <c r="C982" s="3"/>
      <c r="D982" s="3"/>
      <c r="E982" s="3"/>
      <c r="F982" s="4"/>
    </row>
    <row r="983" spans="2:6" ht="12" customHeight="1" x14ac:dyDescent="0.15">
      <c r="B983" s="2"/>
      <c r="C983" s="3"/>
      <c r="D983" s="3"/>
      <c r="E983" s="3"/>
      <c r="F983" s="4"/>
    </row>
    <row r="984" spans="2:6" ht="12" customHeight="1" x14ac:dyDescent="0.15">
      <c r="B984" s="2"/>
      <c r="C984" s="3"/>
      <c r="D984" s="3"/>
      <c r="E984" s="3"/>
      <c r="F984" s="4"/>
    </row>
    <row r="985" spans="2:6" ht="12" customHeight="1" x14ac:dyDescent="0.15">
      <c r="B985" s="2"/>
      <c r="C985" s="3"/>
      <c r="D985" s="3"/>
      <c r="E985" s="3"/>
      <c r="F985" s="4"/>
    </row>
    <row r="986" spans="2:6" ht="12" customHeight="1" x14ac:dyDescent="0.15">
      <c r="B986" s="2"/>
      <c r="C986" s="3"/>
      <c r="D986" s="3"/>
      <c r="E986" s="3"/>
      <c r="F986" s="4"/>
    </row>
    <row r="987" spans="2:6" ht="12" customHeight="1" x14ac:dyDescent="0.15">
      <c r="B987" s="2"/>
      <c r="C987" s="3"/>
      <c r="D987" s="3"/>
      <c r="E987" s="3"/>
      <c r="F987" s="4"/>
    </row>
    <row r="988" spans="2:6" ht="12" customHeight="1" x14ac:dyDescent="0.15">
      <c r="B988" s="2"/>
      <c r="C988" s="3"/>
      <c r="D988" s="3"/>
      <c r="E988" s="3"/>
      <c r="F988" s="4"/>
    </row>
    <row r="989" spans="2:6" ht="12" customHeight="1" x14ac:dyDescent="0.15">
      <c r="B989" s="2"/>
      <c r="C989" s="3"/>
      <c r="D989" s="3"/>
      <c r="E989" s="3"/>
      <c r="F989" s="4"/>
    </row>
    <row r="990" spans="2:6" ht="12" customHeight="1" x14ac:dyDescent="0.15">
      <c r="B990" s="2"/>
      <c r="C990" s="3"/>
      <c r="D990" s="3"/>
      <c r="E990" s="3"/>
      <c r="F990" s="4"/>
    </row>
    <row r="991" spans="2:6" ht="12" customHeight="1" x14ac:dyDescent="0.15">
      <c r="B991" s="2"/>
      <c r="C991" s="3"/>
      <c r="D991" s="3"/>
      <c r="E991" s="3"/>
      <c r="F991" s="4"/>
    </row>
    <row r="992" spans="2:6" ht="12" customHeight="1" x14ac:dyDescent="0.15">
      <c r="B992" s="2"/>
      <c r="C992" s="3"/>
      <c r="D992" s="3"/>
      <c r="E992" s="3"/>
      <c r="F992" s="4"/>
    </row>
    <row r="993" spans="2:6" ht="12" customHeight="1" x14ac:dyDescent="0.15">
      <c r="B993" s="2"/>
      <c r="C993" s="3"/>
      <c r="D993" s="3"/>
      <c r="E993" s="3"/>
      <c r="F993" s="4"/>
    </row>
    <row r="994" spans="2:6" ht="12" customHeight="1" x14ac:dyDescent="0.15">
      <c r="B994" s="2"/>
      <c r="C994" s="3"/>
      <c r="D994" s="3"/>
      <c r="E994" s="3"/>
      <c r="F994" s="4"/>
    </row>
    <row r="995" spans="2:6" ht="12" customHeight="1" x14ac:dyDescent="0.15">
      <c r="B995" s="2"/>
      <c r="C995" s="3"/>
      <c r="D995" s="3"/>
      <c r="E995" s="3"/>
      <c r="F995" s="4"/>
    </row>
    <row r="996" spans="2:6" ht="12" customHeight="1" x14ac:dyDescent="0.15">
      <c r="B996" s="2"/>
      <c r="C996" s="3"/>
      <c r="D996" s="3"/>
      <c r="E996" s="3"/>
      <c r="F996" s="4"/>
    </row>
    <row r="997" spans="2:6" ht="12" customHeight="1" x14ac:dyDescent="0.15">
      <c r="B997" s="2"/>
      <c r="C997" s="3"/>
      <c r="D997" s="3"/>
      <c r="E997" s="3"/>
      <c r="F997" s="4"/>
    </row>
    <row r="998" spans="2:6" ht="12" customHeight="1" x14ac:dyDescent="0.15">
      <c r="B998" s="2"/>
      <c r="C998" s="3"/>
      <c r="D998" s="3"/>
      <c r="E998" s="3"/>
      <c r="F998" s="4"/>
    </row>
    <row r="999" spans="2:6" ht="12" customHeight="1" x14ac:dyDescent="0.15">
      <c r="B999" s="2"/>
      <c r="C999" s="3"/>
      <c r="D999" s="3"/>
      <c r="E999" s="3"/>
      <c r="F999" s="4"/>
    </row>
    <row r="1000" spans="2:6" ht="12" customHeight="1" x14ac:dyDescent="0.15">
      <c r="B1000" s="2"/>
      <c r="C1000" s="3"/>
      <c r="D1000" s="3"/>
      <c r="E1000" s="3"/>
      <c r="F1000" s="4"/>
    </row>
    <row r="1001" spans="2:6" ht="12" customHeight="1" x14ac:dyDescent="0.15">
      <c r="B1001" s="2"/>
      <c r="C1001" s="3"/>
      <c r="D1001" s="3"/>
      <c r="E1001" s="3"/>
      <c r="F1001" s="4"/>
    </row>
    <row r="1002" spans="2:6" ht="12" customHeight="1" x14ac:dyDescent="0.15">
      <c r="B1002" s="2"/>
      <c r="C1002" s="3"/>
      <c r="D1002" s="3"/>
      <c r="E1002" s="3"/>
      <c r="F1002" s="4"/>
    </row>
  </sheetData>
  <mergeCells count="2">
    <mergeCell ref="A1:F1"/>
    <mergeCell ref="D6:E6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/>
    <pageSetUpPr fitToPage="1"/>
  </sheetPr>
  <dimension ref="A1:Z1003"/>
  <sheetViews>
    <sheetView topLeftCell="A5" workbookViewId="0">
      <selection activeCell="C61" sqref="C61"/>
    </sheetView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3" width="13.1640625" customWidth="1"/>
    <col min="4" max="4" width="13" customWidth="1"/>
    <col min="5" max="5" width="14.83203125" customWidth="1"/>
    <col min="6" max="6" width="13" customWidth="1"/>
    <col min="7" max="7" width="4.5" customWidth="1"/>
  </cols>
  <sheetData>
    <row r="1" spans="1:26" ht="54" customHeight="1" x14ac:dyDescent="0.15">
      <c r="A1" s="434"/>
      <c r="B1" s="435"/>
      <c r="C1" s="435"/>
      <c r="D1" s="435"/>
      <c r="E1" s="435"/>
      <c r="F1" s="435"/>
    </row>
    <row r="2" spans="1:26" ht="12" customHeight="1" x14ac:dyDescent="0.15">
      <c r="B2" s="2"/>
      <c r="C2" s="3"/>
      <c r="D2" s="3"/>
      <c r="E2" s="3"/>
      <c r="F2" s="4"/>
    </row>
    <row r="3" spans="1:26" ht="18.75" customHeight="1" x14ac:dyDescent="0.2">
      <c r="A3" s="5" t="s">
        <v>0</v>
      </c>
      <c r="C3" s="3"/>
      <c r="D3" s="3"/>
      <c r="E3" s="3"/>
      <c r="F3" s="4"/>
    </row>
    <row r="4" spans="1:26" ht="12" customHeight="1" x14ac:dyDescent="0.15">
      <c r="A4" s="2" t="s">
        <v>1</v>
      </c>
      <c r="C4" s="3"/>
      <c r="D4" s="3"/>
      <c r="E4" s="3"/>
      <c r="F4" s="4"/>
    </row>
    <row r="5" spans="1:26" ht="12" customHeight="1" x14ac:dyDescent="0.15">
      <c r="A5" s="2"/>
      <c r="B5" s="274" t="s">
        <v>425</v>
      </c>
      <c r="C5" s="3"/>
      <c r="D5" s="3"/>
      <c r="E5" s="3"/>
      <c r="F5" s="4"/>
    </row>
    <row r="6" spans="1:26" ht="12" customHeight="1" x14ac:dyDescent="0.15">
      <c r="A6" s="2"/>
      <c r="B6" s="275" t="s">
        <v>191</v>
      </c>
      <c r="C6" s="3"/>
      <c r="D6" s="438" t="s">
        <v>510</v>
      </c>
      <c r="E6" s="438"/>
      <c r="F6" s="4"/>
      <c r="G6" s="429"/>
      <c r="H6" s="429"/>
    </row>
    <row r="7" spans="1:26" ht="12" customHeight="1" x14ac:dyDescent="0.15">
      <c r="A7" s="2"/>
      <c r="B7" s="115" t="s">
        <v>426</v>
      </c>
      <c r="C7" s="3"/>
      <c r="D7" s="3"/>
      <c r="E7" s="3"/>
      <c r="F7" s="4"/>
      <c r="G7" s="429"/>
      <c r="H7" s="429"/>
    </row>
    <row r="8" spans="1:26" ht="12" customHeight="1" x14ac:dyDescent="0.15">
      <c r="B8" s="2"/>
      <c r="C8" s="3"/>
      <c r="D8" s="3"/>
      <c r="E8" s="3"/>
      <c r="F8" s="4"/>
      <c r="G8" s="429"/>
      <c r="H8" s="429"/>
    </row>
    <row r="9" spans="1:26" ht="12" customHeight="1" x14ac:dyDescent="0.15">
      <c r="B9" s="6"/>
      <c r="C9" s="3"/>
      <c r="D9" s="3"/>
      <c r="E9" s="3"/>
      <c r="F9" s="4"/>
      <c r="G9" s="277" t="s">
        <v>511</v>
      </c>
      <c r="H9" s="429"/>
    </row>
    <row r="10" spans="1:26" ht="17.25" customHeight="1" x14ac:dyDescent="0.15">
      <c r="A10" s="8"/>
      <c r="B10" s="125" t="s">
        <v>363</v>
      </c>
      <c r="C10" s="126"/>
      <c r="D10" s="126"/>
      <c r="E10" s="126"/>
      <c r="F10" s="12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" customHeight="1" x14ac:dyDescent="0.15">
      <c r="B11" s="2"/>
      <c r="C11" s="3"/>
      <c r="D11" s="3"/>
      <c r="E11" s="3"/>
      <c r="F11" s="4"/>
    </row>
    <row r="12" spans="1:26" ht="15" customHeight="1" x14ac:dyDescent="0.15">
      <c r="B12" s="278" t="s">
        <v>4</v>
      </c>
      <c r="C12" s="279" t="s">
        <v>5</v>
      </c>
      <c r="D12" s="279" t="s">
        <v>364</v>
      </c>
      <c r="E12" s="280" t="s">
        <v>365</v>
      </c>
      <c r="F12" s="280" t="s">
        <v>366</v>
      </c>
    </row>
    <row r="13" spans="1:26" ht="12" hidden="1" customHeight="1" x14ac:dyDescent="0.15">
      <c r="B13" s="281" t="s">
        <v>427</v>
      </c>
      <c r="C13" s="282">
        <v>45117</v>
      </c>
      <c r="D13" s="283"/>
      <c r="E13" s="283">
        <v>5900</v>
      </c>
      <c r="F13" s="284">
        <f>E13</f>
        <v>5900</v>
      </c>
    </row>
    <row r="14" spans="1:26" ht="12" hidden="1" customHeight="1" x14ac:dyDescent="0.15">
      <c r="B14" s="281" t="s">
        <v>428</v>
      </c>
      <c r="C14" s="282">
        <v>45197</v>
      </c>
      <c r="D14" s="283"/>
      <c r="E14" s="283">
        <v>3600</v>
      </c>
      <c r="F14" s="284">
        <f t="shared" ref="F14:F39" si="0">F13-D14+E14</f>
        <v>9500</v>
      </c>
    </row>
    <row r="15" spans="1:26" ht="12" hidden="1" customHeight="1" x14ac:dyDescent="0.15">
      <c r="B15" s="281" t="s">
        <v>428</v>
      </c>
      <c r="C15" s="282">
        <v>45229</v>
      </c>
      <c r="D15" s="283"/>
      <c r="E15" s="283">
        <v>15300</v>
      </c>
      <c r="F15" s="284">
        <f t="shared" si="0"/>
        <v>24800</v>
      </c>
    </row>
    <row r="16" spans="1:26" ht="12" hidden="1" customHeight="1" x14ac:dyDescent="0.15">
      <c r="B16" s="281" t="s">
        <v>429</v>
      </c>
      <c r="C16" s="282">
        <v>45258</v>
      </c>
      <c r="D16" s="283"/>
      <c r="E16" s="283">
        <v>46400</v>
      </c>
      <c r="F16" s="284">
        <f t="shared" si="0"/>
        <v>71200</v>
      </c>
    </row>
    <row r="17" spans="2:6" ht="12" customHeight="1" x14ac:dyDescent="0.15">
      <c r="B17" s="330" t="s">
        <v>369</v>
      </c>
      <c r="C17" s="331">
        <v>45291</v>
      </c>
      <c r="D17" s="290"/>
      <c r="E17" s="290"/>
      <c r="F17" s="291">
        <f t="shared" si="0"/>
        <v>71200</v>
      </c>
    </row>
    <row r="18" spans="2:6" ht="12" customHeight="1" x14ac:dyDescent="0.15">
      <c r="B18" s="28" t="s">
        <v>370</v>
      </c>
      <c r="C18" s="332">
        <v>45321</v>
      </c>
      <c r="D18" s="283">
        <v>12239.9</v>
      </c>
      <c r="E18" s="283"/>
      <c r="F18" s="284">
        <f t="shared" si="0"/>
        <v>58960.1</v>
      </c>
    </row>
    <row r="19" spans="2:6" ht="12" customHeight="1" x14ac:dyDescent="0.15">
      <c r="B19" s="28" t="s">
        <v>373</v>
      </c>
      <c r="C19" s="282">
        <v>45335</v>
      </c>
      <c r="D19" s="283">
        <v>63470.2</v>
      </c>
      <c r="E19" s="283"/>
      <c r="F19" s="284">
        <f t="shared" si="0"/>
        <v>-4510.0999999999985</v>
      </c>
    </row>
    <row r="20" spans="2:6" ht="12" customHeight="1" x14ac:dyDescent="0.15">
      <c r="B20" s="28" t="s">
        <v>374</v>
      </c>
      <c r="C20" s="282">
        <v>45335</v>
      </c>
      <c r="D20" s="283">
        <v>3142.22</v>
      </c>
      <c r="E20" s="283"/>
      <c r="F20" s="284">
        <f t="shared" si="0"/>
        <v>-7652.3199999999979</v>
      </c>
    </row>
    <row r="21" spans="2:6" ht="12" customHeight="1" x14ac:dyDescent="0.15">
      <c r="B21" s="28" t="s">
        <v>375</v>
      </c>
      <c r="C21" s="282">
        <v>45336</v>
      </c>
      <c r="D21" s="283">
        <v>9804.48</v>
      </c>
      <c r="E21" s="283"/>
      <c r="F21" s="284">
        <f t="shared" si="0"/>
        <v>-17456.799999999996</v>
      </c>
    </row>
    <row r="22" spans="2:6" ht="12" customHeight="1" x14ac:dyDescent="0.15">
      <c r="B22" s="28" t="s">
        <v>376</v>
      </c>
      <c r="C22" s="282">
        <v>45336</v>
      </c>
      <c r="D22" s="283">
        <v>785.56</v>
      </c>
      <c r="E22" s="283"/>
      <c r="F22" s="284">
        <f t="shared" si="0"/>
        <v>-18242.359999999997</v>
      </c>
    </row>
    <row r="23" spans="2:6" ht="12" customHeight="1" x14ac:dyDescent="0.15">
      <c r="B23" s="28" t="s">
        <v>427</v>
      </c>
      <c r="C23" s="282">
        <v>45342</v>
      </c>
      <c r="D23" s="283"/>
      <c r="E23" s="283">
        <v>12230</v>
      </c>
      <c r="F23" s="284">
        <f t="shared" si="0"/>
        <v>-6012.3599999999969</v>
      </c>
    </row>
    <row r="24" spans="2:6" ht="12" customHeight="1" x14ac:dyDescent="0.15">
      <c r="B24" s="28" t="s">
        <v>427</v>
      </c>
      <c r="C24" s="282">
        <v>45359</v>
      </c>
      <c r="D24" s="283"/>
      <c r="E24" s="283">
        <v>6015</v>
      </c>
      <c r="F24" s="284">
        <f t="shared" si="0"/>
        <v>2.6400000000030559</v>
      </c>
    </row>
    <row r="25" spans="2:6" ht="12" customHeight="1" x14ac:dyDescent="0.15">
      <c r="B25" s="28" t="s">
        <v>378</v>
      </c>
      <c r="C25" s="333">
        <v>45397</v>
      </c>
      <c r="D25" s="283">
        <v>9804.48</v>
      </c>
      <c r="E25" s="283"/>
      <c r="F25" s="284">
        <f t="shared" si="0"/>
        <v>-9801.8399999999965</v>
      </c>
    </row>
    <row r="26" spans="2:6" ht="12" customHeight="1" x14ac:dyDescent="0.15">
      <c r="B26" s="28" t="s">
        <v>379</v>
      </c>
      <c r="C26" s="333">
        <v>45397</v>
      </c>
      <c r="D26" s="283">
        <v>785.55499999999995</v>
      </c>
      <c r="E26" s="283"/>
      <c r="F26" s="284">
        <f t="shared" si="0"/>
        <v>-10587.394999999997</v>
      </c>
    </row>
    <row r="27" spans="2:6" ht="12" customHeight="1" x14ac:dyDescent="0.15">
      <c r="B27" s="28" t="s">
        <v>380</v>
      </c>
      <c r="C27" s="59">
        <v>45397</v>
      </c>
      <c r="D27" s="283">
        <v>6163.1818389648379</v>
      </c>
      <c r="E27" s="283"/>
      <c r="F27" s="284">
        <f t="shared" si="0"/>
        <v>-16750.576838964836</v>
      </c>
    </row>
    <row r="28" spans="2:6" ht="12" customHeight="1" x14ac:dyDescent="0.15">
      <c r="B28" s="28" t="s">
        <v>427</v>
      </c>
      <c r="C28" s="59">
        <v>45415</v>
      </c>
      <c r="D28" s="283"/>
      <c r="E28" s="283">
        <v>16750.580000000002</v>
      </c>
      <c r="F28" s="284">
        <f t="shared" si="0"/>
        <v>3.1610351652489044E-3</v>
      </c>
    </row>
    <row r="29" spans="2:6" ht="12" customHeight="1" x14ac:dyDescent="0.15">
      <c r="B29" s="28" t="s">
        <v>385</v>
      </c>
      <c r="C29" s="59">
        <v>45474</v>
      </c>
      <c r="D29" s="283">
        <f>'Presupuesto 2024 Aprobado'!C53</f>
        <v>9804.48</v>
      </c>
      <c r="E29" s="283"/>
      <c r="F29" s="284">
        <f t="shared" si="0"/>
        <v>-9804.4768389648343</v>
      </c>
    </row>
    <row r="30" spans="2:6" ht="12" customHeight="1" x14ac:dyDescent="0.15">
      <c r="B30" s="28" t="s">
        <v>414</v>
      </c>
      <c r="C30" s="59">
        <v>45474</v>
      </c>
      <c r="D30" s="283">
        <f>'Presupuesto 2024 Aprobado'!D53</f>
        <v>785.55499999999995</v>
      </c>
      <c r="E30" s="283"/>
      <c r="F30" s="284">
        <f t="shared" si="0"/>
        <v>-10590.031838964835</v>
      </c>
    </row>
    <row r="31" spans="2:6" ht="12" customHeight="1" x14ac:dyDescent="0.15">
      <c r="B31" s="28" t="s">
        <v>427</v>
      </c>
      <c r="C31" s="59">
        <v>45488</v>
      </c>
      <c r="D31" s="283"/>
      <c r="E31" s="283">
        <v>10600</v>
      </c>
      <c r="F31" s="284">
        <f t="shared" si="0"/>
        <v>9.9681610351653944</v>
      </c>
    </row>
    <row r="32" spans="2:6" ht="12" customHeight="1" x14ac:dyDescent="0.15">
      <c r="B32" s="28" t="s">
        <v>390</v>
      </c>
      <c r="C32" s="59">
        <v>45510</v>
      </c>
      <c r="D32" s="283">
        <v>5656.33</v>
      </c>
      <c r="E32" s="283"/>
      <c r="F32" s="284">
        <f t="shared" si="0"/>
        <v>-5646.3618389648345</v>
      </c>
    </row>
    <row r="33" spans="2:6" ht="12" customHeight="1" x14ac:dyDescent="0.15">
      <c r="B33" s="28" t="s">
        <v>427</v>
      </c>
      <c r="C33" s="59">
        <v>45534</v>
      </c>
      <c r="D33" s="283"/>
      <c r="E33" s="283">
        <v>5650</v>
      </c>
      <c r="F33" s="284">
        <f t="shared" si="0"/>
        <v>3.6381610351654672</v>
      </c>
    </row>
    <row r="34" spans="2:6" ht="12" customHeight="1" x14ac:dyDescent="0.15">
      <c r="B34" s="296" t="s">
        <v>392</v>
      </c>
      <c r="C34" s="59">
        <v>45566</v>
      </c>
      <c r="D34" s="283">
        <f>'Presupuesto 2024 Aprobado'!C53</f>
        <v>9804.48</v>
      </c>
      <c r="E34" s="283"/>
      <c r="F34" s="284">
        <f t="shared" si="0"/>
        <v>-9800.8418389648341</v>
      </c>
    </row>
    <row r="35" spans="2:6" ht="12" customHeight="1" x14ac:dyDescent="0.15">
      <c r="B35" s="296" t="s">
        <v>393</v>
      </c>
      <c r="C35" s="59">
        <v>45566</v>
      </c>
      <c r="D35" s="283">
        <f>'Presupuesto 2024 Aprobado'!D53</f>
        <v>785.55499999999995</v>
      </c>
      <c r="E35" s="283"/>
      <c r="F35" s="284">
        <f t="shared" si="0"/>
        <v>-10586.396838964834</v>
      </c>
    </row>
    <row r="36" spans="2:6" ht="12" customHeight="1" x14ac:dyDescent="0.15">
      <c r="B36" s="28" t="s">
        <v>427</v>
      </c>
      <c r="C36" s="59">
        <v>45586</v>
      </c>
      <c r="D36" s="283"/>
      <c r="E36" s="283">
        <v>10600</v>
      </c>
      <c r="F36" s="284">
        <f t="shared" si="0"/>
        <v>13.603161035165613</v>
      </c>
    </row>
    <row r="37" spans="2:6" s="429" customFormat="1" ht="42" customHeight="1" x14ac:dyDescent="0.15">
      <c r="B37" s="296" t="s">
        <v>512</v>
      </c>
      <c r="C37" s="431">
        <v>45664</v>
      </c>
      <c r="D37" s="283">
        <f>'PedidoVotoElec-11-10'!E34</f>
        <v>3712.0823236248907</v>
      </c>
      <c r="E37" s="283"/>
      <c r="F37" s="284">
        <f t="shared" si="0"/>
        <v>-3698.4791625897251</v>
      </c>
    </row>
    <row r="38" spans="2:6" s="429" customFormat="1" ht="33" customHeight="1" x14ac:dyDescent="0.15">
      <c r="B38" s="296" t="s">
        <v>513</v>
      </c>
      <c r="C38" s="431">
        <v>45664</v>
      </c>
      <c r="D38" s="283">
        <f>'PedidoVotoElec-09-12'!E35</f>
        <v>8835.0744136070589</v>
      </c>
      <c r="E38" s="283"/>
      <c r="F38" s="284">
        <f t="shared" si="0"/>
        <v>-12533.553576196784</v>
      </c>
    </row>
    <row r="39" spans="2:6" s="429" customFormat="1" ht="22" customHeight="1" x14ac:dyDescent="0.15">
      <c r="B39" s="440" t="s">
        <v>514</v>
      </c>
      <c r="C39" s="431">
        <v>45664</v>
      </c>
      <c r="D39" s="283">
        <f>'Pedido Exceptional - ENERO2025'!E28</f>
        <v>3328.7830803346892</v>
      </c>
      <c r="E39" s="283"/>
      <c r="F39" s="284">
        <f t="shared" si="0"/>
        <v>-15862.336656531474</v>
      </c>
    </row>
    <row r="40" spans="2:6" ht="15" customHeight="1" x14ac:dyDescent="0.15">
      <c r="B40" s="301"/>
      <c r="C40" s="302" t="s">
        <v>430</v>
      </c>
      <c r="D40" s="286">
        <f>SUM(D13:D39)</f>
        <v>148907.91665653145</v>
      </c>
      <c r="E40" s="286">
        <f>SUM(E13:E39)</f>
        <v>133045.58000000002</v>
      </c>
      <c r="F40" s="348">
        <f>E40-D40</f>
        <v>-15862.336656531435</v>
      </c>
    </row>
    <row r="41" spans="2:6" ht="12" customHeight="1" x14ac:dyDescent="0.15">
      <c r="B41" s="2"/>
      <c r="C41" s="3"/>
      <c r="D41" s="3"/>
      <c r="E41" s="3"/>
      <c r="F41" s="4"/>
    </row>
    <row r="42" spans="2:6" ht="12" customHeight="1" x14ac:dyDescent="0.15">
      <c r="B42" s="320" t="s">
        <v>402</v>
      </c>
      <c r="C42" s="3"/>
      <c r="D42" s="3"/>
      <c r="E42" s="3"/>
      <c r="F42" s="4"/>
    </row>
    <row r="43" spans="2:6" ht="12" customHeight="1" x14ac:dyDescent="0.15">
      <c r="B43" s="2" t="s">
        <v>404</v>
      </c>
      <c r="C43" s="3"/>
      <c r="D43" s="3"/>
      <c r="E43" s="3"/>
      <c r="F43" s="4"/>
    </row>
    <row r="44" spans="2:6" ht="12" customHeight="1" x14ac:dyDescent="0.15">
      <c r="B44" s="321"/>
      <c r="C44" s="3"/>
      <c r="D44" s="3"/>
      <c r="E44" s="3"/>
      <c r="F44" s="4"/>
    </row>
    <row r="45" spans="2:6" ht="12" customHeight="1" x14ac:dyDescent="0.15">
      <c r="B45" s="322" t="s">
        <v>405</v>
      </c>
      <c r="C45" s="323"/>
      <c r="D45" s="324"/>
      <c r="E45" s="3"/>
      <c r="F45" s="4"/>
    </row>
    <row r="46" spans="2:6" ht="12" customHeight="1" x14ac:dyDescent="0.15">
      <c r="B46" s="325" t="s">
        <v>406</v>
      </c>
      <c r="C46" s="3"/>
      <c r="D46" s="48"/>
      <c r="E46" s="3"/>
      <c r="F46" s="4"/>
    </row>
    <row r="47" spans="2:6" ht="12" customHeight="1" x14ac:dyDescent="0.15">
      <c r="B47" s="325" t="s">
        <v>407</v>
      </c>
      <c r="C47" s="3"/>
      <c r="D47" s="48"/>
      <c r="E47" s="3"/>
      <c r="F47" s="4"/>
    </row>
    <row r="48" spans="2:6" ht="12" customHeight="1" x14ac:dyDescent="0.15">
      <c r="B48" s="327" t="s">
        <v>408</v>
      </c>
      <c r="C48" s="328"/>
      <c r="D48" s="329"/>
      <c r="E48" s="3"/>
      <c r="F48" s="4"/>
    </row>
    <row r="49" spans="2:6" ht="12" customHeight="1" x14ac:dyDescent="0.15">
      <c r="B49" s="2"/>
      <c r="C49" s="3"/>
      <c r="D49" s="3"/>
      <c r="E49" s="3"/>
      <c r="F49" s="4"/>
    </row>
    <row r="50" spans="2:6" ht="12" customHeight="1" x14ac:dyDescent="0.15">
      <c r="B50" s="2"/>
      <c r="C50" s="3"/>
      <c r="D50" s="3"/>
      <c r="E50" s="3"/>
      <c r="F50" s="4"/>
    </row>
    <row r="51" spans="2:6" ht="12" customHeight="1" x14ac:dyDescent="0.15">
      <c r="B51" s="2"/>
      <c r="C51" s="3"/>
      <c r="D51" s="3"/>
      <c r="E51" s="3"/>
      <c r="F51" s="4"/>
    </row>
    <row r="52" spans="2:6" ht="12" customHeight="1" x14ac:dyDescent="0.15">
      <c r="B52" s="2"/>
      <c r="C52" s="3"/>
      <c r="D52" s="3"/>
      <c r="E52" s="3"/>
      <c r="F52" s="4"/>
    </row>
    <row r="53" spans="2:6" ht="12" customHeight="1" x14ac:dyDescent="0.15">
      <c r="B53" s="2"/>
      <c r="C53" s="3"/>
      <c r="D53" s="3"/>
      <c r="E53" s="3"/>
      <c r="F53" s="4"/>
    </row>
    <row r="54" spans="2:6" ht="12" customHeight="1" x14ac:dyDescent="0.15">
      <c r="B54" s="2"/>
      <c r="C54" s="3"/>
      <c r="D54" s="3"/>
      <c r="E54" s="3"/>
      <c r="F54" s="4"/>
    </row>
    <row r="55" spans="2:6" ht="12" customHeight="1" x14ac:dyDescent="0.15">
      <c r="B55" s="2"/>
      <c r="C55" s="3"/>
      <c r="D55" s="3"/>
      <c r="E55" s="3"/>
      <c r="F55" s="4"/>
    </row>
    <row r="56" spans="2:6" ht="12" customHeight="1" x14ac:dyDescent="0.15">
      <c r="B56" s="2"/>
      <c r="C56" s="3"/>
      <c r="D56" s="3"/>
      <c r="E56" s="3"/>
      <c r="F56" s="4"/>
    </row>
    <row r="57" spans="2:6" ht="12" customHeight="1" x14ac:dyDescent="0.15">
      <c r="B57" s="2"/>
      <c r="C57" s="3"/>
      <c r="D57" s="3"/>
      <c r="E57" s="3"/>
      <c r="F57" s="4"/>
    </row>
    <row r="58" spans="2:6" ht="12" customHeight="1" x14ac:dyDescent="0.15">
      <c r="B58" s="2"/>
      <c r="C58" s="3"/>
      <c r="D58" s="3"/>
      <c r="E58" s="3"/>
      <c r="F58" s="4"/>
    </row>
    <row r="59" spans="2:6" ht="12" customHeight="1" x14ac:dyDescent="0.15">
      <c r="B59" s="2"/>
      <c r="C59" s="3"/>
      <c r="D59" s="3"/>
      <c r="E59" s="3"/>
      <c r="F59" s="4"/>
    </row>
    <row r="60" spans="2:6" ht="12" customHeight="1" x14ac:dyDescent="0.15">
      <c r="B60" s="2"/>
      <c r="C60" s="3"/>
      <c r="D60" s="3"/>
      <c r="E60" s="3"/>
      <c r="F60" s="4"/>
    </row>
    <row r="61" spans="2:6" ht="12" customHeight="1" x14ac:dyDescent="0.15">
      <c r="B61" s="2"/>
      <c r="C61" s="3"/>
      <c r="D61" s="3"/>
      <c r="E61" s="3"/>
      <c r="F61" s="4"/>
    </row>
    <row r="62" spans="2:6" ht="12" customHeight="1" x14ac:dyDescent="0.15">
      <c r="B62" s="2"/>
      <c r="C62" s="3"/>
      <c r="D62" s="3"/>
      <c r="E62" s="3"/>
      <c r="F62" s="4"/>
    </row>
    <row r="63" spans="2:6" ht="12" customHeight="1" x14ac:dyDescent="0.15">
      <c r="B63" s="2"/>
      <c r="C63" s="3"/>
      <c r="D63" s="3"/>
      <c r="E63" s="3"/>
      <c r="F63" s="4"/>
    </row>
    <row r="64" spans="2:6" ht="12" customHeight="1" x14ac:dyDescent="0.15">
      <c r="B64" s="2"/>
      <c r="C64" s="3"/>
      <c r="D64" s="3"/>
      <c r="E64" s="3"/>
      <c r="F64" s="4"/>
    </row>
    <row r="65" spans="2:6" ht="12" customHeight="1" x14ac:dyDescent="0.15">
      <c r="B65" s="2"/>
      <c r="C65" s="3"/>
      <c r="D65" s="3"/>
      <c r="E65" s="3"/>
      <c r="F65" s="4"/>
    </row>
    <row r="66" spans="2:6" ht="12" customHeight="1" x14ac:dyDescent="0.15">
      <c r="B66" s="2"/>
      <c r="C66" s="3"/>
      <c r="D66" s="3"/>
      <c r="E66" s="3"/>
      <c r="F66" s="4"/>
    </row>
    <row r="67" spans="2:6" ht="12" customHeight="1" x14ac:dyDescent="0.15">
      <c r="B67" s="2"/>
      <c r="C67" s="3"/>
      <c r="D67" s="3"/>
      <c r="E67" s="3"/>
      <c r="F67" s="4"/>
    </row>
    <row r="68" spans="2:6" ht="12" customHeight="1" x14ac:dyDescent="0.15">
      <c r="B68" s="2"/>
      <c r="C68" s="3"/>
      <c r="D68" s="3"/>
      <c r="E68" s="3"/>
      <c r="F68" s="4"/>
    </row>
    <row r="69" spans="2:6" ht="12" customHeight="1" x14ac:dyDescent="0.15">
      <c r="B69" s="2"/>
      <c r="C69" s="3"/>
      <c r="D69" s="3"/>
      <c r="E69" s="3"/>
      <c r="F69" s="4"/>
    </row>
    <row r="70" spans="2:6" ht="12" customHeight="1" x14ac:dyDescent="0.15">
      <c r="B70" s="2"/>
      <c r="C70" s="3"/>
      <c r="D70" s="3"/>
      <c r="E70" s="3"/>
      <c r="F70" s="4"/>
    </row>
    <row r="71" spans="2:6" ht="12" customHeight="1" x14ac:dyDescent="0.15">
      <c r="B71" s="2"/>
      <c r="C71" s="3"/>
      <c r="D71" s="3"/>
      <c r="E71" s="3"/>
      <c r="F71" s="4"/>
    </row>
    <row r="72" spans="2:6" ht="12" customHeight="1" x14ac:dyDescent="0.15">
      <c r="B72" s="2"/>
      <c r="C72" s="3"/>
      <c r="D72" s="3"/>
      <c r="E72" s="3"/>
      <c r="F72" s="4"/>
    </row>
    <row r="73" spans="2:6" ht="12" customHeight="1" x14ac:dyDescent="0.15">
      <c r="B73" s="2"/>
      <c r="C73" s="3"/>
      <c r="D73" s="3"/>
      <c r="E73" s="3"/>
      <c r="F73" s="4"/>
    </row>
    <row r="74" spans="2:6" ht="12" customHeight="1" x14ac:dyDescent="0.15">
      <c r="B74" s="2"/>
      <c r="C74" s="3"/>
      <c r="D74" s="3"/>
      <c r="E74" s="3"/>
      <c r="F74" s="4"/>
    </row>
    <row r="75" spans="2:6" ht="12" customHeight="1" x14ac:dyDescent="0.15">
      <c r="B75" s="2"/>
      <c r="C75" s="3"/>
      <c r="D75" s="3"/>
      <c r="E75" s="3"/>
      <c r="F75" s="4"/>
    </row>
    <row r="76" spans="2:6" ht="12" customHeight="1" x14ac:dyDescent="0.15">
      <c r="B76" s="2"/>
      <c r="C76" s="3"/>
      <c r="D76" s="3"/>
      <c r="E76" s="3"/>
      <c r="F76" s="4"/>
    </row>
    <row r="77" spans="2:6" ht="12" customHeight="1" x14ac:dyDescent="0.15">
      <c r="B77" s="2"/>
      <c r="C77" s="3"/>
      <c r="D77" s="3"/>
      <c r="E77" s="3"/>
      <c r="F77" s="4"/>
    </row>
    <row r="78" spans="2:6" ht="12" customHeight="1" x14ac:dyDescent="0.15">
      <c r="B78" s="2"/>
      <c r="C78" s="3"/>
      <c r="D78" s="3"/>
      <c r="E78" s="3"/>
      <c r="F78" s="4"/>
    </row>
    <row r="79" spans="2:6" ht="12" customHeight="1" x14ac:dyDescent="0.15">
      <c r="B79" s="2"/>
      <c r="C79" s="3"/>
      <c r="D79" s="3"/>
      <c r="E79" s="3"/>
      <c r="F79" s="4"/>
    </row>
    <row r="80" spans="2:6" ht="12" customHeight="1" x14ac:dyDescent="0.15">
      <c r="B80" s="2"/>
      <c r="C80" s="3"/>
      <c r="D80" s="3"/>
      <c r="E80" s="3"/>
      <c r="F80" s="4"/>
    </row>
    <row r="81" spans="2:6" ht="12" customHeight="1" x14ac:dyDescent="0.15">
      <c r="B81" s="2"/>
      <c r="C81" s="3"/>
      <c r="D81" s="3"/>
      <c r="E81" s="3"/>
      <c r="F81" s="4"/>
    </row>
    <row r="82" spans="2:6" ht="12" customHeight="1" x14ac:dyDescent="0.15">
      <c r="B82" s="2"/>
      <c r="C82" s="3"/>
      <c r="D82" s="3"/>
      <c r="E82" s="3"/>
      <c r="F82" s="4"/>
    </row>
    <row r="83" spans="2:6" ht="12" customHeight="1" x14ac:dyDescent="0.15">
      <c r="B83" s="2"/>
      <c r="C83" s="3"/>
      <c r="D83" s="3"/>
      <c r="E83" s="3"/>
      <c r="F83" s="4"/>
    </row>
    <row r="84" spans="2:6" ht="12" customHeight="1" x14ac:dyDescent="0.15">
      <c r="B84" s="2"/>
      <c r="C84" s="3"/>
      <c r="D84" s="3"/>
      <c r="E84" s="3"/>
      <c r="F84" s="4"/>
    </row>
    <row r="85" spans="2:6" ht="12" customHeight="1" x14ac:dyDescent="0.15">
      <c r="B85" s="2"/>
      <c r="C85" s="3"/>
      <c r="D85" s="3"/>
      <c r="E85" s="3"/>
      <c r="F85" s="4"/>
    </row>
    <row r="86" spans="2:6" ht="12" customHeight="1" x14ac:dyDescent="0.15">
      <c r="B86" s="2"/>
      <c r="C86" s="3"/>
      <c r="D86" s="3"/>
      <c r="E86" s="3"/>
      <c r="F86" s="4"/>
    </row>
    <row r="87" spans="2:6" ht="12" customHeight="1" x14ac:dyDescent="0.15">
      <c r="B87" s="2"/>
      <c r="C87" s="3"/>
      <c r="D87" s="3"/>
      <c r="E87" s="3"/>
      <c r="F87" s="4"/>
    </row>
    <row r="88" spans="2:6" ht="12" customHeight="1" x14ac:dyDescent="0.15">
      <c r="B88" s="2"/>
      <c r="C88" s="3"/>
      <c r="D88" s="3"/>
      <c r="E88" s="3"/>
      <c r="F88" s="4"/>
    </row>
    <row r="89" spans="2:6" ht="12" customHeight="1" x14ac:dyDescent="0.15">
      <c r="B89" s="2"/>
      <c r="C89" s="3"/>
      <c r="D89" s="3"/>
      <c r="E89" s="3"/>
      <c r="F89" s="4"/>
    </row>
    <row r="90" spans="2:6" ht="12" customHeight="1" x14ac:dyDescent="0.15">
      <c r="B90" s="2"/>
      <c r="C90" s="3"/>
      <c r="D90" s="3"/>
      <c r="E90" s="3"/>
      <c r="F90" s="4"/>
    </row>
    <row r="91" spans="2:6" ht="12" customHeight="1" x14ac:dyDescent="0.15">
      <c r="B91" s="2"/>
      <c r="C91" s="3"/>
      <c r="D91" s="3"/>
      <c r="E91" s="3"/>
      <c r="F91" s="4"/>
    </row>
    <row r="92" spans="2:6" ht="12" customHeight="1" x14ac:dyDescent="0.15">
      <c r="B92" s="2"/>
      <c r="C92" s="3"/>
      <c r="D92" s="3"/>
      <c r="E92" s="3"/>
      <c r="F92" s="4"/>
    </row>
    <row r="93" spans="2:6" ht="12" customHeight="1" x14ac:dyDescent="0.15">
      <c r="B93" s="2"/>
      <c r="C93" s="3"/>
      <c r="D93" s="3"/>
      <c r="E93" s="3"/>
      <c r="F93" s="4"/>
    </row>
    <row r="94" spans="2:6" ht="12" customHeight="1" x14ac:dyDescent="0.15">
      <c r="B94" s="2"/>
      <c r="C94" s="3"/>
      <c r="D94" s="3"/>
      <c r="E94" s="3"/>
      <c r="F94" s="4"/>
    </row>
    <row r="95" spans="2:6" ht="12" customHeight="1" x14ac:dyDescent="0.15">
      <c r="B95" s="2"/>
      <c r="C95" s="3"/>
      <c r="D95" s="3"/>
      <c r="E95" s="3"/>
      <c r="F95" s="4"/>
    </row>
    <row r="96" spans="2:6" ht="12" customHeight="1" x14ac:dyDescent="0.15">
      <c r="B96" s="2"/>
      <c r="C96" s="3"/>
      <c r="D96" s="3"/>
      <c r="E96" s="3"/>
      <c r="F96" s="4"/>
    </row>
    <row r="97" spans="2:6" ht="12" customHeight="1" x14ac:dyDescent="0.15">
      <c r="B97" s="2"/>
      <c r="C97" s="3"/>
      <c r="D97" s="3"/>
      <c r="E97" s="3"/>
      <c r="F97" s="4"/>
    </row>
    <row r="98" spans="2:6" ht="12" customHeight="1" x14ac:dyDescent="0.15">
      <c r="B98" s="2"/>
      <c r="C98" s="3"/>
      <c r="D98" s="3"/>
      <c r="E98" s="3"/>
      <c r="F98" s="4"/>
    </row>
    <row r="99" spans="2:6" ht="12" customHeight="1" x14ac:dyDescent="0.15">
      <c r="B99" s="2"/>
      <c r="C99" s="3"/>
      <c r="D99" s="3"/>
      <c r="E99" s="3"/>
      <c r="F99" s="4"/>
    </row>
    <row r="100" spans="2:6" ht="12" customHeight="1" x14ac:dyDescent="0.15">
      <c r="B100" s="2"/>
      <c r="C100" s="3"/>
      <c r="D100" s="3"/>
      <c r="E100" s="3"/>
      <c r="F100" s="4"/>
    </row>
    <row r="101" spans="2:6" ht="12" customHeight="1" x14ac:dyDescent="0.15">
      <c r="B101" s="2"/>
      <c r="C101" s="3"/>
      <c r="D101" s="3"/>
      <c r="E101" s="3"/>
      <c r="F101" s="4"/>
    </row>
    <row r="102" spans="2:6" ht="12" customHeight="1" x14ac:dyDescent="0.15">
      <c r="B102" s="2"/>
      <c r="C102" s="3"/>
      <c r="D102" s="3"/>
      <c r="E102" s="3"/>
      <c r="F102" s="4"/>
    </row>
    <row r="103" spans="2:6" ht="12" customHeight="1" x14ac:dyDescent="0.15">
      <c r="B103" s="2"/>
      <c r="C103" s="3"/>
      <c r="D103" s="3"/>
      <c r="E103" s="3"/>
      <c r="F103" s="4"/>
    </row>
    <row r="104" spans="2:6" ht="12" customHeight="1" x14ac:dyDescent="0.15">
      <c r="B104" s="2"/>
      <c r="C104" s="3"/>
      <c r="D104" s="3"/>
      <c r="E104" s="3"/>
      <c r="F104" s="4"/>
    </row>
    <row r="105" spans="2:6" ht="12" customHeight="1" x14ac:dyDescent="0.15">
      <c r="B105" s="2"/>
      <c r="C105" s="3"/>
      <c r="D105" s="3"/>
      <c r="E105" s="3"/>
      <c r="F105" s="4"/>
    </row>
    <row r="106" spans="2:6" ht="12" customHeight="1" x14ac:dyDescent="0.15">
      <c r="B106" s="2"/>
      <c r="C106" s="3"/>
      <c r="D106" s="3"/>
      <c r="E106" s="3"/>
      <c r="F106" s="4"/>
    </row>
    <row r="107" spans="2:6" ht="12" customHeight="1" x14ac:dyDescent="0.15">
      <c r="B107" s="2"/>
      <c r="C107" s="3"/>
      <c r="D107" s="3"/>
      <c r="E107" s="3"/>
      <c r="F107" s="4"/>
    </row>
    <row r="108" spans="2:6" ht="12" customHeight="1" x14ac:dyDescent="0.15">
      <c r="B108" s="2"/>
      <c r="C108" s="3"/>
      <c r="D108" s="3"/>
      <c r="E108" s="3"/>
      <c r="F108" s="4"/>
    </row>
    <row r="109" spans="2:6" ht="12" customHeight="1" x14ac:dyDescent="0.15">
      <c r="B109" s="2"/>
      <c r="C109" s="3"/>
      <c r="D109" s="3"/>
      <c r="E109" s="3"/>
      <c r="F109" s="4"/>
    </row>
    <row r="110" spans="2:6" ht="12" customHeight="1" x14ac:dyDescent="0.15">
      <c r="B110" s="2"/>
      <c r="C110" s="3"/>
      <c r="D110" s="3"/>
      <c r="E110" s="3"/>
      <c r="F110" s="4"/>
    </row>
    <row r="111" spans="2:6" ht="12" customHeight="1" x14ac:dyDescent="0.15">
      <c r="B111" s="2"/>
      <c r="C111" s="3"/>
      <c r="D111" s="3"/>
      <c r="E111" s="3"/>
      <c r="F111" s="4"/>
    </row>
    <row r="112" spans="2:6" ht="12" customHeight="1" x14ac:dyDescent="0.15">
      <c r="B112" s="2"/>
      <c r="C112" s="3"/>
      <c r="D112" s="3"/>
      <c r="E112" s="3"/>
      <c r="F112" s="4"/>
    </row>
    <row r="113" spans="2:6" ht="12" customHeight="1" x14ac:dyDescent="0.15">
      <c r="B113" s="2"/>
      <c r="C113" s="3"/>
      <c r="D113" s="3"/>
      <c r="E113" s="3"/>
      <c r="F113" s="4"/>
    </row>
    <row r="114" spans="2:6" ht="12" customHeight="1" x14ac:dyDescent="0.15">
      <c r="B114" s="2"/>
      <c r="C114" s="3"/>
      <c r="D114" s="3"/>
      <c r="E114" s="3"/>
      <c r="F114" s="4"/>
    </row>
    <row r="115" spans="2:6" ht="12" customHeight="1" x14ac:dyDescent="0.15">
      <c r="B115" s="2"/>
      <c r="C115" s="3"/>
      <c r="D115" s="3"/>
      <c r="E115" s="3"/>
      <c r="F115" s="4"/>
    </row>
    <row r="116" spans="2:6" ht="12" customHeight="1" x14ac:dyDescent="0.15">
      <c r="B116" s="2"/>
      <c r="C116" s="3"/>
      <c r="D116" s="3"/>
      <c r="E116" s="3"/>
      <c r="F116" s="4"/>
    </row>
    <row r="117" spans="2:6" ht="12" customHeight="1" x14ac:dyDescent="0.15">
      <c r="B117" s="2"/>
      <c r="C117" s="3"/>
      <c r="D117" s="3"/>
      <c r="E117" s="3"/>
      <c r="F117" s="4"/>
    </row>
    <row r="118" spans="2:6" ht="12" customHeight="1" x14ac:dyDescent="0.15">
      <c r="B118" s="2"/>
      <c r="C118" s="3"/>
      <c r="D118" s="3"/>
      <c r="E118" s="3"/>
      <c r="F118" s="4"/>
    </row>
    <row r="119" spans="2:6" ht="12" customHeight="1" x14ac:dyDescent="0.15">
      <c r="B119" s="2"/>
      <c r="C119" s="3"/>
      <c r="D119" s="3"/>
      <c r="E119" s="3"/>
      <c r="F119" s="4"/>
    </row>
    <row r="120" spans="2:6" ht="12" customHeight="1" x14ac:dyDescent="0.15">
      <c r="B120" s="2"/>
      <c r="C120" s="3"/>
      <c r="D120" s="3"/>
      <c r="E120" s="3"/>
      <c r="F120" s="4"/>
    </row>
    <row r="121" spans="2:6" ht="12" customHeight="1" x14ac:dyDescent="0.15">
      <c r="B121" s="2"/>
      <c r="C121" s="3"/>
      <c r="D121" s="3"/>
      <c r="E121" s="3"/>
      <c r="F121" s="4"/>
    </row>
    <row r="122" spans="2:6" ht="12" customHeight="1" x14ac:dyDescent="0.15">
      <c r="B122" s="2"/>
      <c r="C122" s="3"/>
      <c r="D122" s="3"/>
      <c r="E122" s="3"/>
      <c r="F122" s="4"/>
    </row>
    <row r="123" spans="2:6" ht="12" customHeight="1" x14ac:dyDescent="0.15">
      <c r="B123" s="2"/>
      <c r="C123" s="3"/>
      <c r="D123" s="3"/>
      <c r="E123" s="3"/>
      <c r="F123" s="4"/>
    </row>
    <row r="124" spans="2:6" ht="12" customHeight="1" x14ac:dyDescent="0.15">
      <c r="B124" s="2"/>
      <c r="C124" s="3"/>
      <c r="D124" s="3"/>
      <c r="E124" s="3"/>
      <c r="F124" s="4"/>
    </row>
    <row r="125" spans="2:6" ht="12" customHeight="1" x14ac:dyDescent="0.15">
      <c r="B125" s="2"/>
      <c r="C125" s="3"/>
      <c r="D125" s="3"/>
      <c r="E125" s="3"/>
      <c r="F125" s="4"/>
    </row>
    <row r="126" spans="2:6" ht="12" customHeight="1" x14ac:dyDescent="0.15">
      <c r="B126" s="2"/>
      <c r="C126" s="3"/>
      <c r="D126" s="3"/>
      <c r="E126" s="3"/>
      <c r="F126" s="4"/>
    </row>
    <row r="127" spans="2:6" ht="12" customHeight="1" x14ac:dyDescent="0.15">
      <c r="B127" s="2"/>
      <c r="C127" s="3"/>
      <c r="D127" s="3"/>
      <c r="E127" s="3"/>
      <c r="F127" s="4"/>
    </row>
    <row r="128" spans="2:6" ht="12" customHeight="1" x14ac:dyDescent="0.15">
      <c r="B128" s="2"/>
      <c r="C128" s="3"/>
      <c r="D128" s="3"/>
      <c r="E128" s="3"/>
      <c r="F128" s="4"/>
    </row>
    <row r="129" spans="2:6" ht="12" customHeight="1" x14ac:dyDescent="0.15">
      <c r="B129" s="2"/>
      <c r="C129" s="3"/>
      <c r="D129" s="3"/>
      <c r="E129" s="3"/>
      <c r="F129" s="4"/>
    </row>
    <row r="130" spans="2:6" ht="12" customHeight="1" x14ac:dyDescent="0.15">
      <c r="B130" s="2"/>
      <c r="C130" s="3"/>
      <c r="D130" s="3"/>
      <c r="E130" s="3"/>
      <c r="F130" s="4"/>
    </row>
    <row r="131" spans="2:6" ht="12" customHeight="1" x14ac:dyDescent="0.15">
      <c r="B131" s="2"/>
      <c r="C131" s="3"/>
      <c r="D131" s="3"/>
      <c r="E131" s="3"/>
      <c r="F131" s="4"/>
    </row>
    <row r="132" spans="2:6" ht="12" customHeight="1" x14ac:dyDescent="0.15">
      <c r="B132" s="2"/>
      <c r="C132" s="3"/>
      <c r="D132" s="3"/>
      <c r="E132" s="3"/>
      <c r="F132" s="4"/>
    </row>
    <row r="133" spans="2:6" ht="12" customHeight="1" x14ac:dyDescent="0.15">
      <c r="B133" s="2"/>
      <c r="C133" s="3"/>
      <c r="D133" s="3"/>
      <c r="E133" s="3"/>
      <c r="F133" s="4"/>
    </row>
    <row r="134" spans="2:6" ht="12" customHeight="1" x14ac:dyDescent="0.15">
      <c r="B134" s="2"/>
      <c r="C134" s="3"/>
      <c r="D134" s="3"/>
      <c r="E134" s="3"/>
      <c r="F134" s="4"/>
    </row>
    <row r="135" spans="2:6" ht="12" customHeight="1" x14ac:dyDescent="0.15">
      <c r="B135" s="2"/>
      <c r="C135" s="3"/>
      <c r="D135" s="3"/>
      <c r="E135" s="3"/>
      <c r="F135" s="4"/>
    </row>
    <row r="136" spans="2:6" ht="12" customHeight="1" x14ac:dyDescent="0.15">
      <c r="B136" s="2"/>
      <c r="C136" s="3"/>
      <c r="D136" s="3"/>
      <c r="E136" s="3"/>
      <c r="F136" s="4"/>
    </row>
    <row r="137" spans="2:6" ht="12" customHeight="1" x14ac:dyDescent="0.15">
      <c r="B137" s="2"/>
      <c r="C137" s="3"/>
      <c r="D137" s="3"/>
      <c r="E137" s="3"/>
      <c r="F137" s="4"/>
    </row>
    <row r="138" spans="2:6" ht="12" customHeight="1" x14ac:dyDescent="0.15">
      <c r="B138" s="2"/>
      <c r="C138" s="3"/>
      <c r="D138" s="3"/>
      <c r="E138" s="3"/>
      <c r="F138" s="4"/>
    </row>
    <row r="139" spans="2:6" ht="12" customHeight="1" x14ac:dyDescent="0.15">
      <c r="B139" s="2"/>
      <c r="C139" s="3"/>
      <c r="D139" s="3"/>
      <c r="E139" s="3"/>
      <c r="F139" s="4"/>
    </row>
    <row r="140" spans="2:6" ht="12" customHeight="1" x14ac:dyDescent="0.15">
      <c r="B140" s="2"/>
      <c r="C140" s="3"/>
      <c r="D140" s="3"/>
      <c r="E140" s="3"/>
      <c r="F140" s="4"/>
    </row>
    <row r="141" spans="2:6" ht="12" customHeight="1" x14ac:dyDescent="0.15">
      <c r="B141" s="2"/>
      <c r="C141" s="3"/>
      <c r="D141" s="3"/>
      <c r="E141" s="3"/>
      <c r="F141" s="4"/>
    </row>
    <row r="142" spans="2:6" ht="12" customHeight="1" x14ac:dyDescent="0.15">
      <c r="B142" s="2"/>
      <c r="C142" s="3"/>
      <c r="D142" s="3"/>
      <c r="E142" s="3"/>
      <c r="F142" s="4"/>
    </row>
    <row r="143" spans="2:6" ht="12" customHeight="1" x14ac:dyDescent="0.15">
      <c r="B143" s="2"/>
      <c r="C143" s="3"/>
      <c r="D143" s="3"/>
      <c r="E143" s="3"/>
      <c r="F143" s="4"/>
    </row>
    <row r="144" spans="2:6" ht="12" customHeight="1" x14ac:dyDescent="0.15">
      <c r="B144" s="2"/>
      <c r="C144" s="3"/>
      <c r="D144" s="3"/>
      <c r="E144" s="3"/>
      <c r="F144" s="4"/>
    </row>
    <row r="145" spans="2:6" ht="12" customHeight="1" x14ac:dyDescent="0.15">
      <c r="B145" s="2"/>
      <c r="C145" s="3"/>
      <c r="D145" s="3"/>
      <c r="E145" s="3"/>
      <c r="F145" s="4"/>
    </row>
    <row r="146" spans="2:6" ht="12" customHeight="1" x14ac:dyDescent="0.15">
      <c r="B146" s="2"/>
      <c r="C146" s="3"/>
      <c r="D146" s="3"/>
      <c r="E146" s="3"/>
      <c r="F146" s="4"/>
    </row>
    <row r="147" spans="2:6" ht="12" customHeight="1" x14ac:dyDescent="0.15">
      <c r="B147" s="2"/>
      <c r="C147" s="3"/>
      <c r="D147" s="3"/>
      <c r="E147" s="3"/>
      <c r="F147" s="4"/>
    </row>
    <row r="148" spans="2:6" ht="12" customHeight="1" x14ac:dyDescent="0.15">
      <c r="B148" s="2"/>
      <c r="C148" s="3"/>
      <c r="D148" s="3"/>
      <c r="E148" s="3"/>
      <c r="F148" s="4"/>
    </row>
    <row r="149" spans="2:6" ht="12" customHeight="1" x14ac:dyDescent="0.15">
      <c r="B149" s="2"/>
      <c r="C149" s="3"/>
      <c r="D149" s="3"/>
      <c r="E149" s="3"/>
      <c r="F149" s="4"/>
    </row>
    <row r="150" spans="2:6" ht="12" customHeight="1" x14ac:dyDescent="0.15">
      <c r="B150" s="2"/>
      <c r="C150" s="3"/>
      <c r="D150" s="3"/>
      <c r="E150" s="3"/>
      <c r="F150" s="4"/>
    </row>
    <row r="151" spans="2:6" ht="12" customHeight="1" x14ac:dyDescent="0.15">
      <c r="B151" s="2"/>
      <c r="C151" s="3"/>
      <c r="D151" s="3"/>
      <c r="E151" s="3"/>
      <c r="F151" s="4"/>
    </row>
    <row r="152" spans="2:6" ht="12" customHeight="1" x14ac:dyDescent="0.15">
      <c r="B152" s="2"/>
      <c r="C152" s="3"/>
      <c r="D152" s="3"/>
      <c r="E152" s="3"/>
      <c r="F152" s="4"/>
    </row>
    <row r="153" spans="2:6" ht="12" customHeight="1" x14ac:dyDescent="0.15">
      <c r="B153" s="2"/>
      <c r="C153" s="3"/>
      <c r="D153" s="3"/>
      <c r="E153" s="3"/>
      <c r="F153" s="4"/>
    </row>
    <row r="154" spans="2:6" ht="12" customHeight="1" x14ac:dyDescent="0.15">
      <c r="B154" s="2"/>
      <c r="C154" s="3"/>
      <c r="D154" s="3"/>
      <c r="E154" s="3"/>
      <c r="F154" s="4"/>
    </row>
    <row r="155" spans="2:6" ht="12" customHeight="1" x14ac:dyDescent="0.15">
      <c r="B155" s="2"/>
      <c r="C155" s="3"/>
      <c r="D155" s="3"/>
      <c r="E155" s="3"/>
      <c r="F155" s="4"/>
    </row>
    <row r="156" spans="2:6" ht="12" customHeight="1" x14ac:dyDescent="0.15">
      <c r="B156" s="2"/>
      <c r="C156" s="3"/>
      <c r="D156" s="3"/>
      <c r="E156" s="3"/>
      <c r="F156" s="4"/>
    </row>
    <row r="157" spans="2:6" ht="12" customHeight="1" x14ac:dyDescent="0.15">
      <c r="B157" s="2"/>
      <c r="C157" s="3"/>
      <c r="D157" s="3"/>
      <c r="E157" s="3"/>
      <c r="F157" s="4"/>
    </row>
    <row r="158" spans="2:6" ht="12" customHeight="1" x14ac:dyDescent="0.15">
      <c r="B158" s="2"/>
      <c r="C158" s="3"/>
      <c r="D158" s="3"/>
      <c r="E158" s="3"/>
      <c r="F158" s="4"/>
    </row>
    <row r="159" spans="2:6" ht="12" customHeight="1" x14ac:dyDescent="0.15">
      <c r="B159" s="2"/>
      <c r="C159" s="3"/>
      <c r="D159" s="3"/>
      <c r="E159" s="3"/>
      <c r="F159" s="4"/>
    </row>
    <row r="160" spans="2:6" ht="12" customHeight="1" x14ac:dyDescent="0.15">
      <c r="B160" s="2"/>
      <c r="C160" s="3"/>
      <c r="D160" s="3"/>
      <c r="E160" s="3"/>
      <c r="F160" s="4"/>
    </row>
    <row r="161" spans="2:6" ht="12" customHeight="1" x14ac:dyDescent="0.15">
      <c r="B161" s="2"/>
      <c r="C161" s="3"/>
      <c r="D161" s="3"/>
      <c r="E161" s="3"/>
      <c r="F161" s="4"/>
    </row>
    <row r="162" spans="2:6" ht="12" customHeight="1" x14ac:dyDescent="0.15">
      <c r="B162" s="2"/>
      <c r="C162" s="3"/>
      <c r="D162" s="3"/>
      <c r="E162" s="3"/>
      <c r="F162" s="4"/>
    </row>
    <row r="163" spans="2:6" ht="12" customHeight="1" x14ac:dyDescent="0.15">
      <c r="B163" s="2"/>
      <c r="C163" s="3"/>
      <c r="D163" s="3"/>
      <c r="E163" s="3"/>
      <c r="F163" s="4"/>
    </row>
    <row r="164" spans="2:6" ht="12" customHeight="1" x14ac:dyDescent="0.15">
      <c r="B164" s="2"/>
      <c r="C164" s="3"/>
      <c r="D164" s="3"/>
      <c r="E164" s="3"/>
      <c r="F164" s="4"/>
    </row>
    <row r="165" spans="2:6" ht="12" customHeight="1" x14ac:dyDescent="0.15">
      <c r="B165" s="2"/>
      <c r="C165" s="3"/>
      <c r="D165" s="3"/>
      <c r="E165" s="3"/>
      <c r="F165" s="4"/>
    </row>
    <row r="166" spans="2:6" ht="12" customHeight="1" x14ac:dyDescent="0.15">
      <c r="B166" s="2"/>
      <c r="C166" s="3"/>
      <c r="D166" s="3"/>
      <c r="E166" s="3"/>
      <c r="F166" s="4"/>
    </row>
    <row r="167" spans="2:6" ht="12" customHeight="1" x14ac:dyDescent="0.15">
      <c r="B167" s="2"/>
      <c r="C167" s="3"/>
      <c r="D167" s="3"/>
      <c r="E167" s="3"/>
      <c r="F167" s="4"/>
    </row>
    <row r="168" spans="2:6" ht="12" customHeight="1" x14ac:dyDescent="0.15">
      <c r="B168" s="2"/>
      <c r="C168" s="3"/>
      <c r="D168" s="3"/>
      <c r="E168" s="3"/>
      <c r="F168" s="4"/>
    </row>
    <row r="169" spans="2:6" ht="12" customHeight="1" x14ac:dyDescent="0.15">
      <c r="B169" s="2"/>
      <c r="C169" s="3"/>
      <c r="D169" s="3"/>
      <c r="E169" s="3"/>
      <c r="F169" s="4"/>
    </row>
    <row r="170" spans="2:6" ht="12" customHeight="1" x14ac:dyDescent="0.15">
      <c r="B170" s="2"/>
      <c r="C170" s="3"/>
      <c r="D170" s="3"/>
      <c r="E170" s="3"/>
      <c r="F170" s="4"/>
    </row>
    <row r="171" spans="2:6" ht="12" customHeight="1" x14ac:dyDescent="0.15">
      <c r="B171" s="2"/>
      <c r="C171" s="3"/>
      <c r="D171" s="3"/>
      <c r="E171" s="3"/>
      <c r="F171" s="4"/>
    </row>
    <row r="172" spans="2:6" ht="12" customHeight="1" x14ac:dyDescent="0.15">
      <c r="B172" s="2"/>
      <c r="C172" s="3"/>
      <c r="D172" s="3"/>
      <c r="E172" s="3"/>
      <c r="F172" s="4"/>
    </row>
    <row r="173" spans="2:6" ht="12" customHeight="1" x14ac:dyDescent="0.15">
      <c r="B173" s="2"/>
      <c r="C173" s="3"/>
      <c r="D173" s="3"/>
      <c r="E173" s="3"/>
      <c r="F173" s="4"/>
    </row>
    <row r="174" spans="2:6" ht="12" customHeight="1" x14ac:dyDescent="0.15">
      <c r="B174" s="2"/>
      <c r="C174" s="3"/>
      <c r="D174" s="3"/>
      <c r="E174" s="3"/>
      <c r="F174" s="4"/>
    </row>
    <row r="175" spans="2:6" ht="12" customHeight="1" x14ac:dyDescent="0.15">
      <c r="B175" s="2"/>
      <c r="C175" s="3"/>
      <c r="D175" s="3"/>
      <c r="E175" s="3"/>
      <c r="F175" s="4"/>
    </row>
    <row r="176" spans="2:6" ht="12" customHeight="1" x14ac:dyDescent="0.15">
      <c r="B176" s="2"/>
      <c r="C176" s="3"/>
      <c r="D176" s="3"/>
      <c r="E176" s="3"/>
      <c r="F176" s="4"/>
    </row>
    <row r="177" spans="2:6" ht="12" customHeight="1" x14ac:dyDescent="0.15">
      <c r="B177" s="2"/>
      <c r="C177" s="3"/>
      <c r="D177" s="3"/>
      <c r="E177" s="3"/>
      <c r="F177" s="4"/>
    </row>
    <row r="178" spans="2:6" ht="12" customHeight="1" x14ac:dyDescent="0.15">
      <c r="B178" s="2"/>
      <c r="C178" s="3"/>
      <c r="D178" s="3"/>
      <c r="E178" s="3"/>
      <c r="F178" s="4"/>
    </row>
    <row r="179" spans="2:6" ht="12" customHeight="1" x14ac:dyDescent="0.15">
      <c r="B179" s="2"/>
      <c r="C179" s="3"/>
      <c r="D179" s="3"/>
      <c r="E179" s="3"/>
      <c r="F179" s="4"/>
    </row>
    <row r="180" spans="2:6" ht="12" customHeight="1" x14ac:dyDescent="0.15">
      <c r="B180" s="2"/>
      <c r="C180" s="3"/>
      <c r="D180" s="3"/>
      <c r="E180" s="3"/>
      <c r="F180" s="4"/>
    </row>
    <row r="181" spans="2:6" ht="12" customHeight="1" x14ac:dyDescent="0.15">
      <c r="B181" s="2"/>
      <c r="C181" s="3"/>
      <c r="D181" s="3"/>
      <c r="E181" s="3"/>
      <c r="F181" s="4"/>
    </row>
    <row r="182" spans="2:6" ht="12" customHeight="1" x14ac:dyDescent="0.15">
      <c r="B182" s="2"/>
      <c r="C182" s="3"/>
      <c r="D182" s="3"/>
      <c r="E182" s="3"/>
      <c r="F182" s="4"/>
    </row>
    <row r="183" spans="2:6" ht="12" customHeight="1" x14ac:dyDescent="0.15">
      <c r="B183" s="2"/>
      <c r="C183" s="3"/>
      <c r="D183" s="3"/>
      <c r="E183" s="3"/>
      <c r="F183" s="4"/>
    </row>
    <row r="184" spans="2:6" ht="12" customHeight="1" x14ac:dyDescent="0.15">
      <c r="B184" s="2"/>
      <c r="C184" s="3"/>
      <c r="D184" s="3"/>
      <c r="E184" s="3"/>
      <c r="F184" s="4"/>
    </row>
    <row r="185" spans="2:6" ht="12" customHeight="1" x14ac:dyDescent="0.15">
      <c r="B185" s="2"/>
      <c r="C185" s="3"/>
      <c r="D185" s="3"/>
      <c r="E185" s="3"/>
      <c r="F185" s="4"/>
    </row>
    <row r="186" spans="2:6" ht="12" customHeight="1" x14ac:dyDescent="0.15">
      <c r="B186" s="2"/>
      <c r="C186" s="3"/>
      <c r="D186" s="3"/>
      <c r="E186" s="3"/>
      <c r="F186" s="4"/>
    </row>
    <row r="187" spans="2:6" ht="12" customHeight="1" x14ac:dyDescent="0.15">
      <c r="B187" s="2"/>
      <c r="C187" s="3"/>
      <c r="D187" s="3"/>
      <c r="E187" s="3"/>
      <c r="F187" s="4"/>
    </row>
    <row r="188" spans="2:6" ht="12" customHeight="1" x14ac:dyDescent="0.15">
      <c r="B188" s="2"/>
      <c r="C188" s="3"/>
      <c r="D188" s="3"/>
      <c r="E188" s="3"/>
      <c r="F188" s="4"/>
    </row>
    <row r="189" spans="2:6" ht="12" customHeight="1" x14ac:dyDescent="0.15">
      <c r="B189" s="2"/>
      <c r="C189" s="3"/>
      <c r="D189" s="3"/>
      <c r="E189" s="3"/>
      <c r="F189" s="4"/>
    </row>
    <row r="190" spans="2:6" ht="12" customHeight="1" x14ac:dyDescent="0.15">
      <c r="B190" s="2"/>
      <c r="C190" s="3"/>
      <c r="D190" s="3"/>
      <c r="E190" s="3"/>
      <c r="F190" s="4"/>
    </row>
    <row r="191" spans="2:6" ht="12" customHeight="1" x14ac:dyDescent="0.15">
      <c r="B191" s="2"/>
      <c r="C191" s="3"/>
      <c r="D191" s="3"/>
      <c r="E191" s="3"/>
      <c r="F191" s="4"/>
    </row>
    <row r="192" spans="2:6" ht="12" customHeight="1" x14ac:dyDescent="0.15">
      <c r="B192" s="2"/>
      <c r="C192" s="3"/>
      <c r="D192" s="3"/>
      <c r="E192" s="3"/>
      <c r="F192" s="4"/>
    </row>
    <row r="193" spans="2:6" ht="12" customHeight="1" x14ac:dyDescent="0.15">
      <c r="B193" s="2"/>
      <c r="C193" s="3"/>
      <c r="D193" s="3"/>
      <c r="E193" s="3"/>
      <c r="F193" s="4"/>
    </row>
    <row r="194" spans="2:6" ht="12" customHeight="1" x14ac:dyDescent="0.15">
      <c r="B194" s="2"/>
      <c r="C194" s="3"/>
      <c r="D194" s="3"/>
      <c r="E194" s="3"/>
      <c r="F194" s="4"/>
    </row>
    <row r="195" spans="2:6" ht="12" customHeight="1" x14ac:dyDescent="0.15">
      <c r="B195" s="2"/>
      <c r="C195" s="3"/>
      <c r="D195" s="3"/>
      <c r="E195" s="3"/>
      <c r="F195" s="4"/>
    </row>
    <row r="196" spans="2:6" ht="12" customHeight="1" x14ac:dyDescent="0.15">
      <c r="B196" s="2"/>
      <c r="C196" s="3"/>
      <c r="D196" s="3"/>
      <c r="E196" s="3"/>
      <c r="F196" s="4"/>
    </row>
    <row r="197" spans="2:6" ht="12" customHeight="1" x14ac:dyDescent="0.15">
      <c r="B197" s="2"/>
      <c r="C197" s="3"/>
      <c r="D197" s="3"/>
      <c r="E197" s="3"/>
      <c r="F197" s="4"/>
    </row>
    <row r="198" spans="2:6" ht="12" customHeight="1" x14ac:dyDescent="0.15">
      <c r="B198" s="2"/>
      <c r="C198" s="3"/>
      <c r="D198" s="3"/>
      <c r="E198" s="3"/>
      <c r="F198" s="4"/>
    </row>
    <row r="199" spans="2:6" ht="12" customHeight="1" x14ac:dyDescent="0.15">
      <c r="B199" s="2"/>
      <c r="C199" s="3"/>
      <c r="D199" s="3"/>
      <c r="E199" s="3"/>
      <c r="F199" s="4"/>
    </row>
    <row r="200" spans="2:6" ht="12" customHeight="1" x14ac:dyDescent="0.15">
      <c r="B200" s="2"/>
      <c r="C200" s="3"/>
      <c r="D200" s="3"/>
      <c r="E200" s="3"/>
      <c r="F200" s="4"/>
    </row>
    <row r="201" spans="2:6" ht="12" customHeight="1" x14ac:dyDescent="0.15">
      <c r="B201" s="2"/>
      <c r="C201" s="3"/>
      <c r="D201" s="3"/>
      <c r="E201" s="3"/>
      <c r="F201" s="4"/>
    </row>
    <row r="202" spans="2:6" ht="12" customHeight="1" x14ac:dyDescent="0.15">
      <c r="B202" s="2"/>
      <c r="C202" s="3"/>
      <c r="D202" s="3"/>
      <c r="E202" s="3"/>
      <c r="F202" s="4"/>
    </row>
    <row r="203" spans="2:6" ht="12" customHeight="1" x14ac:dyDescent="0.15">
      <c r="B203" s="2"/>
      <c r="C203" s="3"/>
      <c r="D203" s="3"/>
      <c r="E203" s="3"/>
      <c r="F203" s="4"/>
    </row>
    <row r="204" spans="2:6" ht="12" customHeight="1" x14ac:dyDescent="0.15">
      <c r="B204" s="2"/>
      <c r="C204" s="3"/>
      <c r="D204" s="3"/>
      <c r="E204" s="3"/>
      <c r="F204" s="4"/>
    </row>
    <row r="205" spans="2:6" ht="12" customHeight="1" x14ac:dyDescent="0.15">
      <c r="B205" s="2"/>
      <c r="C205" s="3"/>
      <c r="D205" s="3"/>
      <c r="E205" s="3"/>
      <c r="F205" s="4"/>
    </row>
    <row r="206" spans="2:6" ht="12" customHeight="1" x14ac:dyDescent="0.15">
      <c r="B206" s="2"/>
      <c r="C206" s="3"/>
      <c r="D206" s="3"/>
      <c r="E206" s="3"/>
      <c r="F206" s="4"/>
    </row>
    <row r="207" spans="2:6" ht="12" customHeight="1" x14ac:dyDescent="0.15">
      <c r="B207" s="2"/>
      <c r="C207" s="3"/>
      <c r="D207" s="3"/>
      <c r="E207" s="3"/>
      <c r="F207" s="4"/>
    </row>
    <row r="208" spans="2:6" ht="12" customHeight="1" x14ac:dyDescent="0.15">
      <c r="B208" s="2"/>
      <c r="C208" s="3"/>
      <c r="D208" s="3"/>
      <c r="E208" s="3"/>
      <c r="F208" s="4"/>
    </row>
    <row r="209" spans="2:6" ht="12" customHeight="1" x14ac:dyDescent="0.15">
      <c r="B209" s="2"/>
      <c r="C209" s="3"/>
      <c r="D209" s="3"/>
      <c r="E209" s="3"/>
      <c r="F209" s="4"/>
    </row>
    <row r="210" spans="2:6" ht="12" customHeight="1" x14ac:dyDescent="0.15">
      <c r="B210" s="2"/>
      <c r="C210" s="3"/>
      <c r="D210" s="3"/>
      <c r="E210" s="3"/>
      <c r="F210" s="4"/>
    </row>
    <row r="211" spans="2:6" ht="12" customHeight="1" x14ac:dyDescent="0.15">
      <c r="B211" s="2"/>
      <c r="C211" s="3"/>
      <c r="D211" s="3"/>
      <c r="E211" s="3"/>
      <c r="F211" s="4"/>
    </row>
    <row r="212" spans="2:6" ht="12" customHeight="1" x14ac:dyDescent="0.15">
      <c r="B212" s="2"/>
      <c r="C212" s="3"/>
      <c r="D212" s="3"/>
      <c r="E212" s="3"/>
      <c r="F212" s="4"/>
    </row>
    <row r="213" spans="2:6" ht="12" customHeight="1" x14ac:dyDescent="0.15">
      <c r="B213" s="2"/>
      <c r="C213" s="3"/>
      <c r="D213" s="3"/>
      <c r="E213" s="3"/>
      <c r="F213" s="4"/>
    </row>
    <row r="214" spans="2:6" ht="12" customHeight="1" x14ac:dyDescent="0.15">
      <c r="B214" s="2"/>
      <c r="C214" s="3"/>
      <c r="D214" s="3"/>
      <c r="E214" s="3"/>
      <c r="F214" s="4"/>
    </row>
    <row r="215" spans="2:6" ht="12" customHeight="1" x14ac:dyDescent="0.15">
      <c r="B215" s="2"/>
      <c r="C215" s="3"/>
      <c r="D215" s="3"/>
      <c r="E215" s="3"/>
      <c r="F215" s="4"/>
    </row>
    <row r="216" spans="2:6" ht="12" customHeight="1" x14ac:dyDescent="0.15">
      <c r="B216" s="2"/>
      <c r="C216" s="3"/>
      <c r="D216" s="3"/>
      <c r="E216" s="3"/>
      <c r="F216" s="4"/>
    </row>
    <row r="217" spans="2:6" ht="12" customHeight="1" x14ac:dyDescent="0.15">
      <c r="B217" s="2"/>
      <c r="C217" s="3"/>
      <c r="D217" s="3"/>
      <c r="E217" s="3"/>
      <c r="F217" s="4"/>
    </row>
    <row r="218" spans="2:6" ht="12" customHeight="1" x14ac:dyDescent="0.15">
      <c r="B218" s="2"/>
      <c r="C218" s="3"/>
      <c r="D218" s="3"/>
      <c r="E218" s="3"/>
      <c r="F218" s="4"/>
    </row>
    <row r="219" spans="2:6" ht="12" customHeight="1" x14ac:dyDescent="0.15">
      <c r="B219" s="2"/>
      <c r="C219" s="3"/>
      <c r="D219" s="3"/>
      <c r="E219" s="3"/>
      <c r="F219" s="4"/>
    </row>
    <row r="220" spans="2:6" ht="12" customHeight="1" x14ac:dyDescent="0.15">
      <c r="B220" s="2"/>
      <c r="C220" s="3"/>
      <c r="D220" s="3"/>
      <c r="E220" s="3"/>
      <c r="F220" s="4"/>
    </row>
    <row r="221" spans="2:6" ht="12" customHeight="1" x14ac:dyDescent="0.15">
      <c r="B221" s="2"/>
      <c r="C221" s="3"/>
      <c r="D221" s="3"/>
      <c r="E221" s="3"/>
      <c r="F221" s="4"/>
    </row>
    <row r="222" spans="2:6" ht="12" customHeight="1" x14ac:dyDescent="0.15">
      <c r="B222" s="2"/>
      <c r="C222" s="3"/>
      <c r="D222" s="3"/>
      <c r="E222" s="3"/>
      <c r="F222" s="4"/>
    </row>
    <row r="223" spans="2:6" ht="12" customHeight="1" x14ac:dyDescent="0.15">
      <c r="B223" s="2"/>
      <c r="C223" s="3"/>
      <c r="D223" s="3"/>
      <c r="E223" s="3"/>
      <c r="F223" s="4"/>
    </row>
    <row r="224" spans="2:6" ht="12" customHeight="1" x14ac:dyDescent="0.15">
      <c r="B224" s="2"/>
      <c r="C224" s="3"/>
      <c r="D224" s="3"/>
      <c r="E224" s="3"/>
      <c r="F224" s="4"/>
    </row>
    <row r="225" spans="2:6" ht="12" customHeight="1" x14ac:dyDescent="0.15">
      <c r="B225" s="2"/>
      <c r="C225" s="3"/>
      <c r="D225" s="3"/>
      <c r="E225" s="3"/>
      <c r="F225" s="4"/>
    </row>
    <row r="226" spans="2:6" ht="12" customHeight="1" x14ac:dyDescent="0.15">
      <c r="B226" s="2"/>
      <c r="C226" s="3"/>
      <c r="D226" s="3"/>
      <c r="E226" s="3"/>
      <c r="F226" s="4"/>
    </row>
    <row r="227" spans="2:6" ht="12" customHeight="1" x14ac:dyDescent="0.15">
      <c r="B227" s="2"/>
      <c r="C227" s="3"/>
      <c r="D227" s="3"/>
      <c r="E227" s="3"/>
      <c r="F227" s="4"/>
    </row>
    <row r="228" spans="2:6" ht="12" customHeight="1" x14ac:dyDescent="0.15">
      <c r="B228" s="2"/>
      <c r="C228" s="3"/>
      <c r="D228" s="3"/>
      <c r="E228" s="3"/>
      <c r="F228" s="4"/>
    </row>
    <row r="229" spans="2:6" ht="12" customHeight="1" x14ac:dyDescent="0.15">
      <c r="B229" s="2"/>
      <c r="C229" s="3"/>
      <c r="D229" s="3"/>
      <c r="E229" s="3"/>
      <c r="F229" s="4"/>
    </row>
    <row r="230" spans="2:6" ht="12" customHeight="1" x14ac:dyDescent="0.15">
      <c r="B230" s="2"/>
      <c r="C230" s="3"/>
      <c r="D230" s="3"/>
      <c r="E230" s="3"/>
      <c r="F230" s="4"/>
    </row>
    <row r="231" spans="2:6" ht="12" customHeight="1" x14ac:dyDescent="0.15">
      <c r="B231" s="2"/>
      <c r="C231" s="3"/>
      <c r="D231" s="3"/>
      <c r="E231" s="3"/>
      <c r="F231" s="4"/>
    </row>
    <row r="232" spans="2:6" ht="12" customHeight="1" x14ac:dyDescent="0.15">
      <c r="B232" s="2"/>
      <c r="C232" s="3"/>
      <c r="D232" s="3"/>
      <c r="E232" s="3"/>
      <c r="F232" s="4"/>
    </row>
    <row r="233" spans="2:6" ht="12" customHeight="1" x14ac:dyDescent="0.15">
      <c r="B233" s="2"/>
      <c r="C233" s="3"/>
      <c r="D233" s="3"/>
      <c r="E233" s="3"/>
      <c r="F233" s="4"/>
    </row>
    <row r="234" spans="2:6" ht="12" customHeight="1" x14ac:dyDescent="0.15">
      <c r="B234" s="2"/>
      <c r="C234" s="3"/>
      <c r="D234" s="3"/>
      <c r="E234" s="3"/>
      <c r="F234" s="4"/>
    </row>
    <row r="235" spans="2:6" ht="12" customHeight="1" x14ac:dyDescent="0.15">
      <c r="B235" s="2"/>
      <c r="C235" s="3"/>
      <c r="D235" s="3"/>
      <c r="E235" s="3"/>
      <c r="F235" s="4"/>
    </row>
    <row r="236" spans="2:6" ht="12" customHeight="1" x14ac:dyDescent="0.15">
      <c r="B236" s="2"/>
      <c r="C236" s="3"/>
      <c r="D236" s="3"/>
      <c r="E236" s="3"/>
      <c r="F236" s="4"/>
    </row>
    <row r="237" spans="2:6" ht="12" customHeight="1" x14ac:dyDescent="0.15">
      <c r="B237" s="2"/>
      <c r="C237" s="3"/>
      <c r="D237" s="3"/>
      <c r="E237" s="3"/>
      <c r="F237" s="4"/>
    </row>
    <row r="238" spans="2:6" ht="12" customHeight="1" x14ac:dyDescent="0.15">
      <c r="B238" s="2"/>
      <c r="C238" s="3"/>
      <c r="D238" s="3"/>
      <c r="E238" s="3"/>
      <c r="F238" s="4"/>
    </row>
    <row r="239" spans="2:6" ht="12" customHeight="1" x14ac:dyDescent="0.15">
      <c r="B239" s="2"/>
      <c r="C239" s="3"/>
      <c r="D239" s="3"/>
      <c r="E239" s="3"/>
      <c r="F239" s="4"/>
    </row>
    <row r="240" spans="2:6" ht="12" customHeight="1" x14ac:dyDescent="0.15">
      <c r="B240" s="2"/>
      <c r="C240" s="3"/>
      <c r="D240" s="3"/>
      <c r="E240" s="3"/>
      <c r="F240" s="4"/>
    </row>
    <row r="241" spans="2:6" ht="12" customHeight="1" x14ac:dyDescent="0.15">
      <c r="B241" s="2"/>
      <c r="C241" s="3"/>
      <c r="D241" s="3"/>
      <c r="E241" s="3"/>
      <c r="F241" s="4"/>
    </row>
    <row r="242" spans="2:6" ht="12" customHeight="1" x14ac:dyDescent="0.15">
      <c r="B242" s="2"/>
      <c r="C242" s="3"/>
      <c r="D242" s="3"/>
      <c r="E242" s="3"/>
      <c r="F242" s="4"/>
    </row>
    <row r="243" spans="2:6" ht="12" customHeight="1" x14ac:dyDescent="0.15">
      <c r="B243" s="2"/>
      <c r="C243" s="3"/>
      <c r="D243" s="3"/>
      <c r="E243" s="3"/>
      <c r="F243" s="4"/>
    </row>
    <row r="244" spans="2:6" ht="12" customHeight="1" x14ac:dyDescent="0.15">
      <c r="B244" s="2"/>
      <c r="C244" s="3"/>
      <c r="D244" s="3"/>
      <c r="E244" s="3"/>
      <c r="F244" s="4"/>
    </row>
    <row r="245" spans="2:6" ht="12" customHeight="1" x14ac:dyDescent="0.15">
      <c r="B245" s="2"/>
      <c r="C245" s="3"/>
      <c r="D245" s="3"/>
      <c r="E245" s="3"/>
      <c r="F245" s="4"/>
    </row>
    <row r="246" spans="2:6" ht="12" customHeight="1" x14ac:dyDescent="0.15">
      <c r="B246" s="2"/>
      <c r="C246" s="3"/>
      <c r="D246" s="3"/>
      <c r="E246" s="3"/>
      <c r="F246" s="4"/>
    </row>
    <row r="247" spans="2:6" ht="12" customHeight="1" x14ac:dyDescent="0.15">
      <c r="B247" s="2"/>
      <c r="C247" s="3"/>
      <c r="D247" s="3"/>
      <c r="E247" s="3"/>
      <c r="F247" s="4"/>
    </row>
    <row r="248" spans="2:6" ht="12" customHeight="1" x14ac:dyDescent="0.15">
      <c r="B248" s="2"/>
      <c r="C248" s="3"/>
      <c r="D248" s="3"/>
      <c r="E248" s="3"/>
      <c r="F248" s="4"/>
    </row>
    <row r="249" spans="2:6" ht="12" customHeight="1" x14ac:dyDescent="0.15">
      <c r="B249" s="2"/>
      <c r="C249" s="3"/>
      <c r="D249" s="3"/>
      <c r="E249" s="3"/>
      <c r="F249" s="4"/>
    </row>
    <row r="250" spans="2:6" ht="12" customHeight="1" x14ac:dyDescent="0.15">
      <c r="B250" s="2"/>
      <c r="C250" s="3"/>
      <c r="D250" s="3"/>
      <c r="E250" s="3"/>
      <c r="F250" s="4"/>
    </row>
    <row r="251" spans="2:6" ht="12" customHeight="1" x14ac:dyDescent="0.15">
      <c r="B251" s="2"/>
      <c r="C251" s="3"/>
      <c r="D251" s="3"/>
      <c r="E251" s="3"/>
      <c r="F251" s="4"/>
    </row>
    <row r="252" spans="2:6" ht="12" customHeight="1" x14ac:dyDescent="0.15">
      <c r="B252" s="2"/>
      <c r="C252" s="3"/>
      <c r="D252" s="3"/>
      <c r="E252" s="3"/>
      <c r="F252" s="4"/>
    </row>
    <row r="253" spans="2:6" ht="12" customHeight="1" x14ac:dyDescent="0.15">
      <c r="B253" s="2"/>
      <c r="C253" s="3"/>
      <c r="D253" s="3"/>
      <c r="E253" s="3"/>
      <c r="F253" s="4"/>
    </row>
    <row r="254" spans="2:6" ht="12" customHeight="1" x14ac:dyDescent="0.15">
      <c r="B254" s="2"/>
      <c r="C254" s="3"/>
      <c r="D254" s="3"/>
      <c r="E254" s="3"/>
      <c r="F254" s="4"/>
    </row>
    <row r="255" spans="2:6" ht="12" customHeight="1" x14ac:dyDescent="0.15">
      <c r="B255" s="2"/>
      <c r="C255" s="3"/>
      <c r="D255" s="3"/>
      <c r="E255" s="3"/>
      <c r="F255" s="4"/>
    </row>
    <row r="256" spans="2:6" ht="12" customHeight="1" x14ac:dyDescent="0.15">
      <c r="B256" s="2"/>
      <c r="C256" s="3"/>
      <c r="D256" s="3"/>
      <c r="E256" s="3"/>
      <c r="F256" s="4"/>
    </row>
    <row r="257" spans="2:6" ht="12" customHeight="1" x14ac:dyDescent="0.15">
      <c r="B257" s="2"/>
      <c r="C257" s="3"/>
      <c r="D257" s="3"/>
      <c r="E257" s="3"/>
      <c r="F257" s="4"/>
    </row>
    <row r="258" spans="2:6" ht="12" customHeight="1" x14ac:dyDescent="0.15">
      <c r="B258" s="2"/>
      <c r="C258" s="3"/>
      <c r="D258" s="3"/>
      <c r="E258" s="3"/>
      <c r="F258" s="4"/>
    </row>
    <row r="259" spans="2:6" ht="12" customHeight="1" x14ac:dyDescent="0.15">
      <c r="B259" s="2"/>
      <c r="C259" s="3"/>
      <c r="D259" s="3"/>
      <c r="E259" s="3"/>
      <c r="F259" s="4"/>
    </row>
    <row r="260" spans="2:6" ht="12" customHeight="1" x14ac:dyDescent="0.15">
      <c r="B260" s="2"/>
      <c r="C260" s="3"/>
      <c r="D260" s="3"/>
      <c r="E260" s="3"/>
      <c r="F260" s="4"/>
    </row>
    <row r="261" spans="2:6" ht="12" customHeight="1" x14ac:dyDescent="0.15">
      <c r="B261" s="2"/>
      <c r="C261" s="3"/>
      <c r="D261" s="3"/>
      <c r="E261" s="3"/>
      <c r="F261" s="4"/>
    </row>
    <row r="262" spans="2:6" ht="12" customHeight="1" x14ac:dyDescent="0.15">
      <c r="B262" s="2"/>
      <c r="C262" s="3"/>
      <c r="D262" s="3"/>
      <c r="E262" s="3"/>
      <c r="F262" s="4"/>
    </row>
    <row r="263" spans="2:6" ht="12" customHeight="1" x14ac:dyDescent="0.15">
      <c r="B263" s="2"/>
      <c r="C263" s="3"/>
      <c r="D263" s="3"/>
      <c r="E263" s="3"/>
      <c r="F263" s="4"/>
    </row>
    <row r="264" spans="2:6" ht="12" customHeight="1" x14ac:dyDescent="0.15">
      <c r="B264" s="2"/>
      <c r="C264" s="3"/>
      <c r="D264" s="3"/>
      <c r="E264" s="3"/>
      <c r="F264" s="4"/>
    </row>
    <row r="265" spans="2:6" ht="12" customHeight="1" x14ac:dyDescent="0.15">
      <c r="B265" s="2"/>
      <c r="C265" s="3"/>
      <c r="D265" s="3"/>
      <c r="E265" s="3"/>
      <c r="F265" s="4"/>
    </row>
    <row r="266" spans="2:6" ht="12" customHeight="1" x14ac:dyDescent="0.15">
      <c r="B266" s="2"/>
      <c r="C266" s="3"/>
      <c r="D266" s="3"/>
      <c r="E266" s="3"/>
      <c r="F266" s="4"/>
    </row>
    <row r="267" spans="2:6" ht="12" customHeight="1" x14ac:dyDescent="0.15">
      <c r="B267" s="2"/>
      <c r="C267" s="3"/>
      <c r="D267" s="3"/>
      <c r="E267" s="3"/>
      <c r="F267" s="4"/>
    </row>
    <row r="268" spans="2:6" ht="12" customHeight="1" x14ac:dyDescent="0.15">
      <c r="B268" s="2"/>
      <c r="C268" s="3"/>
      <c r="D268" s="3"/>
      <c r="E268" s="3"/>
      <c r="F268" s="4"/>
    </row>
    <row r="269" spans="2:6" ht="12" customHeight="1" x14ac:dyDescent="0.15">
      <c r="B269" s="2"/>
      <c r="C269" s="3"/>
      <c r="D269" s="3"/>
      <c r="E269" s="3"/>
      <c r="F269" s="4"/>
    </row>
    <row r="270" spans="2:6" ht="12" customHeight="1" x14ac:dyDescent="0.15">
      <c r="B270" s="2"/>
      <c r="C270" s="3"/>
      <c r="D270" s="3"/>
      <c r="E270" s="3"/>
      <c r="F270" s="4"/>
    </row>
    <row r="271" spans="2:6" ht="12" customHeight="1" x14ac:dyDescent="0.15">
      <c r="B271" s="2"/>
      <c r="C271" s="3"/>
      <c r="D271" s="3"/>
      <c r="E271" s="3"/>
      <c r="F271" s="4"/>
    </row>
    <row r="272" spans="2:6" ht="12" customHeight="1" x14ac:dyDescent="0.15">
      <c r="B272" s="2"/>
      <c r="C272" s="3"/>
      <c r="D272" s="3"/>
      <c r="E272" s="3"/>
      <c r="F272" s="4"/>
    </row>
    <row r="273" spans="2:6" ht="12" customHeight="1" x14ac:dyDescent="0.15">
      <c r="B273" s="2"/>
      <c r="C273" s="3"/>
      <c r="D273" s="3"/>
      <c r="E273" s="3"/>
      <c r="F273" s="4"/>
    </row>
    <row r="274" spans="2:6" ht="12" customHeight="1" x14ac:dyDescent="0.15">
      <c r="B274" s="2"/>
      <c r="C274" s="3"/>
      <c r="D274" s="3"/>
      <c r="E274" s="3"/>
      <c r="F274" s="4"/>
    </row>
    <row r="275" spans="2:6" ht="12" customHeight="1" x14ac:dyDescent="0.15">
      <c r="B275" s="2"/>
      <c r="C275" s="3"/>
      <c r="D275" s="3"/>
      <c r="E275" s="3"/>
      <c r="F275" s="4"/>
    </row>
    <row r="276" spans="2:6" ht="12" customHeight="1" x14ac:dyDescent="0.15">
      <c r="B276" s="2"/>
      <c r="C276" s="3"/>
      <c r="D276" s="3"/>
      <c r="E276" s="3"/>
      <c r="F276" s="4"/>
    </row>
    <row r="277" spans="2:6" ht="12" customHeight="1" x14ac:dyDescent="0.15">
      <c r="B277" s="2"/>
      <c r="C277" s="3"/>
      <c r="D277" s="3"/>
      <c r="E277" s="3"/>
      <c r="F277" s="4"/>
    </row>
    <row r="278" spans="2:6" ht="12" customHeight="1" x14ac:dyDescent="0.15">
      <c r="B278" s="2"/>
      <c r="C278" s="3"/>
      <c r="D278" s="3"/>
      <c r="E278" s="3"/>
      <c r="F278" s="4"/>
    </row>
    <row r="279" spans="2:6" ht="12" customHeight="1" x14ac:dyDescent="0.15">
      <c r="B279" s="2"/>
      <c r="C279" s="3"/>
      <c r="D279" s="3"/>
      <c r="E279" s="3"/>
      <c r="F279" s="4"/>
    </row>
    <row r="280" spans="2:6" ht="12" customHeight="1" x14ac:dyDescent="0.15">
      <c r="B280" s="2"/>
      <c r="C280" s="3"/>
      <c r="D280" s="3"/>
      <c r="E280" s="3"/>
      <c r="F280" s="4"/>
    </row>
    <row r="281" spans="2:6" ht="12" customHeight="1" x14ac:dyDescent="0.15">
      <c r="B281" s="2"/>
      <c r="C281" s="3"/>
      <c r="D281" s="3"/>
      <c r="E281" s="3"/>
      <c r="F281" s="4"/>
    </row>
    <row r="282" spans="2:6" ht="12" customHeight="1" x14ac:dyDescent="0.15">
      <c r="B282" s="2"/>
      <c r="C282" s="3"/>
      <c r="D282" s="3"/>
      <c r="E282" s="3"/>
      <c r="F282" s="4"/>
    </row>
    <row r="283" spans="2:6" ht="12" customHeight="1" x14ac:dyDescent="0.15">
      <c r="B283" s="2"/>
      <c r="C283" s="3"/>
      <c r="D283" s="3"/>
      <c r="E283" s="3"/>
      <c r="F283" s="4"/>
    </row>
    <row r="284" spans="2:6" ht="12" customHeight="1" x14ac:dyDescent="0.15">
      <c r="B284" s="2"/>
      <c r="C284" s="3"/>
      <c r="D284" s="3"/>
      <c r="E284" s="3"/>
      <c r="F284" s="4"/>
    </row>
    <row r="285" spans="2:6" ht="12" customHeight="1" x14ac:dyDescent="0.15">
      <c r="B285" s="2"/>
      <c r="C285" s="3"/>
      <c r="D285" s="3"/>
      <c r="E285" s="3"/>
      <c r="F285" s="4"/>
    </row>
    <row r="286" spans="2:6" ht="12" customHeight="1" x14ac:dyDescent="0.15">
      <c r="B286" s="2"/>
      <c r="C286" s="3"/>
      <c r="D286" s="3"/>
      <c r="E286" s="3"/>
      <c r="F286" s="4"/>
    </row>
    <row r="287" spans="2:6" ht="12" customHeight="1" x14ac:dyDescent="0.15">
      <c r="B287" s="2"/>
      <c r="C287" s="3"/>
      <c r="D287" s="3"/>
      <c r="E287" s="3"/>
      <c r="F287" s="4"/>
    </row>
    <row r="288" spans="2:6" ht="12" customHeight="1" x14ac:dyDescent="0.15">
      <c r="B288" s="2"/>
      <c r="C288" s="3"/>
      <c r="D288" s="3"/>
      <c r="E288" s="3"/>
      <c r="F288" s="4"/>
    </row>
    <row r="289" spans="2:6" ht="12" customHeight="1" x14ac:dyDescent="0.15">
      <c r="B289" s="2"/>
      <c r="C289" s="3"/>
      <c r="D289" s="3"/>
      <c r="E289" s="3"/>
      <c r="F289" s="4"/>
    </row>
    <row r="290" spans="2:6" ht="12" customHeight="1" x14ac:dyDescent="0.15">
      <c r="B290" s="2"/>
      <c r="C290" s="3"/>
      <c r="D290" s="3"/>
      <c r="E290" s="3"/>
      <c r="F290" s="4"/>
    </row>
    <row r="291" spans="2:6" ht="12" customHeight="1" x14ac:dyDescent="0.15">
      <c r="B291" s="2"/>
      <c r="C291" s="3"/>
      <c r="D291" s="3"/>
      <c r="E291" s="3"/>
      <c r="F291" s="4"/>
    </row>
    <row r="292" spans="2:6" ht="12" customHeight="1" x14ac:dyDescent="0.15">
      <c r="B292" s="2"/>
      <c r="C292" s="3"/>
      <c r="D292" s="3"/>
      <c r="E292" s="3"/>
      <c r="F292" s="4"/>
    </row>
    <row r="293" spans="2:6" ht="12" customHeight="1" x14ac:dyDescent="0.15">
      <c r="B293" s="2"/>
      <c r="C293" s="3"/>
      <c r="D293" s="3"/>
      <c r="E293" s="3"/>
      <c r="F293" s="4"/>
    </row>
    <row r="294" spans="2:6" ht="12" customHeight="1" x14ac:dyDescent="0.15">
      <c r="B294" s="2"/>
      <c r="C294" s="3"/>
      <c r="D294" s="3"/>
      <c r="E294" s="3"/>
      <c r="F294" s="4"/>
    </row>
    <row r="295" spans="2:6" ht="12" customHeight="1" x14ac:dyDescent="0.15">
      <c r="B295" s="2"/>
      <c r="C295" s="3"/>
      <c r="D295" s="3"/>
      <c r="E295" s="3"/>
      <c r="F295" s="4"/>
    </row>
    <row r="296" spans="2:6" ht="12" customHeight="1" x14ac:dyDescent="0.15">
      <c r="B296" s="2"/>
      <c r="C296" s="3"/>
      <c r="D296" s="3"/>
      <c r="E296" s="3"/>
      <c r="F296" s="4"/>
    </row>
    <row r="297" spans="2:6" ht="12" customHeight="1" x14ac:dyDescent="0.15">
      <c r="B297" s="2"/>
      <c r="C297" s="3"/>
      <c r="D297" s="3"/>
      <c r="E297" s="3"/>
      <c r="F297" s="4"/>
    </row>
    <row r="298" spans="2:6" ht="12" customHeight="1" x14ac:dyDescent="0.15">
      <c r="B298" s="2"/>
      <c r="C298" s="3"/>
      <c r="D298" s="3"/>
      <c r="E298" s="3"/>
      <c r="F298" s="4"/>
    </row>
    <row r="299" spans="2:6" ht="12" customHeight="1" x14ac:dyDescent="0.15">
      <c r="B299" s="2"/>
      <c r="C299" s="3"/>
      <c r="D299" s="3"/>
      <c r="E299" s="3"/>
      <c r="F299" s="4"/>
    </row>
    <row r="300" spans="2:6" ht="12" customHeight="1" x14ac:dyDescent="0.15">
      <c r="B300" s="2"/>
      <c r="C300" s="3"/>
      <c r="D300" s="3"/>
      <c r="E300" s="3"/>
      <c r="F300" s="4"/>
    </row>
    <row r="301" spans="2:6" ht="12" customHeight="1" x14ac:dyDescent="0.15">
      <c r="B301" s="2"/>
      <c r="C301" s="3"/>
      <c r="D301" s="3"/>
      <c r="E301" s="3"/>
      <c r="F301" s="4"/>
    </row>
    <row r="302" spans="2:6" ht="12" customHeight="1" x14ac:dyDescent="0.15">
      <c r="B302" s="2"/>
      <c r="C302" s="3"/>
      <c r="D302" s="3"/>
      <c r="E302" s="3"/>
      <c r="F302" s="4"/>
    </row>
    <row r="303" spans="2:6" ht="12" customHeight="1" x14ac:dyDescent="0.15">
      <c r="B303" s="2"/>
      <c r="C303" s="3"/>
      <c r="D303" s="3"/>
      <c r="E303" s="3"/>
      <c r="F303" s="4"/>
    </row>
    <row r="304" spans="2:6" ht="12" customHeight="1" x14ac:dyDescent="0.15">
      <c r="B304" s="2"/>
      <c r="C304" s="3"/>
      <c r="D304" s="3"/>
      <c r="E304" s="3"/>
      <c r="F304" s="4"/>
    </row>
    <row r="305" spans="2:6" ht="12" customHeight="1" x14ac:dyDescent="0.15">
      <c r="B305" s="2"/>
      <c r="C305" s="3"/>
      <c r="D305" s="3"/>
      <c r="E305" s="3"/>
      <c r="F305" s="4"/>
    </row>
    <row r="306" spans="2:6" ht="12" customHeight="1" x14ac:dyDescent="0.15">
      <c r="B306" s="2"/>
      <c r="C306" s="3"/>
      <c r="D306" s="3"/>
      <c r="E306" s="3"/>
      <c r="F306" s="4"/>
    </row>
    <row r="307" spans="2:6" ht="12" customHeight="1" x14ac:dyDescent="0.15">
      <c r="B307" s="2"/>
      <c r="C307" s="3"/>
      <c r="D307" s="3"/>
      <c r="E307" s="3"/>
      <c r="F307" s="4"/>
    </row>
    <row r="308" spans="2:6" ht="12" customHeight="1" x14ac:dyDescent="0.15">
      <c r="B308" s="2"/>
      <c r="C308" s="3"/>
      <c r="D308" s="3"/>
      <c r="E308" s="3"/>
      <c r="F308" s="4"/>
    </row>
    <row r="309" spans="2:6" ht="12" customHeight="1" x14ac:dyDescent="0.15">
      <c r="B309" s="2"/>
      <c r="C309" s="3"/>
      <c r="D309" s="3"/>
      <c r="E309" s="3"/>
      <c r="F309" s="4"/>
    </row>
    <row r="310" spans="2:6" ht="12" customHeight="1" x14ac:dyDescent="0.15">
      <c r="B310" s="2"/>
      <c r="C310" s="3"/>
      <c r="D310" s="3"/>
      <c r="E310" s="3"/>
      <c r="F310" s="4"/>
    </row>
    <row r="311" spans="2:6" ht="12" customHeight="1" x14ac:dyDescent="0.15">
      <c r="B311" s="2"/>
      <c r="C311" s="3"/>
      <c r="D311" s="3"/>
      <c r="E311" s="3"/>
      <c r="F311" s="4"/>
    </row>
    <row r="312" spans="2:6" ht="12" customHeight="1" x14ac:dyDescent="0.15">
      <c r="B312" s="2"/>
      <c r="C312" s="3"/>
      <c r="D312" s="3"/>
      <c r="E312" s="3"/>
      <c r="F312" s="4"/>
    </row>
    <row r="313" spans="2:6" ht="12" customHeight="1" x14ac:dyDescent="0.15">
      <c r="B313" s="2"/>
      <c r="C313" s="3"/>
      <c r="D313" s="3"/>
      <c r="E313" s="3"/>
      <c r="F313" s="4"/>
    </row>
    <row r="314" spans="2:6" ht="12" customHeight="1" x14ac:dyDescent="0.15">
      <c r="B314" s="2"/>
      <c r="C314" s="3"/>
      <c r="D314" s="3"/>
      <c r="E314" s="3"/>
      <c r="F314" s="4"/>
    </row>
    <row r="315" spans="2:6" ht="12" customHeight="1" x14ac:dyDescent="0.15">
      <c r="B315" s="2"/>
      <c r="C315" s="3"/>
      <c r="D315" s="3"/>
      <c r="E315" s="3"/>
      <c r="F315" s="4"/>
    </row>
    <row r="316" spans="2:6" ht="12" customHeight="1" x14ac:dyDescent="0.15">
      <c r="B316" s="2"/>
      <c r="C316" s="3"/>
      <c r="D316" s="3"/>
      <c r="E316" s="3"/>
      <c r="F316" s="4"/>
    </row>
    <row r="317" spans="2:6" ht="12" customHeight="1" x14ac:dyDescent="0.15">
      <c r="B317" s="2"/>
      <c r="C317" s="3"/>
      <c r="D317" s="3"/>
      <c r="E317" s="3"/>
      <c r="F317" s="4"/>
    </row>
    <row r="318" spans="2:6" ht="12" customHeight="1" x14ac:dyDescent="0.15">
      <c r="B318" s="2"/>
      <c r="C318" s="3"/>
      <c r="D318" s="3"/>
      <c r="E318" s="3"/>
      <c r="F318" s="4"/>
    </row>
    <row r="319" spans="2:6" ht="12" customHeight="1" x14ac:dyDescent="0.15">
      <c r="B319" s="2"/>
      <c r="C319" s="3"/>
      <c r="D319" s="3"/>
      <c r="E319" s="3"/>
      <c r="F319" s="4"/>
    </row>
    <row r="320" spans="2:6" ht="12" customHeight="1" x14ac:dyDescent="0.15">
      <c r="B320" s="2"/>
      <c r="C320" s="3"/>
      <c r="D320" s="3"/>
      <c r="E320" s="3"/>
      <c r="F320" s="4"/>
    </row>
    <row r="321" spans="2:6" ht="12" customHeight="1" x14ac:dyDescent="0.15">
      <c r="B321" s="2"/>
      <c r="C321" s="3"/>
      <c r="D321" s="3"/>
      <c r="E321" s="3"/>
      <c r="F321" s="4"/>
    </row>
    <row r="322" spans="2:6" ht="12" customHeight="1" x14ac:dyDescent="0.15">
      <c r="B322" s="2"/>
      <c r="C322" s="3"/>
      <c r="D322" s="3"/>
      <c r="E322" s="3"/>
      <c r="F322" s="4"/>
    </row>
    <row r="323" spans="2:6" ht="12" customHeight="1" x14ac:dyDescent="0.15">
      <c r="B323" s="2"/>
      <c r="C323" s="3"/>
      <c r="D323" s="3"/>
      <c r="E323" s="3"/>
      <c r="F323" s="4"/>
    </row>
    <row r="324" spans="2:6" ht="12" customHeight="1" x14ac:dyDescent="0.15">
      <c r="B324" s="2"/>
      <c r="C324" s="3"/>
      <c r="D324" s="3"/>
      <c r="E324" s="3"/>
      <c r="F324" s="4"/>
    </row>
    <row r="325" spans="2:6" ht="12" customHeight="1" x14ac:dyDescent="0.15">
      <c r="B325" s="2"/>
      <c r="C325" s="3"/>
      <c r="D325" s="3"/>
      <c r="E325" s="3"/>
      <c r="F325" s="4"/>
    </row>
    <row r="326" spans="2:6" ht="12" customHeight="1" x14ac:dyDescent="0.15">
      <c r="B326" s="2"/>
      <c r="C326" s="3"/>
      <c r="D326" s="3"/>
      <c r="E326" s="3"/>
      <c r="F326" s="4"/>
    </row>
    <row r="327" spans="2:6" ht="12" customHeight="1" x14ac:dyDescent="0.15">
      <c r="B327" s="2"/>
      <c r="C327" s="3"/>
      <c r="D327" s="3"/>
      <c r="E327" s="3"/>
      <c r="F327" s="4"/>
    </row>
    <row r="328" spans="2:6" ht="12" customHeight="1" x14ac:dyDescent="0.15">
      <c r="B328" s="2"/>
      <c r="C328" s="3"/>
      <c r="D328" s="3"/>
      <c r="E328" s="3"/>
      <c r="F328" s="4"/>
    </row>
    <row r="329" spans="2:6" ht="12" customHeight="1" x14ac:dyDescent="0.15">
      <c r="B329" s="2"/>
      <c r="C329" s="3"/>
      <c r="D329" s="3"/>
      <c r="E329" s="3"/>
      <c r="F329" s="4"/>
    </row>
    <row r="330" spans="2:6" ht="12" customHeight="1" x14ac:dyDescent="0.15">
      <c r="B330" s="2"/>
      <c r="C330" s="3"/>
      <c r="D330" s="3"/>
      <c r="E330" s="3"/>
      <c r="F330" s="4"/>
    </row>
    <row r="331" spans="2:6" ht="12" customHeight="1" x14ac:dyDescent="0.15">
      <c r="B331" s="2"/>
      <c r="C331" s="3"/>
      <c r="D331" s="3"/>
      <c r="E331" s="3"/>
      <c r="F331" s="4"/>
    </row>
    <row r="332" spans="2:6" ht="12" customHeight="1" x14ac:dyDescent="0.15">
      <c r="B332" s="2"/>
      <c r="C332" s="3"/>
      <c r="D332" s="3"/>
      <c r="E332" s="3"/>
      <c r="F332" s="4"/>
    </row>
    <row r="333" spans="2:6" ht="12" customHeight="1" x14ac:dyDescent="0.15">
      <c r="B333" s="2"/>
      <c r="C333" s="3"/>
      <c r="D333" s="3"/>
      <c r="E333" s="3"/>
      <c r="F333" s="4"/>
    </row>
    <row r="334" spans="2:6" ht="12" customHeight="1" x14ac:dyDescent="0.15">
      <c r="B334" s="2"/>
      <c r="C334" s="3"/>
      <c r="D334" s="3"/>
      <c r="E334" s="3"/>
      <c r="F334" s="4"/>
    </row>
    <row r="335" spans="2:6" ht="12" customHeight="1" x14ac:dyDescent="0.15">
      <c r="B335" s="2"/>
      <c r="C335" s="3"/>
      <c r="D335" s="3"/>
      <c r="E335" s="3"/>
      <c r="F335" s="4"/>
    </row>
    <row r="336" spans="2:6" ht="12" customHeight="1" x14ac:dyDescent="0.15">
      <c r="B336" s="2"/>
      <c r="C336" s="3"/>
      <c r="D336" s="3"/>
      <c r="E336" s="3"/>
      <c r="F336" s="4"/>
    </row>
    <row r="337" spans="2:6" ht="12" customHeight="1" x14ac:dyDescent="0.15">
      <c r="B337" s="2"/>
      <c r="C337" s="3"/>
      <c r="D337" s="3"/>
      <c r="E337" s="3"/>
      <c r="F337" s="4"/>
    </row>
    <row r="338" spans="2:6" ht="12" customHeight="1" x14ac:dyDescent="0.15">
      <c r="B338" s="2"/>
      <c r="C338" s="3"/>
      <c r="D338" s="3"/>
      <c r="E338" s="3"/>
      <c r="F338" s="4"/>
    </row>
    <row r="339" spans="2:6" ht="12" customHeight="1" x14ac:dyDescent="0.15">
      <c r="B339" s="2"/>
      <c r="C339" s="3"/>
      <c r="D339" s="3"/>
      <c r="E339" s="3"/>
      <c r="F339" s="4"/>
    </row>
    <row r="340" spans="2:6" ht="12" customHeight="1" x14ac:dyDescent="0.15">
      <c r="B340" s="2"/>
      <c r="C340" s="3"/>
      <c r="D340" s="3"/>
      <c r="E340" s="3"/>
      <c r="F340" s="4"/>
    </row>
    <row r="341" spans="2:6" ht="12" customHeight="1" x14ac:dyDescent="0.15">
      <c r="B341" s="2"/>
      <c r="C341" s="3"/>
      <c r="D341" s="3"/>
      <c r="E341" s="3"/>
      <c r="F341" s="4"/>
    </row>
    <row r="342" spans="2:6" ht="12" customHeight="1" x14ac:dyDescent="0.15">
      <c r="B342" s="2"/>
      <c r="C342" s="3"/>
      <c r="D342" s="3"/>
      <c r="E342" s="3"/>
      <c r="F342" s="4"/>
    </row>
    <row r="343" spans="2:6" ht="12" customHeight="1" x14ac:dyDescent="0.15">
      <c r="B343" s="2"/>
      <c r="C343" s="3"/>
      <c r="D343" s="3"/>
      <c r="E343" s="3"/>
      <c r="F343" s="4"/>
    </row>
    <row r="344" spans="2:6" ht="12" customHeight="1" x14ac:dyDescent="0.15">
      <c r="B344" s="2"/>
      <c r="C344" s="3"/>
      <c r="D344" s="3"/>
      <c r="E344" s="3"/>
      <c r="F344" s="4"/>
    </row>
    <row r="345" spans="2:6" ht="12" customHeight="1" x14ac:dyDescent="0.15">
      <c r="B345" s="2"/>
      <c r="C345" s="3"/>
      <c r="D345" s="3"/>
      <c r="E345" s="3"/>
      <c r="F345" s="4"/>
    </row>
    <row r="346" spans="2:6" ht="12" customHeight="1" x14ac:dyDescent="0.15">
      <c r="B346" s="2"/>
      <c r="C346" s="3"/>
      <c r="D346" s="3"/>
      <c r="E346" s="3"/>
      <c r="F346" s="4"/>
    </row>
    <row r="347" spans="2:6" ht="12" customHeight="1" x14ac:dyDescent="0.15">
      <c r="B347" s="2"/>
      <c r="C347" s="3"/>
      <c r="D347" s="3"/>
      <c r="E347" s="3"/>
      <c r="F347" s="4"/>
    </row>
    <row r="348" spans="2:6" ht="12" customHeight="1" x14ac:dyDescent="0.15">
      <c r="B348" s="2"/>
      <c r="C348" s="3"/>
      <c r="D348" s="3"/>
      <c r="E348" s="3"/>
      <c r="F348" s="4"/>
    </row>
    <row r="349" spans="2:6" ht="12" customHeight="1" x14ac:dyDescent="0.15">
      <c r="B349" s="2"/>
      <c r="C349" s="3"/>
      <c r="D349" s="3"/>
      <c r="E349" s="3"/>
      <c r="F349" s="4"/>
    </row>
    <row r="350" spans="2:6" ht="12" customHeight="1" x14ac:dyDescent="0.15">
      <c r="B350" s="2"/>
      <c r="C350" s="3"/>
      <c r="D350" s="3"/>
      <c r="E350" s="3"/>
      <c r="F350" s="4"/>
    </row>
    <row r="351" spans="2:6" ht="12" customHeight="1" x14ac:dyDescent="0.15">
      <c r="B351" s="2"/>
      <c r="C351" s="3"/>
      <c r="D351" s="3"/>
      <c r="E351" s="3"/>
      <c r="F351" s="4"/>
    </row>
    <row r="352" spans="2:6" ht="12" customHeight="1" x14ac:dyDescent="0.15">
      <c r="B352" s="2"/>
      <c r="C352" s="3"/>
      <c r="D352" s="3"/>
      <c r="E352" s="3"/>
      <c r="F352" s="4"/>
    </row>
    <row r="353" spans="2:6" ht="12" customHeight="1" x14ac:dyDescent="0.15">
      <c r="B353" s="2"/>
      <c r="C353" s="3"/>
      <c r="D353" s="3"/>
      <c r="E353" s="3"/>
      <c r="F353" s="4"/>
    </row>
    <row r="354" spans="2:6" ht="12" customHeight="1" x14ac:dyDescent="0.15">
      <c r="B354" s="2"/>
      <c r="C354" s="3"/>
      <c r="D354" s="3"/>
      <c r="E354" s="3"/>
      <c r="F354" s="4"/>
    </row>
    <row r="355" spans="2:6" ht="12" customHeight="1" x14ac:dyDescent="0.15">
      <c r="B355" s="2"/>
      <c r="C355" s="3"/>
      <c r="D355" s="3"/>
      <c r="E355" s="3"/>
      <c r="F355" s="4"/>
    </row>
    <row r="356" spans="2:6" ht="12" customHeight="1" x14ac:dyDescent="0.15">
      <c r="B356" s="2"/>
      <c r="C356" s="3"/>
      <c r="D356" s="3"/>
      <c r="E356" s="3"/>
      <c r="F356" s="4"/>
    </row>
    <row r="357" spans="2:6" ht="12" customHeight="1" x14ac:dyDescent="0.15">
      <c r="B357" s="2"/>
      <c r="C357" s="3"/>
      <c r="D357" s="3"/>
      <c r="E357" s="3"/>
      <c r="F357" s="4"/>
    </row>
    <row r="358" spans="2:6" ht="12" customHeight="1" x14ac:dyDescent="0.15">
      <c r="B358" s="2"/>
      <c r="C358" s="3"/>
      <c r="D358" s="3"/>
      <c r="E358" s="3"/>
      <c r="F358" s="4"/>
    </row>
    <row r="359" spans="2:6" ht="12" customHeight="1" x14ac:dyDescent="0.15">
      <c r="B359" s="2"/>
      <c r="C359" s="3"/>
      <c r="D359" s="3"/>
      <c r="E359" s="3"/>
      <c r="F359" s="4"/>
    </row>
    <row r="360" spans="2:6" ht="12" customHeight="1" x14ac:dyDescent="0.15">
      <c r="B360" s="2"/>
      <c r="C360" s="3"/>
      <c r="D360" s="3"/>
      <c r="E360" s="3"/>
      <c r="F360" s="4"/>
    </row>
    <row r="361" spans="2:6" ht="12" customHeight="1" x14ac:dyDescent="0.15">
      <c r="B361" s="2"/>
      <c r="C361" s="3"/>
      <c r="D361" s="3"/>
      <c r="E361" s="3"/>
      <c r="F361" s="4"/>
    </row>
    <row r="362" spans="2:6" ht="12" customHeight="1" x14ac:dyDescent="0.15">
      <c r="B362" s="2"/>
      <c r="C362" s="3"/>
      <c r="D362" s="3"/>
      <c r="E362" s="3"/>
      <c r="F362" s="4"/>
    </row>
    <row r="363" spans="2:6" ht="12" customHeight="1" x14ac:dyDescent="0.15">
      <c r="B363" s="2"/>
      <c r="C363" s="3"/>
      <c r="D363" s="3"/>
      <c r="E363" s="3"/>
      <c r="F363" s="4"/>
    </row>
    <row r="364" spans="2:6" ht="12" customHeight="1" x14ac:dyDescent="0.15">
      <c r="B364" s="2"/>
      <c r="C364" s="3"/>
      <c r="D364" s="3"/>
      <c r="E364" s="3"/>
      <c r="F364" s="4"/>
    </row>
    <row r="365" spans="2:6" ht="12" customHeight="1" x14ac:dyDescent="0.15">
      <c r="B365" s="2"/>
      <c r="C365" s="3"/>
      <c r="D365" s="3"/>
      <c r="E365" s="3"/>
      <c r="F365" s="4"/>
    </row>
    <row r="366" spans="2:6" ht="12" customHeight="1" x14ac:dyDescent="0.15">
      <c r="B366" s="2"/>
      <c r="C366" s="3"/>
      <c r="D366" s="3"/>
      <c r="E366" s="3"/>
      <c r="F366" s="4"/>
    </row>
    <row r="367" spans="2:6" ht="12" customHeight="1" x14ac:dyDescent="0.15">
      <c r="B367" s="2"/>
      <c r="C367" s="3"/>
      <c r="D367" s="3"/>
      <c r="E367" s="3"/>
      <c r="F367" s="4"/>
    </row>
    <row r="368" spans="2:6" ht="12" customHeight="1" x14ac:dyDescent="0.15">
      <c r="B368" s="2"/>
      <c r="C368" s="3"/>
      <c r="D368" s="3"/>
      <c r="E368" s="3"/>
      <c r="F368" s="4"/>
    </row>
    <row r="369" spans="2:6" ht="12" customHeight="1" x14ac:dyDescent="0.15">
      <c r="B369" s="2"/>
      <c r="C369" s="3"/>
      <c r="D369" s="3"/>
      <c r="E369" s="3"/>
      <c r="F369" s="4"/>
    </row>
    <row r="370" spans="2:6" ht="12" customHeight="1" x14ac:dyDescent="0.15">
      <c r="B370" s="2"/>
      <c r="C370" s="3"/>
      <c r="D370" s="3"/>
      <c r="E370" s="3"/>
      <c r="F370" s="4"/>
    </row>
    <row r="371" spans="2:6" ht="12" customHeight="1" x14ac:dyDescent="0.15">
      <c r="B371" s="2"/>
      <c r="C371" s="3"/>
      <c r="D371" s="3"/>
      <c r="E371" s="3"/>
      <c r="F371" s="4"/>
    </row>
    <row r="372" spans="2:6" ht="12" customHeight="1" x14ac:dyDescent="0.15">
      <c r="B372" s="2"/>
      <c r="C372" s="3"/>
      <c r="D372" s="3"/>
      <c r="E372" s="3"/>
      <c r="F372" s="4"/>
    </row>
    <row r="373" spans="2:6" ht="12" customHeight="1" x14ac:dyDescent="0.15">
      <c r="B373" s="2"/>
      <c r="C373" s="3"/>
      <c r="D373" s="3"/>
      <c r="E373" s="3"/>
      <c r="F373" s="4"/>
    </row>
    <row r="374" spans="2:6" ht="12" customHeight="1" x14ac:dyDescent="0.15">
      <c r="B374" s="2"/>
      <c r="C374" s="3"/>
      <c r="D374" s="3"/>
      <c r="E374" s="3"/>
      <c r="F374" s="4"/>
    </row>
    <row r="375" spans="2:6" ht="12" customHeight="1" x14ac:dyDescent="0.15">
      <c r="B375" s="2"/>
      <c r="C375" s="3"/>
      <c r="D375" s="3"/>
      <c r="E375" s="3"/>
      <c r="F375" s="4"/>
    </row>
    <row r="376" spans="2:6" ht="12" customHeight="1" x14ac:dyDescent="0.15">
      <c r="B376" s="2"/>
      <c r="C376" s="3"/>
      <c r="D376" s="3"/>
      <c r="E376" s="3"/>
      <c r="F376" s="4"/>
    </row>
    <row r="377" spans="2:6" ht="12" customHeight="1" x14ac:dyDescent="0.15">
      <c r="B377" s="2"/>
      <c r="C377" s="3"/>
      <c r="D377" s="3"/>
      <c r="E377" s="3"/>
      <c r="F377" s="4"/>
    </row>
    <row r="378" spans="2:6" ht="12" customHeight="1" x14ac:dyDescent="0.15">
      <c r="B378" s="2"/>
      <c r="C378" s="3"/>
      <c r="D378" s="3"/>
      <c r="E378" s="3"/>
      <c r="F378" s="4"/>
    </row>
    <row r="379" spans="2:6" ht="12" customHeight="1" x14ac:dyDescent="0.15">
      <c r="B379" s="2"/>
      <c r="C379" s="3"/>
      <c r="D379" s="3"/>
      <c r="E379" s="3"/>
      <c r="F379" s="4"/>
    </row>
    <row r="380" spans="2:6" ht="12" customHeight="1" x14ac:dyDescent="0.15">
      <c r="B380" s="2"/>
      <c r="C380" s="3"/>
      <c r="D380" s="3"/>
      <c r="E380" s="3"/>
      <c r="F380" s="4"/>
    </row>
    <row r="381" spans="2:6" ht="12" customHeight="1" x14ac:dyDescent="0.15">
      <c r="B381" s="2"/>
      <c r="C381" s="3"/>
      <c r="D381" s="3"/>
      <c r="E381" s="3"/>
      <c r="F381" s="4"/>
    </row>
    <row r="382" spans="2:6" ht="12" customHeight="1" x14ac:dyDescent="0.15">
      <c r="B382" s="2"/>
      <c r="C382" s="3"/>
      <c r="D382" s="3"/>
      <c r="E382" s="3"/>
      <c r="F382" s="4"/>
    </row>
    <row r="383" spans="2:6" ht="12" customHeight="1" x14ac:dyDescent="0.15">
      <c r="B383" s="2"/>
      <c r="C383" s="3"/>
      <c r="D383" s="3"/>
      <c r="E383" s="3"/>
      <c r="F383" s="4"/>
    </row>
    <row r="384" spans="2:6" ht="12" customHeight="1" x14ac:dyDescent="0.15">
      <c r="B384" s="2"/>
      <c r="C384" s="3"/>
      <c r="D384" s="3"/>
      <c r="E384" s="3"/>
      <c r="F384" s="4"/>
    </row>
    <row r="385" spans="2:6" ht="12" customHeight="1" x14ac:dyDescent="0.15">
      <c r="B385" s="2"/>
      <c r="C385" s="3"/>
      <c r="D385" s="3"/>
      <c r="E385" s="3"/>
      <c r="F385" s="4"/>
    </row>
    <row r="386" spans="2:6" ht="12" customHeight="1" x14ac:dyDescent="0.15">
      <c r="B386" s="2"/>
      <c r="C386" s="3"/>
      <c r="D386" s="3"/>
      <c r="E386" s="3"/>
      <c r="F386" s="4"/>
    </row>
    <row r="387" spans="2:6" ht="12" customHeight="1" x14ac:dyDescent="0.15">
      <c r="B387" s="2"/>
      <c r="C387" s="3"/>
      <c r="D387" s="3"/>
      <c r="E387" s="3"/>
      <c r="F387" s="4"/>
    </row>
    <row r="388" spans="2:6" ht="12" customHeight="1" x14ac:dyDescent="0.15">
      <c r="B388" s="2"/>
      <c r="C388" s="3"/>
      <c r="D388" s="3"/>
      <c r="E388" s="3"/>
      <c r="F388" s="4"/>
    </row>
    <row r="389" spans="2:6" ht="12" customHeight="1" x14ac:dyDescent="0.15">
      <c r="B389" s="2"/>
      <c r="C389" s="3"/>
      <c r="D389" s="3"/>
      <c r="E389" s="3"/>
      <c r="F389" s="4"/>
    </row>
    <row r="390" spans="2:6" ht="12" customHeight="1" x14ac:dyDescent="0.15">
      <c r="B390" s="2"/>
      <c r="C390" s="3"/>
      <c r="D390" s="3"/>
      <c r="E390" s="3"/>
      <c r="F390" s="4"/>
    </row>
    <row r="391" spans="2:6" ht="12" customHeight="1" x14ac:dyDescent="0.15">
      <c r="B391" s="2"/>
      <c r="C391" s="3"/>
      <c r="D391" s="3"/>
      <c r="E391" s="3"/>
      <c r="F391" s="4"/>
    </row>
    <row r="392" spans="2:6" ht="12" customHeight="1" x14ac:dyDescent="0.15">
      <c r="B392" s="2"/>
      <c r="C392" s="3"/>
      <c r="D392" s="3"/>
      <c r="E392" s="3"/>
      <c r="F392" s="4"/>
    </row>
    <row r="393" spans="2:6" ht="12" customHeight="1" x14ac:dyDescent="0.15">
      <c r="B393" s="2"/>
      <c r="C393" s="3"/>
      <c r="D393" s="3"/>
      <c r="E393" s="3"/>
      <c r="F393" s="4"/>
    </row>
    <row r="394" spans="2:6" ht="12" customHeight="1" x14ac:dyDescent="0.15">
      <c r="B394" s="2"/>
      <c r="C394" s="3"/>
      <c r="D394" s="3"/>
      <c r="E394" s="3"/>
      <c r="F394" s="4"/>
    </row>
    <row r="395" spans="2:6" ht="12" customHeight="1" x14ac:dyDescent="0.15">
      <c r="B395" s="2"/>
      <c r="C395" s="3"/>
      <c r="D395" s="3"/>
      <c r="E395" s="3"/>
      <c r="F395" s="4"/>
    </row>
    <row r="396" spans="2:6" ht="12" customHeight="1" x14ac:dyDescent="0.15">
      <c r="B396" s="2"/>
      <c r="C396" s="3"/>
      <c r="D396" s="3"/>
      <c r="E396" s="3"/>
      <c r="F396" s="4"/>
    </row>
    <row r="397" spans="2:6" ht="12" customHeight="1" x14ac:dyDescent="0.15">
      <c r="B397" s="2"/>
      <c r="C397" s="3"/>
      <c r="D397" s="3"/>
      <c r="E397" s="3"/>
      <c r="F397" s="4"/>
    </row>
    <row r="398" spans="2:6" ht="12" customHeight="1" x14ac:dyDescent="0.15">
      <c r="B398" s="2"/>
      <c r="C398" s="3"/>
      <c r="D398" s="3"/>
      <c r="E398" s="3"/>
      <c r="F398" s="4"/>
    </row>
    <row r="399" spans="2:6" ht="12" customHeight="1" x14ac:dyDescent="0.15">
      <c r="B399" s="2"/>
      <c r="C399" s="3"/>
      <c r="D399" s="3"/>
      <c r="E399" s="3"/>
      <c r="F399" s="4"/>
    </row>
    <row r="400" spans="2:6" ht="12" customHeight="1" x14ac:dyDescent="0.15">
      <c r="B400" s="2"/>
      <c r="C400" s="3"/>
      <c r="D400" s="3"/>
      <c r="E400" s="3"/>
      <c r="F400" s="4"/>
    </row>
    <row r="401" spans="2:6" ht="12" customHeight="1" x14ac:dyDescent="0.15">
      <c r="B401" s="2"/>
      <c r="C401" s="3"/>
      <c r="D401" s="3"/>
      <c r="E401" s="3"/>
      <c r="F401" s="4"/>
    </row>
    <row r="402" spans="2:6" ht="12" customHeight="1" x14ac:dyDescent="0.15">
      <c r="B402" s="2"/>
      <c r="C402" s="3"/>
      <c r="D402" s="3"/>
      <c r="E402" s="3"/>
      <c r="F402" s="4"/>
    </row>
    <row r="403" spans="2:6" ht="12" customHeight="1" x14ac:dyDescent="0.15">
      <c r="B403" s="2"/>
      <c r="C403" s="3"/>
      <c r="D403" s="3"/>
      <c r="E403" s="3"/>
      <c r="F403" s="4"/>
    </row>
    <row r="404" spans="2:6" ht="12" customHeight="1" x14ac:dyDescent="0.15">
      <c r="B404" s="2"/>
      <c r="C404" s="3"/>
      <c r="D404" s="3"/>
      <c r="E404" s="3"/>
      <c r="F404" s="4"/>
    </row>
    <row r="405" spans="2:6" ht="12" customHeight="1" x14ac:dyDescent="0.15">
      <c r="B405" s="2"/>
      <c r="C405" s="3"/>
      <c r="D405" s="3"/>
      <c r="E405" s="3"/>
      <c r="F405" s="4"/>
    </row>
    <row r="406" spans="2:6" ht="12" customHeight="1" x14ac:dyDescent="0.15">
      <c r="B406" s="2"/>
      <c r="C406" s="3"/>
      <c r="D406" s="3"/>
      <c r="E406" s="3"/>
      <c r="F406" s="4"/>
    </row>
    <row r="407" spans="2:6" ht="12" customHeight="1" x14ac:dyDescent="0.15">
      <c r="B407" s="2"/>
      <c r="C407" s="3"/>
      <c r="D407" s="3"/>
      <c r="E407" s="3"/>
      <c r="F407" s="4"/>
    </row>
    <row r="408" spans="2:6" ht="12" customHeight="1" x14ac:dyDescent="0.15">
      <c r="B408" s="2"/>
      <c r="C408" s="3"/>
      <c r="D408" s="3"/>
      <c r="E408" s="3"/>
      <c r="F408" s="4"/>
    </row>
    <row r="409" spans="2:6" ht="12" customHeight="1" x14ac:dyDescent="0.15">
      <c r="B409" s="2"/>
      <c r="C409" s="3"/>
      <c r="D409" s="3"/>
      <c r="E409" s="3"/>
      <c r="F409" s="4"/>
    </row>
    <row r="410" spans="2:6" ht="12" customHeight="1" x14ac:dyDescent="0.15">
      <c r="B410" s="2"/>
      <c r="C410" s="3"/>
      <c r="D410" s="3"/>
      <c r="E410" s="3"/>
      <c r="F410" s="4"/>
    </row>
    <row r="411" spans="2:6" ht="12" customHeight="1" x14ac:dyDescent="0.15">
      <c r="B411" s="2"/>
      <c r="C411" s="3"/>
      <c r="D411" s="3"/>
      <c r="E411" s="3"/>
      <c r="F411" s="4"/>
    </row>
    <row r="412" spans="2:6" ht="12" customHeight="1" x14ac:dyDescent="0.15">
      <c r="B412" s="2"/>
      <c r="C412" s="3"/>
      <c r="D412" s="3"/>
      <c r="E412" s="3"/>
      <c r="F412" s="4"/>
    </row>
    <row r="413" spans="2:6" ht="12" customHeight="1" x14ac:dyDescent="0.15">
      <c r="B413" s="2"/>
      <c r="C413" s="3"/>
      <c r="D413" s="3"/>
      <c r="E413" s="3"/>
      <c r="F413" s="4"/>
    </row>
    <row r="414" spans="2:6" ht="12" customHeight="1" x14ac:dyDescent="0.15">
      <c r="B414" s="2"/>
      <c r="C414" s="3"/>
      <c r="D414" s="3"/>
      <c r="E414" s="3"/>
      <c r="F414" s="4"/>
    </row>
    <row r="415" spans="2:6" ht="12" customHeight="1" x14ac:dyDescent="0.15">
      <c r="B415" s="2"/>
      <c r="C415" s="3"/>
      <c r="D415" s="3"/>
      <c r="E415" s="3"/>
      <c r="F415" s="4"/>
    </row>
    <row r="416" spans="2:6" ht="12" customHeight="1" x14ac:dyDescent="0.15">
      <c r="B416" s="2"/>
      <c r="C416" s="3"/>
      <c r="D416" s="3"/>
      <c r="E416" s="3"/>
      <c r="F416" s="4"/>
    </row>
    <row r="417" spans="2:6" ht="12" customHeight="1" x14ac:dyDescent="0.15">
      <c r="B417" s="2"/>
      <c r="C417" s="3"/>
      <c r="D417" s="3"/>
      <c r="E417" s="3"/>
      <c r="F417" s="4"/>
    </row>
    <row r="418" spans="2:6" ht="12" customHeight="1" x14ac:dyDescent="0.15">
      <c r="B418" s="2"/>
      <c r="C418" s="3"/>
      <c r="D418" s="3"/>
      <c r="E418" s="3"/>
      <c r="F418" s="4"/>
    </row>
    <row r="419" spans="2:6" ht="12" customHeight="1" x14ac:dyDescent="0.15">
      <c r="B419" s="2"/>
      <c r="C419" s="3"/>
      <c r="D419" s="3"/>
      <c r="E419" s="3"/>
      <c r="F419" s="4"/>
    </row>
    <row r="420" spans="2:6" ht="12" customHeight="1" x14ac:dyDescent="0.15">
      <c r="B420" s="2"/>
      <c r="C420" s="3"/>
      <c r="D420" s="3"/>
      <c r="E420" s="3"/>
      <c r="F420" s="4"/>
    </row>
    <row r="421" spans="2:6" ht="12" customHeight="1" x14ac:dyDescent="0.15">
      <c r="B421" s="2"/>
      <c r="C421" s="3"/>
      <c r="D421" s="3"/>
      <c r="E421" s="3"/>
      <c r="F421" s="4"/>
    </row>
    <row r="422" spans="2:6" ht="12" customHeight="1" x14ac:dyDescent="0.15">
      <c r="B422" s="2"/>
      <c r="C422" s="3"/>
      <c r="D422" s="3"/>
      <c r="E422" s="3"/>
      <c r="F422" s="4"/>
    </row>
    <row r="423" spans="2:6" ht="12" customHeight="1" x14ac:dyDescent="0.15">
      <c r="B423" s="2"/>
      <c r="C423" s="3"/>
      <c r="D423" s="3"/>
      <c r="E423" s="3"/>
      <c r="F423" s="4"/>
    </row>
    <row r="424" spans="2:6" ht="12" customHeight="1" x14ac:dyDescent="0.15">
      <c r="B424" s="2"/>
      <c r="C424" s="3"/>
      <c r="D424" s="3"/>
      <c r="E424" s="3"/>
      <c r="F424" s="4"/>
    </row>
    <row r="425" spans="2:6" ht="12" customHeight="1" x14ac:dyDescent="0.15">
      <c r="B425" s="2"/>
      <c r="C425" s="3"/>
      <c r="D425" s="3"/>
      <c r="E425" s="3"/>
      <c r="F425" s="4"/>
    </row>
    <row r="426" spans="2:6" ht="12" customHeight="1" x14ac:dyDescent="0.15">
      <c r="B426" s="2"/>
      <c r="C426" s="3"/>
      <c r="D426" s="3"/>
      <c r="E426" s="3"/>
      <c r="F426" s="4"/>
    </row>
    <row r="427" spans="2:6" ht="12" customHeight="1" x14ac:dyDescent="0.15">
      <c r="B427" s="2"/>
      <c r="C427" s="3"/>
      <c r="D427" s="3"/>
      <c r="E427" s="3"/>
      <c r="F427" s="4"/>
    </row>
    <row r="428" spans="2:6" ht="12" customHeight="1" x14ac:dyDescent="0.15">
      <c r="B428" s="2"/>
      <c r="C428" s="3"/>
      <c r="D428" s="3"/>
      <c r="E428" s="3"/>
      <c r="F428" s="4"/>
    </row>
    <row r="429" spans="2:6" ht="12" customHeight="1" x14ac:dyDescent="0.15">
      <c r="B429" s="2"/>
      <c r="C429" s="3"/>
      <c r="D429" s="3"/>
      <c r="E429" s="3"/>
      <c r="F429" s="4"/>
    </row>
    <row r="430" spans="2:6" ht="12" customHeight="1" x14ac:dyDescent="0.15">
      <c r="B430" s="2"/>
      <c r="C430" s="3"/>
      <c r="D430" s="3"/>
      <c r="E430" s="3"/>
      <c r="F430" s="4"/>
    </row>
    <row r="431" spans="2:6" ht="12" customHeight="1" x14ac:dyDescent="0.15">
      <c r="B431" s="2"/>
      <c r="C431" s="3"/>
      <c r="D431" s="3"/>
      <c r="E431" s="3"/>
      <c r="F431" s="4"/>
    </row>
    <row r="432" spans="2:6" ht="12" customHeight="1" x14ac:dyDescent="0.15">
      <c r="B432" s="2"/>
      <c r="C432" s="3"/>
      <c r="D432" s="3"/>
      <c r="E432" s="3"/>
      <c r="F432" s="4"/>
    </row>
    <row r="433" spans="2:6" ht="12" customHeight="1" x14ac:dyDescent="0.15">
      <c r="B433" s="2"/>
      <c r="C433" s="3"/>
      <c r="D433" s="3"/>
      <c r="E433" s="3"/>
      <c r="F433" s="4"/>
    </row>
    <row r="434" spans="2:6" ht="12" customHeight="1" x14ac:dyDescent="0.15">
      <c r="B434" s="2"/>
      <c r="C434" s="3"/>
      <c r="D434" s="3"/>
      <c r="E434" s="3"/>
      <c r="F434" s="4"/>
    </row>
    <row r="435" spans="2:6" ht="12" customHeight="1" x14ac:dyDescent="0.15">
      <c r="B435" s="2"/>
      <c r="C435" s="3"/>
      <c r="D435" s="3"/>
      <c r="E435" s="3"/>
      <c r="F435" s="4"/>
    </row>
    <row r="436" spans="2:6" ht="12" customHeight="1" x14ac:dyDescent="0.15">
      <c r="B436" s="2"/>
      <c r="C436" s="3"/>
      <c r="D436" s="3"/>
      <c r="E436" s="3"/>
      <c r="F436" s="4"/>
    </row>
    <row r="437" spans="2:6" ht="12" customHeight="1" x14ac:dyDescent="0.15">
      <c r="B437" s="2"/>
      <c r="C437" s="3"/>
      <c r="D437" s="3"/>
      <c r="E437" s="3"/>
      <c r="F437" s="4"/>
    </row>
    <row r="438" spans="2:6" ht="12" customHeight="1" x14ac:dyDescent="0.15">
      <c r="B438" s="2"/>
      <c r="C438" s="3"/>
      <c r="D438" s="3"/>
      <c r="E438" s="3"/>
      <c r="F438" s="4"/>
    </row>
    <row r="439" spans="2:6" ht="12" customHeight="1" x14ac:dyDescent="0.15">
      <c r="B439" s="2"/>
      <c r="C439" s="3"/>
      <c r="D439" s="3"/>
      <c r="E439" s="3"/>
      <c r="F439" s="4"/>
    </row>
    <row r="440" spans="2:6" ht="12" customHeight="1" x14ac:dyDescent="0.15">
      <c r="B440" s="2"/>
      <c r="C440" s="3"/>
      <c r="D440" s="3"/>
      <c r="E440" s="3"/>
      <c r="F440" s="4"/>
    </row>
    <row r="441" spans="2:6" ht="12" customHeight="1" x14ac:dyDescent="0.15">
      <c r="B441" s="2"/>
      <c r="C441" s="3"/>
      <c r="D441" s="3"/>
      <c r="E441" s="3"/>
      <c r="F441" s="4"/>
    </row>
    <row r="442" spans="2:6" ht="12" customHeight="1" x14ac:dyDescent="0.15">
      <c r="B442" s="2"/>
      <c r="C442" s="3"/>
      <c r="D442" s="3"/>
      <c r="E442" s="3"/>
      <c r="F442" s="4"/>
    </row>
    <row r="443" spans="2:6" ht="12" customHeight="1" x14ac:dyDescent="0.15">
      <c r="B443" s="2"/>
      <c r="C443" s="3"/>
      <c r="D443" s="3"/>
      <c r="E443" s="3"/>
      <c r="F443" s="4"/>
    </row>
    <row r="444" spans="2:6" ht="12" customHeight="1" x14ac:dyDescent="0.15">
      <c r="B444" s="2"/>
      <c r="C444" s="3"/>
      <c r="D444" s="3"/>
      <c r="E444" s="3"/>
      <c r="F444" s="4"/>
    </row>
    <row r="445" spans="2:6" ht="12" customHeight="1" x14ac:dyDescent="0.15">
      <c r="B445" s="2"/>
      <c r="C445" s="3"/>
      <c r="D445" s="3"/>
      <c r="E445" s="3"/>
      <c r="F445" s="4"/>
    </row>
    <row r="446" spans="2:6" ht="12" customHeight="1" x14ac:dyDescent="0.15">
      <c r="B446" s="2"/>
      <c r="C446" s="3"/>
      <c r="D446" s="3"/>
      <c r="E446" s="3"/>
      <c r="F446" s="4"/>
    </row>
    <row r="447" spans="2:6" ht="12" customHeight="1" x14ac:dyDescent="0.15">
      <c r="B447" s="2"/>
      <c r="C447" s="3"/>
      <c r="D447" s="3"/>
      <c r="E447" s="3"/>
      <c r="F447" s="4"/>
    </row>
    <row r="448" spans="2:6" ht="12" customHeight="1" x14ac:dyDescent="0.15">
      <c r="B448" s="2"/>
      <c r="C448" s="3"/>
      <c r="D448" s="3"/>
      <c r="E448" s="3"/>
      <c r="F448" s="4"/>
    </row>
    <row r="449" spans="2:6" ht="12" customHeight="1" x14ac:dyDescent="0.15">
      <c r="B449" s="2"/>
      <c r="C449" s="3"/>
      <c r="D449" s="3"/>
      <c r="E449" s="3"/>
      <c r="F449" s="4"/>
    </row>
    <row r="450" spans="2:6" ht="12" customHeight="1" x14ac:dyDescent="0.15">
      <c r="B450" s="2"/>
      <c r="C450" s="3"/>
      <c r="D450" s="3"/>
      <c r="E450" s="3"/>
      <c r="F450" s="4"/>
    </row>
    <row r="451" spans="2:6" ht="12" customHeight="1" x14ac:dyDescent="0.15">
      <c r="B451" s="2"/>
      <c r="C451" s="3"/>
      <c r="D451" s="3"/>
      <c r="E451" s="3"/>
      <c r="F451" s="4"/>
    </row>
    <row r="452" spans="2:6" ht="12" customHeight="1" x14ac:dyDescent="0.15">
      <c r="B452" s="2"/>
      <c r="C452" s="3"/>
      <c r="D452" s="3"/>
      <c r="E452" s="3"/>
      <c r="F452" s="4"/>
    </row>
    <row r="453" spans="2:6" ht="12" customHeight="1" x14ac:dyDescent="0.15">
      <c r="B453" s="2"/>
      <c r="C453" s="3"/>
      <c r="D453" s="3"/>
      <c r="E453" s="3"/>
      <c r="F453" s="4"/>
    </row>
    <row r="454" spans="2:6" ht="12" customHeight="1" x14ac:dyDescent="0.15">
      <c r="B454" s="2"/>
      <c r="C454" s="3"/>
      <c r="D454" s="3"/>
      <c r="E454" s="3"/>
      <c r="F454" s="4"/>
    </row>
    <row r="455" spans="2:6" ht="12" customHeight="1" x14ac:dyDescent="0.15">
      <c r="B455" s="2"/>
      <c r="C455" s="3"/>
      <c r="D455" s="3"/>
      <c r="E455" s="3"/>
      <c r="F455" s="4"/>
    </row>
    <row r="456" spans="2:6" ht="12" customHeight="1" x14ac:dyDescent="0.15">
      <c r="B456" s="2"/>
      <c r="C456" s="3"/>
      <c r="D456" s="3"/>
      <c r="E456" s="3"/>
      <c r="F456" s="4"/>
    </row>
    <row r="457" spans="2:6" ht="12" customHeight="1" x14ac:dyDescent="0.15">
      <c r="B457" s="2"/>
      <c r="C457" s="3"/>
      <c r="D457" s="3"/>
      <c r="E457" s="3"/>
      <c r="F457" s="4"/>
    </row>
    <row r="458" spans="2:6" ht="12" customHeight="1" x14ac:dyDescent="0.15">
      <c r="B458" s="2"/>
      <c r="C458" s="3"/>
      <c r="D458" s="3"/>
      <c r="E458" s="3"/>
      <c r="F458" s="4"/>
    </row>
    <row r="459" spans="2:6" ht="12" customHeight="1" x14ac:dyDescent="0.15">
      <c r="B459" s="2"/>
      <c r="C459" s="3"/>
      <c r="D459" s="3"/>
      <c r="E459" s="3"/>
      <c r="F459" s="4"/>
    </row>
    <row r="460" spans="2:6" ht="12" customHeight="1" x14ac:dyDescent="0.15">
      <c r="B460" s="2"/>
      <c r="C460" s="3"/>
      <c r="D460" s="3"/>
      <c r="E460" s="3"/>
      <c r="F460" s="4"/>
    </row>
    <row r="461" spans="2:6" ht="12" customHeight="1" x14ac:dyDescent="0.15">
      <c r="B461" s="2"/>
      <c r="C461" s="3"/>
      <c r="D461" s="3"/>
      <c r="E461" s="3"/>
      <c r="F461" s="4"/>
    </row>
    <row r="462" spans="2:6" ht="12" customHeight="1" x14ac:dyDescent="0.15">
      <c r="B462" s="2"/>
      <c r="C462" s="3"/>
      <c r="D462" s="3"/>
      <c r="E462" s="3"/>
      <c r="F462" s="4"/>
    </row>
    <row r="463" spans="2:6" ht="12" customHeight="1" x14ac:dyDescent="0.15">
      <c r="B463" s="2"/>
      <c r="C463" s="3"/>
      <c r="D463" s="3"/>
      <c r="E463" s="3"/>
      <c r="F463" s="4"/>
    </row>
    <row r="464" spans="2:6" ht="12" customHeight="1" x14ac:dyDescent="0.15">
      <c r="B464" s="2"/>
      <c r="C464" s="3"/>
      <c r="D464" s="3"/>
      <c r="E464" s="3"/>
      <c r="F464" s="4"/>
    </row>
    <row r="465" spans="2:6" ht="12" customHeight="1" x14ac:dyDescent="0.15">
      <c r="B465" s="2"/>
      <c r="C465" s="3"/>
      <c r="D465" s="3"/>
      <c r="E465" s="3"/>
      <c r="F465" s="4"/>
    </row>
    <row r="466" spans="2:6" ht="12" customHeight="1" x14ac:dyDescent="0.15">
      <c r="B466" s="2"/>
      <c r="C466" s="3"/>
      <c r="D466" s="3"/>
      <c r="E466" s="3"/>
      <c r="F466" s="4"/>
    </row>
    <row r="467" spans="2:6" ht="12" customHeight="1" x14ac:dyDescent="0.15">
      <c r="B467" s="2"/>
      <c r="C467" s="3"/>
      <c r="D467" s="3"/>
      <c r="E467" s="3"/>
      <c r="F467" s="4"/>
    </row>
    <row r="468" spans="2:6" ht="12" customHeight="1" x14ac:dyDescent="0.15">
      <c r="B468" s="2"/>
      <c r="C468" s="3"/>
      <c r="D468" s="3"/>
      <c r="E468" s="3"/>
      <c r="F468" s="4"/>
    </row>
    <row r="469" spans="2:6" ht="12" customHeight="1" x14ac:dyDescent="0.15">
      <c r="B469" s="2"/>
      <c r="C469" s="3"/>
      <c r="D469" s="3"/>
      <c r="E469" s="3"/>
      <c r="F469" s="4"/>
    </row>
    <row r="470" spans="2:6" ht="12" customHeight="1" x14ac:dyDescent="0.15">
      <c r="B470" s="2"/>
      <c r="C470" s="3"/>
      <c r="D470" s="3"/>
      <c r="E470" s="3"/>
      <c r="F470" s="4"/>
    </row>
    <row r="471" spans="2:6" ht="12" customHeight="1" x14ac:dyDescent="0.15">
      <c r="B471" s="2"/>
      <c r="C471" s="3"/>
      <c r="D471" s="3"/>
      <c r="E471" s="3"/>
      <c r="F471" s="4"/>
    </row>
    <row r="472" spans="2:6" ht="12" customHeight="1" x14ac:dyDescent="0.15">
      <c r="B472" s="2"/>
      <c r="C472" s="3"/>
      <c r="D472" s="3"/>
      <c r="E472" s="3"/>
      <c r="F472" s="4"/>
    </row>
    <row r="473" spans="2:6" ht="12" customHeight="1" x14ac:dyDescent="0.15">
      <c r="B473" s="2"/>
      <c r="C473" s="3"/>
      <c r="D473" s="3"/>
      <c r="E473" s="3"/>
      <c r="F473" s="4"/>
    </row>
    <row r="474" spans="2:6" ht="12" customHeight="1" x14ac:dyDescent="0.15">
      <c r="B474" s="2"/>
      <c r="C474" s="3"/>
      <c r="D474" s="3"/>
      <c r="E474" s="3"/>
      <c r="F474" s="4"/>
    </row>
    <row r="475" spans="2:6" ht="12" customHeight="1" x14ac:dyDescent="0.15">
      <c r="B475" s="2"/>
      <c r="C475" s="3"/>
      <c r="D475" s="3"/>
      <c r="E475" s="3"/>
      <c r="F475" s="4"/>
    </row>
    <row r="476" spans="2:6" ht="12" customHeight="1" x14ac:dyDescent="0.15">
      <c r="B476" s="2"/>
      <c r="C476" s="3"/>
      <c r="D476" s="3"/>
      <c r="E476" s="3"/>
      <c r="F476" s="4"/>
    </row>
    <row r="477" spans="2:6" ht="12" customHeight="1" x14ac:dyDescent="0.15">
      <c r="B477" s="2"/>
      <c r="C477" s="3"/>
      <c r="D477" s="3"/>
      <c r="E477" s="3"/>
      <c r="F477" s="4"/>
    </row>
    <row r="478" spans="2:6" ht="12" customHeight="1" x14ac:dyDescent="0.15">
      <c r="B478" s="2"/>
      <c r="C478" s="3"/>
      <c r="D478" s="3"/>
      <c r="E478" s="3"/>
      <c r="F478" s="4"/>
    </row>
    <row r="479" spans="2:6" ht="12" customHeight="1" x14ac:dyDescent="0.15">
      <c r="B479" s="2"/>
      <c r="C479" s="3"/>
      <c r="D479" s="3"/>
      <c r="E479" s="3"/>
      <c r="F479" s="4"/>
    </row>
    <row r="480" spans="2:6" ht="12" customHeight="1" x14ac:dyDescent="0.15">
      <c r="B480" s="2"/>
      <c r="C480" s="3"/>
      <c r="D480" s="3"/>
      <c r="E480" s="3"/>
      <c r="F480" s="4"/>
    </row>
    <row r="481" spans="2:6" ht="12" customHeight="1" x14ac:dyDescent="0.15">
      <c r="B481" s="2"/>
      <c r="C481" s="3"/>
      <c r="D481" s="3"/>
      <c r="E481" s="3"/>
      <c r="F481" s="4"/>
    </row>
    <row r="482" spans="2:6" ht="12" customHeight="1" x14ac:dyDescent="0.15">
      <c r="B482" s="2"/>
      <c r="C482" s="3"/>
      <c r="D482" s="3"/>
      <c r="E482" s="3"/>
      <c r="F482" s="4"/>
    </row>
    <row r="483" spans="2:6" ht="12" customHeight="1" x14ac:dyDescent="0.15">
      <c r="B483" s="2"/>
      <c r="C483" s="3"/>
      <c r="D483" s="3"/>
      <c r="E483" s="3"/>
      <c r="F483" s="4"/>
    </row>
    <row r="484" spans="2:6" ht="12" customHeight="1" x14ac:dyDescent="0.15">
      <c r="B484" s="2"/>
      <c r="C484" s="3"/>
      <c r="D484" s="3"/>
      <c r="E484" s="3"/>
      <c r="F484" s="4"/>
    </row>
    <row r="485" spans="2:6" ht="12" customHeight="1" x14ac:dyDescent="0.15">
      <c r="B485" s="2"/>
      <c r="C485" s="3"/>
      <c r="D485" s="3"/>
      <c r="E485" s="3"/>
      <c r="F485" s="4"/>
    </row>
    <row r="486" spans="2:6" ht="12" customHeight="1" x14ac:dyDescent="0.15">
      <c r="B486" s="2"/>
      <c r="C486" s="3"/>
      <c r="D486" s="3"/>
      <c r="E486" s="3"/>
      <c r="F486" s="4"/>
    </row>
    <row r="487" spans="2:6" ht="12" customHeight="1" x14ac:dyDescent="0.15">
      <c r="B487" s="2"/>
      <c r="C487" s="3"/>
      <c r="D487" s="3"/>
      <c r="E487" s="3"/>
      <c r="F487" s="4"/>
    </row>
    <row r="488" spans="2:6" ht="12" customHeight="1" x14ac:dyDescent="0.15">
      <c r="B488" s="2"/>
      <c r="C488" s="3"/>
      <c r="D488" s="3"/>
      <c r="E488" s="3"/>
      <c r="F488" s="4"/>
    </row>
    <row r="489" spans="2:6" ht="12" customHeight="1" x14ac:dyDescent="0.15">
      <c r="B489" s="2"/>
      <c r="C489" s="3"/>
      <c r="D489" s="3"/>
      <c r="E489" s="3"/>
      <c r="F489" s="4"/>
    </row>
    <row r="490" spans="2:6" ht="12" customHeight="1" x14ac:dyDescent="0.15">
      <c r="B490" s="2"/>
      <c r="C490" s="3"/>
      <c r="D490" s="3"/>
      <c r="E490" s="3"/>
      <c r="F490" s="4"/>
    </row>
    <row r="491" spans="2:6" ht="12" customHeight="1" x14ac:dyDescent="0.15">
      <c r="B491" s="2"/>
      <c r="C491" s="3"/>
      <c r="D491" s="3"/>
      <c r="E491" s="3"/>
      <c r="F491" s="4"/>
    </row>
    <row r="492" spans="2:6" ht="12" customHeight="1" x14ac:dyDescent="0.15">
      <c r="B492" s="2"/>
      <c r="C492" s="3"/>
      <c r="D492" s="3"/>
      <c r="E492" s="3"/>
      <c r="F492" s="4"/>
    </row>
    <row r="493" spans="2:6" ht="12" customHeight="1" x14ac:dyDescent="0.15">
      <c r="B493" s="2"/>
      <c r="C493" s="3"/>
      <c r="D493" s="3"/>
      <c r="E493" s="3"/>
      <c r="F493" s="4"/>
    </row>
    <row r="494" spans="2:6" ht="12" customHeight="1" x14ac:dyDescent="0.15">
      <c r="B494" s="2"/>
      <c r="C494" s="3"/>
      <c r="D494" s="3"/>
      <c r="E494" s="3"/>
      <c r="F494" s="4"/>
    </row>
    <row r="495" spans="2:6" ht="12" customHeight="1" x14ac:dyDescent="0.15">
      <c r="B495" s="2"/>
      <c r="C495" s="3"/>
      <c r="D495" s="3"/>
      <c r="E495" s="3"/>
      <c r="F495" s="4"/>
    </row>
    <row r="496" spans="2:6" ht="12" customHeight="1" x14ac:dyDescent="0.15">
      <c r="B496" s="2"/>
      <c r="C496" s="3"/>
      <c r="D496" s="3"/>
      <c r="E496" s="3"/>
      <c r="F496" s="4"/>
    </row>
    <row r="497" spans="2:6" ht="12" customHeight="1" x14ac:dyDescent="0.15">
      <c r="B497" s="2"/>
      <c r="C497" s="3"/>
      <c r="D497" s="3"/>
      <c r="E497" s="3"/>
      <c r="F497" s="4"/>
    </row>
    <row r="498" spans="2:6" ht="12" customHeight="1" x14ac:dyDescent="0.15">
      <c r="B498" s="2"/>
      <c r="C498" s="3"/>
      <c r="D498" s="3"/>
      <c r="E498" s="3"/>
      <c r="F498" s="4"/>
    </row>
    <row r="499" spans="2:6" ht="12" customHeight="1" x14ac:dyDescent="0.15">
      <c r="B499" s="2"/>
      <c r="C499" s="3"/>
      <c r="D499" s="3"/>
      <c r="E499" s="3"/>
      <c r="F499" s="4"/>
    </row>
    <row r="500" spans="2:6" ht="12" customHeight="1" x14ac:dyDescent="0.15">
      <c r="B500" s="2"/>
      <c r="C500" s="3"/>
      <c r="D500" s="3"/>
      <c r="E500" s="3"/>
      <c r="F500" s="4"/>
    </row>
    <row r="501" spans="2:6" ht="12" customHeight="1" x14ac:dyDescent="0.15">
      <c r="B501" s="2"/>
      <c r="C501" s="3"/>
      <c r="D501" s="3"/>
      <c r="E501" s="3"/>
      <c r="F501" s="4"/>
    </row>
    <row r="502" spans="2:6" ht="12" customHeight="1" x14ac:dyDescent="0.15">
      <c r="B502" s="2"/>
      <c r="C502" s="3"/>
      <c r="D502" s="3"/>
      <c r="E502" s="3"/>
      <c r="F502" s="4"/>
    </row>
    <row r="503" spans="2:6" ht="12" customHeight="1" x14ac:dyDescent="0.15">
      <c r="B503" s="2"/>
      <c r="C503" s="3"/>
      <c r="D503" s="3"/>
      <c r="E503" s="3"/>
      <c r="F503" s="4"/>
    </row>
    <row r="504" spans="2:6" ht="12" customHeight="1" x14ac:dyDescent="0.15">
      <c r="B504" s="2"/>
      <c r="C504" s="3"/>
      <c r="D504" s="3"/>
      <c r="E504" s="3"/>
      <c r="F504" s="4"/>
    </row>
    <row r="505" spans="2:6" ht="12" customHeight="1" x14ac:dyDescent="0.15">
      <c r="B505" s="2"/>
      <c r="C505" s="3"/>
      <c r="D505" s="3"/>
      <c r="E505" s="3"/>
      <c r="F505" s="4"/>
    </row>
    <row r="506" spans="2:6" ht="12" customHeight="1" x14ac:dyDescent="0.15">
      <c r="B506" s="2"/>
      <c r="C506" s="3"/>
      <c r="D506" s="3"/>
      <c r="E506" s="3"/>
      <c r="F506" s="4"/>
    </row>
    <row r="507" spans="2:6" ht="12" customHeight="1" x14ac:dyDescent="0.15">
      <c r="B507" s="2"/>
      <c r="C507" s="3"/>
      <c r="D507" s="3"/>
      <c r="E507" s="3"/>
      <c r="F507" s="4"/>
    </row>
    <row r="508" spans="2:6" ht="12" customHeight="1" x14ac:dyDescent="0.15">
      <c r="B508" s="2"/>
      <c r="C508" s="3"/>
      <c r="D508" s="3"/>
      <c r="E508" s="3"/>
      <c r="F508" s="4"/>
    </row>
    <row r="509" spans="2:6" ht="12" customHeight="1" x14ac:dyDescent="0.15">
      <c r="B509" s="2"/>
      <c r="C509" s="3"/>
      <c r="D509" s="3"/>
      <c r="E509" s="3"/>
      <c r="F509" s="4"/>
    </row>
    <row r="510" spans="2:6" ht="12" customHeight="1" x14ac:dyDescent="0.15">
      <c r="B510" s="2"/>
      <c r="C510" s="3"/>
      <c r="D510" s="3"/>
      <c r="E510" s="3"/>
      <c r="F510" s="4"/>
    </row>
    <row r="511" spans="2:6" ht="12" customHeight="1" x14ac:dyDescent="0.15">
      <c r="B511" s="2"/>
      <c r="C511" s="3"/>
      <c r="D511" s="3"/>
      <c r="E511" s="3"/>
      <c r="F511" s="4"/>
    </row>
    <row r="512" spans="2:6" ht="12" customHeight="1" x14ac:dyDescent="0.15">
      <c r="B512" s="2"/>
      <c r="C512" s="3"/>
      <c r="D512" s="3"/>
      <c r="E512" s="3"/>
      <c r="F512" s="4"/>
    </row>
    <row r="513" spans="2:6" ht="12" customHeight="1" x14ac:dyDescent="0.15">
      <c r="B513" s="2"/>
      <c r="C513" s="3"/>
      <c r="D513" s="3"/>
      <c r="E513" s="3"/>
      <c r="F513" s="4"/>
    </row>
    <row r="514" spans="2:6" ht="12" customHeight="1" x14ac:dyDescent="0.15">
      <c r="B514" s="2"/>
      <c r="C514" s="3"/>
      <c r="D514" s="3"/>
      <c r="E514" s="3"/>
      <c r="F514" s="4"/>
    </row>
    <row r="515" spans="2:6" ht="12" customHeight="1" x14ac:dyDescent="0.15">
      <c r="B515" s="2"/>
      <c r="C515" s="3"/>
      <c r="D515" s="3"/>
      <c r="E515" s="3"/>
      <c r="F515" s="4"/>
    </row>
    <row r="516" spans="2:6" ht="12" customHeight="1" x14ac:dyDescent="0.15">
      <c r="B516" s="2"/>
      <c r="C516" s="3"/>
      <c r="D516" s="3"/>
      <c r="E516" s="3"/>
      <c r="F516" s="4"/>
    </row>
    <row r="517" spans="2:6" ht="12" customHeight="1" x14ac:dyDescent="0.15">
      <c r="B517" s="2"/>
      <c r="C517" s="3"/>
      <c r="D517" s="3"/>
      <c r="E517" s="3"/>
      <c r="F517" s="4"/>
    </row>
    <row r="518" spans="2:6" ht="12" customHeight="1" x14ac:dyDescent="0.15">
      <c r="B518" s="2"/>
      <c r="C518" s="3"/>
      <c r="D518" s="3"/>
      <c r="E518" s="3"/>
      <c r="F518" s="4"/>
    </row>
    <row r="519" spans="2:6" ht="12" customHeight="1" x14ac:dyDescent="0.15">
      <c r="B519" s="2"/>
      <c r="C519" s="3"/>
      <c r="D519" s="3"/>
      <c r="E519" s="3"/>
      <c r="F519" s="4"/>
    </row>
    <row r="520" spans="2:6" ht="12" customHeight="1" x14ac:dyDescent="0.15">
      <c r="B520" s="2"/>
      <c r="C520" s="3"/>
      <c r="D520" s="3"/>
      <c r="E520" s="3"/>
      <c r="F520" s="4"/>
    </row>
    <row r="521" spans="2:6" ht="12" customHeight="1" x14ac:dyDescent="0.15">
      <c r="B521" s="2"/>
      <c r="C521" s="3"/>
      <c r="D521" s="3"/>
      <c r="E521" s="3"/>
      <c r="F521" s="4"/>
    </row>
    <row r="522" spans="2:6" ht="12" customHeight="1" x14ac:dyDescent="0.15">
      <c r="B522" s="2"/>
      <c r="C522" s="3"/>
      <c r="D522" s="3"/>
      <c r="E522" s="3"/>
      <c r="F522" s="4"/>
    </row>
    <row r="523" spans="2:6" ht="12" customHeight="1" x14ac:dyDescent="0.15">
      <c r="B523" s="2"/>
      <c r="C523" s="3"/>
      <c r="D523" s="3"/>
      <c r="E523" s="3"/>
      <c r="F523" s="4"/>
    </row>
    <row r="524" spans="2:6" ht="12" customHeight="1" x14ac:dyDescent="0.15">
      <c r="B524" s="2"/>
      <c r="C524" s="3"/>
      <c r="D524" s="3"/>
      <c r="E524" s="3"/>
      <c r="F524" s="4"/>
    </row>
    <row r="525" spans="2:6" ht="12" customHeight="1" x14ac:dyDescent="0.15">
      <c r="B525" s="2"/>
      <c r="C525" s="3"/>
      <c r="D525" s="3"/>
      <c r="E525" s="3"/>
      <c r="F525" s="4"/>
    </row>
    <row r="526" spans="2:6" ht="12" customHeight="1" x14ac:dyDescent="0.15">
      <c r="B526" s="2"/>
      <c r="C526" s="3"/>
      <c r="D526" s="3"/>
      <c r="E526" s="3"/>
      <c r="F526" s="4"/>
    </row>
    <row r="527" spans="2:6" ht="12" customHeight="1" x14ac:dyDescent="0.15">
      <c r="B527" s="2"/>
      <c r="C527" s="3"/>
      <c r="D527" s="3"/>
      <c r="E527" s="3"/>
      <c r="F527" s="4"/>
    </row>
    <row r="528" spans="2:6" ht="12" customHeight="1" x14ac:dyDescent="0.15">
      <c r="B528" s="2"/>
      <c r="C528" s="3"/>
      <c r="D528" s="3"/>
      <c r="E528" s="3"/>
      <c r="F528" s="4"/>
    </row>
    <row r="529" spans="2:6" ht="12" customHeight="1" x14ac:dyDescent="0.15">
      <c r="B529" s="2"/>
      <c r="C529" s="3"/>
      <c r="D529" s="3"/>
      <c r="E529" s="3"/>
      <c r="F529" s="4"/>
    </row>
    <row r="530" spans="2:6" ht="12" customHeight="1" x14ac:dyDescent="0.15">
      <c r="B530" s="2"/>
      <c r="C530" s="3"/>
      <c r="D530" s="3"/>
      <c r="E530" s="3"/>
      <c r="F530" s="4"/>
    </row>
    <row r="531" spans="2:6" ht="12" customHeight="1" x14ac:dyDescent="0.15">
      <c r="B531" s="2"/>
      <c r="C531" s="3"/>
      <c r="D531" s="3"/>
      <c r="E531" s="3"/>
      <c r="F531" s="4"/>
    </row>
    <row r="532" spans="2:6" ht="12" customHeight="1" x14ac:dyDescent="0.15">
      <c r="B532" s="2"/>
      <c r="C532" s="3"/>
      <c r="D532" s="3"/>
      <c r="E532" s="3"/>
      <c r="F532" s="4"/>
    </row>
    <row r="533" spans="2:6" ht="12" customHeight="1" x14ac:dyDescent="0.15">
      <c r="B533" s="2"/>
      <c r="C533" s="3"/>
      <c r="D533" s="3"/>
      <c r="E533" s="3"/>
      <c r="F533" s="4"/>
    </row>
    <row r="534" spans="2:6" ht="12" customHeight="1" x14ac:dyDescent="0.15">
      <c r="B534" s="2"/>
      <c r="C534" s="3"/>
      <c r="D534" s="3"/>
      <c r="E534" s="3"/>
      <c r="F534" s="4"/>
    </row>
    <row r="535" spans="2:6" ht="12" customHeight="1" x14ac:dyDescent="0.15">
      <c r="B535" s="2"/>
      <c r="C535" s="3"/>
      <c r="D535" s="3"/>
      <c r="E535" s="3"/>
      <c r="F535" s="4"/>
    </row>
    <row r="536" spans="2:6" ht="12" customHeight="1" x14ac:dyDescent="0.15">
      <c r="B536" s="2"/>
      <c r="C536" s="3"/>
      <c r="D536" s="3"/>
      <c r="E536" s="3"/>
      <c r="F536" s="4"/>
    </row>
    <row r="537" spans="2:6" ht="12" customHeight="1" x14ac:dyDescent="0.15">
      <c r="B537" s="2"/>
      <c r="C537" s="3"/>
      <c r="D537" s="3"/>
      <c r="E537" s="3"/>
      <c r="F537" s="4"/>
    </row>
    <row r="538" spans="2:6" ht="12" customHeight="1" x14ac:dyDescent="0.15">
      <c r="B538" s="2"/>
      <c r="C538" s="3"/>
      <c r="D538" s="3"/>
      <c r="E538" s="3"/>
      <c r="F538" s="4"/>
    </row>
    <row r="539" spans="2:6" ht="12" customHeight="1" x14ac:dyDescent="0.15">
      <c r="B539" s="2"/>
      <c r="C539" s="3"/>
      <c r="D539" s="3"/>
      <c r="E539" s="3"/>
      <c r="F539" s="4"/>
    </row>
    <row r="540" spans="2:6" ht="12" customHeight="1" x14ac:dyDescent="0.15">
      <c r="B540" s="2"/>
      <c r="C540" s="3"/>
      <c r="D540" s="3"/>
      <c r="E540" s="3"/>
      <c r="F540" s="4"/>
    </row>
    <row r="541" spans="2:6" ht="12" customHeight="1" x14ac:dyDescent="0.15">
      <c r="B541" s="2"/>
      <c r="C541" s="3"/>
      <c r="D541" s="3"/>
      <c r="E541" s="3"/>
      <c r="F541" s="4"/>
    </row>
    <row r="542" spans="2:6" ht="12" customHeight="1" x14ac:dyDescent="0.15">
      <c r="B542" s="2"/>
      <c r="C542" s="3"/>
      <c r="D542" s="3"/>
      <c r="E542" s="3"/>
      <c r="F542" s="4"/>
    </row>
    <row r="543" spans="2:6" ht="12" customHeight="1" x14ac:dyDescent="0.15">
      <c r="B543" s="2"/>
      <c r="C543" s="3"/>
      <c r="D543" s="3"/>
      <c r="E543" s="3"/>
      <c r="F543" s="4"/>
    </row>
    <row r="544" spans="2:6" ht="12" customHeight="1" x14ac:dyDescent="0.15">
      <c r="B544" s="2"/>
      <c r="C544" s="3"/>
      <c r="D544" s="3"/>
      <c r="E544" s="3"/>
      <c r="F544" s="4"/>
    </row>
    <row r="545" spans="2:6" ht="12" customHeight="1" x14ac:dyDescent="0.15">
      <c r="B545" s="2"/>
      <c r="C545" s="3"/>
      <c r="D545" s="3"/>
      <c r="E545" s="3"/>
      <c r="F545" s="4"/>
    </row>
    <row r="546" spans="2:6" ht="12" customHeight="1" x14ac:dyDescent="0.15">
      <c r="B546" s="2"/>
      <c r="C546" s="3"/>
      <c r="D546" s="3"/>
      <c r="E546" s="3"/>
      <c r="F546" s="4"/>
    </row>
    <row r="547" spans="2:6" ht="12" customHeight="1" x14ac:dyDescent="0.15">
      <c r="B547" s="2"/>
      <c r="C547" s="3"/>
      <c r="D547" s="3"/>
      <c r="E547" s="3"/>
      <c r="F547" s="4"/>
    </row>
    <row r="548" spans="2:6" ht="12" customHeight="1" x14ac:dyDescent="0.15">
      <c r="B548" s="2"/>
      <c r="C548" s="3"/>
      <c r="D548" s="3"/>
      <c r="E548" s="3"/>
      <c r="F548" s="4"/>
    </row>
    <row r="549" spans="2:6" ht="12" customHeight="1" x14ac:dyDescent="0.15">
      <c r="B549" s="2"/>
      <c r="C549" s="3"/>
      <c r="D549" s="3"/>
      <c r="E549" s="3"/>
      <c r="F549" s="4"/>
    </row>
    <row r="550" spans="2:6" ht="12" customHeight="1" x14ac:dyDescent="0.15">
      <c r="B550" s="2"/>
      <c r="C550" s="3"/>
      <c r="D550" s="3"/>
      <c r="E550" s="3"/>
      <c r="F550" s="4"/>
    </row>
    <row r="551" spans="2:6" ht="12" customHeight="1" x14ac:dyDescent="0.15">
      <c r="B551" s="2"/>
      <c r="C551" s="3"/>
      <c r="D551" s="3"/>
      <c r="E551" s="3"/>
      <c r="F551" s="4"/>
    </row>
    <row r="552" spans="2:6" ht="12" customHeight="1" x14ac:dyDescent="0.15">
      <c r="B552" s="2"/>
      <c r="C552" s="3"/>
      <c r="D552" s="3"/>
      <c r="E552" s="3"/>
      <c r="F552" s="4"/>
    </row>
    <row r="553" spans="2:6" ht="12" customHeight="1" x14ac:dyDescent="0.15">
      <c r="B553" s="2"/>
      <c r="C553" s="3"/>
      <c r="D553" s="3"/>
      <c r="E553" s="3"/>
      <c r="F553" s="4"/>
    </row>
    <row r="554" spans="2:6" ht="12" customHeight="1" x14ac:dyDescent="0.15">
      <c r="B554" s="2"/>
      <c r="C554" s="3"/>
      <c r="D554" s="3"/>
      <c r="E554" s="3"/>
      <c r="F554" s="4"/>
    </row>
    <row r="555" spans="2:6" ht="12" customHeight="1" x14ac:dyDescent="0.15">
      <c r="B555" s="2"/>
      <c r="C555" s="3"/>
      <c r="D555" s="3"/>
      <c r="E555" s="3"/>
      <c r="F555" s="4"/>
    </row>
    <row r="556" spans="2:6" ht="12" customHeight="1" x14ac:dyDescent="0.15">
      <c r="B556" s="2"/>
      <c r="C556" s="3"/>
      <c r="D556" s="3"/>
      <c r="E556" s="3"/>
      <c r="F556" s="4"/>
    </row>
    <row r="557" spans="2:6" ht="12" customHeight="1" x14ac:dyDescent="0.15">
      <c r="B557" s="2"/>
      <c r="C557" s="3"/>
      <c r="D557" s="3"/>
      <c r="E557" s="3"/>
      <c r="F557" s="4"/>
    </row>
    <row r="558" spans="2:6" ht="12" customHeight="1" x14ac:dyDescent="0.15">
      <c r="B558" s="2"/>
      <c r="C558" s="3"/>
      <c r="D558" s="3"/>
      <c r="E558" s="3"/>
      <c r="F558" s="4"/>
    </row>
    <row r="559" spans="2:6" ht="12" customHeight="1" x14ac:dyDescent="0.15">
      <c r="B559" s="2"/>
      <c r="C559" s="3"/>
      <c r="D559" s="3"/>
      <c r="E559" s="3"/>
      <c r="F559" s="4"/>
    </row>
    <row r="560" spans="2:6" ht="12" customHeight="1" x14ac:dyDescent="0.15">
      <c r="B560" s="2"/>
      <c r="C560" s="3"/>
      <c r="D560" s="3"/>
      <c r="E560" s="3"/>
      <c r="F560" s="4"/>
    </row>
    <row r="561" spans="2:6" ht="12" customHeight="1" x14ac:dyDescent="0.15">
      <c r="B561" s="2"/>
      <c r="C561" s="3"/>
      <c r="D561" s="3"/>
      <c r="E561" s="3"/>
      <c r="F561" s="4"/>
    </row>
    <row r="562" spans="2:6" ht="12" customHeight="1" x14ac:dyDescent="0.15">
      <c r="B562" s="2"/>
      <c r="C562" s="3"/>
      <c r="D562" s="3"/>
      <c r="E562" s="3"/>
      <c r="F562" s="4"/>
    </row>
    <row r="563" spans="2:6" ht="12" customHeight="1" x14ac:dyDescent="0.15">
      <c r="B563" s="2"/>
      <c r="C563" s="3"/>
      <c r="D563" s="3"/>
      <c r="E563" s="3"/>
      <c r="F563" s="4"/>
    </row>
    <row r="564" spans="2:6" ht="12" customHeight="1" x14ac:dyDescent="0.15">
      <c r="B564" s="2"/>
      <c r="C564" s="3"/>
      <c r="D564" s="3"/>
      <c r="E564" s="3"/>
      <c r="F564" s="4"/>
    </row>
    <row r="565" spans="2:6" ht="12" customHeight="1" x14ac:dyDescent="0.15">
      <c r="B565" s="2"/>
      <c r="C565" s="3"/>
      <c r="D565" s="3"/>
      <c r="E565" s="3"/>
      <c r="F565" s="4"/>
    </row>
    <row r="566" spans="2:6" ht="12" customHeight="1" x14ac:dyDescent="0.15">
      <c r="B566" s="2"/>
      <c r="C566" s="3"/>
      <c r="D566" s="3"/>
      <c r="E566" s="3"/>
      <c r="F566" s="4"/>
    </row>
    <row r="567" spans="2:6" ht="12" customHeight="1" x14ac:dyDescent="0.15">
      <c r="B567" s="2"/>
      <c r="C567" s="3"/>
      <c r="D567" s="3"/>
      <c r="E567" s="3"/>
      <c r="F567" s="4"/>
    </row>
    <row r="568" spans="2:6" ht="12" customHeight="1" x14ac:dyDescent="0.15">
      <c r="B568" s="2"/>
      <c r="C568" s="3"/>
      <c r="D568" s="3"/>
      <c r="E568" s="3"/>
      <c r="F568" s="4"/>
    </row>
    <row r="569" spans="2:6" ht="12" customHeight="1" x14ac:dyDescent="0.15">
      <c r="B569" s="2"/>
      <c r="C569" s="3"/>
      <c r="D569" s="3"/>
      <c r="E569" s="3"/>
      <c r="F569" s="4"/>
    </row>
    <row r="570" spans="2:6" ht="12" customHeight="1" x14ac:dyDescent="0.15">
      <c r="B570" s="2"/>
      <c r="C570" s="3"/>
      <c r="D570" s="3"/>
      <c r="E570" s="3"/>
      <c r="F570" s="4"/>
    </row>
    <row r="571" spans="2:6" ht="12" customHeight="1" x14ac:dyDescent="0.15">
      <c r="B571" s="2"/>
      <c r="C571" s="3"/>
      <c r="D571" s="3"/>
      <c r="E571" s="3"/>
      <c r="F571" s="4"/>
    </row>
    <row r="572" spans="2:6" ht="12" customHeight="1" x14ac:dyDescent="0.15">
      <c r="B572" s="2"/>
      <c r="C572" s="3"/>
      <c r="D572" s="3"/>
      <c r="E572" s="3"/>
      <c r="F572" s="4"/>
    </row>
    <row r="573" spans="2:6" ht="12" customHeight="1" x14ac:dyDescent="0.15">
      <c r="B573" s="2"/>
      <c r="C573" s="3"/>
      <c r="D573" s="3"/>
      <c r="E573" s="3"/>
      <c r="F573" s="4"/>
    </row>
    <row r="574" spans="2:6" ht="12" customHeight="1" x14ac:dyDescent="0.15">
      <c r="B574" s="2"/>
      <c r="C574" s="3"/>
      <c r="D574" s="3"/>
      <c r="E574" s="3"/>
      <c r="F574" s="4"/>
    </row>
    <row r="575" spans="2:6" ht="12" customHeight="1" x14ac:dyDescent="0.15">
      <c r="B575" s="2"/>
      <c r="C575" s="3"/>
      <c r="D575" s="3"/>
      <c r="E575" s="3"/>
      <c r="F575" s="4"/>
    </row>
    <row r="576" spans="2:6" ht="12" customHeight="1" x14ac:dyDescent="0.15">
      <c r="B576" s="2"/>
      <c r="C576" s="3"/>
      <c r="D576" s="3"/>
      <c r="E576" s="3"/>
      <c r="F576" s="4"/>
    </row>
    <row r="577" spans="2:6" ht="12" customHeight="1" x14ac:dyDescent="0.15">
      <c r="B577" s="2"/>
      <c r="C577" s="3"/>
      <c r="D577" s="3"/>
      <c r="E577" s="3"/>
      <c r="F577" s="4"/>
    </row>
    <row r="578" spans="2:6" ht="12" customHeight="1" x14ac:dyDescent="0.15">
      <c r="B578" s="2"/>
      <c r="C578" s="3"/>
      <c r="D578" s="3"/>
      <c r="E578" s="3"/>
      <c r="F578" s="4"/>
    </row>
    <row r="579" spans="2:6" ht="12" customHeight="1" x14ac:dyDescent="0.15">
      <c r="B579" s="2"/>
      <c r="C579" s="3"/>
      <c r="D579" s="3"/>
      <c r="E579" s="3"/>
      <c r="F579" s="4"/>
    </row>
    <row r="580" spans="2:6" ht="12" customHeight="1" x14ac:dyDescent="0.15">
      <c r="B580" s="2"/>
      <c r="C580" s="3"/>
      <c r="D580" s="3"/>
      <c r="E580" s="3"/>
      <c r="F580" s="4"/>
    </row>
    <row r="581" spans="2:6" ht="12" customHeight="1" x14ac:dyDescent="0.15">
      <c r="B581" s="2"/>
      <c r="C581" s="3"/>
      <c r="D581" s="3"/>
      <c r="E581" s="3"/>
      <c r="F581" s="4"/>
    </row>
    <row r="582" spans="2:6" ht="12" customHeight="1" x14ac:dyDescent="0.15">
      <c r="B582" s="2"/>
      <c r="C582" s="3"/>
      <c r="D582" s="3"/>
      <c r="E582" s="3"/>
      <c r="F582" s="4"/>
    </row>
    <row r="583" spans="2:6" ht="12" customHeight="1" x14ac:dyDescent="0.15">
      <c r="B583" s="2"/>
      <c r="C583" s="3"/>
      <c r="D583" s="3"/>
      <c r="E583" s="3"/>
      <c r="F583" s="4"/>
    </row>
    <row r="584" spans="2:6" ht="12" customHeight="1" x14ac:dyDescent="0.15">
      <c r="B584" s="2"/>
      <c r="C584" s="3"/>
      <c r="D584" s="3"/>
      <c r="E584" s="3"/>
      <c r="F584" s="4"/>
    </row>
    <row r="585" spans="2:6" ht="12" customHeight="1" x14ac:dyDescent="0.15">
      <c r="B585" s="2"/>
      <c r="C585" s="3"/>
      <c r="D585" s="3"/>
      <c r="E585" s="3"/>
      <c r="F585" s="4"/>
    </row>
    <row r="586" spans="2:6" ht="12" customHeight="1" x14ac:dyDescent="0.15">
      <c r="B586" s="2"/>
      <c r="C586" s="3"/>
      <c r="D586" s="3"/>
      <c r="E586" s="3"/>
      <c r="F586" s="4"/>
    </row>
    <row r="587" spans="2:6" ht="12" customHeight="1" x14ac:dyDescent="0.15">
      <c r="B587" s="2"/>
      <c r="C587" s="3"/>
      <c r="D587" s="3"/>
      <c r="E587" s="3"/>
      <c r="F587" s="4"/>
    </row>
    <row r="588" spans="2:6" ht="12" customHeight="1" x14ac:dyDescent="0.15">
      <c r="B588" s="2"/>
      <c r="C588" s="3"/>
      <c r="D588" s="3"/>
      <c r="E588" s="3"/>
      <c r="F588" s="4"/>
    </row>
    <row r="589" spans="2:6" ht="12" customHeight="1" x14ac:dyDescent="0.15">
      <c r="B589" s="2"/>
      <c r="C589" s="3"/>
      <c r="D589" s="3"/>
      <c r="E589" s="3"/>
      <c r="F589" s="4"/>
    </row>
    <row r="590" spans="2:6" ht="12" customHeight="1" x14ac:dyDescent="0.15">
      <c r="B590" s="2"/>
      <c r="C590" s="3"/>
      <c r="D590" s="3"/>
      <c r="E590" s="3"/>
      <c r="F590" s="4"/>
    </row>
    <row r="591" spans="2:6" ht="12" customHeight="1" x14ac:dyDescent="0.15">
      <c r="B591" s="2"/>
      <c r="C591" s="3"/>
      <c r="D591" s="3"/>
      <c r="E591" s="3"/>
      <c r="F591" s="4"/>
    </row>
    <row r="592" spans="2:6" ht="12" customHeight="1" x14ac:dyDescent="0.15">
      <c r="B592" s="2"/>
      <c r="C592" s="3"/>
      <c r="D592" s="3"/>
      <c r="E592" s="3"/>
      <c r="F592" s="4"/>
    </row>
    <row r="593" spans="2:6" ht="12" customHeight="1" x14ac:dyDescent="0.15">
      <c r="B593" s="2"/>
      <c r="C593" s="3"/>
      <c r="D593" s="3"/>
      <c r="E593" s="3"/>
      <c r="F593" s="4"/>
    </row>
    <row r="594" spans="2:6" ht="12" customHeight="1" x14ac:dyDescent="0.15">
      <c r="B594" s="2"/>
      <c r="C594" s="3"/>
      <c r="D594" s="3"/>
      <c r="E594" s="3"/>
      <c r="F594" s="4"/>
    </row>
    <row r="595" spans="2:6" ht="12" customHeight="1" x14ac:dyDescent="0.15">
      <c r="B595" s="2"/>
      <c r="C595" s="3"/>
      <c r="D595" s="3"/>
      <c r="E595" s="3"/>
      <c r="F595" s="4"/>
    </row>
    <row r="596" spans="2:6" ht="12" customHeight="1" x14ac:dyDescent="0.15">
      <c r="B596" s="2"/>
      <c r="C596" s="3"/>
      <c r="D596" s="3"/>
      <c r="E596" s="3"/>
      <c r="F596" s="4"/>
    </row>
    <row r="597" spans="2:6" ht="12" customHeight="1" x14ac:dyDescent="0.15">
      <c r="B597" s="2"/>
      <c r="C597" s="3"/>
      <c r="D597" s="3"/>
      <c r="E597" s="3"/>
      <c r="F597" s="4"/>
    </row>
    <row r="598" spans="2:6" ht="12" customHeight="1" x14ac:dyDescent="0.15">
      <c r="B598" s="2"/>
      <c r="C598" s="3"/>
      <c r="D598" s="3"/>
      <c r="E598" s="3"/>
      <c r="F598" s="4"/>
    </row>
    <row r="599" spans="2:6" ht="12" customHeight="1" x14ac:dyDescent="0.15">
      <c r="B599" s="2"/>
      <c r="C599" s="3"/>
      <c r="D599" s="3"/>
      <c r="E599" s="3"/>
      <c r="F599" s="4"/>
    </row>
    <row r="600" spans="2:6" ht="12" customHeight="1" x14ac:dyDescent="0.15">
      <c r="B600" s="2"/>
      <c r="C600" s="3"/>
      <c r="D600" s="3"/>
      <c r="E600" s="3"/>
      <c r="F600" s="4"/>
    </row>
    <row r="601" spans="2:6" ht="12" customHeight="1" x14ac:dyDescent="0.15">
      <c r="B601" s="2"/>
      <c r="C601" s="3"/>
      <c r="D601" s="3"/>
      <c r="E601" s="3"/>
      <c r="F601" s="4"/>
    </row>
    <row r="602" spans="2:6" ht="12" customHeight="1" x14ac:dyDescent="0.15">
      <c r="B602" s="2"/>
      <c r="C602" s="3"/>
      <c r="D602" s="3"/>
      <c r="E602" s="3"/>
      <c r="F602" s="4"/>
    </row>
    <row r="603" spans="2:6" ht="12" customHeight="1" x14ac:dyDescent="0.15">
      <c r="B603" s="2"/>
      <c r="C603" s="3"/>
      <c r="D603" s="3"/>
      <c r="E603" s="3"/>
      <c r="F603" s="4"/>
    </row>
    <row r="604" spans="2:6" ht="12" customHeight="1" x14ac:dyDescent="0.15">
      <c r="B604" s="2"/>
      <c r="C604" s="3"/>
      <c r="D604" s="3"/>
      <c r="E604" s="3"/>
      <c r="F604" s="4"/>
    </row>
    <row r="605" spans="2:6" ht="12" customHeight="1" x14ac:dyDescent="0.15">
      <c r="B605" s="2"/>
      <c r="C605" s="3"/>
      <c r="D605" s="3"/>
      <c r="E605" s="3"/>
      <c r="F605" s="4"/>
    </row>
    <row r="606" spans="2:6" ht="12" customHeight="1" x14ac:dyDescent="0.15">
      <c r="B606" s="2"/>
      <c r="C606" s="3"/>
      <c r="D606" s="3"/>
      <c r="E606" s="3"/>
      <c r="F606" s="4"/>
    </row>
    <row r="607" spans="2:6" ht="12" customHeight="1" x14ac:dyDescent="0.15">
      <c r="B607" s="2"/>
      <c r="C607" s="3"/>
      <c r="D607" s="3"/>
      <c r="E607" s="3"/>
      <c r="F607" s="4"/>
    </row>
    <row r="608" spans="2:6" ht="12" customHeight="1" x14ac:dyDescent="0.15">
      <c r="B608" s="2"/>
      <c r="C608" s="3"/>
      <c r="D608" s="3"/>
      <c r="E608" s="3"/>
      <c r="F608" s="4"/>
    </row>
    <row r="609" spans="2:6" ht="12" customHeight="1" x14ac:dyDescent="0.15">
      <c r="B609" s="2"/>
      <c r="C609" s="3"/>
      <c r="D609" s="3"/>
      <c r="E609" s="3"/>
      <c r="F609" s="4"/>
    </row>
    <row r="610" spans="2:6" ht="12" customHeight="1" x14ac:dyDescent="0.15">
      <c r="B610" s="2"/>
      <c r="C610" s="3"/>
      <c r="D610" s="3"/>
      <c r="E610" s="3"/>
      <c r="F610" s="4"/>
    </row>
    <row r="611" spans="2:6" ht="12" customHeight="1" x14ac:dyDescent="0.15">
      <c r="B611" s="2"/>
      <c r="C611" s="3"/>
      <c r="D611" s="3"/>
      <c r="E611" s="3"/>
      <c r="F611" s="4"/>
    </row>
    <row r="612" spans="2:6" ht="12" customHeight="1" x14ac:dyDescent="0.15">
      <c r="B612" s="2"/>
      <c r="C612" s="3"/>
      <c r="D612" s="3"/>
      <c r="E612" s="3"/>
      <c r="F612" s="4"/>
    </row>
    <row r="613" spans="2:6" ht="12" customHeight="1" x14ac:dyDescent="0.15">
      <c r="B613" s="2"/>
      <c r="C613" s="3"/>
      <c r="D613" s="3"/>
      <c r="E613" s="3"/>
      <c r="F613" s="4"/>
    </row>
    <row r="614" spans="2:6" ht="12" customHeight="1" x14ac:dyDescent="0.15">
      <c r="B614" s="2"/>
      <c r="C614" s="3"/>
      <c r="D614" s="3"/>
      <c r="E614" s="3"/>
      <c r="F614" s="4"/>
    </row>
    <row r="615" spans="2:6" ht="12" customHeight="1" x14ac:dyDescent="0.15">
      <c r="B615" s="2"/>
      <c r="C615" s="3"/>
      <c r="D615" s="3"/>
      <c r="E615" s="3"/>
      <c r="F615" s="4"/>
    </row>
    <row r="616" spans="2:6" ht="12" customHeight="1" x14ac:dyDescent="0.15">
      <c r="B616" s="2"/>
      <c r="C616" s="3"/>
      <c r="D616" s="3"/>
      <c r="E616" s="3"/>
      <c r="F616" s="4"/>
    </row>
    <row r="617" spans="2:6" ht="12" customHeight="1" x14ac:dyDescent="0.15">
      <c r="B617" s="2"/>
      <c r="C617" s="3"/>
      <c r="D617" s="3"/>
      <c r="E617" s="3"/>
      <c r="F617" s="4"/>
    </row>
    <row r="618" spans="2:6" ht="12" customHeight="1" x14ac:dyDescent="0.15">
      <c r="B618" s="2"/>
      <c r="C618" s="3"/>
      <c r="D618" s="3"/>
      <c r="E618" s="3"/>
      <c r="F618" s="4"/>
    </row>
    <row r="619" spans="2:6" ht="12" customHeight="1" x14ac:dyDescent="0.15">
      <c r="B619" s="2"/>
      <c r="C619" s="3"/>
      <c r="D619" s="3"/>
      <c r="E619" s="3"/>
      <c r="F619" s="4"/>
    </row>
    <row r="620" spans="2:6" ht="12" customHeight="1" x14ac:dyDescent="0.15">
      <c r="B620" s="2"/>
      <c r="C620" s="3"/>
      <c r="D620" s="3"/>
      <c r="E620" s="3"/>
      <c r="F620" s="4"/>
    </row>
    <row r="621" spans="2:6" ht="12" customHeight="1" x14ac:dyDescent="0.15">
      <c r="B621" s="2"/>
      <c r="C621" s="3"/>
      <c r="D621" s="3"/>
      <c r="E621" s="3"/>
      <c r="F621" s="4"/>
    </row>
    <row r="622" spans="2:6" ht="12" customHeight="1" x14ac:dyDescent="0.15">
      <c r="B622" s="2"/>
      <c r="C622" s="3"/>
      <c r="D622" s="3"/>
      <c r="E622" s="3"/>
      <c r="F622" s="4"/>
    </row>
    <row r="623" spans="2:6" ht="12" customHeight="1" x14ac:dyDescent="0.15">
      <c r="B623" s="2"/>
      <c r="C623" s="3"/>
      <c r="D623" s="3"/>
      <c r="E623" s="3"/>
      <c r="F623" s="4"/>
    </row>
    <row r="624" spans="2:6" ht="12" customHeight="1" x14ac:dyDescent="0.15">
      <c r="B624" s="2"/>
      <c r="C624" s="3"/>
      <c r="D624" s="3"/>
      <c r="E624" s="3"/>
      <c r="F624" s="4"/>
    </row>
    <row r="625" spans="2:6" ht="12" customHeight="1" x14ac:dyDescent="0.15">
      <c r="B625" s="2"/>
      <c r="C625" s="3"/>
      <c r="D625" s="3"/>
      <c r="E625" s="3"/>
      <c r="F625" s="4"/>
    </row>
    <row r="626" spans="2:6" ht="12" customHeight="1" x14ac:dyDescent="0.15">
      <c r="B626" s="2"/>
      <c r="C626" s="3"/>
      <c r="D626" s="3"/>
      <c r="E626" s="3"/>
      <c r="F626" s="4"/>
    </row>
    <row r="627" spans="2:6" ht="12" customHeight="1" x14ac:dyDescent="0.15">
      <c r="B627" s="2"/>
      <c r="C627" s="3"/>
      <c r="D627" s="3"/>
      <c r="E627" s="3"/>
      <c r="F627" s="4"/>
    </row>
    <row r="628" spans="2:6" ht="12" customHeight="1" x14ac:dyDescent="0.15">
      <c r="B628" s="2"/>
      <c r="C628" s="3"/>
      <c r="D628" s="3"/>
      <c r="E628" s="3"/>
      <c r="F628" s="4"/>
    </row>
    <row r="629" spans="2:6" ht="12" customHeight="1" x14ac:dyDescent="0.15">
      <c r="B629" s="2"/>
      <c r="C629" s="3"/>
      <c r="D629" s="3"/>
      <c r="E629" s="3"/>
      <c r="F629" s="4"/>
    </row>
    <row r="630" spans="2:6" ht="12" customHeight="1" x14ac:dyDescent="0.15">
      <c r="B630" s="2"/>
      <c r="C630" s="3"/>
      <c r="D630" s="3"/>
      <c r="E630" s="3"/>
      <c r="F630" s="4"/>
    </row>
    <row r="631" spans="2:6" ht="12" customHeight="1" x14ac:dyDescent="0.15">
      <c r="B631" s="2"/>
      <c r="C631" s="3"/>
      <c r="D631" s="3"/>
      <c r="E631" s="3"/>
      <c r="F631" s="4"/>
    </row>
    <row r="632" spans="2:6" ht="12" customHeight="1" x14ac:dyDescent="0.15">
      <c r="B632" s="2"/>
      <c r="C632" s="3"/>
      <c r="D632" s="3"/>
      <c r="E632" s="3"/>
      <c r="F632" s="4"/>
    </row>
    <row r="633" spans="2:6" ht="12" customHeight="1" x14ac:dyDescent="0.15">
      <c r="B633" s="2"/>
      <c r="C633" s="3"/>
      <c r="D633" s="3"/>
      <c r="E633" s="3"/>
      <c r="F633" s="4"/>
    </row>
    <row r="634" spans="2:6" ht="12" customHeight="1" x14ac:dyDescent="0.15">
      <c r="B634" s="2"/>
      <c r="C634" s="3"/>
      <c r="D634" s="3"/>
      <c r="E634" s="3"/>
      <c r="F634" s="4"/>
    </row>
    <row r="635" spans="2:6" ht="12" customHeight="1" x14ac:dyDescent="0.15">
      <c r="B635" s="2"/>
      <c r="C635" s="3"/>
      <c r="D635" s="3"/>
      <c r="E635" s="3"/>
      <c r="F635" s="4"/>
    </row>
    <row r="636" spans="2:6" ht="12" customHeight="1" x14ac:dyDescent="0.15">
      <c r="B636" s="2"/>
      <c r="C636" s="3"/>
      <c r="D636" s="3"/>
      <c r="E636" s="3"/>
      <c r="F636" s="4"/>
    </row>
    <row r="637" spans="2:6" ht="12" customHeight="1" x14ac:dyDescent="0.15">
      <c r="B637" s="2"/>
      <c r="C637" s="3"/>
      <c r="D637" s="3"/>
      <c r="E637" s="3"/>
      <c r="F637" s="4"/>
    </row>
    <row r="638" spans="2:6" ht="12" customHeight="1" x14ac:dyDescent="0.15">
      <c r="B638" s="2"/>
      <c r="C638" s="3"/>
      <c r="D638" s="3"/>
      <c r="E638" s="3"/>
      <c r="F638" s="4"/>
    </row>
    <row r="639" spans="2:6" ht="12" customHeight="1" x14ac:dyDescent="0.15">
      <c r="B639" s="2"/>
      <c r="C639" s="3"/>
      <c r="D639" s="3"/>
      <c r="E639" s="3"/>
      <c r="F639" s="4"/>
    </row>
    <row r="640" spans="2:6" ht="12" customHeight="1" x14ac:dyDescent="0.15">
      <c r="B640" s="2"/>
      <c r="C640" s="3"/>
      <c r="D640" s="3"/>
      <c r="E640" s="3"/>
      <c r="F640" s="4"/>
    </row>
    <row r="641" spans="2:6" ht="12" customHeight="1" x14ac:dyDescent="0.15">
      <c r="B641" s="2"/>
      <c r="C641" s="3"/>
      <c r="D641" s="3"/>
      <c r="E641" s="3"/>
      <c r="F641" s="4"/>
    </row>
    <row r="642" spans="2:6" ht="12" customHeight="1" x14ac:dyDescent="0.15">
      <c r="B642" s="2"/>
      <c r="C642" s="3"/>
      <c r="D642" s="3"/>
      <c r="E642" s="3"/>
      <c r="F642" s="4"/>
    </row>
    <row r="643" spans="2:6" ht="12" customHeight="1" x14ac:dyDescent="0.15">
      <c r="B643" s="2"/>
      <c r="C643" s="3"/>
      <c r="D643" s="3"/>
      <c r="E643" s="3"/>
      <c r="F643" s="4"/>
    </row>
    <row r="644" spans="2:6" ht="12" customHeight="1" x14ac:dyDescent="0.15">
      <c r="B644" s="2"/>
      <c r="C644" s="3"/>
      <c r="D644" s="3"/>
      <c r="E644" s="3"/>
      <c r="F644" s="4"/>
    </row>
    <row r="645" spans="2:6" ht="12" customHeight="1" x14ac:dyDescent="0.15">
      <c r="B645" s="2"/>
      <c r="C645" s="3"/>
      <c r="D645" s="3"/>
      <c r="E645" s="3"/>
      <c r="F645" s="4"/>
    </row>
    <row r="646" spans="2:6" ht="12" customHeight="1" x14ac:dyDescent="0.15">
      <c r="B646" s="2"/>
      <c r="C646" s="3"/>
      <c r="D646" s="3"/>
      <c r="E646" s="3"/>
      <c r="F646" s="4"/>
    </row>
    <row r="647" spans="2:6" ht="12" customHeight="1" x14ac:dyDescent="0.15">
      <c r="B647" s="2"/>
      <c r="C647" s="3"/>
      <c r="D647" s="3"/>
      <c r="E647" s="3"/>
      <c r="F647" s="4"/>
    </row>
    <row r="648" spans="2:6" ht="12" customHeight="1" x14ac:dyDescent="0.15">
      <c r="B648" s="2"/>
      <c r="C648" s="3"/>
      <c r="D648" s="3"/>
      <c r="E648" s="3"/>
      <c r="F648" s="4"/>
    </row>
    <row r="649" spans="2:6" ht="12" customHeight="1" x14ac:dyDescent="0.15">
      <c r="B649" s="2"/>
      <c r="C649" s="3"/>
      <c r="D649" s="3"/>
      <c r="E649" s="3"/>
      <c r="F649" s="4"/>
    </row>
    <row r="650" spans="2:6" ht="12" customHeight="1" x14ac:dyDescent="0.15">
      <c r="B650" s="2"/>
      <c r="C650" s="3"/>
      <c r="D650" s="3"/>
      <c r="E650" s="3"/>
      <c r="F650" s="4"/>
    </row>
    <row r="651" spans="2:6" ht="12" customHeight="1" x14ac:dyDescent="0.15">
      <c r="B651" s="2"/>
      <c r="C651" s="3"/>
      <c r="D651" s="3"/>
      <c r="E651" s="3"/>
      <c r="F651" s="4"/>
    </row>
    <row r="652" spans="2:6" ht="12" customHeight="1" x14ac:dyDescent="0.15">
      <c r="B652" s="2"/>
      <c r="C652" s="3"/>
      <c r="D652" s="3"/>
      <c r="E652" s="3"/>
      <c r="F652" s="4"/>
    </row>
    <row r="653" spans="2:6" ht="12" customHeight="1" x14ac:dyDescent="0.15">
      <c r="B653" s="2"/>
      <c r="C653" s="3"/>
      <c r="D653" s="3"/>
      <c r="E653" s="3"/>
      <c r="F653" s="4"/>
    </row>
    <row r="654" spans="2:6" ht="12" customHeight="1" x14ac:dyDescent="0.15">
      <c r="B654" s="2"/>
      <c r="C654" s="3"/>
      <c r="D654" s="3"/>
      <c r="E654" s="3"/>
      <c r="F654" s="4"/>
    </row>
    <row r="655" spans="2:6" ht="12" customHeight="1" x14ac:dyDescent="0.15">
      <c r="B655" s="2"/>
      <c r="C655" s="3"/>
      <c r="D655" s="3"/>
      <c r="E655" s="3"/>
      <c r="F655" s="4"/>
    </row>
    <row r="656" spans="2:6" ht="12" customHeight="1" x14ac:dyDescent="0.15">
      <c r="B656" s="2"/>
      <c r="C656" s="3"/>
      <c r="D656" s="3"/>
      <c r="E656" s="3"/>
      <c r="F656" s="4"/>
    </row>
    <row r="657" spans="2:6" ht="12" customHeight="1" x14ac:dyDescent="0.15">
      <c r="B657" s="2"/>
      <c r="C657" s="3"/>
      <c r="D657" s="3"/>
      <c r="E657" s="3"/>
      <c r="F657" s="4"/>
    </row>
    <row r="658" spans="2:6" ht="12" customHeight="1" x14ac:dyDescent="0.15">
      <c r="B658" s="2"/>
      <c r="C658" s="3"/>
      <c r="D658" s="3"/>
      <c r="E658" s="3"/>
      <c r="F658" s="4"/>
    </row>
    <row r="659" spans="2:6" ht="12" customHeight="1" x14ac:dyDescent="0.15">
      <c r="B659" s="2"/>
      <c r="C659" s="3"/>
      <c r="D659" s="3"/>
      <c r="E659" s="3"/>
      <c r="F659" s="4"/>
    </row>
    <row r="660" spans="2:6" ht="12" customHeight="1" x14ac:dyDescent="0.15">
      <c r="B660" s="2"/>
      <c r="C660" s="3"/>
      <c r="D660" s="3"/>
      <c r="E660" s="3"/>
      <c r="F660" s="4"/>
    </row>
    <row r="661" spans="2:6" ht="12" customHeight="1" x14ac:dyDescent="0.15">
      <c r="B661" s="2"/>
      <c r="C661" s="3"/>
      <c r="D661" s="3"/>
      <c r="E661" s="3"/>
      <c r="F661" s="4"/>
    </row>
    <row r="662" spans="2:6" ht="12" customHeight="1" x14ac:dyDescent="0.15">
      <c r="B662" s="2"/>
      <c r="C662" s="3"/>
      <c r="D662" s="3"/>
      <c r="E662" s="3"/>
      <c r="F662" s="4"/>
    </row>
    <row r="663" spans="2:6" ht="12" customHeight="1" x14ac:dyDescent="0.15">
      <c r="B663" s="2"/>
      <c r="C663" s="3"/>
      <c r="D663" s="3"/>
      <c r="E663" s="3"/>
      <c r="F663" s="4"/>
    </row>
    <row r="664" spans="2:6" ht="12" customHeight="1" x14ac:dyDescent="0.15">
      <c r="B664" s="2"/>
      <c r="C664" s="3"/>
      <c r="D664" s="3"/>
      <c r="E664" s="3"/>
      <c r="F664" s="4"/>
    </row>
    <row r="665" spans="2:6" ht="12" customHeight="1" x14ac:dyDescent="0.15">
      <c r="B665" s="2"/>
      <c r="C665" s="3"/>
      <c r="D665" s="3"/>
      <c r="E665" s="3"/>
      <c r="F665" s="4"/>
    </row>
    <row r="666" spans="2:6" ht="12" customHeight="1" x14ac:dyDescent="0.15">
      <c r="B666" s="2"/>
      <c r="C666" s="3"/>
      <c r="D666" s="3"/>
      <c r="E666" s="3"/>
      <c r="F666" s="4"/>
    </row>
    <row r="667" spans="2:6" ht="12" customHeight="1" x14ac:dyDescent="0.15">
      <c r="B667" s="2"/>
      <c r="C667" s="3"/>
      <c r="D667" s="3"/>
      <c r="E667" s="3"/>
      <c r="F667" s="4"/>
    </row>
    <row r="668" spans="2:6" ht="12" customHeight="1" x14ac:dyDescent="0.15">
      <c r="B668" s="2"/>
      <c r="C668" s="3"/>
      <c r="D668" s="3"/>
      <c r="E668" s="3"/>
      <c r="F668" s="4"/>
    </row>
    <row r="669" spans="2:6" ht="12" customHeight="1" x14ac:dyDescent="0.15">
      <c r="B669" s="2"/>
      <c r="C669" s="3"/>
      <c r="D669" s="3"/>
      <c r="E669" s="3"/>
      <c r="F669" s="4"/>
    </row>
    <row r="670" spans="2:6" ht="12" customHeight="1" x14ac:dyDescent="0.15">
      <c r="B670" s="2"/>
      <c r="C670" s="3"/>
      <c r="D670" s="3"/>
      <c r="E670" s="3"/>
      <c r="F670" s="4"/>
    </row>
    <row r="671" spans="2:6" ht="12" customHeight="1" x14ac:dyDescent="0.15">
      <c r="B671" s="2"/>
      <c r="C671" s="3"/>
      <c r="D671" s="3"/>
      <c r="E671" s="3"/>
      <c r="F671" s="4"/>
    </row>
    <row r="672" spans="2:6" ht="12" customHeight="1" x14ac:dyDescent="0.15">
      <c r="B672" s="2"/>
      <c r="C672" s="3"/>
      <c r="D672" s="3"/>
      <c r="E672" s="3"/>
      <c r="F672" s="4"/>
    </row>
    <row r="673" spans="2:6" ht="12" customHeight="1" x14ac:dyDescent="0.15">
      <c r="B673" s="2"/>
      <c r="C673" s="3"/>
      <c r="D673" s="3"/>
      <c r="E673" s="3"/>
      <c r="F673" s="4"/>
    </row>
    <row r="674" spans="2:6" ht="12" customHeight="1" x14ac:dyDescent="0.15">
      <c r="B674" s="2"/>
      <c r="C674" s="3"/>
      <c r="D674" s="3"/>
      <c r="E674" s="3"/>
      <c r="F674" s="4"/>
    </row>
    <row r="675" spans="2:6" ht="12" customHeight="1" x14ac:dyDescent="0.15">
      <c r="B675" s="2"/>
      <c r="C675" s="3"/>
      <c r="D675" s="3"/>
      <c r="E675" s="3"/>
      <c r="F675" s="4"/>
    </row>
    <row r="676" spans="2:6" ht="12" customHeight="1" x14ac:dyDescent="0.15">
      <c r="B676" s="2"/>
      <c r="C676" s="3"/>
      <c r="D676" s="3"/>
      <c r="E676" s="3"/>
      <c r="F676" s="4"/>
    </row>
    <row r="677" spans="2:6" ht="12" customHeight="1" x14ac:dyDescent="0.15">
      <c r="B677" s="2"/>
      <c r="C677" s="3"/>
      <c r="D677" s="3"/>
      <c r="E677" s="3"/>
      <c r="F677" s="4"/>
    </row>
    <row r="678" spans="2:6" ht="12" customHeight="1" x14ac:dyDescent="0.15">
      <c r="B678" s="2"/>
      <c r="C678" s="3"/>
      <c r="D678" s="3"/>
      <c r="E678" s="3"/>
      <c r="F678" s="4"/>
    </row>
    <row r="679" spans="2:6" ht="12" customHeight="1" x14ac:dyDescent="0.15">
      <c r="B679" s="2"/>
      <c r="C679" s="3"/>
      <c r="D679" s="3"/>
      <c r="E679" s="3"/>
      <c r="F679" s="4"/>
    </row>
    <row r="680" spans="2:6" ht="12" customHeight="1" x14ac:dyDescent="0.15">
      <c r="B680" s="2"/>
      <c r="C680" s="3"/>
      <c r="D680" s="3"/>
      <c r="E680" s="3"/>
      <c r="F680" s="4"/>
    </row>
    <row r="681" spans="2:6" ht="12" customHeight="1" x14ac:dyDescent="0.15">
      <c r="B681" s="2"/>
      <c r="C681" s="3"/>
      <c r="D681" s="3"/>
      <c r="E681" s="3"/>
      <c r="F681" s="4"/>
    </row>
    <row r="682" spans="2:6" ht="12" customHeight="1" x14ac:dyDescent="0.15">
      <c r="B682" s="2"/>
      <c r="C682" s="3"/>
      <c r="D682" s="3"/>
      <c r="E682" s="3"/>
      <c r="F682" s="4"/>
    </row>
    <row r="683" spans="2:6" ht="12" customHeight="1" x14ac:dyDescent="0.15">
      <c r="B683" s="2"/>
      <c r="C683" s="3"/>
      <c r="D683" s="3"/>
      <c r="E683" s="3"/>
      <c r="F683" s="4"/>
    </row>
    <row r="684" spans="2:6" ht="12" customHeight="1" x14ac:dyDescent="0.15">
      <c r="B684" s="2"/>
      <c r="C684" s="3"/>
      <c r="D684" s="3"/>
      <c r="E684" s="3"/>
      <c r="F684" s="4"/>
    </row>
    <row r="685" spans="2:6" ht="12" customHeight="1" x14ac:dyDescent="0.15">
      <c r="B685" s="2"/>
      <c r="C685" s="3"/>
      <c r="D685" s="3"/>
      <c r="E685" s="3"/>
      <c r="F685" s="4"/>
    </row>
    <row r="686" spans="2:6" ht="12" customHeight="1" x14ac:dyDescent="0.15">
      <c r="B686" s="2"/>
      <c r="C686" s="3"/>
      <c r="D686" s="3"/>
      <c r="E686" s="3"/>
      <c r="F686" s="4"/>
    </row>
    <row r="687" spans="2:6" ht="12" customHeight="1" x14ac:dyDescent="0.15">
      <c r="B687" s="2"/>
      <c r="C687" s="3"/>
      <c r="D687" s="3"/>
      <c r="E687" s="3"/>
      <c r="F687" s="4"/>
    </row>
    <row r="688" spans="2:6" ht="12" customHeight="1" x14ac:dyDescent="0.15">
      <c r="B688" s="2"/>
      <c r="C688" s="3"/>
      <c r="D688" s="3"/>
      <c r="E688" s="3"/>
      <c r="F688" s="4"/>
    </row>
    <row r="689" spans="2:6" ht="12" customHeight="1" x14ac:dyDescent="0.15">
      <c r="B689" s="2"/>
      <c r="C689" s="3"/>
      <c r="D689" s="3"/>
      <c r="E689" s="3"/>
      <c r="F689" s="4"/>
    </row>
    <row r="690" spans="2:6" ht="12" customHeight="1" x14ac:dyDescent="0.15">
      <c r="B690" s="2"/>
      <c r="C690" s="3"/>
      <c r="D690" s="3"/>
      <c r="E690" s="3"/>
      <c r="F690" s="4"/>
    </row>
    <row r="691" spans="2:6" ht="12" customHeight="1" x14ac:dyDescent="0.15">
      <c r="B691" s="2"/>
      <c r="C691" s="3"/>
      <c r="D691" s="3"/>
      <c r="E691" s="3"/>
      <c r="F691" s="4"/>
    </row>
    <row r="692" spans="2:6" ht="12" customHeight="1" x14ac:dyDescent="0.15">
      <c r="B692" s="2"/>
      <c r="C692" s="3"/>
      <c r="D692" s="3"/>
      <c r="E692" s="3"/>
      <c r="F692" s="4"/>
    </row>
    <row r="693" spans="2:6" ht="12" customHeight="1" x14ac:dyDescent="0.15">
      <c r="B693" s="2"/>
      <c r="C693" s="3"/>
      <c r="D693" s="3"/>
      <c r="E693" s="3"/>
      <c r="F693" s="4"/>
    </row>
    <row r="694" spans="2:6" ht="12" customHeight="1" x14ac:dyDescent="0.15">
      <c r="B694" s="2"/>
      <c r="C694" s="3"/>
      <c r="D694" s="3"/>
      <c r="E694" s="3"/>
      <c r="F694" s="4"/>
    </row>
    <row r="695" spans="2:6" ht="12" customHeight="1" x14ac:dyDescent="0.15">
      <c r="B695" s="2"/>
      <c r="C695" s="3"/>
      <c r="D695" s="3"/>
      <c r="E695" s="3"/>
      <c r="F695" s="4"/>
    </row>
    <row r="696" spans="2:6" ht="12" customHeight="1" x14ac:dyDescent="0.15">
      <c r="B696" s="2"/>
      <c r="C696" s="3"/>
      <c r="D696" s="3"/>
      <c r="E696" s="3"/>
      <c r="F696" s="4"/>
    </row>
    <row r="697" spans="2:6" ht="12" customHeight="1" x14ac:dyDescent="0.15">
      <c r="B697" s="2"/>
      <c r="C697" s="3"/>
      <c r="D697" s="3"/>
      <c r="E697" s="3"/>
      <c r="F697" s="4"/>
    </row>
    <row r="698" spans="2:6" ht="12" customHeight="1" x14ac:dyDescent="0.15">
      <c r="B698" s="2"/>
      <c r="C698" s="3"/>
      <c r="D698" s="3"/>
      <c r="E698" s="3"/>
      <c r="F698" s="4"/>
    </row>
    <row r="699" spans="2:6" ht="12" customHeight="1" x14ac:dyDescent="0.15">
      <c r="B699" s="2"/>
      <c r="C699" s="3"/>
      <c r="D699" s="3"/>
      <c r="E699" s="3"/>
      <c r="F699" s="4"/>
    </row>
    <row r="700" spans="2:6" ht="12" customHeight="1" x14ac:dyDescent="0.15">
      <c r="B700" s="2"/>
      <c r="C700" s="3"/>
      <c r="D700" s="3"/>
      <c r="E700" s="3"/>
      <c r="F700" s="4"/>
    </row>
    <row r="701" spans="2:6" ht="12" customHeight="1" x14ac:dyDescent="0.15">
      <c r="B701" s="2"/>
      <c r="C701" s="3"/>
      <c r="D701" s="3"/>
      <c r="E701" s="3"/>
      <c r="F701" s="4"/>
    </row>
    <row r="702" spans="2:6" ht="12" customHeight="1" x14ac:dyDescent="0.15">
      <c r="B702" s="2"/>
      <c r="C702" s="3"/>
      <c r="D702" s="3"/>
      <c r="E702" s="3"/>
      <c r="F702" s="4"/>
    </row>
    <row r="703" spans="2:6" ht="12" customHeight="1" x14ac:dyDescent="0.15">
      <c r="B703" s="2"/>
      <c r="C703" s="3"/>
      <c r="D703" s="3"/>
      <c r="E703" s="3"/>
      <c r="F703" s="4"/>
    </row>
    <row r="704" spans="2:6" ht="12" customHeight="1" x14ac:dyDescent="0.15">
      <c r="B704" s="2"/>
      <c r="C704" s="3"/>
      <c r="D704" s="3"/>
      <c r="E704" s="3"/>
      <c r="F704" s="4"/>
    </row>
    <row r="705" spans="2:6" ht="12" customHeight="1" x14ac:dyDescent="0.15">
      <c r="B705" s="2"/>
      <c r="C705" s="3"/>
      <c r="D705" s="3"/>
      <c r="E705" s="3"/>
      <c r="F705" s="4"/>
    </row>
    <row r="706" spans="2:6" ht="12" customHeight="1" x14ac:dyDescent="0.15">
      <c r="B706" s="2"/>
      <c r="C706" s="3"/>
      <c r="D706" s="3"/>
      <c r="E706" s="3"/>
      <c r="F706" s="4"/>
    </row>
    <row r="707" spans="2:6" ht="12" customHeight="1" x14ac:dyDescent="0.15">
      <c r="B707" s="2"/>
      <c r="C707" s="3"/>
      <c r="D707" s="3"/>
      <c r="E707" s="3"/>
      <c r="F707" s="4"/>
    </row>
    <row r="708" spans="2:6" ht="12" customHeight="1" x14ac:dyDescent="0.15">
      <c r="B708" s="2"/>
      <c r="C708" s="3"/>
      <c r="D708" s="3"/>
      <c r="E708" s="3"/>
      <c r="F708" s="4"/>
    </row>
    <row r="709" spans="2:6" ht="12" customHeight="1" x14ac:dyDescent="0.15">
      <c r="B709" s="2"/>
      <c r="C709" s="3"/>
      <c r="D709" s="3"/>
      <c r="E709" s="3"/>
      <c r="F709" s="4"/>
    </row>
    <row r="710" spans="2:6" ht="12" customHeight="1" x14ac:dyDescent="0.15">
      <c r="B710" s="2"/>
      <c r="C710" s="3"/>
      <c r="D710" s="3"/>
      <c r="E710" s="3"/>
      <c r="F710" s="4"/>
    </row>
    <row r="711" spans="2:6" ht="12" customHeight="1" x14ac:dyDescent="0.15">
      <c r="B711" s="2"/>
      <c r="C711" s="3"/>
      <c r="D711" s="3"/>
      <c r="E711" s="3"/>
      <c r="F711" s="4"/>
    </row>
    <row r="712" spans="2:6" ht="12" customHeight="1" x14ac:dyDescent="0.15">
      <c r="B712" s="2"/>
      <c r="C712" s="3"/>
      <c r="D712" s="3"/>
      <c r="E712" s="3"/>
      <c r="F712" s="4"/>
    </row>
    <row r="713" spans="2:6" ht="12" customHeight="1" x14ac:dyDescent="0.15">
      <c r="B713" s="2"/>
      <c r="C713" s="3"/>
      <c r="D713" s="3"/>
      <c r="E713" s="3"/>
      <c r="F713" s="4"/>
    </row>
    <row r="714" spans="2:6" ht="12" customHeight="1" x14ac:dyDescent="0.15">
      <c r="B714" s="2"/>
      <c r="C714" s="3"/>
      <c r="D714" s="3"/>
      <c r="E714" s="3"/>
      <c r="F714" s="4"/>
    </row>
    <row r="715" spans="2:6" ht="12" customHeight="1" x14ac:dyDescent="0.15">
      <c r="B715" s="2"/>
      <c r="C715" s="3"/>
      <c r="D715" s="3"/>
      <c r="E715" s="3"/>
      <c r="F715" s="4"/>
    </row>
    <row r="716" spans="2:6" ht="12" customHeight="1" x14ac:dyDescent="0.15">
      <c r="B716" s="2"/>
      <c r="C716" s="3"/>
      <c r="D716" s="3"/>
      <c r="E716" s="3"/>
      <c r="F716" s="4"/>
    </row>
    <row r="717" spans="2:6" ht="12" customHeight="1" x14ac:dyDescent="0.15">
      <c r="B717" s="2"/>
      <c r="C717" s="3"/>
      <c r="D717" s="3"/>
      <c r="E717" s="3"/>
      <c r="F717" s="4"/>
    </row>
    <row r="718" spans="2:6" ht="12" customHeight="1" x14ac:dyDescent="0.15">
      <c r="B718" s="2"/>
      <c r="C718" s="3"/>
      <c r="D718" s="3"/>
      <c r="E718" s="3"/>
      <c r="F718" s="4"/>
    </row>
    <row r="719" spans="2:6" ht="12" customHeight="1" x14ac:dyDescent="0.15">
      <c r="B719" s="2"/>
      <c r="C719" s="3"/>
      <c r="D719" s="3"/>
      <c r="E719" s="3"/>
      <c r="F719" s="4"/>
    </row>
    <row r="720" spans="2:6" ht="12" customHeight="1" x14ac:dyDescent="0.15">
      <c r="B720" s="2"/>
      <c r="C720" s="3"/>
      <c r="D720" s="3"/>
      <c r="E720" s="3"/>
      <c r="F720" s="4"/>
    </row>
    <row r="721" spans="2:6" ht="12" customHeight="1" x14ac:dyDescent="0.15">
      <c r="B721" s="2"/>
      <c r="C721" s="3"/>
      <c r="D721" s="3"/>
      <c r="E721" s="3"/>
      <c r="F721" s="4"/>
    </row>
    <row r="722" spans="2:6" ht="12" customHeight="1" x14ac:dyDescent="0.15">
      <c r="B722" s="2"/>
      <c r="C722" s="3"/>
      <c r="D722" s="3"/>
      <c r="E722" s="3"/>
      <c r="F722" s="4"/>
    </row>
    <row r="723" spans="2:6" ht="12" customHeight="1" x14ac:dyDescent="0.15">
      <c r="B723" s="2"/>
      <c r="C723" s="3"/>
      <c r="D723" s="3"/>
      <c r="E723" s="3"/>
      <c r="F723" s="4"/>
    </row>
    <row r="724" spans="2:6" ht="12" customHeight="1" x14ac:dyDescent="0.15">
      <c r="B724" s="2"/>
      <c r="C724" s="3"/>
      <c r="D724" s="3"/>
      <c r="E724" s="3"/>
      <c r="F724" s="4"/>
    </row>
    <row r="725" spans="2:6" ht="12" customHeight="1" x14ac:dyDescent="0.15">
      <c r="B725" s="2"/>
      <c r="C725" s="3"/>
      <c r="D725" s="3"/>
      <c r="E725" s="3"/>
      <c r="F725" s="4"/>
    </row>
    <row r="726" spans="2:6" ht="12" customHeight="1" x14ac:dyDescent="0.15">
      <c r="B726" s="2"/>
      <c r="C726" s="3"/>
      <c r="D726" s="3"/>
      <c r="E726" s="3"/>
      <c r="F726" s="4"/>
    </row>
    <row r="727" spans="2:6" ht="12" customHeight="1" x14ac:dyDescent="0.15">
      <c r="B727" s="2"/>
      <c r="C727" s="3"/>
      <c r="D727" s="3"/>
      <c r="E727" s="3"/>
      <c r="F727" s="4"/>
    </row>
    <row r="728" spans="2:6" ht="12" customHeight="1" x14ac:dyDescent="0.15">
      <c r="B728" s="2"/>
      <c r="C728" s="3"/>
      <c r="D728" s="3"/>
      <c r="E728" s="3"/>
      <c r="F728" s="4"/>
    </row>
    <row r="729" spans="2:6" ht="12" customHeight="1" x14ac:dyDescent="0.15">
      <c r="B729" s="2"/>
      <c r="C729" s="3"/>
      <c r="D729" s="3"/>
      <c r="E729" s="3"/>
      <c r="F729" s="4"/>
    </row>
    <row r="730" spans="2:6" ht="12" customHeight="1" x14ac:dyDescent="0.15">
      <c r="B730" s="2"/>
      <c r="C730" s="3"/>
      <c r="D730" s="3"/>
      <c r="E730" s="3"/>
      <c r="F730" s="4"/>
    </row>
    <row r="731" spans="2:6" ht="12" customHeight="1" x14ac:dyDescent="0.15">
      <c r="B731" s="2"/>
      <c r="C731" s="3"/>
      <c r="D731" s="3"/>
      <c r="E731" s="3"/>
      <c r="F731" s="4"/>
    </row>
    <row r="732" spans="2:6" ht="12" customHeight="1" x14ac:dyDescent="0.15">
      <c r="B732" s="2"/>
      <c r="C732" s="3"/>
      <c r="D732" s="3"/>
      <c r="E732" s="3"/>
      <c r="F732" s="4"/>
    </row>
    <row r="733" spans="2:6" ht="12" customHeight="1" x14ac:dyDescent="0.15">
      <c r="B733" s="2"/>
      <c r="C733" s="3"/>
      <c r="D733" s="3"/>
      <c r="E733" s="3"/>
      <c r="F733" s="4"/>
    </row>
    <row r="734" spans="2:6" ht="12" customHeight="1" x14ac:dyDescent="0.15">
      <c r="B734" s="2"/>
      <c r="C734" s="3"/>
      <c r="D734" s="3"/>
      <c r="E734" s="3"/>
      <c r="F734" s="4"/>
    </row>
    <row r="735" spans="2:6" ht="12" customHeight="1" x14ac:dyDescent="0.15">
      <c r="B735" s="2"/>
      <c r="C735" s="3"/>
      <c r="D735" s="3"/>
      <c r="E735" s="3"/>
      <c r="F735" s="4"/>
    </row>
    <row r="736" spans="2:6" ht="12" customHeight="1" x14ac:dyDescent="0.15">
      <c r="B736" s="2"/>
      <c r="C736" s="3"/>
      <c r="D736" s="3"/>
      <c r="E736" s="3"/>
      <c r="F736" s="4"/>
    </row>
    <row r="737" spans="2:6" ht="12" customHeight="1" x14ac:dyDescent="0.15">
      <c r="B737" s="2"/>
      <c r="C737" s="3"/>
      <c r="D737" s="3"/>
      <c r="E737" s="3"/>
      <c r="F737" s="4"/>
    </row>
    <row r="738" spans="2:6" ht="12" customHeight="1" x14ac:dyDescent="0.15">
      <c r="B738" s="2"/>
      <c r="C738" s="3"/>
      <c r="D738" s="3"/>
      <c r="E738" s="3"/>
      <c r="F738" s="4"/>
    </row>
    <row r="739" spans="2:6" ht="12" customHeight="1" x14ac:dyDescent="0.15">
      <c r="B739" s="2"/>
      <c r="C739" s="3"/>
      <c r="D739" s="3"/>
      <c r="E739" s="3"/>
      <c r="F739" s="4"/>
    </row>
    <row r="740" spans="2:6" ht="12" customHeight="1" x14ac:dyDescent="0.15">
      <c r="B740" s="2"/>
      <c r="C740" s="3"/>
      <c r="D740" s="3"/>
      <c r="E740" s="3"/>
      <c r="F740" s="4"/>
    </row>
    <row r="741" spans="2:6" ht="12" customHeight="1" x14ac:dyDescent="0.15">
      <c r="B741" s="2"/>
      <c r="C741" s="3"/>
      <c r="D741" s="3"/>
      <c r="E741" s="3"/>
      <c r="F741" s="4"/>
    </row>
    <row r="742" spans="2:6" ht="12" customHeight="1" x14ac:dyDescent="0.15">
      <c r="B742" s="2"/>
      <c r="C742" s="3"/>
      <c r="D742" s="3"/>
      <c r="E742" s="3"/>
      <c r="F742" s="4"/>
    </row>
    <row r="743" spans="2:6" ht="12" customHeight="1" x14ac:dyDescent="0.15">
      <c r="B743" s="2"/>
      <c r="C743" s="3"/>
      <c r="D743" s="3"/>
      <c r="E743" s="3"/>
      <c r="F743" s="4"/>
    </row>
    <row r="744" spans="2:6" ht="12" customHeight="1" x14ac:dyDescent="0.15">
      <c r="B744" s="2"/>
      <c r="C744" s="3"/>
      <c r="D744" s="3"/>
      <c r="E744" s="3"/>
      <c r="F744" s="4"/>
    </row>
    <row r="745" spans="2:6" ht="12" customHeight="1" x14ac:dyDescent="0.15">
      <c r="B745" s="2"/>
      <c r="C745" s="3"/>
      <c r="D745" s="3"/>
      <c r="E745" s="3"/>
      <c r="F745" s="4"/>
    </row>
    <row r="746" spans="2:6" ht="12" customHeight="1" x14ac:dyDescent="0.15">
      <c r="B746" s="2"/>
      <c r="C746" s="3"/>
      <c r="D746" s="3"/>
      <c r="E746" s="3"/>
      <c r="F746" s="4"/>
    </row>
    <row r="747" spans="2:6" ht="12" customHeight="1" x14ac:dyDescent="0.15">
      <c r="B747" s="2"/>
      <c r="C747" s="3"/>
      <c r="D747" s="3"/>
      <c r="E747" s="3"/>
      <c r="F747" s="4"/>
    </row>
    <row r="748" spans="2:6" ht="12" customHeight="1" x14ac:dyDescent="0.15">
      <c r="B748" s="2"/>
      <c r="C748" s="3"/>
      <c r="D748" s="3"/>
      <c r="E748" s="3"/>
      <c r="F748" s="4"/>
    </row>
    <row r="749" spans="2:6" ht="12" customHeight="1" x14ac:dyDescent="0.15">
      <c r="B749" s="2"/>
      <c r="C749" s="3"/>
      <c r="D749" s="3"/>
      <c r="E749" s="3"/>
      <c r="F749" s="4"/>
    </row>
    <row r="750" spans="2:6" ht="12" customHeight="1" x14ac:dyDescent="0.15">
      <c r="B750" s="2"/>
      <c r="C750" s="3"/>
      <c r="D750" s="3"/>
      <c r="E750" s="3"/>
      <c r="F750" s="4"/>
    </row>
    <row r="751" spans="2:6" ht="12" customHeight="1" x14ac:dyDescent="0.15">
      <c r="B751" s="2"/>
      <c r="C751" s="3"/>
      <c r="D751" s="3"/>
      <c r="E751" s="3"/>
      <c r="F751" s="4"/>
    </row>
    <row r="752" spans="2:6" ht="12" customHeight="1" x14ac:dyDescent="0.15">
      <c r="B752" s="2"/>
      <c r="C752" s="3"/>
      <c r="D752" s="3"/>
      <c r="E752" s="3"/>
      <c r="F752" s="4"/>
    </row>
    <row r="753" spans="2:6" ht="12" customHeight="1" x14ac:dyDescent="0.15">
      <c r="B753" s="2"/>
      <c r="C753" s="3"/>
      <c r="D753" s="3"/>
      <c r="E753" s="3"/>
      <c r="F753" s="4"/>
    </row>
    <row r="754" spans="2:6" ht="12" customHeight="1" x14ac:dyDescent="0.15">
      <c r="B754" s="2"/>
      <c r="C754" s="3"/>
      <c r="D754" s="3"/>
      <c r="E754" s="3"/>
      <c r="F754" s="4"/>
    </row>
    <row r="755" spans="2:6" ht="12" customHeight="1" x14ac:dyDescent="0.15">
      <c r="B755" s="2"/>
      <c r="C755" s="3"/>
      <c r="D755" s="3"/>
      <c r="E755" s="3"/>
      <c r="F755" s="4"/>
    </row>
    <row r="756" spans="2:6" ht="12" customHeight="1" x14ac:dyDescent="0.15">
      <c r="B756" s="2"/>
      <c r="C756" s="3"/>
      <c r="D756" s="3"/>
      <c r="E756" s="3"/>
      <c r="F756" s="4"/>
    </row>
    <row r="757" spans="2:6" ht="12" customHeight="1" x14ac:dyDescent="0.15">
      <c r="B757" s="2"/>
      <c r="C757" s="3"/>
      <c r="D757" s="3"/>
      <c r="E757" s="3"/>
      <c r="F757" s="4"/>
    </row>
    <row r="758" spans="2:6" ht="12" customHeight="1" x14ac:dyDescent="0.15">
      <c r="B758" s="2"/>
      <c r="C758" s="3"/>
      <c r="D758" s="3"/>
      <c r="E758" s="3"/>
      <c r="F758" s="4"/>
    </row>
    <row r="759" spans="2:6" ht="12" customHeight="1" x14ac:dyDescent="0.15">
      <c r="B759" s="2"/>
      <c r="C759" s="3"/>
      <c r="D759" s="3"/>
      <c r="E759" s="3"/>
      <c r="F759" s="4"/>
    </row>
    <row r="760" spans="2:6" ht="12" customHeight="1" x14ac:dyDescent="0.15">
      <c r="B760" s="2"/>
      <c r="C760" s="3"/>
      <c r="D760" s="3"/>
      <c r="E760" s="3"/>
      <c r="F760" s="4"/>
    </row>
    <row r="761" spans="2:6" ht="12" customHeight="1" x14ac:dyDescent="0.15">
      <c r="B761" s="2"/>
      <c r="C761" s="3"/>
      <c r="D761" s="3"/>
      <c r="E761" s="3"/>
      <c r="F761" s="4"/>
    </row>
    <row r="762" spans="2:6" ht="12" customHeight="1" x14ac:dyDescent="0.15">
      <c r="B762" s="2"/>
      <c r="C762" s="3"/>
      <c r="D762" s="3"/>
      <c r="E762" s="3"/>
      <c r="F762" s="4"/>
    </row>
    <row r="763" spans="2:6" ht="12" customHeight="1" x14ac:dyDescent="0.15">
      <c r="B763" s="2"/>
      <c r="C763" s="3"/>
      <c r="D763" s="3"/>
      <c r="E763" s="3"/>
      <c r="F763" s="4"/>
    </row>
    <row r="764" spans="2:6" ht="12" customHeight="1" x14ac:dyDescent="0.15">
      <c r="B764" s="2"/>
      <c r="C764" s="3"/>
      <c r="D764" s="3"/>
      <c r="E764" s="3"/>
      <c r="F764" s="4"/>
    </row>
    <row r="765" spans="2:6" ht="12" customHeight="1" x14ac:dyDescent="0.15">
      <c r="B765" s="2"/>
      <c r="C765" s="3"/>
      <c r="D765" s="3"/>
      <c r="E765" s="3"/>
      <c r="F765" s="4"/>
    </row>
    <row r="766" spans="2:6" ht="12" customHeight="1" x14ac:dyDescent="0.15">
      <c r="B766" s="2"/>
      <c r="C766" s="3"/>
      <c r="D766" s="3"/>
      <c r="E766" s="3"/>
      <c r="F766" s="4"/>
    </row>
    <row r="767" spans="2:6" ht="12" customHeight="1" x14ac:dyDescent="0.15">
      <c r="B767" s="2"/>
      <c r="C767" s="3"/>
      <c r="D767" s="3"/>
      <c r="E767" s="3"/>
      <c r="F767" s="4"/>
    </row>
    <row r="768" spans="2:6" ht="12" customHeight="1" x14ac:dyDescent="0.15">
      <c r="B768" s="2"/>
      <c r="C768" s="3"/>
      <c r="D768" s="3"/>
      <c r="E768" s="3"/>
      <c r="F768" s="4"/>
    </row>
    <row r="769" spans="2:6" ht="12" customHeight="1" x14ac:dyDescent="0.15">
      <c r="B769" s="2"/>
      <c r="C769" s="3"/>
      <c r="D769" s="3"/>
      <c r="E769" s="3"/>
      <c r="F769" s="4"/>
    </row>
    <row r="770" spans="2:6" ht="12" customHeight="1" x14ac:dyDescent="0.15">
      <c r="B770" s="2"/>
      <c r="C770" s="3"/>
      <c r="D770" s="3"/>
      <c r="E770" s="3"/>
      <c r="F770" s="4"/>
    </row>
    <row r="771" spans="2:6" ht="12" customHeight="1" x14ac:dyDescent="0.15">
      <c r="B771" s="2"/>
      <c r="C771" s="3"/>
      <c r="D771" s="3"/>
      <c r="E771" s="3"/>
      <c r="F771" s="4"/>
    </row>
    <row r="772" spans="2:6" ht="12" customHeight="1" x14ac:dyDescent="0.15">
      <c r="B772" s="2"/>
      <c r="C772" s="3"/>
      <c r="D772" s="3"/>
      <c r="E772" s="3"/>
      <c r="F772" s="4"/>
    </row>
    <row r="773" spans="2:6" ht="12" customHeight="1" x14ac:dyDescent="0.15">
      <c r="B773" s="2"/>
      <c r="C773" s="3"/>
      <c r="D773" s="3"/>
      <c r="E773" s="3"/>
      <c r="F773" s="4"/>
    </row>
    <row r="774" spans="2:6" ht="12" customHeight="1" x14ac:dyDescent="0.15">
      <c r="B774" s="2"/>
      <c r="C774" s="3"/>
      <c r="D774" s="3"/>
      <c r="E774" s="3"/>
      <c r="F774" s="4"/>
    </row>
    <row r="775" spans="2:6" ht="12" customHeight="1" x14ac:dyDescent="0.15">
      <c r="B775" s="2"/>
      <c r="C775" s="3"/>
      <c r="D775" s="3"/>
      <c r="E775" s="3"/>
      <c r="F775" s="4"/>
    </row>
    <row r="776" spans="2:6" ht="12" customHeight="1" x14ac:dyDescent="0.15">
      <c r="B776" s="2"/>
      <c r="C776" s="3"/>
      <c r="D776" s="3"/>
      <c r="E776" s="3"/>
      <c r="F776" s="4"/>
    </row>
    <row r="777" spans="2:6" ht="12" customHeight="1" x14ac:dyDescent="0.15">
      <c r="B777" s="2"/>
      <c r="C777" s="3"/>
      <c r="D777" s="3"/>
      <c r="E777" s="3"/>
      <c r="F777" s="4"/>
    </row>
    <row r="778" spans="2:6" ht="12" customHeight="1" x14ac:dyDescent="0.15">
      <c r="B778" s="2"/>
      <c r="C778" s="3"/>
      <c r="D778" s="3"/>
      <c r="E778" s="3"/>
      <c r="F778" s="4"/>
    </row>
    <row r="779" spans="2:6" ht="12" customHeight="1" x14ac:dyDescent="0.15">
      <c r="B779" s="2"/>
      <c r="C779" s="3"/>
      <c r="D779" s="3"/>
      <c r="E779" s="3"/>
      <c r="F779" s="4"/>
    </row>
    <row r="780" spans="2:6" ht="12" customHeight="1" x14ac:dyDescent="0.15">
      <c r="B780" s="2"/>
      <c r="C780" s="3"/>
      <c r="D780" s="3"/>
      <c r="E780" s="3"/>
      <c r="F780" s="4"/>
    </row>
    <row r="781" spans="2:6" ht="12" customHeight="1" x14ac:dyDescent="0.15">
      <c r="B781" s="2"/>
      <c r="C781" s="3"/>
      <c r="D781" s="3"/>
      <c r="E781" s="3"/>
      <c r="F781" s="4"/>
    </row>
    <row r="782" spans="2:6" ht="12" customHeight="1" x14ac:dyDescent="0.15">
      <c r="B782" s="2"/>
      <c r="C782" s="3"/>
      <c r="D782" s="3"/>
      <c r="E782" s="3"/>
      <c r="F782" s="4"/>
    </row>
    <row r="783" spans="2:6" ht="12" customHeight="1" x14ac:dyDescent="0.15">
      <c r="B783" s="2"/>
      <c r="C783" s="3"/>
      <c r="D783" s="3"/>
      <c r="E783" s="3"/>
      <c r="F783" s="4"/>
    </row>
    <row r="784" spans="2:6" ht="12" customHeight="1" x14ac:dyDescent="0.15">
      <c r="B784" s="2"/>
      <c r="C784" s="3"/>
      <c r="D784" s="3"/>
      <c r="E784" s="3"/>
      <c r="F784" s="4"/>
    </row>
    <row r="785" spans="2:6" ht="12" customHeight="1" x14ac:dyDescent="0.15">
      <c r="B785" s="2"/>
      <c r="C785" s="3"/>
      <c r="D785" s="3"/>
      <c r="E785" s="3"/>
      <c r="F785" s="4"/>
    </row>
    <row r="786" spans="2:6" ht="12" customHeight="1" x14ac:dyDescent="0.15">
      <c r="B786" s="2"/>
      <c r="C786" s="3"/>
      <c r="D786" s="3"/>
      <c r="E786" s="3"/>
      <c r="F786" s="4"/>
    </row>
    <row r="787" spans="2:6" ht="12" customHeight="1" x14ac:dyDescent="0.15">
      <c r="B787" s="2"/>
      <c r="C787" s="3"/>
      <c r="D787" s="3"/>
      <c r="E787" s="3"/>
      <c r="F787" s="4"/>
    </row>
    <row r="788" spans="2:6" ht="12" customHeight="1" x14ac:dyDescent="0.15">
      <c r="B788" s="2"/>
      <c r="C788" s="3"/>
      <c r="D788" s="3"/>
      <c r="E788" s="3"/>
      <c r="F788" s="4"/>
    </row>
    <row r="789" spans="2:6" ht="12" customHeight="1" x14ac:dyDescent="0.15">
      <c r="B789" s="2"/>
      <c r="C789" s="3"/>
      <c r="D789" s="3"/>
      <c r="E789" s="3"/>
      <c r="F789" s="4"/>
    </row>
    <row r="790" spans="2:6" ht="12" customHeight="1" x14ac:dyDescent="0.15">
      <c r="B790" s="2"/>
      <c r="C790" s="3"/>
      <c r="D790" s="3"/>
      <c r="E790" s="3"/>
      <c r="F790" s="4"/>
    </row>
    <row r="791" spans="2:6" ht="12" customHeight="1" x14ac:dyDescent="0.15">
      <c r="B791" s="2"/>
      <c r="C791" s="3"/>
      <c r="D791" s="3"/>
      <c r="E791" s="3"/>
      <c r="F791" s="4"/>
    </row>
    <row r="792" spans="2:6" ht="12" customHeight="1" x14ac:dyDescent="0.15">
      <c r="B792" s="2"/>
      <c r="C792" s="3"/>
      <c r="D792" s="3"/>
      <c r="E792" s="3"/>
      <c r="F792" s="4"/>
    </row>
    <row r="793" spans="2:6" ht="12" customHeight="1" x14ac:dyDescent="0.15">
      <c r="B793" s="2"/>
      <c r="C793" s="3"/>
      <c r="D793" s="3"/>
      <c r="E793" s="3"/>
      <c r="F793" s="4"/>
    </row>
    <row r="794" spans="2:6" ht="12" customHeight="1" x14ac:dyDescent="0.15">
      <c r="B794" s="2"/>
      <c r="C794" s="3"/>
      <c r="D794" s="3"/>
      <c r="E794" s="3"/>
      <c r="F794" s="4"/>
    </row>
    <row r="795" spans="2:6" ht="12" customHeight="1" x14ac:dyDescent="0.15">
      <c r="B795" s="2"/>
      <c r="C795" s="3"/>
      <c r="D795" s="3"/>
      <c r="E795" s="3"/>
      <c r="F795" s="4"/>
    </row>
    <row r="796" spans="2:6" ht="12" customHeight="1" x14ac:dyDescent="0.15">
      <c r="B796" s="2"/>
      <c r="C796" s="3"/>
      <c r="D796" s="3"/>
      <c r="E796" s="3"/>
      <c r="F796" s="4"/>
    </row>
    <row r="797" spans="2:6" ht="12" customHeight="1" x14ac:dyDescent="0.15">
      <c r="B797" s="2"/>
      <c r="C797" s="3"/>
      <c r="D797" s="3"/>
      <c r="E797" s="3"/>
      <c r="F797" s="4"/>
    </row>
    <row r="798" spans="2:6" ht="12" customHeight="1" x14ac:dyDescent="0.15">
      <c r="B798" s="2"/>
      <c r="C798" s="3"/>
      <c r="D798" s="3"/>
      <c r="E798" s="3"/>
      <c r="F798" s="4"/>
    </row>
    <row r="799" spans="2:6" ht="12" customHeight="1" x14ac:dyDescent="0.15">
      <c r="B799" s="2"/>
      <c r="C799" s="3"/>
      <c r="D799" s="3"/>
      <c r="E799" s="3"/>
      <c r="F799" s="4"/>
    </row>
    <row r="800" spans="2:6" ht="12" customHeight="1" x14ac:dyDescent="0.15">
      <c r="B800" s="2"/>
      <c r="C800" s="3"/>
      <c r="D800" s="3"/>
      <c r="E800" s="3"/>
      <c r="F800" s="4"/>
    </row>
    <row r="801" spans="2:6" ht="12" customHeight="1" x14ac:dyDescent="0.15">
      <c r="B801" s="2"/>
      <c r="C801" s="3"/>
      <c r="D801" s="3"/>
      <c r="E801" s="3"/>
      <c r="F801" s="4"/>
    </row>
    <row r="802" spans="2:6" ht="12" customHeight="1" x14ac:dyDescent="0.15">
      <c r="B802" s="2"/>
      <c r="C802" s="3"/>
      <c r="D802" s="3"/>
      <c r="E802" s="3"/>
      <c r="F802" s="4"/>
    </row>
    <row r="803" spans="2:6" ht="12" customHeight="1" x14ac:dyDescent="0.15">
      <c r="B803" s="2"/>
      <c r="C803" s="3"/>
      <c r="D803" s="3"/>
      <c r="E803" s="3"/>
      <c r="F803" s="4"/>
    </row>
    <row r="804" spans="2:6" ht="12" customHeight="1" x14ac:dyDescent="0.15">
      <c r="B804" s="2"/>
      <c r="C804" s="3"/>
      <c r="D804" s="3"/>
      <c r="E804" s="3"/>
      <c r="F804" s="4"/>
    </row>
    <row r="805" spans="2:6" ht="12" customHeight="1" x14ac:dyDescent="0.15">
      <c r="B805" s="2"/>
      <c r="C805" s="3"/>
      <c r="D805" s="3"/>
      <c r="E805" s="3"/>
      <c r="F805" s="4"/>
    </row>
    <row r="806" spans="2:6" ht="12" customHeight="1" x14ac:dyDescent="0.15">
      <c r="B806" s="2"/>
      <c r="C806" s="3"/>
      <c r="D806" s="3"/>
      <c r="E806" s="3"/>
      <c r="F806" s="4"/>
    </row>
    <row r="807" spans="2:6" ht="12" customHeight="1" x14ac:dyDescent="0.15">
      <c r="B807" s="2"/>
      <c r="C807" s="3"/>
      <c r="D807" s="3"/>
      <c r="E807" s="3"/>
      <c r="F807" s="4"/>
    </row>
    <row r="808" spans="2:6" ht="12" customHeight="1" x14ac:dyDescent="0.15">
      <c r="B808" s="2"/>
      <c r="C808" s="3"/>
      <c r="D808" s="3"/>
      <c r="E808" s="3"/>
      <c r="F808" s="4"/>
    </row>
    <row r="809" spans="2:6" ht="12" customHeight="1" x14ac:dyDescent="0.15">
      <c r="B809" s="2"/>
      <c r="C809" s="3"/>
      <c r="D809" s="3"/>
      <c r="E809" s="3"/>
      <c r="F809" s="4"/>
    </row>
    <row r="810" spans="2:6" ht="12" customHeight="1" x14ac:dyDescent="0.15">
      <c r="B810" s="2"/>
      <c r="C810" s="3"/>
      <c r="D810" s="3"/>
      <c r="E810" s="3"/>
      <c r="F810" s="4"/>
    </row>
    <row r="811" spans="2:6" ht="12" customHeight="1" x14ac:dyDescent="0.15">
      <c r="B811" s="2"/>
      <c r="C811" s="3"/>
      <c r="D811" s="3"/>
      <c r="E811" s="3"/>
      <c r="F811" s="4"/>
    </row>
    <row r="812" spans="2:6" ht="12" customHeight="1" x14ac:dyDescent="0.15">
      <c r="B812" s="2"/>
      <c r="C812" s="3"/>
      <c r="D812" s="3"/>
      <c r="E812" s="3"/>
      <c r="F812" s="4"/>
    </row>
    <row r="813" spans="2:6" ht="12" customHeight="1" x14ac:dyDescent="0.15">
      <c r="B813" s="2"/>
      <c r="C813" s="3"/>
      <c r="D813" s="3"/>
      <c r="E813" s="3"/>
      <c r="F813" s="4"/>
    </row>
    <row r="814" spans="2:6" ht="12" customHeight="1" x14ac:dyDescent="0.15">
      <c r="B814" s="2"/>
      <c r="C814" s="3"/>
      <c r="D814" s="3"/>
      <c r="E814" s="3"/>
      <c r="F814" s="4"/>
    </row>
    <row r="815" spans="2:6" ht="12" customHeight="1" x14ac:dyDescent="0.15">
      <c r="B815" s="2"/>
      <c r="C815" s="3"/>
      <c r="D815" s="3"/>
      <c r="E815" s="3"/>
      <c r="F815" s="4"/>
    </row>
    <row r="816" spans="2:6" ht="12" customHeight="1" x14ac:dyDescent="0.15">
      <c r="B816" s="2"/>
      <c r="C816" s="3"/>
      <c r="D816" s="3"/>
      <c r="E816" s="3"/>
      <c r="F816" s="4"/>
    </row>
    <row r="817" spans="2:6" ht="12" customHeight="1" x14ac:dyDescent="0.15">
      <c r="B817" s="2"/>
      <c r="C817" s="3"/>
      <c r="D817" s="3"/>
      <c r="E817" s="3"/>
      <c r="F817" s="4"/>
    </row>
    <row r="818" spans="2:6" ht="12" customHeight="1" x14ac:dyDescent="0.15">
      <c r="B818" s="2"/>
      <c r="C818" s="3"/>
      <c r="D818" s="3"/>
      <c r="E818" s="3"/>
      <c r="F818" s="4"/>
    </row>
    <row r="819" spans="2:6" ht="12" customHeight="1" x14ac:dyDescent="0.15">
      <c r="B819" s="2"/>
      <c r="C819" s="3"/>
      <c r="D819" s="3"/>
      <c r="E819" s="3"/>
      <c r="F819" s="4"/>
    </row>
    <row r="820" spans="2:6" ht="12" customHeight="1" x14ac:dyDescent="0.15">
      <c r="B820" s="2"/>
      <c r="C820" s="3"/>
      <c r="D820" s="3"/>
      <c r="E820" s="3"/>
      <c r="F820" s="4"/>
    </row>
    <row r="821" spans="2:6" ht="12" customHeight="1" x14ac:dyDescent="0.15">
      <c r="B821" s="2"/>
      <c r="C821" s="3"/>
      <c r="D821" s="3"/>
      <c r="E821" s="3"/>
      <c r="F821" s="4"/>
    </row>
    <row r="822" spans="2:6" ht="12" customHeight="1" x14ac:dyDescent="0.15">
      <c r="B822" s="2"/>
      <c r="C822" s="3"/>
      <c r="D822" s="3"/>
      <c r="E822" s="3"/>
      <c r="F822" s="4"/>
    </row>
    <row r="823" spans="2:6" ht="12" customHeight="1" x14ac:dyDescent="0.15">
      <c r="B823" s="2"/>
      <c r="C823" s="3"/>
      <c r="D823" s="3"/>
      <c r="E823" s="3"/>
      <c r="F823" s="4"/>
    </row>
    <row r="824" spans="2:6" ht="12" customHeight="1" x14ac:dyDescent="0.15">
      <c r="B824" s="2"/>
      <c r="C824" s="3"/>
      <c r="D824" s="3"/>
      <c r="E824" s="3"/>
      <c r="F824" s="4"/>
    </row>
    <row r="825" spans="2:6" ht="12" customHeight="1" x14ac:dyDescent="0.15">
      <c r="B825" s="2"/>
      <c r="C825" s="3"/>
      <c r="D825" s="3"/>
      <c r="E825" s="3"/>
      <c r="F825" s="4"/>
    </row>
    <row r="826" spans="2:6" ht="12" customHeight="1" x14ac:dyDescent="0.15">
      <c r="B826" s="2"/>
      <c r="C826" s="3"/>
      <c r="D826" s="3"/>
      <c r="E826" s="3"/>
      <c r="F826" s="4"/>
    </row>
    <row r="827" spans="2:6" ht="12" customHeight="1" x14ac:dyDescent="0.15">
      <c r="B827" s="2"/>
      <c r="C827" s="3"/>
      <c r="D827" s="3"/>
      <c r="E827" s="3"/>
      <c r="F827" s="4"/>
    </row>
    <row r="828" spans="2:6" ht="12" customHeight="1" x14ac:dyDescent="0.15">
      <c r="B828" s="2"/>
      <c r="C828" s="3"/>
      <c r="D828" s="3"/>
      <c r="E828" s="3"/>
      <c r="F828" s="4"/>
    </row>
    <row r="829" spans="2:6" ht="12" customHeight="1" x14ac:dyDescent="0.15">
      <c r="B829" s="2"/>
      <c r="C829" s="3"/>
      <c r="D829" s="3"/>
      <c r="E829" s="3"/>
      <c r="F829" s="4"/>
    </row>
    <row r="830" spans="2:6" ht="12" customHeight="1" x14ac:dyDescent="0.15">
      <c r="B830" s="2"/>
      <c r="C830" s="3"/>
      <c r="D830" s="3"/>
      <c r="E830" s="3"/>
      <c r="F830" s="4"/>
    </row>
    <row r="831" spans="2:6" ht="12" customHeight="1" x14ac:dyDescent="0.15">
      <c r="B831" s="2"/>
      <c r="C831" s="3"/>
      <c r="D831" s="3"/>
      <c r="E831" s="3"/>
      <c r="F831" s="4"/>
    </row>
    <row r="832" spans="2:6" ht="12" customHeight="1" x14ac:dyDescent="0.15">
      <c r="B832" s="2"/>
      <c r="C832" s="3"/>
      <c r="D832" s="3"/>
      <c r="E832" s="3"/>
      <c r="F832" s="4"/>
    </row>
    <row r="833" spans="2:6" ht="12" customHeight="1" x14ac:dyDescent="0.15">
      <c r="B833" s="2"/>
      <c r="C833" s="3"/>
      <c r="D833" s="3"/>
      <c r="E833" s="3"/>
      <c r="F833" s="4"/>
    </row>
    <row r="834" spans="2:6" ht="12" customHeight="1" x14ac:dyDescent="0.15">
      <c r="B834" s="2"/>
      <c r="C834" s="3"/>
      <c r="D834" s="3"/>
      <c r="E834" s="3"/>
      <c r="F834" s="4"/>
    </row>
    <row r="835" spans="2:6" ht="12" customHeight="1" x14ac:dyDescent="0.15">
      <c r="B835" s="2"/>
      <c r="C835" s="3"/>
      <c r="D835" s="3"/>
      <c r="E835" s="3"/>
      <c r="F835" s="4"/>
    </row>
    <row r="836" spans="2:6" ht="12" customHeight="1" x14ac:dyDescent="0.15">
      <c r="B836" s="2"/>
      <c r="C836" s="3"/>
      <c r="D836" s="3"/>
      <c r="E836" s="3"/>
      <c r="F836" s="4"/>
    </row>
    <row r="837" spans="2:6" ht="12" customHeight="1" x14ac:dyDescent="0.15">
      <c r="B837" s="2"/>
      <c r="C837" s="3"/>
      <c r="D837" s="3"/>
      <c r="E837" s="3"/>
      <c r="F837" s="4"/>
    </row>
    <row r="838" spans="2:6" ht="12" customHeight="1" x14ac:dyDescent="0.15">
      <c r="B838" s="2"/>
      <c r="C838" s="3"/>
      <c r="D838" s="3"/>
      <c r="E838" s="3"/>
      <c r="F838" s="4"/>
    </row>
    <row r="839" spans="2:6" ht="12" customHeight="1" x14ac:dyDescent="0.15">
      <c r="B839" s="2"/>
      <c r="C839" s="3"/>
      <c r="D839" s="3"/>
      <c r="E839" s="3"/>
      <c r="F839" s="4"/>
    </row>
    <row r="840" spans="2:6" ht="12" customHeight="1" x14ac:dyDescent="0.15">
      <c r="B840" s="2"/>
      <c r="C840" s="3"/>
      <c r="D840" s="3"/>
      <c r="E840" s="3"/>
      <c r="F840" s="4"/>
    </row>
    <row r="841" spans="2:6" ht="12" customHeight="1" x14ac:dyDescent="0.15">
      <c r="B841" s="2"/>
      <c r="C841" s="3"/>
      <c r="D841" s="3"/>
      <c r="E841" s="3"/>
      <c r="F841" s="4"/>
    </row>
    <row r="842" spans="2:6" ht="12" customHeight="1" x14ac:dyDescent="0.15">
      <c r="B842" s="2"/>
      <c r="C842" s="3"/>
      <c r="D842" s="3"/>
      <c r="E842" s="3"/>
      <c r="F842" s="4"/>
    </row>
    <row r="843" spans="2:6" ht="12" customHeight="1" x14ac:dyDescent="0.15">
      <c r="B843" s="2"/>
      <c r="C843" s="3"/>
      <c r="D843" s="3"/>
      <c r="E843" s="3"/>
      <c r="F843" s="4"/>
    </row>
    <row r="844" spans="2:6" ht="12" customHeight="1" x14ac:dyDescent="0.15">
      <c r="B844" s="2"/>
      <c r="C844" s="3"/>
      <c r="D844" s="3"/>
      <c r="E844" s="3"/>
      <c r="F844" s="4"/>
    </row>
    <row r="845" spans="2:6" ht="12" customHeight="1" x14ac:dyDescent="0.15">
      <c r="B845" s="2"/>
      <c r="C845" s="3"/>
      <c r="D845" s="3"/>
      <c r="E845" s="3"/>
      <c r="F845" s="4"/>
    </row>
    <row r="846" spans="2:6" ht="12" customHeight="1" x14ac:dyDescent="0.15">
      <c r="B846" s="2"/>
      <c r="C846" s="3"/>
      <c r="D846" s="3"/>
      <c r="E846" s="3"/>
      <c r="F846" s="4"/>
    </row>
    <row r="847" spans="2:6" ht="12" customHeight="1" x14ac:dyDescent="0.15">
      <c r="B847" s="2"/>
      <c r="C847" s="3"/>
      <c r="D847" s="3"/>
      <c r="E847" s="3"/>
      <c r="F847" s="4"/>
    </row>
    <row r="848" spans="2:6" ht="12" customHeight="1" x14ac:dyDescent="0.15">
      <c r="B848" s="2"/>
      <c r="C848" s="3"/>
      <c r="D848" s="3"/>
      <c r="E848" s="3"/>
      <c r="F848" s="4"/>
    </row>
    <row r="849" spans="2:6" ht="12" customHeight="1" x14ac:dyDescent="0.15">
      <c r="B849" s="2"/>
      <c r="C849" s="3"/>
      <c r="D849" s="3"/>
      <c r="E849" s="3"/>
      <c r="F849" s="4"/>
    </row>
    <row r="850" spans="2:6" ht="12" customHeight="1" x14ac:dyDescent="0.15">
      <c r="B850" s="2"/>
      <c r="C850" s="3"/>
      <c r="D850" s="3"/>
      <c r="E850" s="3"/>
      <c r="F850" s="4"/>
    </row>
    <row r="851" spans="2:6" ht="12" customHeight="1" x14ac:dyDescent="0.15">
      <c r="B851" s="2"/>
      <c r="C851" s="3"/>
      <c r="D851" s="3"/>
      <c r="E851" s="3"/>
      <c r="F851" s="4"/>
    </row>
    <row r="852" spans="2:6" ht="12" customHeight="1" x14ac:dyDescent="0.15">
      <c r="B852" s="2"/>
      <c r="C852" s="3"/>
      <c r="D852" s="3"/>
      <c r="E852" s="3"/>
      <c r="F852" s="4"/>
    </row>
    <row r="853" spans="2:6" ht="12" customHeight="1" x14ac:dyDescent="0.15">
      <c r="B853" s="2"/>
      <c r="C853" s="3"/>
      <c r="D853" s="3"/>
      <c r="E853" s="3"/>
      <c r="F853" s="4"/>
    </row>
    <row r="854" spans="2:6" ht="12" customHeight="1" x14ac:dyDescent="0.15">
      <c r="B854" s="2"/>
      <c r="C854" s="3"/>
      <c r="D854" s="3"/>
      <c r="E854" s="3"/>
      <c r="F854" s="4"/>
    </row>
    <row r="855" spans="2:6" ht="12" customHeight="1" x14ac:dyDescent="0.15">
      <c r="B855" s="2"/>
      <c r="C855" s="3"/>
      <c r="D855" s="3"/>
      <c r="E855" s="3"/>
      <c r="F855" s="4"/>
    </row>
    <row r="856" spans="2:6" ht="12" customHeight="1" x14ac:dyDescent="0.15">
      <c r="B856" s="2"/>
      <c r="C856" s="3"/>
      <c r="D856" s="3"/>
      <c r="E856" s="3"/>
      <c r="F856" s="4"/>
    </row>
    <row r="857" spans="2:6" ht="12" customHeight="1" x14ac:dyDescent="0.15">
      <c r="B857" s="2"/>
      <c r="C857" s="3"/>
      <c r="D857" s="3"/>
      <c r="E857" s="3"/>
      <c r="F857" s="4"/>
    </row>
    <row r="858" spans="2:6" ht="12" customHeight="1" x14ac:dyDescent="0.15">
      <c r="B858" s="2"/>
      <c r="C858" s="3"/>
      <c r="D858" s="3"/>
      <c r="E858" s="3"/>
      <c r="F858" s="4"/>
    </row>
    <row r="859" spans="2:6" ht="12" customHeight="1" x14ac:dyDescent="0.15">
      <c r="B859" s="2"/>
      <c r="C859" s="3"/>
      <c r="D859" s="3"/>
      <c r="E859" s="3"/>
      <c r="F859" s="4"/>
    </row>
    <row r="860" spans="2:6" ht="12" customHeight="1" x14ac:dyDescent="0.15">
      <c r="B860" s="2"/>
      <c r="C860" s="3"/>
      <c r="D860" s="3"/>
      <c r="E860" s="3"/>
      <c r="F860" s="4"/>
    </row>
    <row r="861" spans="2:6" ht="12" customHeight="1" x14ac:dyDescent="0.15">
      <c r="B861" s="2"/>
      <c r="C861" s="3"/>
      <c r="D861" s="3"/>
      <c r="E861" s="3"/>
      <c r="F861" s="4"/>
    </row>
    <row r="862" spans="2:6" ht="12" customHeight="1" x14ac:dyDescent="0.15">
      <c r="B862" s="2"/>
      <c r="C862" s="3"/>
      <c r="D862" s="3"/>
      <c r="E862" s="3"/>
      <c r="F862" s="4"/>
    </row>
    <row r="863" spans="2:6" ht="12" customHeight="1" x14ac:dyDescent="0.15">
      <c r="B863" s="2"/>
      <c r="C863" s="3"/>
      <c r="D863" s="3"/>
      <c r="E863" s="3"/>
      <c r="F863" s="4"/>
    </row>
    <row r="864" spans="2:6" ht="12" customHeight="1" x14ac:dyDescent="0.15">
      <c r="B864" s="2"/>
      <c r="C864" s="3"/>
      <c r="D864" s="3"/>
      <c r="E864" s="3"/>
      <c r="F864" s="4"/>
    </row>
    <row r="865" spans="2:6" ht="12" customHeight="1" x14ac:dyDescent="0.15">
      <c r="B865" s="2"/>
      <c r="C865" s="3"/>
      <c r="D865" s="3"/>
      <c r="E865" s="3"/>
      <c r="F865" s="4"/>
    </row>
    <row r="866" spans="2:6" ht="12" customHeight="1" x14ac:dyDescent="0.15">
      <c r="B866" s="2"/>
      <c r="C866" s="3"/>
      <c r="D866" s="3"/>
      <c r="E866" s="3"/>
      <c r="F866" s="4"/>
    </row>
    <row r="867" spans="2:6" ht="12" customHeight="1" x14ac:dyDescent="0.15">
      <c r="B867" s="2"/>
      <c r="C867" s="3"/>
      <c r="D867" s="3"/>
      <c r="E867" s="3"/>
      <c r="F867" s="4"/>
    </row>
    <row r="868" spans="2:6" ht="12" customHeight="1" x14ac:dyDescent="0.15">
      <c r="B868" s="2"/>
      <c r="C868" s="3"/>
      <c r="D868" s="3"/>
      <c r="E868" s="3"/>
      <c r="F868" s="4"/>
    </row>
    <row r="869" spans="2:6" ht="12" customHeight="1" x14ac:dyDescent="0.15">
      <c r="B869" s="2"/>
      <c r="C869" s="3"/>
      <c r="D869" s="3"/>
      <c r="E869" s="3"/>
      <c r="F869" s="4"/>
    </row>
    <row r="870" spans="2:6" ht="12" customHeight="1" x14ac:dyDescent="0.15">
      <c r="B870" s="2"/>
      <c r="C870" s="3"/>
      <c r="D870" s="3"/>
      <c r="E870" s="3"/>
      <c r="F870" s="4"/>
    </row>
    <row r="871" spans="2:6" ht="12" customHeight="1" x14ac:dyDescent="0.15">
      <c r="B871" s="2"/>
      <c r="C871" s="3"/>
      <c r="D871" s="3"/>
      <c r="E871" s="3"/>
      <c r="F871" s="4"/>
    </row>
    <row r="872" spans="2:6" ht="12" customHeight="1" x14ac:dyDescent="0.15">
      <c r="B872" s="2"/>
      <c r="C872" s="3"/>
      <c r="D872" s="3"/>
      <c r="E872" s="3"/>
      <c r="F872" s="4"/>
    </row>
    <row r="873" spans="2:6" ht="12" customHeight="1" x14ac:dyDescent="0.15">
      <c r="B873" s="2"/>
      <c r="C873" s="3"/>
      <c r="D873" s="3"/>
      <c r="E873" s="3"/>
      <c r="F873" s="4"/>
    </row>
    <row r="874" spans="2:6" ht="12" customHeight="1" x14ac:dyDescent="0.15">
      <c r="B874" s="2"/>
      <c r="C874" s="3"/>
      <c r="D874" s="3"/>
      <c r="E874" s="3"/>
      <c r="F874" s="4"/>
    </row>
    <row r="875" spans="2:6" ht="12" customHeight="1" x14ac:dyDescent="0.15">
      <c r="B875" s="2"/>
      <c r="C875" s="3"/>
      <c r="D875" s="3"/>
      <c r="E875" s="3"/>
      <c r="F875" s="4"/>
    </row>
    <row r="876" spans="2:6" ht="12" customHeight="1" x14ac:dyDescent="0.15">
      <c r="B876" s="2"/>
      <c r="C876" s="3"/>
      <c r="D876" s="3"/>
      <c r="E876" s="3"/>
      <c r="F876" s="4"/>
    </row>
    <row r="877" spans="2:6" ht="12" customHeight="1" x14ac:dyDescent="0.15">
      <c r="B877" s="2"/>
      <c r="C877" s="3"/>
      <c r="D877" s="3"/>
      <c r="E877" s="3"/>
      <c r="F877" s="4"/>
    </row>
    <row r="878" spans="2:6" ht="12" customHeight="1" x14ac:dyDescent="0.15">
      <c r="B878" s="2"/>
      <c r="C878" s="3"/>
      <c r="D878" s="3"/>
      <c r="E878" s="3"/>
      <c r="F878" s="4"/>
    </row>
    <row r="879" spans="2:6" ht="12" customHeight="1" x14ac:dyDescent="0.15">
      <c r="B879" s="2"/>
      <c r="C879" s="3"/>
      <c r="D879" s="3"/>
      <c r="E879" s="3"/>
      <c r="F879" s="4"/>
    </row>
    <row r="880" spans="2:6" ht="12" customHeight="1" x14ac:dyDescent="0.15">
      <c r="B880" s="2"/>
      <c r="C880" s="3"/>
      <c r="D880" s="3"/>
      <c r="E880" s="3"/>
      <c r="F880" s="4"/>
    </row>
    <row r="881" spans="2:6" ht="12" customHeight="1" x14ac:dyDescent="0.15">
      <c r="B881" s="2"/>
      <c r="C881" s="3"/>
      <c r="D881" s="3"/>
      <c r="E881" s="3"/>
      <c r="F881" s="4"/>
    </row>
    <row r="882" spans="2:6" ht="12" customHeight="1" x14ac:dyDescent="0.15">
      <c r="B882" s="2"/>
      <c r="C882" s="3"/>
      <c r="D882" s="3"/>
      <c r="E882" s="3"/>
      <c r="F882" s="4"/>
    </row>
    <row r="883" spans="2:6" ht="12" customHeight="1" x14ac:dyDescent="0.15">
      <c r="B883" s="2"/>
      <c r="C883" s="3"/>
      <c r="D883" s="3"/>
      <c r="E883" s="3"/>
      <c r="F883" s="4"/>
    </row>
    <row r="884" spans="2:6" ht="12" customHeight="1" x14ac:dyDescent="0.15">
      <c r="B884" s="2"/>
      <c r="C884" s="3"/>
      <c r="D884" s="3"/>
      <c r="E884" s="3"/>
      <c r="F884" s="4"/>
    </row>
    <row r="885" spans="2:6" ht="12" customHeight="1" x14ac:dyDescent="0.15">
      <c r="B885" s="2"/>
      <c r="C885" s="3"/>
      <c r="D885" s="3"/>
      <c r="E885" s="3"/>
      <c r="F885" s="4"/>
    </row>
    <row r="886" spans="2:6" ht="12" customHeight="1" x14ac:dyDescent="0.15">
      <c r="B886" s="2"/>
      <c r="C886" s="3"/>
      <c r="D886" s="3"/>
      <c r="E886" s="3"/>
      <c r="F886" s="4"/>
    </row>
    <row r="887" spans="2:6" ht="12" customHeight="1" x14ac:dyDescent="0.15">
      <c r="B887" s="2"/>
      <c r="C887" s="3"/>
      <c r="D887" s="3"/>
      <c r="E887" s="3"/>
      <c r="F887" s="4"/>
    </row>
    <row r="888" spans="2:6" ht="12" customHeight="1" x14ac:dyDescent="0.15">
      <c r="B888" s="2"/>
      <c r="C888" s="3"/>
      <c r="D888" s="3"/>
      <c r="E888" s="3"/>
      <c r="F888" s="4"/>
    </row>
    <row r="889" spans="2:6" ht="12" customHeight="1" x14ac:dyDescent="0.15">
      <c r="B889" s="2"/>
      <c r="C889" s="3"/>
      <c r="D889" s="3"/>
      <c r="E889" s="3"/>
      <c r="F889" s="4"/>
    </row>
    <row r="890" spans="2:6" ht="12" customHeight="1" x14ac:dyDescent="0.15">
      <c r="B890" s="2"/>
      <c r="C890" s="3"/>
      <c r="D890" s="3"/>
      <c r="E890" s="3"/>
      <c r="F890" s="4"/>
    </row>
    <row r="891" spans="2:6" ht="12" customHeight="1" x14ac:dyDescent="0.15">
      <c r="B891" s="2"/>
      <c r="C891" s="3"/>
      <c r="D891" s="3"/>
      <c r="E891" s="3"/>
      <c r="F891" s="4"/>
    </row>
    <row r="892" spans="2:6" ht="12" customHeight="1" x14ac:dyDescent="0.15">
      <c r="B892" s="2"/>
      <c r="C892" s="3"/>
      <c r="D892" s="3"/>
      <c r="E892" s="3"/>
      <c r="F892" s="4"/>
    </row>
    <row r="893" spans="2:6" ht="12" customHeight="1" x14ac:dyDescent="0.15">
      <c r="B893" s="2"/>
      <c r="C893" s="3"/>
      <c r="D893" s="3"/>
      <c r="E893" s="3"/>
      <c r="F893" s="4"/>
    </row>
    <row r="894" spans="2:6" ht="12" customHeight="1" x14ac:dyDescent="0.15">
      <c r="B894" s="2"/>
      <c r="C894" s="3"/>
      <c r="D894" s="3"/>
      <c r="E894" s="3"/>
      <c r="F894" s="4"/>
    </row>
    <row r="895" spans="2:6" ht="12" customHeight="1" x14ac:dyDescent="0.15">
      <c r="B895" s="2"/>
      <c r="C895" s="3"/>
      <c r="D895" s="3"/>
      <c r="E895" s="3"/>
      <c r="F895" s="4"/>
    </row>
    <row r="896" spans="2:6" ht="12" customHeight="1" x14ac:dyDescent="0.15">
      <c r="B896" s="2"/>
      <c r="C896" s="3"/>
      <c r="D896" s="3"/>
      <c r="E896" s="3"/>
      <c r="F896" s="4"/>
    </row>
    <row r="897" spans="2:6" ht="12" customHeight="1" x14ac:dyDescent="0.15">
      <c r="B897" s="2"/>
      <c r="C897" s="3"/>
      <c r="D897" s="3"/>
      <c r="E897" s="3"/>
      <c r="F897" s="4"/>
    </row>
    <row r="898" spans="2:6" ht="12" customHeight="1" x14ac:dyDescent="0.15">
      <c r="B898" s="2"/>
      <c r="C898" s="3"/>
      <c r="D898" s="3"/>
      <c r="E898" s="3"/>
      <c r="F898" s="4"/>
    </row>
    <row r="899" spans="2:6" ht="12" customHeight="1" x14ac:dyDescent="0.15">
      <c r="B899" s="2"/>
      <c r="C899" s="3"/>
      <c r="D899" s="3"/>
      <c r="E899" s="3"/>
      <c r="F899" s="4"/>
    </row>
    <row r="900" spans="2:6" ht="12" customHeight="1" x14ac:dyDescent="0.15">
      <c r="B900" s="2"/>
      <c r="C900" s="3"/>
      <c r="D900" s="3"/>
      <c r="E900" s="3"/>
      <c r="F900" s="4"/>
    </row>
    <row r="901" spans="2:6" ht="12" customHeight="1" x14ac:dyDescent="0.15">
      <c r="B901" s="2"/>
      <c r="C901" s="3"/>
      <c r="D901" s="3"/>
      <c r="E901" s="3"/>
      <c r="F901" s="4"/>
    </row>
    <row r="902" spans="2:6" ht="12" customHeight="1" x14ac:dyDescent="0.15">
      <c r="B902" s="2"/>
      <c r="C902" s="3"/>
      <c r="D902" s="3"/>
      <c r="E902" s="3"/>
      <c r="F902" s="4"/>
    </row>
    <row r="903" spans="2:6" ht="12" customHeight="1" x14ac:dyDescent="0.15">
      <c r="B903" s="2"/>
      <c r="C903" s="3"/>
      <c r="D903" s="3"/>
      <c r="E903" s="3"/>
      <c r="F903" s="4"/>
    </row>
    <row r="904" spans="2:6" ht="12" customHeight="1" x14ac:dyDescent="0.15">
      <c r="B904" s="2"/>
      <c r="C904" s="3"/>
      <c r="D904" s="3"/>
      <c r="E904" s="3"/>
      <c r="F904" s="4"/>
    </row>
    <row r="905" spans="2:6" ht="12" customHeight="1" x14ac:dyDescent="0.15">
      <c r="B905" s="2"/>
      <c r="C905" s="3"/>
      <c r="D905" s="3"/>
      <c r="E905" s="3"/>
      <c r="F905" s="4"/>
    </row>
    <row r="906" spans="2:6" ht="12" customHeight="1" x14ac:dyDescent="0.15">
      <c r="B906" s="2"/>
      <c r="C906" s="3"/>
      <c r="D906" s="3"/>
      <c r="E906" s="3"/>
      <c r="F906" s="4"/>
    </row>
    <row r="907" spans="2:6" ht="12" customHeight="1" x14ac:dyDescent="0.15">
      <c r="B907" s="2"/>
      <c r="C907" s="3"/>
      <c r="D907" s="3"/>
      <c r="E907" s="3"/>
      <c r="F907" s="4"/>
    </row>
    <row r="908" spans="2:6" ht="12" customHeight="1" x14ac:dyDescent="0.15">
      <c r="B908" s="2"/>
      <c r="C908" s="3"/>
      <c r="D908" s="3"/>
      <c r="E908" s="3"/>
      <c r="F908" s="4"/>
    </row>
    <row r="909" spans="2:6" ht="12" customHeight="1" x14ac:dyDescent="0.15">
      <c r="B909" s="2"/>
      <c r="C909" s="3"/>
      <c r="D909" s="3"/>
      <c r="E909" s="3"/>
      <c r="F909" s="4"/>
    </row>
    <row r="910" spans="2:6" ht="12" customHeight="1" x14ac:dyDescent="0.15">
      <c r="B910" s="2"/>
      <c r="C910" s="3"/>
      <c r="D910" s="3"/>
      <c r="E910" s="3"/>
      <c r="F910" s="4"/>
    </row>
    <row r="911" spans="2:6" ht="12" customHeight="1" x14ac:dyDescent="0.15">
      <c r="B911" s="2"/>
      <c r="C911" s="3"/>
      <c r="D911" s="3"/>
      <c r="E911" s="3"/>
      <c r="F911" s="4"/>
    </row>
    <row r="912" spans="2:6" ht="12" customHeight="1" x14ac:dyDescent="0.15">
      <c r="B912" s="2"/>
      <c r="C912" s="3"/>
      <c r="D912" s="3"/>
      <c r="E912" s="3"/>
      <c r="F912" s="4"/>
    </row>
    <row r="913" spans="2:6" ht="12" customHeight="1" x14ac:dyDescent="0.15">
      <c r="B913" s="2"/>
      <c r="C913" s="3"/>
      <c r="D913" s="3"/>
      <c r="E913" s="3"/>
      <c r="F913" s="4"/>
    </row>
    <row r="914" spans="2:6" ht="12" customHeight="1" x14ac:dyDescent="0.15">
      <c r="B914" s="2"/>
      <c r="C914" s="3"/>
      <c r="D914" s="3"/>
      <c r="E914" s="3"/>
      <c r="F914" s="4"/>
    </row>
    <row r="915" spans="2:6" ht="12" customHeight="1" x14ac:dyDescent="0.15">
      <c r="B915" s="2"/>
      <c r="C915" s="3"/>
      <c r="D915" s="3"/>
      <c r="E915" s="3"/>
      <c r="F915" s="4"/>
    </row>
    <row r="916" spans="2:6" ht="12" customHeight="1" x14ac:dyDescent="0.15">
      <c r="B916" s="2"/>
      <c r="C916" s="3"/>
      <c r="D916" s="3"/>
      <c r="E916" s="3"/>
      <c r="F916" s="4"/>
    </row>
    <row r="917" spans="2:6" ht="12" customHeight="1" x14ac:dyDescent="0.15">
      <c r="B917" s="2"/>
      <c r="C917" s="3"/>
      <c r="D917" s="3"/>
      <c r="E917" s="3"/>
      <c r="F917" s="4"/>
    </row>
    <row r="918" spans="2:6" ht="12" customHeight="1" x14ac:dyDescent="0.15">
      <c r="B918" s="2"/>
      <c r="C918" s="3"/>
      <c r="D918" s="3"/>
      <c r="E918" s="3"/>
      <c r="F918" s="4"/>
    </row>
    <row r="919" spans="2:6" ht="12" customHeight="1" x14ac:dyDescent="0.15">
      <c r="B919" s="2"/>
      <c r="C919" s="3"/>
      <c r="D919" s="3"/>
      <c r="E919" s="3"/>
      <c r="F919" s="4"/>
    </row>
    <row r="920" spans="2:6" ht="12" customHeight="1" x14ac:dyDescent="0.15">
      <c r="B920" s="2"/>
      <c r="C920" s="3"/>
      <c r="D920" s="3"/>
      <c r="E920" s="3"/>
      <c r="F920" s="4"/>
    </row>
    <row r="921" spans="2:6" ht="12" customHeight="1" x14ac:dyDescent="0.15">
      <c r="B921" s="2"/>
      <c r="C921" s="3"/>
      <c r="D921" s="3"/>
      <c r="E921" s="3"/>
      <c r="F921" s="4"/>
    </row>
    <row r="922" spans="2:6" ht="12" customHeight="1" x14ac:dyDescent="0.15">
      <c r="B922" s="2"/>
      <c r="C922" s="3"/>
      <c r="D922" s="3"/>
      <c r="E922" s="3"/>
      <c r="F922" s="4"/>
    </row>
    <row r="923" spans="2:6" ht="12" customHeight="1" x14ac:dyDescent="0.15">
      <c r="B923" s="2"/>
      <c r="C923" s="3"/>
      <c r="D923" s="3"/>
      <c r="E923" s="3"/>
      <c r="F923" s="4"/>
    </row>
    <row r="924" spans="2:6" ht="12" customHeight="1" x14ac:dyDescent="0.15">
      <c r="B924" s="2"/>
      <c r="C924" s="3"/>
      <c r="D924" s="3"/>
      <c r="E924" s="3"/>
      <c r="F924" s="4"/>
    </row>
    <row r="925" spans="2:6" ht="12" customHeight="1" x14ac:dyDescent="0.15">
      <c r="B925" s="2"/>
      <c r="C925" s="3"/>
      <c r="D925" s="3"/>
      <c r="E925" s="3"/>
      <c r="F925" s="4"/>
    </row>
    <row r="926" spans="2:6" ht="12" customHeight="1" x14ac:dyDescent="0.15">
      <c r="B926" s="2"/>
      <c r="C926" s="3"/>
      <c r="D926" s="3"/>
      <c r="E926" s="3"/>
      <c r="F926" s="4"/>
    </row>
    <row r="927" spans="2:6" ht="12" customHeight="1" x14ac:dyDescent="0.15">
      <c r="B927" s="2"/>
      <c r="C927" s="3"/>
      <c r="D927" s="3"/>
      <c r="E927" s="3"/>
      <c r="F927" s="4"/>
    </row>
    <row r="928" spans="2:6" ht="12" customHeight="1" x14ac:dyDescent="0.15">
      <c r="B928" s="2"/>
      <c r="C928" s="3"/>
      <c r="D928" s="3"/>
      <c r="E928" s="3"/>
      <c r="F928" s="4"/>
    </row>
    <row r="929" spans="2:6" ht="12" customHeight="1" x14ac:dyDescent="0.15">
      <c r="B929" s="2"/>
      <c r="C929" s="3"/>
      <c r="D929" s="3"/>
      <c r="E929" s="3"/>
      <c r="F929" s="4"/>
    </row>
    <row r="930" spans="2:6" ht="12" customHeight="1" x14ac:dyDescent="0.15">
      <c r="B930" s="2"/>
      <c r="C930" s="3"/>
      <c r="D930" s="3"/>
      <c r="E930" s="3"/>
      <c r="F930" s="4"/>
    </row>
    <row r="931" spans="2:6" ht="12" customHeight="1" x14ac:dyDescent="0.15">
      <c r="B931" s="2"/>
      <c r="C931" s="3"/>
      <c r="D931" s="3"/>
      <c r="E931" s="3"/>
      <c r="F931" s="4"/>
    </row>
    <row r="932" spans="2:6" ht="12" customHeight="1" x14ac:dyDescent="0.15">
      <c r="B932" s="2"/>
      <c r="C932" s="3"/>
      <c r="D932" s="3"/>
      <c r="E932" s="3"/>
      <c r="F932" s="4"/>
    </row>
    <row r="933" spans="2:6" ht="12" customHeight="1" x14ac:dyDescent="0.15">
      <c r="B933" s="2"/>
      <c r="C933" s="3"/>
      <c r="D933" s="3"/>
      <c r="E933" s="3"/>
      <c r="F933" s="4"/>
    </row>
    <row r="934" spans="2:6" ht="12" customHeight="1" x14ac:dyDescent="0.15">
      <c r="B934" s="2"/>
      <c r="C934" s="3"/>
      <c r="D934" s="3"/>
      <c r="E934" s="3"/>
      <c r="F934" s="4"/>
    </row>
    <row r="935" spans="2:6" ht="12" customHeight="1" x14ac:dyDescent="0.15">
      <c r="B935" s="2"/>
      <c r="C935" s="3"/>
      <c r="D935" s="3"/>
      <c r="E935" s="3"/>
      <c r="F935" s="4"/>
    </row>
    <row r="936" spans="2:6" ht="12" customHeight="1" x14ac:dyDescent="0.15">
      <c r="B936" s="2"/>
      <c r="C936" s="3"/>
      <c r="D936" s="3"/>
      <c r="E936" s="3"/>
      <c r="F936" s="4"/>
    </row>
    <row r="937" spans="2:6" ht="12" customHeight="1" x14ac:dyDescent="0.15">
      <c r="B937" s="2"/>
      <c r="C937" s="3"/>
      <c r="D937" s="3"/>
      <c r="E937" s="3"/>
      <c r="F937" s="4"/>
    </row>
    <row r="938" spans="2:6" ht="12" customHeight="1" x14ac:dyDescent="0.15">
      <c r="B938" s="2"/>
      <c r="C938" s="3"/>
      <c r="D938" s="3"/>
      <c r="E938" s="3"/>
      <c r="F938" s="4"/>
    </row>
    <row r="939" spans="2:6" ht="12" customHeight="1" x14ac:dyDescent="0.15">
      <c r="B939" s="2"/>
      <c r="C939" s="3"/>
      <c r="D939" s="3"/>
      <c r="E939" s="3"/>
      <c r="F939" s="4"/>
    </row>
    <row r="940" spans="2:6" ht="12" customHeight="1" x14ac:dyDescent="0.15">
      <c r="B940" s="2"/>
      <c r="C940" s="3"/>
      <c r="D940" s="3"/>
      <c r="E940" s="3"/>
      <c r="F940" s="4"/>
    </row>
    <row r="941" spans="2:6" ht="12" customHeight="1" x14ac:dyDescent="0.15">
      <c r="B941" s="2"/>
      <c r="C941" s="3"/>
      <c r="D941" s="3"/>
      <c r="E941" s="3"/>
      <c r="F941" s="4"/>
    </row>
    <row r="942" spans="2:6" ht="12" customHeight="1" x14ac:dyDescent="0.15">
      <c r="B942" s="2"/>
      <c r="C942" s="3"/>
      <c r="D942" s="3"/>
      <c r="E942" s="3"/>
      <c r="F942" s="4"/>
    </row>
    <row r="943" spans="2:6" ht="12" customHeight="1" x14ac:dyDescent="0.15">
      <c r="B943" s="2"/>
      <c r="C943" s="3"/>
      <c r="D943" s="3"/>
      <c r="E943" s="3"/>
      <c r="F943" s="4"/>
    </row>
    <row r="944" spans="2:6" ht="12" customHeight="1" x14ac:dyDescent="0.15">
      <c r="B944" s="2"/>
      <c r="C944" s="3"/>
      <c r="D944" s="3"/>
      <c r="E944" s="3"/>
      <c r="F944" s="4"/>
    </row>
    <row r="945" spans="2:6" ht="12" customHeight="1" x14ac:dyDescent="0.15">
      <c r="B945" s="2"/>
      <c r="C945" s="3"/>
      <c r="D945" s="3"/>
      <c r="E945" s="3"/>
      <c r="F945" s="4"/>
    </row>
    <row r="946" spans="2:6" ht="12" customHeight="1" x14ac:dyDescent="0.15">
      <c r="B946" s="2"/>
      <c r="C946" s="3"/>
      <c r="D946" s="3"/>
      <c r="E946" s="3"/>
      <c r="F946" s="4"/>
    </row>
    <row r="947" spans="2:6" ht="12" customHeight="1" x14ac:dyDescent="0.15">
      <c r="B947" s="2"/>
      <c r="C947" s="3"/>
      <c r="D947" s="3"/>
      <c r="E947" s="3"/>
      <c r="F947" s="4"/>
    </row>
    <row r="948" spans="2:6" ht="12" customHeight="1" x14ac:dyDescent="0.15">
      <c r="B948" s="2"/>
      <c r="C948" s="3"/>
      <c r="D948" s="3"/>
      <c r="E948" s="3"/>
      <c r="F948" s="4"/>
    </row>
    <row r="949" spans="2:6" ht="12" customHeight="1" x14ac:dyDescent="0.15">
      <c r="B949" s="2"/>
      <c r="C949" s="3"/>
      <c r="D949" s="3"/>
      <c r="E949" s="3"/>
      <c r="F949" s="4"/>
    </row>
    <row r="950" spans="2:6" ht="12" customHeight="1" x14ac:dyDescent="0.15">
      <c r="B950" s="2"/>
      <c r="C950" s="3"/>
      <c r="D950" s="3"/>
      <c r="E950" s="3"/>
      <c r="F950" s="4"/>
    </row>
    <row r="951" spans="2:6" ht="12" customHeight="1" x14ac:dyDescent="0.15">
      <c r="B951" s="2"/>
      <c r="C951" s="3"/>
      <c r="D951" s="3"/>
      <c r="E951" s="3"/>
      <c r="F951" s="4"/>
    </row>
    <row r="952" spans="2:6" ht="12" customHeight="1" x14ac:dyDescent="0.15">
      <c r="B952" s="2"/>
      <c r="C952" s="3"/>
      <c r="D952" s="3"/>
      <c r="E952" s="3"/>
      <c r="F952" s="4"/>
    </row>
    <row r="953" spans="2:6" ht="12" customHeight="1" x14ac:dyDescent="0.15">
      <c r="B953" s="2"/>
      <c r="C953" s="3"/>
      <c r="D953" s="3"/>
      <c r="E953" s="3"/>
      <c r="F953" s="4"/>
    </row>
    <row r="954" spans="2:6" ht="12" customHeight="1" x14ac:dyDescent="0.15">
      <c r="B954" s="2"/>
      <c r="C954" s="3"/>
      <c r="D954" s="3"/>
      <c r="E954" s="3"/>
      <c r="F954" s="4"/>
    </row>
    <row r="955" spans="2:6" ht="12" customHeight="1" x14ac:dyDescent="0.15">
      <c r="B955" s="2"/>
      <c r="C955" s="3"/>
      <c r="D955" s="3"/>
      <c r="E955" s="3"/>
      <c r="F955" s="4"/>
    </row>
    <row r="956" spans="2:6" ht="12" customHeight="1" x14ac:dyDescent="0.15">
      <c r="B956" s="2"/>
      <c r="C956" s="3"/>
      <c r="D956" s="3"/>
      <c r="E956" s="3"/>
      <c r="F956" s="4"/>
    </row>
    <row r="957" spans="2:6" ht="12" customHeight="1" x14ac:dyDescent="0.15">
      <c r="B957" s="2"/>
      <c r="C957" s="3"/>
      <c r="D957" s="3"/>
      <c r="E957" s="3"/>
      <c r="F957" s="4"/>
    </row>
    <row r="958" spans="2:6" ht="12" customHeight="1" x14ac:dyDescent="0.15">
      <c r="B958" s="2"/>
      <c r="C958" s="3"/>
      <c r="D958" s="3"/>
      <c r="E958" s="3"/>
      <c r="F958" s="4"/>
    </row>
    <row r="959" spans="2:6" ht="12" customHeight="1" x14ac:dyDescent="0.15">
      <c r="B959" s="2"/>
      <c r="C959" s="3"/>
      <c r="D959" s="3"/>
      <c r="E959" s="3"/>
      <c r="F959" s="4"/>
    </row>
    <row r="960" spans="2:6" ht="12" customHeight="1" x14ac:dyDescent="0.15">
      <c r="B960" s="2"/>
      <c r="C960" s="3"/>
      <c r="D960" s="3"/>
      <c r="E960" s="3"/>
      <c r="F960" s="4"/>
    </row>
    <row r="961" spans="2:6" ht="12" customHeight="1" x14ac:dyDescent="0.15">
      <c r="B961" s="2"/>
      <c r="C961" s="3"/>
      <c r="D961" s="3"/>
      <c r="E961" s="3"/>
      <c r="F961" s="4"/>
    </row>
    <row r="962" spans="2:6" ht="12" customHeight="1" x14ac:dyDescent="0.15">
      <c r="B962" s="2"/>
      <c r="C962" s="3"/>
      <c r="D962" s="3"/>
      <c r="E962" s="3"/>
      <c r="F962" s="4"/>
    </row>
    <row r="963" spans="2:6" ht="12" customHeight="1" x14ac:dyDescent="0.15">
      <c r="B963" s="2"/>
      <c r="C963" s="3"/>
      <c r="D963" s="3"/>
      <c r="E963" s="3"/>
      <c r="F963" s="4"/>
    </row>
    <row r="964" spans="2:6" ht="12" customHeight="1" x14ac:dyDescent="0.15">
      <c r="B964" s="2"/>
      <c r="C964" s="3"/>
      <c r="D964" s="3"/>
      <c r="E964" s="3"/>
      <c r="F964" s="4"/>
    </row>
    <row r="965" spans="2:6" ht="12" customHeight="1" x14ac:dyDescent="0.15">
      <c r="B965" s="2"/>
      <c r="C965" s="3"/>
      <c r="D965" s="3"/>
      <c r="E965" s="3"/>
      <c r="F965" s="4"/>
    </row>
    <row r="966" spans="2:6" ht="12" customHeight="1" x14ac:dyDescent="0.15">
      <c r="B966" s="2"/>
      <c r="C966" s="3"/>
      <c r="D966" s="3"/>
      <c r="E966" s="3"/>
      <c r="F966" s="4"/>
    </row>
    <row r="967" spans="2:6" ht="12" customHeight="1" x14ac:dyDescent="0.15">
      <c r="B967" s="2"/>
      <c r="C967" s="3"/>
      <c r="D967" s="3"/>
      <c r="E967" s="3"/>
      <c r="F967" s="4"/>
    </row>
    <row r="968" spans="2:6" ht="12" customHeight="1" x14ac:dyDescent="0.15">
      <c r="B968" s="2"/>
      <c r="C968" s="3"/>
      <c r="D968" s="3"/>
      <c r="E968" s="3"/>
      <c r="F968" s="4"/>
    </row>
    <row r="969" spans="2:6" ht="12" customHeight="1" x14ac:dyDescent="0.15">
      <c r="B969" s="2"/>
      <c r="C969" s="3"/>
      <c r="D969" s="3"/>
      <c r="E969" s="3"/>
      <c r="F969" s="4"/>
    </row>
    <row r="970" spans="2:6" ht="12" customHeight="1" x14ac:dyDescent="0.15">
      <c r="B970" s="2"/>
      <c r="C970" s="3"/>
      <c r="D970" s="3"/>
      <c r="E970" s="3"/>
      <c r="F970" s="4"/>
    </row>
    <row r="971" spans="2:6" ht="12" customHeight="1" x14ac:dyDescent="0.15">
      <c r="B971" s="2"/>
      <c r="C971" s="3"/>
      <c r="D971" s="3"/>
      <c r="E971" s="3"/>
      <c r="F971" s="4"/>
    </row>
    <row r="972" spans="2:6" ht="12" customHeight="1" x14ac:dyDescent="0.15">
      <c r="B972" s="2"/>
      <c r="C972" s="3"/>
      <c r="D972" s="3"/>
      <c r="E972" s="3"/>
      <c r="F972" s="4"/>
    </row>
    <row r="973" spans="2:6" ht="12" customHeight="1" x14ac:dyDescent="0.15">
      <c r="B973" s="2"/>
      <c r="C973" s="3"/>
      <c r="D973" s="3"/>
      <c r="E973" s="3"/>
      <c r="F973" s="4"/>
    </row>
    <row r="974" spans="2:6" ht="12" customHeight="1" x14ac:dyDescent="0.15">
      <c r="B974" s="2"/>
      <c r="C974" s="3"/>
      <c r="D974" s="3"/>
      <c r="E974" s="3"/>
      <c r="F974" s="4"/>
    </row>
    <row r="975" spans="2:6" ht="12" customHeight="1" x14ac:dyDescent="0.15">
      <c r="B975" s="2"/>
      <c r="C975" s="3"/>
      <c r="D975" s="3"/>
      <c r="E975" s="3"/>
      <c r="F975" s="4"/>
    </row>
    <row r="976" spans="2:6" ht="12" customHeight="1" x14ac:dyDescent="0.15">
      <c r="B976" s="2"/>
      <c r="C976" s="3"/>
      <c r="D976" s="3"/>
      <c r="E976" s="3"/>
      <c r="F976" s="4"/>
    </row>
    <row r="977" spans="2:6" ht="12" customHeight="1" x14ac:dyDescent="0.15">
      <c r="B977" s="2"/>
      <c r="C977" s="3"/>
      <c r="D977" s="3"/>
      <c r="E977" s="3"/>
      <c r="F977" s="4"/>
    </row>
    <row r="978" spans="2:6" ht="12" customHeight="1" x14ac:dyDescent="0.15">
      <c r="B978" s="2"/>
      <c r="C978" s="3"/>
      <c r="D978" s="3"/>
      <c r="E978" s="3"/>
      <c r="F978" s="4"/>
    </row>
    <row r="979" spans="2:6" ht="12" customHeight="1" x14ac:dyDescent="0.15">
      <c r="B979" s="2"/>
      <c r="C979" s="3"/>
      <c r="D979" s="3"/>
      <c r="E979" s="3"/>
      <c r="F979" s="4"/>
    </row>
    <row r="980" spans="2:6" ht="12" customHeight="1" x14ac:dyDescent="0.15">
      <c r="B980" s="2"/>
      <c r="C980" s="3"/>
      <c r="D980" s="3"/>
      <c r="E980" s="3"/>
      <c r="F980" s="4"/>
    </row>
    <row r="981" spans="2:6" ht="12" customHeight="1" x14ac:dyDescent="0.15">
      <c r="B981" s="2"/>
      <c r="C981" s="3"/>
      <c r="D981" s="3"/>
      <c r="E981" s="3"/>
      <c r="F981" s="4"/>
    </row>
    <row r="982" spans="2:6" ht="12" customHeight="1" x14ac:dyDescent="0.15">
      <c r="B982" s="2"/>
      <c r="C982" s="3"/>
      <c r="D982" s="3"/>
      <c r="E982" s="3"/>
      <c r="F982" s="4"/>
    </row>
    <row r="983" spans="2:6" ht="12" customHeight="1" x14ac:dyDescent="0.15">
      <c r="B983" s="2"/>
      <c r="C983" s="3"/>
      <c r="D983" s="3"/>
      <c r="E983" s="3"/>
      <c r="F983" s="4"/>
    </row>
    <row r="984" spans="2:6" ht="12" customHeight="1" x14ac:dyDescent="0.15">
      <c r="B984" s="2"/>
      <c r="C984" s="3"/>
      <c r="D984" s="3"/>
      <c r="E984" s="3"/>
      <c r="F984" s="4"/>
    </row>
    <row r="985" spans="2:6" ht="12" customHeight="1" x14ac:dyDescent="0.15">
      <c r="B985" s="2"/>
      <c r="C985" s="3"/>
      <c r="D985" s="3"/>
      <c r="E985" s="3"/>
      <c r="F985" s="4"/>
    </row>
    <row r="986" spans="2:6" ht="12" customHeight="1" x14ac:dyDescent="0.15">
      <c r="B986" s="2"/>
      <c r="C986" s="3"/>
      <c r="D986" s="3"/>
      <c r="E986" s="3"/>
      <c r="F986" s="4"/>
    </row>
    <row r="987" spans="2:6" ht="12" customHeight="1" x14ac:dyDescent="0.15">
      <c r="B987" s="2"/>
      <c r="C987" s="3"/>
      <c r="D987" s="3"/>
      <c r="E987" s="3"/>
      <c r="F987" s="4"/>
    </row>
    <row r="988" spans="2:6" ht="12" customHeight="1" x14ac:dyDescent="0.15">
      <c r="B988" s="2"/>
      <c r="C988" s="3"/>
      <c r="D988" s="3"/>
      <c r="E988" s="3"/>
      <c r="F988" s="4"/>
    </row>
    <row r="989" spans="2:6" ht="12" customHeight="1" x14ac:dyDescent="0.15">
      <c r="B989" s="2"/>
      <c r="C989" s="3"/>
      <c r="D989" s="3"/>
      <c r="E989" s="3"/>
      <c r="F989" s="4"/>
    </row>
    <row r="990" spans="2:6" ht="12" customHeight="1" x14ac:dyDescent="0.15">
      <c r="B990" s="2"/>
      <c r="C990" s="3"/>
      <c r="D990" s="3"/>
      <c r="E990" s="3"/>
      <c r="F990" s="4"/>
    </row>
    <row r="991" spans="2:6" ht="12" customHeight="1" x14ac:dyDescent="0.15">
      <c r="B991" s="2"/>
      <c r="C991" s="3"/>
      <c r="D991" s="3"/>
      <c r="E991" s="3"/>
      <c r="F991" s="4"/>
    </row>
    <row r="992" spans="2:6" ht="12" customHeight="1" x14ac:dyDescent="0.15">
      <c r="B992" s="2"/>
      <c r="C992" s="3"/>
      <c r="D992" s="3"/>
      <c r="E992" s="3"/>
      <c r="F992" s="4"/>
    </row>
    <row r="993" spans="2:6" ht="12" customHeight="1" x14ac:dyDescent="0.15">
      <c r="B993" s="2"/>
      <c r="C993" s="3"/>
      <c r="D993" s="3"/>
      <c r="E993" s="3"/>
      <c r="F993" s="4"/>
    </row>
    <row r="994" spans="2:6" ht="12" customHeight="1" x14ac:dyDescent="0.15">
      <c r="B994" s="2"/>
      <c r="C994" s="3"/>
      <c r="D994" s="3"/>
      <c r="E994" s="3"/>
      <c r="F994" s="4"/>
    </row>
    <row r="995" spans="2:6" ht="12" customHeight="1" x14ac:dyDescent="0.15">
      <c r="B995" s="2"/>
      <c r="C995" s="3"/>
      <c r="D995" s="3"/>
      <c r="E995" s="3"/>
      <c r="F995" s="4"/>
    </row>
    <row r="996" spans="2:6" ht="12" customHeight="1" x14ac:dyDescent="0.15">
      <c r="B996" s="2"/>
      <c r="C996" s="3"/>
      <c r="D996" s="3"/>
      <c r="E996" s="3"/>
      <c r="F996" s="4"/>
    </row>
    <row r="997" spans="2:6" ht="12" customHeight="1" x14ac:dyDescent="0.15">
      <c r="B997" s="2"/>
      <c r="C997" s="3"/>
      <c r="D997" s="3"/>
      <c r="E997" s="3"/>
      <c r="F997" s="4"/>
    </row>
    <row r="998" spans="2:6" ht="12" customHeight="1" x14ac:dyDescent="0.15">
      <c r="B998" s="2"/>
      <c r="C998" s="3"/>
      <c r="D998" s="3"/>
      <c r="E998" s="3"/>
      <c r="F998" s="4"/>
    </row>
    <row r="999" spans="2:6" ht="12" customHeight="1" x14ac:dyDescent="0.15">
      <c r="B999" s="2"/>
      <c r="C999" s="3"/>
      <c r="D999" s="3"/>
      <c r="E999" s="3"/>
      <c r="F999" s="4"/>
    </row>
    <row r="1000" spans="2:6" ht="12" customHeight="1" x14ac:dyDescent="0.15">
      <c r="B1000" s="2"/>
      <c r="C1000" s="3"/>
      <c r="D1000" s="3"/>
      <c r="E1000" s="3"/>
      <c r="F1000" s="4"/>
    </row>
    <row r="1001" spans="2:6" ht="12" customHeight="1" x14ac:dyDescent="0.15">
      <c r="B1001" s="2"/>
      <c r="C1001" s="3"/>
      <c r="D1001" s="3"/>
      <c r="E1001" s="3"/>
      <c r="F1001" s="4"/>
    </row>
    <row r="1002" spans="2:6" ht="12" customHeight="1" x14ac:dyDescent="0.15">
      <c r="B1002" s="2"/>
      <c r="C1002" s="3"/>
      <c r="D1002" s="3"/>
      <c r="E1002" s="3"/>
      <c r="F1002" s="4"/>
    </row>
    <row r="1003" spans="2:6" ht="12" customHeight="1" x14ac:dyDescent="0.15">
      <c r="B1003" s="2"/>
      <c r="C1003" s="3"/>
      <c r="D1003" s="3"/>
      <c r="E1003" s="3"/>
      <c r="F1003" s="4"/>
    </row>
  </sheetData>
  <mergeCells count="2">
    <mergeCell ref="A1:F1"/>
    <mergeCell ref="D6:E6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  <pageSetUpPr fitToPage="1"/>
  </sheetPr>
  <dimension ref="A1:Z1003"/>
  <sheetViews>
    <sheetView topLeftCell="A10" workbookViewId="0">
      <selection activeCell="H50" sqref="H50"/>
    </sheetView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3" width="13.1640625" customWidth="1"/>
    <col min="4" max="4" width="13" customWidth="1"/>
    <col min="5" max="5" width="14.83203125" customWidth="1"/>
    <col min="6" max="6" width="13" customWidth="1"/>
    <col min="7" max="7" width="4.5" customWidth="1"/>
  </cols>
  <sheetData>
    <row r="1" spans="1:26" ht="54" customHeight="1" x14ac:dyDescent="0.15">
      <c r="A1" s="434"/>
      <c r="B1" s="435"/>
      <c r="C1" s="435"/>
      <c r="D1" s="435"/>
      <c r="E1" s="435"/>
      <c r="F1" s="435"/>
    </row>
    <row r="2" spans="1:26" ht="12" customHeight="1" x14ac:dyDescent="0.15">
      <c r="B2" s="2"/>
      <c r="C2" s="3"/>
      <c r="D2" s="3"/>
      <c r="E2" s="3"/>
      <c r="F2" s="4"/>
    </row>
    <row r="3" spans="1:26" ht="18.75" customHeight="1" x14ac:dyDescent="0.2">
      <c r="A3" s="5" t="s">
        <v>0</v>
      </c>
      <c r="C3" s="3"/>
      <c r="D3" s="3"/>
      <c r="E3" s="3"/>
      <c r="F3" s="4"/>
    </row>
    <row r="4" spans="1:26" ht="12" customHeight="1" x14ac:dyDescent="0.15">
      <c r="A4" s="2" t="s">
        <v>1</v>
      </c>
      <c r="C4" s="3"/>
      <c r="D4" s="3"/>
      <c r="E4" s="3"/>
      <c r="F4" s="4"/>
    </row>
    <row r="5" spans="1:26" ht="12" customHeight="1" x14ac:dyDescent="0.15">
      <c r="A5" s="2"/>
      <c r="B5" s="274" t="s">
        <v>431</v>
      </c>
      <c r="C5" s="3"/>
      <c r="D5" s="3"/>
      <c r="E5" s="3"/>
      <c r="F5" s="4"/>
    </row>
    <row r="6" spans="1:26" ht="12" customHeight="1" x14ac:dyDescent="0.15">
      <c r="A6" s="2"/>
      <c r="B6" s="275" t="s">
        <v>193</v>
      </c>
      <c r="C6" s="3"/>
      <c r="D6" s="438" t="s">
        <v>510</v>
      </c>
      <c r="E6" s="435"/>
      <c r="F6" s="4"/>
    </row>
    <row r="7" spans="1:26" ht="12" customHeight="1" x14ac:dyDescent="0.15">
      <c r="A7" s="2"/>
      <c r="B7" s="115" t="s">
        <v>432</v>
      </c>
      <c r="C7" s="3"/>
      <c r="D7" s="3"/>
      <c r="E7" s="3"/>
      <c r="F7" s="4"/>
    </row>
    <row r="8" spans="1:26" ht="12" customHeight="1" x14ac:dyDescent="0.15">
      <c r="B8" s="2"/>
      <c r="C8" s="3"/>
      <c r="D8" s="3"/>
      <c r="E8" s="3"/>
      <c r="F8" s="4"/>
    </row>
    <row r="9" spans="1:26" ht="12" customHeight="1" x14ac:dyDescent="0.15">
      <c r="B9" s="6"/>
      <c r="C9" s="3"/>
      <c r="D9" s="3"/>
      <c r="E9" s="3"/>
      <c r="F9" s="4"/>
      <c r="G9" s="277" t="s">
        <v>511</v>
      </c>
    </row>
    <row r="10" spans="1:26" ht="17.25" customHeight="1" x14ac:dyDescent="0.15">
      <c r="A10" s="8"/>
      <c r="B10" s="125" t="s">
        <v>363</v>
      </c>
      <c r="C10" s="126"/>
      <c r="D10" s="126"/>
      <c r="E10" s="126"/>
      <c r="F10" s="12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" customHeight="1" x14ac:dyDescent="0.15">
      <c r="B11" s="2"/>
      <c r="C11" s="3"/>
      <c r="D11" s="3"/>
      <c r="E11" s="3"/>
      <c r="F11" s="4"/>
    </row>
    <row r="12" spans="1:26" ht="15" customHeight="1" x14ac:dyDescent="0.15">
      <c r="A12" s="8"/>
      <c r="B12" s="278" t="s">
        <v>4</v>
      </c>
      <c r="C12" s="279" t="s">
        <v>5</v>
      </c>
      <c r="D12" s="279" t="s">
        <v>364</v>
      </c>
      <c r="E12" s="280" t="s">
        <v>365</v>
      </c>
      <c r="F12" s="280" t="s">
        <v>366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" hidden="1" customHeight="1" x14ac:dyDescent="0.15">
      <c r="A13" s="8"/>
      <c r="B13" s="281" t="s">
        <v>433</v>
      </c>
      <c r="C13" s="282">
        <v>45117</v>
      </c>
      <c r="D13" s="283"/>
      <c r="E13" s="283">
        <v>5900</v>
      </c>
      <c r="F13" s="284">
        <f>E13</f>
        <v>5900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" hidden="1" customHeight="1" x14ac:dyDescent="0.15">
      <c r="A14" s="8"/>
      <c r="B14" s="281" t="s">
        <v>433</v>
      </c>
      <c r="C14" s="282">
        <v>45117</v>
      </c>
      <c r="D14" s="283"/>
      <c r="E14" s="283">
        <v>4425</v>
      </c>
      <c r="F14" s="284">
        <f t="shared" ref="F14:F40" si="0">F13-D14+E14</f>
        <v>10325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" hidden="1" customHeight="1" x14ac:dyDescent="0.15">
      <c r="A15" s="8"/>
      <c r="B15" s="281" t="s">
        <v>433</v>
      </c>
      <c r="C15" s="282">
        <v>45208</v>
      </c>
      <c r="D15" s="283"/>
      <c r="E15" s="283">
        <v>18821</v>
      </c>
      <c r="F15" s="284">
        <f t="shared" si="0"/>
        <v>29146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" hidden="1" customHeight="1" x14ac:dyDescent="0.15">
      <c r="A16" s="8"/>
      <c r="B16" s="281" t="s">
        <v>433</v>
      </c>
      <c r="C16" s="282">
        <v>45245</v>
      </c>
      <c r="D16" s="283"/>
      <c r="E16" s="283">
        <v>57225</v>
      </c>
      <c r="F16" s="284">
        <f t="shared" si="0"/>
        <v>86371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" customHeight="1" x14ac:dyDescent="0.15">
      <c r="A17" s="8"/>
      <c r="B17" s="330" t="s">
        <v>369</v>
      </c>
      <c r="C17" s="331">
        <v>45291</v>
      </c>
      <c r="D17" s="290"/>
      <c r="E17" s="290"/>
      <c r="F17" s="291">
        <f t="shared" si="0"/>
        <v>86371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" customHeight="1" x14ac:dyDescent="0.15">
      <c r="A18" s="8"/>
      <c r="B18" s="28" t="s">
        <v>370</v>
      </c>
      <c r="C18" s="332">
        <v>45321</v>
      </c>
      <c r="D18" s="283">
        <v>15084.59</v>
      </c>
      <c r="E18" s="283"/>
      <c r="F18" s="284">
        <f t="shared" si="0"/>
        <v>71286.41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" customHeight="1" x14ac:dyDescent="0.15">
      <c r="A19" s="8"/>
      <c r="B19" s="28" t="s">
        <v>373</v>
      </c>
      <c r="C19" s="282">
        <v>45335</v>
      </c>
      <c r="D19" s="283">
        <v>78221.399999999994</v>
      </c>
      <c r="E19" s="283"/>
      <c r="F19" s="284">
        <f t="shared" si="0"/>
        <v>-6934.9899999999907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" customHeight="1" x14ac:dyDescent="0.15">
      <c r="A20" s="8"/>
      <c r="B20" s="28" t="s">
        <v>374</v>
      </c>
      <c r="C20" s="282">
        <v>45335</v>
      </c>
      <c r="D20" s="283">
        <v>3872.51</v>
      </c>
      <c r="E20" s="283"/>
      <c r="F20" s="284">
        <f t="shared" si="0"/>
        <v>-10807.499999999991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" customHeight="1" x14ac:dyDescent="0.15">
      <c r="A21" s="8"/>
      <c r="B21" s="28" t="s">
        <v>375</v>
      </c>
      <c r="C21" s="282">
        <v>45336</v>
      </c>
      <c r="D21" s="283">
        <v>12083.15</v>
      </c>
      <c r="E21" s="283"/>
      <c r="F21" s="284">
        <f t="shared" si="0"/>
        <v>-22890.649999999991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" customHeight="1" x14ac:dyDescent="0.15">
      <c r="A22" s="8"/>
      <c r="B22" s="28" t="s">
        <v>376</v>
      </c>
      <c r="C22" s="282">
        <v>45336</v>
      </c>
      <c r="D22" s="283">
        <v>968.13</v>
      </c>
      <c r="E22" s="283"/>
      <c r="F22" s="284">
        <f t="shared" si="0"/>
        <v>-23858.779999999992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" customHeight="1" x14ac:dyDescent="0.15">
      <c r="A23" s="8"/>
      <c r="B23" s="28" t="s">
        <v>433</v>
      </c>
      <c r="C23" s="282">
        <v>45336</v>
      </c>
      <c r="D23" s="283"/>
      <c r="E23" s="283">
        <v>15000</v>
      </c>
      <c r="F23" s="284">
        <f t="shared" si="0"/>
        <v>-8858.7799999999916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" customHeight="1" x14ac:dyDescent="0.15">
      <c r="A24" s="8"/>
      <c r="B24" s="28" t="s">
        <v>433</v>
      </c>
      <c r="C24" s="282">
        <v>45358</v>
      </c>
      <c r="D24" s="283"/>
      <c r="E24" s="283">
        <v>8900</v>
      </c>
      <c r="F24" s="284">
        <f t="shared" si="0"/>
        <v>41.22000000000844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" customHeight="1" x14ac:dyDescent="0.15">
      <c r="A25" s="8"/>
      <c r="B25" s="28" t="s">
        <v>378</v>
      </c>
      <c r="C25" s="333">
        <v>45397</v>
      </c>
      <c r="D25" s="283">
        <v>12083.1525</v>
      </c>
      <c r="E25" s="283"/>
      <c r="F25" s="284">
        <f t="shared" si="0"/>
        <v>-12041.932499999992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" customHeight="1" x14ac:dyDescent="0.15">
      <c r="A26" s="8"/>
      <c r="B26" s="28" t="s">
        <v>379</v>
      </c>
      <c r="C26" s="333">
        <v>45397</v>
      </c>
      <c r="D26" s="283">
        <v>968.12750000000005</v>
      </c>
      <c r="E26" s="283"/>
      <c r="F26" s="284">
        <f t="shared" si="0"/>
        <v>-13010.059999999992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" customHeight="1" x14ac:dyDescent="0.15">
      <c r="A27" s="8"/>
      <c r="B27" s="28" t="s">
        <v>380</v>
      </c>
      <c r="C27" s="59">
        <v>45397</v>
      </c>
      <c r="D27" s="283">
        <v>7562.5516284882551</v>
      </c>
      <c r="E27" s="283"/>
      <c r="F27" s="284">
        <f t="shared" si="0"/>
        <v>-20572.611628488248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" customHeight="1" x14ac:dyDescent="0.15">
      <c r="A28" s="8"/>
      <c r="B28" s="28" t="s">
        <v>433</v>
      </c>
      <c r="C28" s="59">
        <v>45404</v>
      </c>
      <c r="D28" s="283"/>
      <c r="E28" s="283">
        <v>18600</v>
      </c>
      <c r="F28" s="284">
        <f t="shared" si="0"/>
        <v>-1972.6116284882482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" customHeight="1" x14ac:dyDescent="0.15">
      <c r="A29" s="8"/>
      <c r="B29" s="28" t="s">
        <v>433</v>
      </c>
      <c r="C29" s="59">
        <v>45414</v>
      </c>
      <c r="D29" s="283"/>
      <c r="E29" s="283">
        <v>2000</v>
      </c>
      <c r="F29" s="284">
        <f t="shared" si="0"/>
        <v>27.388371511751757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" customHeight="1" x14ac:dyDescent="0.15">
      <c r="A30" s="8"/>
      <c r="B30" s="28" t="s">
        <v>385</v>
      </c>
      <c r="C30" s="59">
        <v>45474</v>
      </c>
      <c r="D30" s="283">
        <f>'Presupuesto 2024 Aprobado'!C54</f>
        <v>12083.1525</v>
      </c>
      <c r="E30" s="283"/>
      <c r="F30" s="284">
        <f t="shared" si="0"/>
        <v>-12055.764128488248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" customHeight="1" x14ac:dyDescent="0.15">
      <c r="A31" s="8"/>
      <c r="B31" s="28" t="s">
        <v>414</v>
      </c>
      <c r="C31" s="59">
        <v>45474</v>
      </c>
      <c r="D31" s="283">
        <f>'Presupuesto 2024 Aprobado'!D54</f>
        <v>968.12750000000005</v>
      </c>
      <c r="E31" s="283"/>
      <c r="F31" s="284">
        <f t="shared" si="0"/>
        <v>-13023.891628488249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" customHeight="1" x14ac:dyDescent="0.15">
      <c r="A32" s="8"/>
      <c r="B32" s="28" t="s">
        <v>433</v>
      </c>
      <c r="C32" s="59">
        <v>45488</v>
      </c>
      <c r="D32" s="283"/>
      <c r="E32" s="283">
        <v>13025</v>
      </c>
      <c r="F32" s="284">
        <f t="shared" si="0"/>
        <v>1.1083715117511019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" customHeight="1" x14ac:dyDescent="0.15">
      <c r="A33" s="8"/>
      <c r="B33" s="28" t="s">
        <v>390</v>
      </c>
      <c r="C33" s="59">
        <v>45510</v>
      </c>
      <c r="D33" s="283">
        <v>6940.61</v>
      </c>
      <c r="E33" s="283"/>
      <c r="F33" s="284">
        <f t="shared" si="0"/>
        <v>-6939.5016284882486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" customHeight="1" x14ac:dyDescent="0.15">
      <c r="A34" s="8"/>
      <c r="B34" s="28" t="s">
        <v>433</v>
      </c>
      <c r="C34" s="59">
        <v>45527</v>
      </c>
      <c r="D34" s="283"/>
      <c r="E34" s="283">
        <v>7000</v>
      </c>
      <c r="F34" s="284">
        <f t="shared" si="0"/>
        <v>60.498371511751429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" customHeight="1" x14ac:dyDescent="0.15">
      <c r="A35" s="8"/>
      <c r="B35" s="296" t="s">
        <v>392</v>
      </c>
      <c r="C35" s="59">
        <v>45566</v>
      </c>
      <c r="D35" s="283">
        <f>'Presupuesto 2024 Aprobado'!C54</f>
        <v>12083.1525</v>
      </c>
      <c r="E35" s="283"/>
      <c r="F35" s="284">
        <f t="shared" si="0"/>
        <v>-12022.654128488248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" customHeight="1" x14ac:dyDescent="0.15">
      <c r="A36" s="8"/>
      <c r="B36" s="296" t="s">
        <v>393</v>
      </c>
      <c r="C36" s="59">
        <v>45566</v>
      </c>
      <c r="D36" s="283">
        <f>'Presupuesto 2024 Aprobado'!D54</f>
        <v>968.12750000000005</v>
      </c>
      <c r="E36" s="283"/>
      <c r="F36" s="284">
        <f t="shared" si="0"/>
        <v>-12990.781628488248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" customHeight="1" x14ac:dyDescent="0.15">
      <c r="A37" s="8"/>
      <c r="B37" s="340" t="s">
        <v>433</v>
      </c>
      <c r="C37" s="433">
        <v>45576</v>
      </c>
      <c r="D37" s="283"/>
      <c r="E37" s="283">
        <v>13000</v>
      </c>
      <c r="F37" s="284">
        <f t="shared" si="0"/>
        <v>9.218371511751684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s="429" customFormat="1" ht="30" customHeight="1" x14ac:dyDescent="0.15">
      <c r="A38" s="8"/>
      <c r="B38" s="296" t="s">
        <v>512</v>
      </c>
      <c r="C38" s="431">
        <v>45664</v>
      </c>
      <c r="D38" s="283">
        <f>'PedidoVotoElec-11-10'!E35</f>
        <v>4554.9222715010737</v>
      </c>
      <c r="E38" s="283"/>
      <c r="F38" s="284">
        <f t="shared" si="0"/>
        <v>-4545.7038999893221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s="429" customFormat="1" ht="35" customHeight="1" x14ac:dyDescent="0.15">
      <c r="A39" s="8"/>
      <c r="B39" s="296" t="s">
        <v>513</v>
      </c>
      <c r="C39" s="431">
        <v>45664</v>
      </c>
      <c r="D39" s="283">
        <f>'PedidoVotoElec-09-12'!E36</f>
        <v>10841.105802203831</v>
      </c>
      <c r="E39" s="283"/>
      <c r="F39" s="284">
        <f t="shared" si="0"/>
        <v>-15386.809702193153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s="429" customFormat="1" ht="22" customHeight="1" x14ac:dyDescent="0.15">
      <c r="A40" s="8"/>
      <c r="B40" s="440" t="s">
        <v>514</v>
      </c>
      <c r="C40" s="431">
        <v>45664</v>
      </c>
      <c r="D40" s="283">
        <f>'Pedido Exceptional - ENERO2025'!E29</f>
        <v>4084.5937314251742</v>
      </c>
      <c r="E40" s="283"/>
      <c r="F40" s="284">
        <f t="shared" si="0"/>
        <v>-19471.403433618329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" customHeight="1" x14ac:dyDescent="0.15">
      <c r="A41" s="8"/>
      <c r="B41" s="301"/>
      <c r="C41" s="302" t="s">
        <v>434</v>
      </c>
      <c r="D41" s="286">
        <f>SUM(D13:D40)</f>
        <v>183367.40343361831</v>
      </c>
      <c r="E41" s="286">
        <f>SUM(E13:E40)</f>
        <v>163896</v>
      </c>
      <c r="F41" s="348">
        <f>E41-D41</f>
        <v>-19471.40343361831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" customHeight="1" x14ac:dyDescent="0.15">
      <c r="B42" s="2"/>
      <c r="C42" s="3"/>
      <c r="D42" s="3"/>
      <c r="E42" s="3"/>
      <c r="F42" s="4"/>
    </row>
    <row r="43" spans="1:26" ht="12" customHeight="1" x14ac:dyDescent="0.15">
      <c r="B43" s="320" t="s">
        <v>402</v>
      </c>
      <c r="C43" s="3"/>
      <c r="D43" s="3"/>
      <c r="E43" s="3"/>
      <c r="F43" s="4"/>
    </row>
    <row r="44" spans="1:26" ht="12" customHeight="1" x14ac:dyDescent="0.15">
      <c r="B44" s="2" t="s">
        <v>404</v>
      </c>
      <c r="C44" s="3"/>
      <c r="D44" s="3"/>
      <c r="E44" s="3"/>
      <c r="F44" s="4"/>
    </row>
    <row r="45" spans="1:26" ht="12" customHeight="1" x14ac:dyDescent="0.15">
      <c r="B45" s="321"/>
      <c r="C45" s="3"/>
      <c r="D45" s="3"/>
      <c r="E45" s="3"/>
      <c r="F45" s="4"/>
    </row>
    <row r="46" spans="1:26" ht="12" customHeight="1" x14ac:dyDescent="0.15">
      <c r="B46" s="322" t="s">
        <v>405</v>
      </c>
      <c r="C46" s="323"/>
      <c r="D46" s="324"/>
      <c r="E46" s="3"/>
      <c r="F46" s="4"/>
    </row>
    <row r="47" spans="1:26" ht="12" customHeight="1" x14ac:dyDescent="0.15">
      <c r="B47" s="325" t="s">
        <v>406</v>
      </c>
      <c r="C47" s="3"/>
      <c r="D47" s="48"/>
      <c r="E47" s="3"/>
      <c r="F47" s="4"/>
    </row>
    <row r="48" spans="1:26" ht="12" customHeight="1" x14ac:dyDescent="0.15">
      <c r="B48" s="325" t="s">
        <v>407</v>
      </c>
      <c r="C48" s="3"/>
      <c r="D48" s="48"/>
      <c r="E48" s="3"/>
      <c r="F48" s="4"/>
    </row>
    <row r="49" spans="2:6" ht="12" customHeight="1" x14ac:dyDescent="0.15">
      <c r="B49" s="327" t="s">
        <v>408</v>
      </c>
      <c r="C49" s="328"/>
      <c r="D49" s="329"/>
      <c r="E49" s="3"/>
      <c r="F49" s="4"/>
    </row>
    <row r="50" spans="2:6" ht="12" customHeight="1" x14ac:dyDescent="0.15">
      <c r="B50" s="2"/>
      <c r="C50" s="3"/>
      <c r="D50" s="3"/>
      <c r="E50" s="3"/>
      <c r="F50" s="4"/>
    </row>
    <row r="51" spans="2:6" ht="12" customHeight="1" x14ac:dyDescent="0.15">
      <c r="B51" s="2"/>
      <c r="C51" s="3"/>
      <c r="D51" s="3"/>
      <c r="E51" s="3"/>
      <c r="F51" s="4"/>
    </row>
    <row r="52" spans="2:6" ht="12" customHeight="1" x14ac:dyDescent="0.15">
      <c r="B52" s="2"/>
      <c r="C52" s="3"/>
      <c r="D52" s="3"/>
      <c r="E52" s="3"/>
      <c r="F52" s="4"/>
    </row>
    <row r="53" spans="2:6" ht="12" customHeight="1" x14ac:dyDescent="0.15">
      <c r="B53" s="2"/>
      <c r="C53" s="3"/>
      <c r="D53" s="3"/>
      <c r="E53" s="3"/>
      <c r="F53" s="4"/>
    </row>
    <row r="54" spans="2:6" ht="12" customHeight="1" x14ac:dyDescent="0.15">
      <c r="B54" s="2"/>
      <c r="C54" s="3"/>
      <c r="D54" s="3"/>
      <c r="E54" s="3"/>
      <c r="F54" s="4"/>
    </row>
    <row r="55" spans="2:6" ht="12" customHeight="1" x14ac:dyDescent="0.15">
      <c r="B55" s="2"/>
      <c r="C55" s="3"/>
      <c r="D55" s="3"/>
      <c r="E55" s="3"/>
      <c r="F55" s="4"/>
    </row>
    <row r="56" spans="2:6" ht="12" customHeight="1" x14ac:dyDescent="0.15">
      <c r="B56" s="2"/>
      <c r="C56" s="3"/>
      <c r="D56" s="3"/>
      <c r="E56" s="3"/>
      <c r="F56" s="4"/>
    </row>
    <row r="57" spans="2:6" ht="12" customHeight="1" x14ac:dyDescent="0.15">
      <c r="B57" s="2"/>
      <c r="C57" s="3"/>
      <c r="D57" s="3"/>
      <c r="E57" s="3"/>
      <c r="F57" s="4"/>
    </row>
    <row r="58" spans="2:6" ht="12" customHeight="1" x14ac:dyDescent="0.15">
      <c r="B58" s="2"/>
      <c r="C58" s="3"/>
      <c r="D58" s="3"/>
      <c r="E58" s="3"/>
      <c r="F58" s="4"/>
    </row>
    <row r="59" spans="2:6" ht="12" customHeight="1" x14ac:dyDescent="0.15">
      <c r="B59" s="2"/>
      <c r="C59" s="3"/>
      <c r="D59" s="3"/>
      <c r="E59" s="3"/>
      <c r="F59" s="4"/>
    </row>
    <row r="60" spans="2:6" ht="12" customHeight="1" x14ac:dyDescent="0.15">
      <c r="B60" s="2"/>
      <c r="C60" s="3"/>
      <c r="D60" s="3"/>
      <c r="E60" s="3"/>
      <c r="F60" s="4"/>
    </row>
    <row r="61" spans="2:6" ht="12" customHeight="1" x14ac:dyDescent="0.15">
      <c r="B61" s="2"/>
      <c r="C61" s="3"/>
      <c r="D61" s="3"/>
      <c r="E61" s="3"/>
      <c r="F61" s="4"/>
    </row>
    <row r="62" spans="2:6" ht="12" customHeight="1" x14ac:dyDescent="0.15">
      <c r="B62" s="2"/>
      <c r="C62" s="3"/>
      <c r="D62" s="3"/>
      <c r="E62" s="3"/>
      <c r="F62" s="4"/>
    </row>
    <row r="63" spans="2:6" ht="12" customHeight="1" x14ac:dyDescent="0.15">
      <c r="B63" s="2"/>
      <c r="C63" s="3"/>
      <c r="D63" s="3"/>
      <c r="E63" s="3"/>
      <c r="F63" s="4"/>
    </row>
    <row r="64" spans="2:6" ht="12" customHeight="1" x14ac:dyDescent="0.15">
      <c r="B64" s="2"/>
      <c r="C64" s="3"/>
      <c r="D64" s="3"/>
      <c r="E64" s="3"/>
      <c r="F64" s="4"/>
    </row>
    <row r="65" spans="2:6" ht="12" customHeight="1" x14ac:dyDescent="0.15">
      <c r="B65" s="2"/>
      <c r="C65" s="3"/>
      <c r="D65" s="3"/>
      <c r="E65" s="3"/>
      <c r="F65" s="4"/>
    </row>
    <row r="66" spans="2:6" ht="12" customHeight="1" x14ac:dyDescent="0.15">
      <c r="B66" s="2"/>
      <c r="C66" s="3"/>
      <c r="D66" s="3"/>
      <c r="E66" s="3"/>
      <c r="F66" s="4"/>
    </row>
    <row r="67" spans="2:6" ht="12" customHeight="1" x14ac:dyDescent="0.15">
      <c r="B67" s="2"/>
      <c r="C67" s="3"/>
      <c r="D67" s="3"/>
      <c r="E67" s="3"/>
      <c r="F67" s="4"/>
    </row>
    <row r="68" spans="2:6" ht="12" customHeight="1" x14ac:dyDescent="0.15">
      <c r="B68" s="2"/>
      <c r="C68" s="3"/>
      <c r="D68" s="3"/>
      <c r="E68" s="3"/>
      <c r="F68" s="4"/>
    </row>
    <row r="69" spans="2:6" ht="12" customHeight="1" x14ac:dyDescent="0.15">
      <c r="B69" s="2"/>
      <c r="C69" s="3"/>
      <c r="D69" s="3"/>
      <c r="E69" s="3"/>
      <c r="F69" s="4"/>
    </row>
    <row r="70" spans="2:6" ht="12" customHeight="1" x14ac:dyDescent="0.15">
      <c r="B70" s="2"/>
      <c r="C70" s="3"/>
      <c r="D70" s="3"/>
      <c r="E70" s="3"/>
      <c r="F70" s="4"/>
    </row>
    <row r="71" spans="2:6" ht="12" customHeight="1" x14ac:dyDescent="0.15">
      <c r="B71" s="2"/>
      <c r="C71" s="3"/>
      <c r="D71" s="3"/>
      <c r="E71" s="3"/>
      <c r="F71" s="4"/>
    </row>
    <row r="72" spans="2:6" ht="12" customHeight="1" x14ac:dyDescent="0.15">
      <c r="B72" s="2"/>
      <c r="C72" s="3"/>
      <c r="D72" s="3"/>
      <c r="E72" s="3"/>
      <c r="F72" s="4"/>
    </row>
    <row r="73" spans="2:6" ht="12" customHeight="1" x14ac:dyDescent="0.15">
      <c r="B73" s="2"/>
      <c r="C73" s="3"/>
      <c r="D73" s="3"/>
      <c r="E73" s="3"/>
      <c r="F73" s="4"/>
    </row>
    <row r="74" spans="2:6" ht="12" customHeight="1" x14ac:dyDescent="0.15">
      <c r="B74" s="2"/>
      <c r="C74" s="3"/>
      <c r="D74" s="3"/>
      <c r="E74" s="3"/>
      <c r="F74" s="4"/>
    </row>
    <row r="75" spans="2:6" ht="12" customHeight="1" x14ac:dyDescent="0.15">
      <c r="B75" s="2"/>
      <c r="C75" s="3"/>
      <c r="D75" s="3"/>
      <c r="E75" s="3"/>
      <c r="F75" s="4"/>
    </row>
    <row r="76" spans="2:6" ht="12" customHeight="1" x14ac:dyDescent="0.15">
      <c r="B76" s="2"/>
      <c r="C76" s="3"/>
      <c r="D76" s="3"/>
      <c r="E76" s="3"/>
      <c r="F76" s="4"/>
    </row>
    <row r="77" spans="2:6" ht="12" customHeight="1" x14ac:dyDescent="0.15">
      <c r="B77" s="2"/>
      <c r="C77" s="3"/>
      <c r="D77" s="3"/>
      <c r="E77" s="3"/>
      <c r="F77" s="4"/>
    </row>
    <row r="78" spans="2:6" ht="12" customHeight="1" x14ac:dyDescent="0.15">
      <c r="B78" s="2"/>
      <c r="C78" s="3"/>
      <c r="D78" s="3"/>
      <c r="E78" s="3"/>
      <c r="F78" s="4"/>
    </row>
    <row r="79" spans="2:6" ht="12" customHeight="1" x14ac:dyDescent="0.15">
      <c r="B79" s="2"/>
      <c r="C79" s="3"/>
      <c r="D79" s="3"/>
      <c r="E79" s="3"/>
      <c r="F79" s="4"/>
    </row>
    <row r="80" spans="2:6" ht="12" customHeight="1" x14ac:dyDescent="0.15">
      <c r="B80" s="2"/>
      <c r="C80" s="3"/>
      <c r="D80" s="3"/>
      <c r="E80" s="3"/>
      <c r="F80" s="4"/>
    </row>
    <row r="81" spans="2:6" ht="12" customHeight="1" x14ac:dyDescent="0.15">
      <c r="B81" s="2"/>
      <c r="C81" s="3"/>
      <c r="D81" s="3"/>
      <c r="E81" s="3"/>
      <c r="F81" s="4"/>
    </row>
    <row r="82" spans="2:6" ht="12" customHeight="1" x14ac:dyDescent="0.15">
      <c r="B82" s="2"/>
      <c r="C82" s="3"/>
      <c r="D82" s="3"/>
      <c r="E82" s="3"/>
      <c r="F82" s="4"/>
    </row>
    <row r="83" spans="2:6" ht="12" customHeight="1" x14ac:dyDescent="0.15">
      <c r="B83" s="2"/>
      <c r="C83" s="3"/>
      <c r="D83" s="3"/>
      <c r="E83" s="3"/>
      <c r="F83" s="4"/>
    </row>
    <row r="84" spans="2:6" ht="12" customHeight="1" x14ac:dyDescent="0.15">
      <c r="B84" s="2"/>
      <c r="C84" s="3"/>
      <c r="D84" s="3"/>
      <c r="E84" s="3"/>
      <c r="F84" s="4"/>
    </row>
    <row r="85" spans="2:6" ht="12" customHeight="1" x14ac:dyDescent="0.15">
      <c r="B85" s="2"/>
      <c r="C85" s="3"/>
      <c r="D85" s="3"/>
      <c r="E85" s="3"/>
      <c r="F85" s="4"/>
    </row>
    <row r="86" spans="2:6" ht="12" customHeight="1" x14ac:dyDescent="0.15">
      <c r="B86" s="2"/>
      <c r="C86" s="3"/>
      <c r="D86" s="3"/>
      <c r="E86" s="3"/>
      <c r="F86" s="4"/>
    </row>
    <row r="87" spans="2:6" ht="12" customHeight="1" x14ac:dyDescent="0.15">
      <c r="B87" s="2"/>
      <c r="C87" s="3"/>
      <c r="D87" s="3"/>
      <c r="E87" s="3"/>
      <c r="F87" s="4"/>
    </row>
    <row r="88" spans="2:6" ht="12" customHeight="1" x14ac:dyDescent="0.15">
      <c r="B88" s="2"/>
      <c r="C88" s="3"/>
      <c r="D88" s="3"/>
      <c r="E88" s="3"/>
      <c r="F88" s="4"/>
    </row>
    <row r="89" spans="2:6" ht="12" customHeight="1" x14ac:dyDescent="0.15">
      <c r="B89" s="2"/>
      <c r="C89" s="3"/>
      <c r="D89" s="3"/>
      <c r="E89" s="3"/>
      <c r="F89" s="4"/>
    </row>
    <row r="90" spans="2:6" ht="12" customHeight="1" x14ac:dyDescent="0.15">
      <c r="B90" s="2"/>
      <c r="C90" s="3"/>
      <c r="D90" s="3"/>
      <c r="E90" s="3"/>
      <c r="F90" s="4"/>
    </row>
    <row r="91" spans="2:6" ht="12" customHeight="1" x14ac:dyDescent="0.15">
      <c r="B91" s="2"/>
      <c r="C91" s="3"/>
      <c r="D91" s="3"/>
      <c r="E91" s="3"/>
      <c r="F91" s="4"/>
    </row>
    <row r="92" spans="2:6" ht="12" customHeight="1" x14ac:dyDescent="0.15">
      <c r="B92" s="2"/>
      <c r="C92" s="3"/>
      <c r="D92" s="3"/>
      <c r="E92" s="3"/>
      <c r="F92" s="4"/>
    </row>
    <row r="93" spans="2:6" ht="12" customHeight="1" x14ac:dyDescent="0.15">
      <c r="B93" s="2"/>
      <c r="C93" s="3"/>
      <c r="D93" s="3"/>
      <c r="E93" s="3"/>
      <c r="F93" s="4"/>
    </row>
    <row r="94" spans="2:6" ht="12" customHeight="1" x14ac:dyDescent="0.15">
      <c r="B94" s="2"/>
      <c r="C94" s="3"/>
      <c r="D94" s="3"/>
      <c r="E94" s="3"/>
      <c r="F94" s="4"/>
    </row>
    <row r="95" spans="2:6" ht="12" customHeight="1" x14ac:dyDescent="0.15">
      <c r="B95" s="2"/>
      <c r="C95" s="3"/>
      <c r="D95" s="3"/>
      <c r="E95" s="3"/>
      <c r="F95" s="4"/>
    </row>
    <row r="96" spans="2:6" ht="12" customHeight="1" x14ac:dyDescent="0.15">
      <c r="B96" s="2"/>
      <c r="C96" s="3"/>
      <c r="D96" s="3"/>
      <c r="E96" s="3"/>
      <c r="F96" s="4"/>
    </row>
    <row r="97" spans="2:6" ht="12" customHeight="1" x14ac:dyDescent="0.15">
      <c r="B97" s="2"/>
      <c r="C97" s="3"/>
      <c r="D97" s="3"/>
      <c r="E97" s="3"/>
      <c r="F97" s="4"/>
    </row>
    <row r="98" spans="2:6" ht="12" customHeight="1" x14ac:dyDescent="0.15">
      <c r="B98" s="2"/>
      <c r="C98" s="3"/>
      <c r="D98" s="3"/>
      <c r="E98" s="3"/>
      <c r="F98" s="4"/>
    </row>
    <row r="99" spans="2:6" ht="12" customHeight="1" x14ac:dyDescent="0.15">
      <c r="B99" s="2"/>
      <c r="C99" s="3"/>
      <c r="D99" s="3"/>
      <c r="E99" s="3"/>
      <c r="F99" s="4"/>
    </row>
    <row r="100" spans="2:6" ht="12" customHeight="1" x14ac:dyDescent="0.15">
      <c r="B100" s="2"/>
      <c r="C100" s="3"/>
      <c r="D100" s="3"/>
      <c r="E100" s="3"/>
      <c r="F100" s="4"/>
    </row>
    <row r="101" spans="2:6" ht="12" customHeight="1" x14ac:dyDescent="0.15">
      <c r="B101" s="2"/>
      <c r="C101" s="3"/>
      <c r="D101" s="3"/>
      <c r="E101" s="3"/>
      <c r="F101" s="4"/>
    </row>
    <row r="102" spans="2:6" ht="12" customHeight="1" x14ac:dyDescent="0.15">
      <c r="B102" s="2"/>
      <c r="C102" s="3"/>
      <c r="D102" s="3"/>
      <c r="E102" s="3"/>
      <c r="F102" s="4"/>
    </row>
    <row r="103" spans="2:6" ht="12" customHeight="1" x14ac:dyDescent="0.15">
      <c r="B103" s="2"/>
      <c r="C103" s="3"/>
      <c r="D103" s="3"/>
      <c r="E103" s="3"/>
      <c r="F103" s="4"/>
    </row>
    <row r="104" spans="2:6" ht="12" customHeight="1" x14ac:dyDescent="0.15">
      <c r="B104" s="2"/>
      <c r="C104" s="3"/>
      <c r="D104" s="3"/>
      <c r="E104" s="3"/>
      <c r="F104" s="4"/>
    </row>
    <row r="105" spans="2:6" ht="12" customHeight="1" x14ac:dyDescent="0.15">
      <c r="B105" s="2"/>
      <c r="C105" s="3"/>
      <c r="D105" s="3"/>
      <c r="E105" s="3"/>
      <c r="F105" s="4"/>
    </row>
    <row r="106" spans="2:6" ht="12" customHeight="1" x14ac:dyDescent="0.15">
      <c r="B106" s="2"/>
      <c r="C106" s="3"/>
      <c r="D106" s="3"/>
      <c r="E106" s="3"/>
      <c r="F106" s="4"/>
    </row>
    <row r="107" spans="2:6" ht="12" customHeight="1" x14ac:dyDescent="0.15">
      <c r="B107" s="2"/>
      <c r="C107" s="3"/>
      <c r="D107" s="3"/>
      <c r="E107" s="3"/>
      <c r="F107" s="4"/>
    </row>
    <row r="108" spans="2:6" ht="12" customHeight="1" x14ac:dyDescent="0.15">
      <c r="B108" s="2"/>
      <c r="C108" s="3"/>
      <c r="D108" s="3"/>
      <c r="E108" s="3"/>
      <c r="F108" s="4"/>
    </row>
    <row r="109" spans="2:6" ht="12" customHeight="1" x14ac:dyDescent="0.15">
      <c r="B109" s="2"/>
      <c r="C109" s="3"/>
      <c r="D109" s="3"/>
      <c r="E109" s="3"/>
      <c r="F109" s="4"/>
    </row>
    <row r="110" spans="2:6" ht="12" customHeight="1" x14ac:dyDescent="0.15">
      <c r="B110" s="2"/>
      <c r="C110" s="3"/>
      <c r="D110" s="3"/>
      <c r="E110" s="3"/>
      <c r="F110" s="4"/>
    </row>
    <row r="111" spans="2:6" ht="12" customHeight="1" x14ac:dyDescent="0.15">
      <c r="B111" s="2"/>
      <c r="C111" s="3"/>
      <c r="D111" s="3"/>
      <c r="E111" s="3"/>
      <c r="F111" s="4"/>
    </row>
    <row r="112" spans="2:6" ht="12" customHeight="1" x14ac:dyDescent="0.15">
      <c r="B112" s="2"/>
      <c r="C112" s="3"/>
      <c r="D112" s="3"/>
      <c r="E112" s="3"/>
      <c r="F112" s="4"/>
    </row>
    <row r="113" spans="2:6" ht="12" customHeight="1" x14ac:dyDescent="0.15">
      <c r="B113" s="2"/>
      <c r="C113" s="3"/>
      <c r="D113" s="3"/>
      <c r="E113" s="3"/>
      <c r="F113" s="4"/>
    </row>
    <row r="114" spans="2:6" ht="12" customHeight="1" x14ac:dyDescent="0.15">
      <c r="B114" s="2"/>
      <c r="C114" s="3"/>
      <c r="D114" s="3"/>
      <c r="E114" s="3"/>
      <c r="F114" s="4"/>
    </row>
    <row r="115" spans="2:6" ht="12" customHeight="1" x14ac:dyDescent="0.15">
      <c r="B115" s="2"/>
      <c r="C115" s="3"/>
      <c r="D115" s="3"/>
      <c r="E115" s="3"/>
      <c r="F115" s="4"/>
    </row>
    <row r="116" spans="2:6" ht="12" customHeight="1" x14ac:dyDescent="0.15">
      <c r="B116" s="2"/>
      <c r="C116" s="3"/>
      <c r="D116" s="3"/>
      <c r="E116" s="3"/>
      <c r="F116" s="4"/>
    </row>
    <row r="117" spans="2:6" ht="12" customHeight="1" x14ac:dyDescent="0.15">
      <c r="B117" s="2"/>
      <c r="C117" s="3"/>
      <c r="D117" s="3"/>
      <c r="E117" s="3"/>
      <c r="F117" s="4"/>
    </row>
    <row r="118" spans="2:6" ht="12" customHeight="1" x14ac:dyDescent="0.15">
      <c r="B118" s="2"/>
      <c r="C118" s="3"/>
      <c r="D118" s="3"/>
      <c r="E118" s="3"/>
      <c r="F118" s="4"/>
    </row>
    <row r="119" spans="2:6" ht="12" customHeight="1" x14ac:dyDescent="0.15">
      <c r="B119" s="2"/>
      <c r="C119" s="3"/>
      <c r="D119" s="3"/>
      <c r="E119" s="3"/>
      <c r="F119" s="4"/>
    </row>
    <row r="120" spans="2:6" ht="12" customHeight="1" x14ac:dyDescent="0.15">
      <c r="B120" s="2"/>
      <c r="C120" s="3"/>
      <c r="D120" s="3"/>
      <c r="E120" s="3"/>
      <c r="F120" s="4"/>
    </row>
    <row r="121" spans="2:6" ht="12" customHeight="1" x14ac:dyDescent="0.15">
      <c r="B121" s="2"/>
      <c r="C121" s="3"/>
      <c r="D121" s="3"/>
      <c r="E121" s="3"/>
      <c r="F121" s="4"/>
    </row>
    <row r="122" spans="2:6" ht="12" customHeight="1" x14ac:dyDescent="0.15">
      <c r="B122" s="2"/>
      <c r="C122" s="3"/>
      <c r="D122" s="3"/>
      <c r="E122" s="3"/>
      <c r="F122" s="4"/>
    </row>
    <row r="123" spans="2:6" ht="12" customHeight="1" x14ac:dyDescent="0.15">
      <c r="B123" s="2"/>
      <c r="C123" s="3"/>
      <c r="D123" s="3"/>
      <c r="E123" s="3"/>
      <c r="F123" s="4"/>
    </row>
    <row r="124" spans="2:6" ht="12" customHeight="1" x14ac:dyDescent="0.15">
      <c r="B124" s="2"/>
      <c r="C124" s="3"/>
      <c r="D124" s="3"/>
      <c r="E124" s="3"/>
      <c r="F124" s="4"/>
    </row>
    <row r="125" spans="2:6" ht="12" customHeight="1" x14ac:dyDescent="0.15">
      <c r="B125" s="2"/>
      <c r="C125" s="3"/>
      <c r="D125" s="3"/>
      <c r="E125" s="3"/>
      <c r="F125" s="4"/>
    </row>
    <row r="126" spans="2:6" ht="12" customHeight="1" x14ac:dyDescent="0.15">
      <c r="B126" s="2"/>
      <c r="C126" s="3"/>
      <c r="D126" s="3"/>
      <c r="E126" s="3"/>
      <c r="F126" s="4"/>
    </row>
    <row r="127" spans="2:6" ht="12" customHeight="1" x14ac:dyDescent="0.15">
      <c r="B127" s="2"/>
      <c r="C127" s="3"/>
      <c r="D127" s="3"/>
      <c r="E127" s="3"/>
      <c r="F127" s="4"/>
    </row>
    <row r="128" spans="2:6" ht="12" customHeight="1" x14ac:dyDescent="0.15">
      <c r="B128" s="2"/>
      <c r="C128" s="3"/>
      <c r="D128" s="3"/>
      <c r="E128" s="3"/>
      <c r="F128" s="4"/>
    </row>
    <row r="129" spans="2:6" ht="12" customHeight="1" x14ac:dyDescent="0.15">
      <c r="B129" s="2"/>
      <c r="C129" s="3"/>
      <c r="D129" s="3"/>
      <c r="E129" s="3"/>
      <c r="F129" s="4"/>
    </row>
    <row r="130" spans="2:6" ht="12" customHeight="1" x14ac:dyDescent="0.15">
      <c r="B130" s="2"/>
      <c r="C130" s="3"/>
      <c r="D130" s="3"/>
      <c r="E130" s="3"/>
      <c r="F130" s="4"/>
    </row>
    <row r="131" spans="2:6" ht="12" customHeight="1" x14ac:dyDescent="0.15">
      <c r="B131" s="2"/>
      <c r="C131" s="3"/>
      <c r="D131" s="3"/>
      <c r="E131" s="3"/>
      <c r="F131" s="4"/>
    </row>
    <row r="132" spans="2:6" ht="12" customHeight="1" x14ac:dyDescent="0.15">
      <c r="B132" s="2"/>
      <c r="C132" s="3"/>
      <c r="D132" s="3"/>
      <c r="E132" s="3"/>
      <c r="F132" s="4"/>
    </row>
    <row r="133" spans="2:6" ht="12" customHeight="1" x14ac:dyDescent="0.15">
      <c r="B133" s="2"/>
      <c r="C133" s="3"/>
      <c r="D133" s="3"/>
      <c r="E133" s="3"/>
      <c r="F133" s="4"/>
    </row>
    <row r="134" spans="2:6" ht="12" customHeight="1" x14ac:dyDescent="0.15">
      <c r="B134" s="2"/>
      <c r="C134" s="3"/>
      <c r="D134" s="3"/>
      <c r="E134" s="3"/>
      <c r="F134" s="4"/>
    </row>
    <row r="135" spans="2:6" ht="12" customHeight="1" x14ac:dyDescent="0.15">
      <c r="B135" s="2"/>
      <c r="C135" s="3"/>
      <c r="D135" s="3"/>
      <c r="E135" s="3"/>
      <c r="F135" s="4"/>
    </row>
    <row r="136" spans="2:6" ht="12" customHeight="1" x14ac:dyDescent="0.15">
      <c r="B136" s="2"/>
      <c r="C136" s="3"/>
      <c r="D136" s="3"/>
      <c r="E136" s="3"/>
      <c r="F136" s="4"/>
    </row>
    <row r="137" spans="2:6" ht="12" customHeight="1" x14ac:dyDescent="0.15">
      <c r="B137" s="2"/>
      <c r="C137" s="3"/>
      <c r="D137" s="3"/>
      <c r="E137" s="3"/>
      <c r="F137" s="4"/>
    </row>
    <row r="138" spans="2:6" ht="12" customHeight="1" x14ac:dyDescent="0.15">
      <c r="B138" s="2"/>
      <c r="C138" s="3"/>
      <c r="D138" s="3"/>
      <c r="E138" s="3"/>
      <c r="F138" s="4"/>
    </row>
    <row r="139" spans="2:6" ht="12" customHeight="1" x14ac:dyDescent="0.15">
      <c r="B139" s="2"/>
      <c r="C139" s="3"/>
      <c r="D139" s="3"/>
      <c r="E139" s="3"/>
      <c r="F139" s="4"/>
    </row>
    <row r="140" spans="2:6" ht="12" customHeight="1" x14ac:dyDescent="0.15">
      <c r="B140" s="2"/>
      <c r="C140" s="3"/>
      <c r="D140" s="3"/>
      <c r="E140" s="3"/>
      <c r="F140" s="4"/>
    </row>
    <row r="141" spans="2:6" ht="12" customHeight="1" x14ac:dyDescent="0.15">
      <c r="B141" s="2"/>
      <c r="C141" s="3"/>
      <c r="D141" s="3"/>
      <c r="E141" s="3"/>
      <c r="F141" s="4"/>
    </row>
    <row r="142" spans="2:6" ht="12" customHeight="1" x14ac:dyDescent="0.15">
      <c r="B142" s="2"/>
      <c r="C142" s="3"/>
      <c r="D142" s="3"/>
      <c r="E142" s="3"/>
      <c r="F142" s="4"/>
    </row>
    <row r="143" spans="2:6" ht="12" customHeight="1" x14ac:dyDescent="0.15">
      <c r="B143" s="2"/>
      <c r="C143" s="3"/>
      <c r="D143" s="3"/>
      <c r="E143" s="3"/>
      <c r="F143" s="4"/>
    </row>
    <row r="144" spans="2:6" ht="12" customHeight="1" x14ac:dyDescent="0.15">
      <c r="B144" s="2"/>
      <c r="C144" s="3"/>
      <c r="D144" s="3"/>
      <c r="E144" s="3"/>
      <c r="F144" s="4"/>
    </row>
    <row r="145" spans="2:6" ht="12" customHeight="1" x14ac:dyDescent="0.15">
      <c r="B145" s="2"/>
      <c r="C145" s="3"/>
      <c r="D145" s="3"/>
      <c r="E145" s="3"/>
      <c r="F145" s="4"/>
    </row>
    <row r="146" spans="2:6" ht="12" customHeight="1" x14ac:dyDescent="0.15">
      <c r="B146" s="2"/>
      <c r="C146" s="3"/>
      <c r="D146" s="3"/>
      <c r="E146" s="3"/>
      <c r="F146" s="4"/>
    </row>
    <row r="147" spans="2:6" ht="12" customHeight="1" x14ac:dyDescent="0.15">
      <c r="B147" s="2"/>
      <c r="C147" s="3"/>
      <c r="D147" s="3"/>
      <c r="E147" s="3"/>
      <c r="F147" s="4"/>
    </row>
    <row r="148" spans="2:6" ht="12" customHeight="1" x14ac:dyDescent="0.15">
      <c r="B148" s="2"/>
      <c r="C148" s="3"/>
      <c r="D148" s="3"/>
      <c r="E148" s="3"/>
      <c r="F148" s="4"/>
    </row>
    <row r="149" spans="2:6" ht="12" customHeight="1" x14ac:dyDescent="0.15">
      <c r="B149" s="2"/>
      <c r="C149" s="3"/>
      <c r="D149" s="3"/>
      <c r="E149" s="3"/>
      <c r="F149" s="4"/>
    </row>
    <row r="150" spans="2:6" ht="12" customHeight="1" x14ac:dyDescent="0.15">
      <c r="B150" s="2"/>
      <c r="C150" s="3"/>
      <c r="D150" s="3"/>
      <c r="E150" s="3"/>
      <c r="F150" s="4"/>
    </row>
    <row r="151" spans="2:6" ht="12" customHeight="1" x14ac:dyDescent="0.15">
      <c r="B151" s="2"/>
      <c r="C151" s="3"/>
      <c r="D151" s="3"/>
      <c r="E151" s="3"/>
      <c r="F151" s="4"/>
    </row>
    <row r="152" spans="2:6" ht="12" customHeight="1" x14ac:dyDescent="0.15">
      <c r="B152" s="2"/>
      <c r="C152" s="3"/>
      <c r="D152" s="3"/>
      <c r="E152" s="3"/>
      <c r="F152" s="4"/>
    </row>
    <row r="153" spans="2:6" ht="12" customHeight="1" x14ac:dyDescent="0.15">
      <c r="B153" s="2"/>
      <c r="C153" s="3"/>
      <c r="D153" s="3"/>
      <c r="E153" s="3"/>
      <c r="F153" s="4"/>
    </row>
    <row r="154" spans="2:6" ht="12" customHeight="1" x14ac:dyDescent="0.15">
      <c r="B154" s="2"/>
      <c r="C154" s="3"/>
      <c r="D154" s="3"/>
      <c r="E154" s="3"/>
      <c r="F154" s="4"/>
    </row>
    <row r="155" spans="2:6" ht="12" customHeight="1" x14ac:dyDescent="0.15">
      <c r="B155" s="2"/>
      <c r="C155" s="3"/>
      <c r="D155" s="3"/>
      <c r="E155" s="3"/>
      <c r="F155" s="4"/>
    </row>
    <row r="156" spans="2:6" ht="12" customHeight="1" x14ac:dyDescent="0.15">
      <c r="B156" s="2"/>
      <c r="C156" s="3"/>
      <c r="D156" s="3"/>
      <c r="E156" s="3"/>
      <c r="F156" s="4"/>
    </row>
    <row r="157" spans="2:6" ht="12" customHeight="1" x14ac:dyDescent="0.15">
      <c r="B157" s="2"/>
      <c r="C157" s="3"/>
      <c r="D157" s="3"/>
      <c r="E157" s="3"/>
      <c r="F157" s="4"/>
    </row>
    <row r="158" spans="2:6" ht="12" customHeight="1" x14ac:dyDescent="0.15">
      <c r="B158" s="2"/>
      <c r="C158" s="3"/>
      <c r="D158" s="3"/>
      <c r="E158" s="3"/>
      <c r="F158" s="4"/>
    </row>
    <row r="159" spans="2:6" ht="12" customHeight="1" x14ac:dyDescent="0.15">
      <c r="B159" s="2"/>
      <c r="C159" s="3"/>
      <c r="D159" s="3"/>
      <c r="E159" s="3"/>
      <c r="F159" s="4"/>
    </row>
    <row r="160" spans="2:6" ht="12" customHeight="1" x14ac:dyDescent="0.15">
      <c r="B160" s="2"/>
      <c r="C160" s="3"/>
      <c r="D160" s="3"/>
      <c r="E160" s="3"/>
      <c r="F160" s="4"/>
    </row>
    <row r="161" spans="2:6" ht="12" customHeight="1" x14ac:dyDescent="0.15">
      <c r="B161" s="2"/>
      <c r="C161" s="3"/>
      <c r="D161" s="3"/>
      <c r="E161" s="3"/>
      <c r="F161" s="4"/>
    </row>
    <row r="162" spans="2:6" ht="12" customHeight="1" x14ac:dyDescent="0.15">
      <c r="B162" s="2"/>
      <c r="C162" s="3"/>
      <c r="D162" s="3"/>
      <c r="E162" s="3"/>
      <c r="F162" s="4"/>
    </row>
    <row r="163" spans="2:6" ht="12" customHeight="1" x14ac:dyDescent="0.15">
      <c r="B163" s="2"/>
      <c r="C163" s="3"/>
      <c r="D163" s="3"/>
      <c r="E163" s="3"/>
      <c r="F163" s="4"/>
    </row>
    <row r="164" spans="2:6" ht="12" customHeight="1" x14ac:dyDescent="0.15">
      <c r="B164" s="2"/>
      <c r="C164" s="3"/>
      <c r="D164" s="3"/>
      <c r="E164" s="3"/>
      <c r="F164" s="4"/>
    </row>
    <row r="165" spans="2:6" ht="12" customHeight="1" x14ac:dyDescent="0.15">
      <c r="B165" s="2"/>
      <c r="C165" s="3"/>
      <c r="D165" s="3"/>
      <c r="E165" s="3"/>
      <c r="F165" s="4"/>
    </row>
    <row r="166" spans="2:6" ht="12" customHeight="1" x14ac:dyDescent="0.15">
      <c r="B166" s="2"/>
      <c r="C166" s="3"/>
      <c r="D166" s="3"/>
      <c r="E166" s="3"/>
      <c r="F166" s="4"/>
    </row>
    <row r="167" spans="2:6" ht="12" customHeight="1" x14ac:dyDescent="0.15">
      <c r="B167" s="2"/>
      <c r="C167" s="3"/>
      <c r="D167" s="3"/>
      <c r="E167" s="3"/>
      <c r="F167" s="4"/>
    </row>
    <row r="168" spans="2:6" ht="12" customHeight="1" x14ac:dyDescent="0.15">
      <c r="B168" s="2"/>
      <c r="C168" s="3"/>
      <c r="D168" s="3"/>
      <c r="E168" s="3"/>
      <c r="F168" s="4"/>
    </row>
    <row r="169" spans="2:6" ht="12" customHeight="1" x14ac:dyDescent="0.15">
      <c r="B169" s="2"/>
      <c r="C169" s="3"/>
      <c r="D169" s="3"/>
      <c r="E169" s="3"/>
      <c r="F169" s="4"/>
    </row>
    <row r="170" spans="2:6" ht="12" customHeight="1" x14ac:dyDescent="0.15">
      <c r="B170" s="2"/>
      <c r="C170" s="3"/>
      <c r="D170" s="3"/>
      <c r="E170" s="3"/>
      <c r="F170" s="4"/>
    </row>
    <row r="171" spans="2:6" ht="12" customHeight="1" x14ac:dyDescent="0.15">
      <c r="B171" s="2"/>
      <c r="C171" s="3"/>
      <c r="D171" s="3"/>
      <c r="E171" s="3"/>
      <c r="F171" s="4"/>
    </row>
    <row r="172" spans="2:6" ht="12" customHeight="1" x14ac:dyDescent="0.15">
      <c r="B172" s="2"/>
      <c r="C172" s="3"/>
      <c r="D172" s="3"/>
      <c r="E172" s="3"/>
      <c r="F172" s="4"/>
    </row>
    <row r="173" spans="2:6" ht="12" customHeight="1" x14ac:dyDescent="0.15">
      <c r="B173" s="2"/>
      <c r="C173" s="3"/>
      <c r="D173" s="3"/>
      <c r="E173" s="3"/>
      <c r="F173" s="4"/>
    </row>
    <row r="174" spans="2:6" ht="12" customHeight="1" x14ac:dyDescent="0.15">
      <c r="B174" s="2"/>
      <c r="C174" s="3"/>
      <c r="D174" s="3"/>
      <c r="E174" s="3"/>
      <c r="F174" s="4"/>
    </row>
    <row r="175" spans="2:6" ht="12" customHeight="1" x14ac:dyDescent="0.15">
      <c r="B175" s="2"/>
      <c r="C175" s="3"/>
      <c r="D175" s="3"/>
      <c r="E175" s="3"/>
      <c r="F175" s="4"/>
    </row>
    <row r="176" spans="2:6" ht="12" customHeight="1" x14ac:dyDescent="0.15">
      <c r="B176" s="2"/>
      <c r="C176" s="3"/>
      <c r="D176" s="3"/>
      <c r="E176" s="3"/>
      <c r="F176" s="4"/>
    </row>
    <row r="177" spans="2:6" ht="12" customHeight="1" x14ac:dyDescent="0.15">
      <c r="B177" s="2"/>
      <c r="C177" s="3"/>
      <c r="D177" s="3"/>
      <c r="E177" s="3"/>
      <c r="F177" s="4"/>
    </row>
    <row r="178" spans="2:6" ht="12" customHeight="1" x14ac:dyDescent="0.15">
      <c r="B178" s="2"/>
      <c r="C178" s="3"/>
      <c r="D178" s="3"/>
      <c r="E178" s="3"/>
      <c r="F178" s="4"/>
    </row>
    <row r="179" spans="2:6" ht="12" customHeight="1" x14ac:dyDescent="0.15">
      <c r="B179" s="2"/>
      <c r="C179" s="3"/>
      <c r="D179" s="3"/>
      <c r="E179" s="3"/>
      <c r="F179" s="4"/>
    </row>
    <row r="180" spans="2:6" ht="12" customHeight="1" x14ac:dyDescent="0.15">
      <c r="B180" s="2"/>
      <c r="C180" s="3"/>
      <c r="D180" s="3"/>
      <c r="E180" s="3"/>
      <c r="F180" s="4"/>
    </row>
    <row r="181" spans="2:6" ht="12" customHeight="1" x14ac:dyDescent="0.15">
      <c r="B181" s="2"/>
      <c r="C181" s="3"/>
      <c r="D181" s="3"/>
      <c r="E181" s="3"/>
      <c r="F181" s="4"/>
    </row>
    <row r="182" spans="2:6" ht="12" customHeight="1" x14ac:dyDescent="0.15">
      <c r="B182" s="2"/>
      <c r="C182" s="3"/>
      <c r="D182" s="3"/>
      <c r="E182" s="3"/>
      <c r="F182" s="4"/>
    </row>
    <row r="183" spans="2:6" ht="12" customHeight="1" x14ac:dyDescent="0.15">
      <c r="B183" s="2"/>
      <c r="C183" s="3"/>
      <c r="D183" s="3"/>
      <c r="E183" s="3"/>
      <c r="F183" s="4"/>
    </row>
    <row r="184" spans="2:6" ht="12" customHeight="1" x14ac:dyDescent="0.15">
      <c r="B184" s="2"/>
      <c r="C184" s="3"/>
      <c r="D184" s="3"/>
      <c r="E184" s="3"/>
      <c r="F184" s="4"/>
    </row>
    <row r="185" spans="2:6" ht="12" customHeight="1" x14ac:dyDescent="0.15">
      <c r="B185" s="2"/>
      <c r="C185" s="3"/>
      <c r="D185" s="3"/>
      <c r="E185" s="3"/>
      <c r="F185" s="4"/>
    </row>
    <row r="186" spans="2:6" ht="12" customHeight="1" x14ac:dyDescent="0.15">
      <c r="B186" s="2"/>
      <c r="C186" s="3"/>
      <c r="D186" s="3"/>
      <c r="E186" s="3"/>
      <c r="F186" s="4"/>
    </row>
    <row r="187" spans="2:6" ht="12" customHeight="1" x14ac:dyDescent="0.15">
      <c r="B187" s="2"/>
      <c r="C187" s="3"/>
      <c r="D187" s="3"/>
      <c r="E187" s="3"/>
      <c r="F187" s="4"/>
    </row>
    <row r="188" spans="2:6" ht="12" customHeight="1" x14ac:dyDescent="0.15">
      <c r="B188" s="2"/>
      <c r="C188" s="3"/>
      <c r="D188" s="3"/>
      <c r="E188" s="3"/>
      <c r="F188" s="4"/>
    </row>
    <row r="189" spans="2:6" ht="12" customHeight="1" x14ac:dyDescent="0.15">
      <c r="B189" s="2"/>
      <c r="C189" s="3"/>
      <c r="D189" s="3"/>
      <c r="E189" s="3"/>
      <c r="F189" s="4"/>
    </row>
    <row r="190" spans="2:6" ht="12" customHeight="1" x14ac:dyDescent="0.15">
      <c r="B190" s="2"/>
      <c r="C190" s="3"/>
      <c r="D190" s="3"/>
      <c r="E190" s="3"/>
      <c r="F190" s="4"/>
    </row>
    <row r="191" spans="2:6" ht="12" customHeight="1" x14ac:dyDescent="0.15">
      <c r="B191" s="2"/>
      <c r="C191" s="3"/>
      <c r="D191" s="3"/>
      <c r="E191" s="3"/>
      <c r="F191" s="4"/>
    </row>
    <row r="192" spans="2:6" ht="12" customHeight="1" x14ac:dyDescent="0.15">
      <c r="B192" s="2"/>
      <c r="C192" s="3"/>
      <c r="D192" s="3"/>
      <c r="E192" s="3"/>
      <c r="F192" s="4"/>
    </row>
    <row r="193" spans="2:6" ht="12" customHeight="1" x14ac:dyDescent="0.15">
      <c r="B193" s="2"/>
      <c r="C193" s="3"/>
      <c r="D193" s="3"/>
      <c r="E193" s="3"/>
      <c r="F193" s="4"/>
    </row>
    <row r="194" spans="2:6" ht="12" customHeight="1" x14ac:dyDescent="0.15">
      <c r="B194" s="2"/>
      <c r="C194" s="3"/>
      <c r="D194" s="3"/>
      <c r="E194" s="3"/>
      <c r="F194" s="4"/>
    </row>
    <row r="195" spans="2:6" ht="12" customHeight="1" x14ac:dyDescent="0.15">
      <c r="B195" s="2"/>
      <c r="C195" s="3"/>
      <c r="D195" s="3"/>
      <c r="E195" s="3"/>
      <c r="F195" s="4"/>
    </row>
    <row r="196" spans="2:6" ht="12" customHeight="1" x14ac:dyDescent="0.15">
      <c r="B196" s="2"/>
      <c r="C196" s="3"/>
      <c r="D196" s="3"/>
      <c r="E196" s="3"/>
      <c r="F196" s="4"/>
    </row>
    <row r="197" spans="2:6" ht="12" customHeight="1" x14ac:dyDescent="0.15">
      <c r="B197" s="2"/>
      <c r="C197" s="3"/>
      <c r="D197" s="3"/>
      <c r="E197" s="3"/>
      <c r="F197" s="4"/>
    </row>
    <row r="198" spans="2:6" ht="12" customHeight="1" x14ac:dyDescent="0.15">
      <c r="B198" s="2"/>
      <c r="C198" s="3"/>
      <c r="D198" s="3"/>
      <c r="E198" s="3"/>
      <c r="F198" s="4"/>
    </row>
    <row r="199" spans="2:6" ht="12" customHeight="1" x14ac:dyDescent="0.15">
      <c r="B199" s="2"/>
      <c r="C199" s="3"/>
      <c r="D199" s="3"/>
      <c r="E199" s="3"/>
      <c r="F199" s="4"/>
    </row>
    <row r="200" spans="2:6" ht="12" customHeight="1" x14ac:dyDescent="0.15">
      <c r="B200" s="2"/>
      <c r="C200" s="3"/>
      <c r="D200" s="3"/>
      <c r="E200" s="3"/>
      <c r="F200" s="4"/>
    </row>
    <row r="201" spans="2:6" ht="12" customHeight="1" x14ac:dyDescent="0.15">
      <c r="B201" s="2"/>
      <c r="C201" s="3"/>
      <c r="D201" s="3"/>
      <c r="E201" s="3"/>
      <c r="F201" s="4"/>
    </row>
    <row r="202" spans="2:6" ht="12" customHeight="1" x14ac:dyDescent="0.15">
      <c r="B202" s="2"/>
      <c r="C202" s="3"/>
      <c r="D202" s="3"/>
      <c r="E202" s="3"/>
      <c r="F202" s="4"/>
    </row>
    <row r="203" spans="2:6" ht="12" customHeight="1" x14ac:dyDescent="0.15">
      <c r="B203" s="2"/>
      <c r="C203" s="3"/>
      <c r="D203" s="3"/>
      <c r="E203" s="3"/>
      <c r="F203" s="4"/>
    </row>
    <row r="204" spans="2:6" ht="12" customHeight="1" x14ac:dyDescent="0.15">
      <c r="B204" s="2"/>
      <c r="C204" s="3"/>
      <c r="D204" s="3"/>
      <c r="E204" s="3"/>
      <c r="F204" s="4"/>
    </row>
    <row r="205" spans="2:6" ht="12" customHeight="1" x14ac:dyDescent="0.15">
      <c r="B205" s="2"/>
      <c r="C205" s="3"/>
      <c r="D205" s="3"/>
      <c r="E205" s="3"/>
      <c r="F205" s="4"/>
    </row>
    <row r="206" spans="2:6" ht="12" customHeight="1" x14ac:dyDescent="0.15">
      <c r="B206" s="2"/>
      <c r="C206" s="3"/>
      <c r="D206" s="3"/>
      <c r="E206" s="3"/>
      <c r="F206" s="4"/>
    </row>
    <row r="207" spans="2:6" ht="12" customHeight="1" x14ac:dyDescent="0.15">
      <c r="B207" s="2"/>
      <c r="C207" s="3"/>
      <c r="D207" s="3"/>
      <c r="E207" s="3"/>
      <c r="F207" s="4"/>
    </row>
    <row r="208" spans="2:6" ht="12" customHeight="1" x14ac:dyDescent="0.15">
      <c r="B208" s="2"/>
      <c r="C208" s="3"/>
      <c r="D208" s="3"/>
      <c r="E208" s="3"/>
      <c r="F208" s="4"/>
    </row>
    <row r="209" spans="2:6" ht="12" customHeight="1" x14ac:dyDescent="0.15">
      <c r="B209" s="2"/>
      <c r="C209" s="3"/>
      <c r="D209" s="3"/>
      <c r="E209" s="3"/>
      <c r="F209" s="4"/>
    </row>
    <row r="210" spans="2:6" ht="12" customHeight="1" x14ac:dyDescent="0.15">
      <c r="B210" s="2"/>
      <c r="C210" s="3"/>
      <c r="D210" s="3"/>
      <c r="E210" s="3"/>
      <c r="F210" s="4"/>
    </row>
    <row r="211" spans="2:6" ht="12" customHeight="1" x14ac:dyDescent="0.15">
      <c r="B211" s="2"/>
      <c r="C211" s="3"/>
      <c r="D211" s="3"/>
      <c r="E211" s="3"/>
      <c r="F211" s="4"/>
    </row>
    <row r="212" spans="2:6" ht="12" customHeight="1" x14ac:dyDescent="0.15">
      <c r="B212" s="2"/>
      <c r="C212" s="3"/>
      <c r="D212" s="3"/>
      <c r="E212" s="3"/>
      <c r="F212" s="4"/>
    </row>
    <row r="213" spans="2:6" ht="12" customHeight="1" x14ac:dyDescent="0.15">
      <c r="B213" s="2"/>
      <c r="C213" s="3"/>
      <c r="D213" s="3"/>
      <c r="E213" s="3"/>
      <c r="F213" s="4"/>
    </row>
    <row r="214" spans="2:6" ht="12" customHeight="1" x14ac:dyDescent="0.15">
      <c r="B214" s="2"/>
      <c r="C214" s="3"/>
      <c r="D214" s="3"/>
      <c r="E214" s="3"/>
      <c r="F214" s="4"/>
    </row>
    <row r="215" spans="2:6" ht="12" customHeight="1" x14ac:dyDescent="0.15">
      <c r="B215" s="2"/>
      <c r="C215" s="3"/>
      <c r="D215" s="3"/>
      <c r="E215" s="3"/>
      <c r="F215" s="4"/>
    </row>
    <row r="216" spans="2:6" ht="12" customHeight="1" x14ac:dyDescent="0.15">
      <c r="B216" s="2"/>
      <c r="C216" s="3"/>
      <c r="D216" s="3"/>
      <c r="E216" s="3"/>
      <c r="F216" s="4"/>
    </row>
    <row r="217" spans="2:6" ht="12" customHeight="1" x14ac:dyDescent="0.15">
      <c r="B217" s="2"/>
      <c r="C217" s="3"/>
      <c r="D217" s="3"/>
      <c r="E217" s="3"/>
      <c r="F217" s="4"/>
    </row>
    <row r="218" spans="2:6" ht="12" customHeight="1" x14ac:dyDescent="0.15">
      <c r="B218" s="2"/>
      <c r="C218" s="3"/>
      <c r="D218" s="3"/>
      <c r="E218" s="3"/>
      <c r="F218" s="4"/>
    </row>
    <row r="219" spans="2:6" ht="12" customHeight="1" x14ac:dyDescent="0.15">
      <c r="B219" s="2"/>
      <c r="C219" s="3"/>
      <c r="D219" s="3"/>
      <c r="E219" s="3"/>
      <c r="F219" s="4"/>
    </row>
    <row r="220" spans="2:6" ht="12" customHeight="1" x14ac:dyDescent="0.15">
      <c r="B220" s="2"/>
      <c r="C220" s="3"/>
      <c r="D220" s="3"/>
      <c r="E220" s="3"/>
      <c r="F220" s="4"/>
    </row>
    <row r="221" spans="2:6" ht="12" customHeight="1" x14ac:dyDescent="0.15">
      <c r="B221" s="2"/>
      <c r="C221" s="3"/>
      <c r="D221" s="3"/>
      <c r="E221" s="3"/>
      <c r="F221" s="4"/>
    </row>
    <row r="222" spans="2:6" ht="12" customHeight="1" x14ac:dyDescent="0.15">
      <c r="B222" s="2"/>
      <c r="C222" s="3"/>
      <c r="D222" s="3"/>
      <c r="E222" s="3"/>
      <c r="F222" s="4"/>
    </row>
    <row r="223" spans="2:6" ht="12" customHeight="1" x14ac:dyDescent="0.15">
      <c r="B223" s="2"/>
      <c r="C223" s="3"/>
      <c r="D223" s="3"/>
      <c r="E223" s="3"/>
      <c r="F223" s="4"/>
    </row>
    <row r="224" spans="2:6" ht="12" customHeight="1" x14ac:dyDescent="0.15">
      <c r="B224" s="2"/>
      <c r="C224" s="3"/>
      <c r="D224" s="3"/>
      <c r="E224" s="3"/>
      <c r="F224" s="4"/>
    </row>
    <row r="225" spans="2:6" ht="12" customHeight="1" x14ac:dyDescent="0.15">
      <c r="B225" s="2"/>
      <c r="C225" s="3"/>
      <c r="D225" s="3"/>
      <c r="E225" s="3"/>
      <c r="F225" s="4"/>
    </row>
    <row r="226" spans="2:6" ht="12" customHeight="1" x14ac:dyDescent="0.15">
      <c r="B226" s="2"/>
      <c r="C226" s="3"/>
      <c r="D226" s="3"/>
      <c r="E226" s="3"/>
      <c r="F226" s="4"/>
    </row>
    <row r="227" spans="2:6" ht="12" customHeight="1" x14ac:dyDescent="0.15">
      <c r="B227" s="2"/>
      <c r="C227" s="3"/>
      <c r="D227" s="3"/>
      <c r="E227" s="3"/>
      <c r="F227" s="4"/>
    </row>
    <row r="228" spans="2:6" ht="12" customHeight="1" x14ac:dyDescent="0.15">
      <c r="B228" s="2"/>
      <c r="C228" s="3"/>
      <c r="D228" s="3"/>
      <c r="E228" s="3"/>
      <c r="F228" s="4"/>
    </row>
    <row r="229" spans="2:6" ht="12" customHeight="1" x14ac:dyDescent="0.15">
      <c r="B229" s="2"/>
      <c r="C229" s="3"/>
      <c r="D229" s="3"/>
      <c r="E229" s="3"/>
      <c r="F229" s="4"/>
    </row>
    <row r="230" spans="2:6" ht="12" customHeight="1" x14ac:dyDescent="0.15">
      <c r="B230" s="2"/>
      <c r="C230" s="3"/>
      <c r="D230" s="3"/>
      <c r="E230" s="3"/>
      <c r="F230" s="4"/>
    </row>
    <row r="231" spans="2:6" ht="12" customHeight="1" x14ac:dyDescent="0.15">
      <c r="B231" s="2"/>
      <c r="C231" s="3"/>
      <c r="D231" s="3"/>
      <c r="E231" s="3"/>
      <c r="F231" s="4"/>
    </row>
    <row r="232" spans="2:6" ht="12" customHeight="1" x14ac:dyDescent="0.15">
      <c r="B232" s="2"/>
      <c r="C232" s="3"/>
      <c r="D232" s="3"/>
      <c r="E232" s="3"/>
      <c r="F232" s="4"/>
    </row>
    <row r="233" spans="2:6" ht="12" customHeight="1" x14ac:dyDescent="0.15">
      <c r="B233" s="2"/>
      <c r="C233" s="3"/>
      <c r="D233" s="3"/>
      <c r="E233" s="3"/>
      <c r="F233" s="4"/>
    </row>
    <row r="234" spans="2:6" ht="12" customHeight="1" x14ac:dyDescent="0.15">
      <c r="B234" s="2"/>
      <c r="C234" s="3"/>
      <c r="D234" s="3"/>
      <c r="E234" s="3"/>
      <c r="F234" s="4"/>
    </row>
    <row r="235" spans="2:6" ht="12" customHeight="1" x14ac:dyDescent="0.15">
      <c r="B235" s="2"/>
      <c r="C235" s="3"/>
      <c r="D235" s="3"/>
      <c r="E235" s="3"/>
      <c r="F235" s="4"/>
    </row>
    <row r="236" spans="2:6" ht="12" customHeight="1" x14ac:dyDescent="0.15">
      <c r="B236" s="2"/>
      <c r="C236" s="3"/>
      <c r="D236" s="3"/>
      <c r="E236" s="3"/>
      <c r="F236" s="4"/>
    </row>
    <row r="237" spans="2:6" ht="12" customHeight="1" x14ac:dyDescent="0.15">
      <c r="B237" s="2"/>
      <c r="C237" s="3"/>
      <c r="D237" s="3"/>
      <c r="E237" s="3"/>
      <c r="F237" s="4"/>
    </row>
    <row r="238" spans="2:6" ht="12" customHeight="1" x14ac:dyDescent="0.15">
      <c r="B238" s="2"/>
      <c r="C238" s="3"/>
      <c r="D238" s="3"/>
      <c r="E238" s="3"/>
      <c r="F238" s="4"/>
    </row>
    <row r="239" spans="2:6" ht="12" customHeight="1" x14ac:dyDescent="0.15">
      <c r="B239" s="2"/>
      <c r="C239" s="3"/>
      <c r="D239" s="3"/>
      <c r="E239" s="3"/>
      <c r="F239" s="4"/>
    </row>
    <row r="240" spans="2:6" ht="12" customHeight="1" x14ac:dyDescent="0.15">
      <c r="B240" s="2"/>
      <c r="C240" s="3"/>
      <c r="D240" s="3"/>
      <c r="E240" s="3"/>
      <c r="F240" s="4"/>
    </row>
    <row r="241" spans="2:6" ht="12" customHeight="1" x14ac:dyDescent="0.15">
      <c r="B241" s="2"/>
      <c r="C241" s="3"/>
      <c r="D241" s="3"/>
      <c r="E241" s="3"/>
      <c r="F241" s="4"/>
    </row>
    <row r="242" spans="2:6" ht="12" customHeight="1" x14ac:dyDescent="0.15">
      <c r="B242" s="2"/>
      <c r="C242" s="3"/>
      <c r="D242" s="3"/>
      <c r="E242" s="3"/>
      <c r="F242" s="4"/>
    </row>
    <row r="243" spans="2:6" ht="12" customHeight="1" x14ac:dyDescent="0.15">
      <c r="B243" s="2"/>
      <c r="C243" s="3"/>
      <c r="D243" s="3"/>
      <c r="E243" s="3"/>
      <c r="F243" s="4"/>
    </row>
    <row r="244" spans="2:6" ht="12" customHeight="1" x14ac:dyDescent="0.15">
      <c r="B244" s="2"/>
      <c r="C244" s="3"/>
      <c r="D244" s="3"/>
      <c r="E244" s="3"/>
      <c r="F244" s="4"/>
    </row>
    <row r="245" spans="2:6" ht="12" customHeight="1" x14ac:dyDescent="0.15">
      <c r="B245" s="2"/>
      <c r="C245" s="3"/>
      <c r="D245" s="3"/>
      <c r="E245" s="3"/>
      <c r="F245" s="4"/>
    </row>
    <row r="246" spans="2:6" ht="12" customHeight="1" x14ac:dyDescent="0.15">
      <c r="B246" s="2"/>
      <c r="C246" s="3"/>
      <c r="D246" s="3"/>
      <c r="E246" s="3"/>
      <c r="F246" s="4"/>
    </row>
    <row r="247" spans="2:6" ht="12" customHeight="1" x14ac:dyDescent="0.15">
      <c r="B247" s="2"/>
      <c r="C247" s="3"/>
      <c r="D247" s="3"/>
      <c r="E247" s="3"/>
      <c r="F247" s="4"/>
    </row>
    <row r="248" spans="2:6" ht="12" customHeight="1" x14ac:dyDescent="0.15">
      <c r="B248" s="2"/>
      <c r="C248" s="3"/>
      <c r="D248" s="3"/>
      <c r="E248" s="3"/>
      <c r="F248" s="4"/>
    </row>
    <row r="249" spans="2:6" ht="12" customHeight="1" x14ac:dyDescent="0.15">
      <c r="B249" s="2"/>
      <c r="C249" s="3"/>
      <c r="D249" s="3"/>
      <c r="E249" s="3"/>
      <c r="F249" s="4"/>
    </row>
    <row r="250" spans="2:6" ht="12" customHeight="1" x14ac:dyDescent="0.15">
      <c r="B250" s="2"/>
      <c r="C250" s="3"/>
      <c r="D250" s="3"/>
      <c r="E250" s="3"/>
      <c r="F250" s="4"/>
    </row>
    <row r="251" spans="2:6" ht="12" customHeight="1" x14ac:dyDescent="0.15">
      <c r="B251" s="2"/>
      <c r="C251" s="3"/>
      <c r="D251" s="3"/>
      <c r="E251" s="3"/>
      <c r="F251" s="4"/>
    </row>
    <row r="252" spans="2:6" ht="12" customHeight="1" x14ac:dyDescent="0.15">
      <c r="B252" s="2"/>
      <c r="C252" s="3"/>
      <c r="D252" s="3"/>
      <c r="E252" s="3"/>
      <c r="F252" s="4"/>
    </row>
    <row r="253" spans="2:6" ht="12" customHeight="1" x14ac:dyDescent="0.15">
      <c r="B253" s="2"/>
      <c r="C253" s="3"/>
      <c r="D253" s="3"/>
      <c r="E253" s="3"/>
      <c r="F253" s="4"/>
    </row>
    <row r="254" spans="2:6" ht="12" customHeight="1" x14ac:dyDescent="0.15">
      <c r="B254" s="2"/>
      <c r="C254" s="3"/>
      <c r="D254" s="3"/>
      <c r="E254" s="3"/>
      <c r="F254" s="4"/>
    </row>
    <row r="255" spans="2:6" ht="12" customHeight="1" x14ac:dyDescent="0.15">
      <c r="B255" s="2"/>
      <c r="C255" s="3"/>
      <c r="D255" s="3"/>
      <c r="E255" s="3"/>
      <c r="F255" s="4"/>
    </row>
    <row r="256" spans="2:6" ht="12" customHeight="1" x14ac:dyDescent="0.15">
      <c r="B256" s="2"/>
      <c r="C256" s="3"/>
      <c r="D256" s="3"/>
      <c r="E256" s="3"/>
      <c r="F256" s="4"/>
    </row>
    <row r="257" spans="2:6" ht="12" customHeight="1" x14ac:dyDescent="0.15">
      <c r="B257" s="2"/>
      <c r="C257" s="3"/>
      <c r="D257" s="3"/>
      <c r="E257" s="3"/>
      <c r="F257" s="4"/>
    </row>
    <row r="258" spans="2:6" ht="12" customHeight="1" x14ac:dyDescent="0.15">
      <c r="B258" s="2"/>
      <c r="C258" s="3"/>
      <c r="D258" s="3"/>
      <c r="E258" s="3"/>
      <c r="F258" s="4"/>
    </row>
    <row r="259" spans="2:6" ht="12" customHeight="1" x14ac:dyDescent="0.15">
      <c r="B259" s="2"/>
      <c r="C259" s="3"/>
      <c r="D259" s="3"/>
      <c r="E259" s="3"/>
      <c r="F259" s="4"/>
    </row>
    <row r="260" spans="2:6" ht="12" customHeight="1" x14ac:dyDescent="0.15">
      <c r="B260" s="2"/>
      <c r="C260" s="3"/>
      <c r="D260" s="3"/>
      <c r="E260" s="3"/>
      <c r="F260" s="4"/>
    </row>
    <row r="261" spans="2:6" ht="12" customHeight="1" x14ac:dyDescent="0.15">
      <c r="B261" s="2"/>
      <c r="C261" s="3"/>
      <c r="D261" s="3"/>
      <c r="E261" s="3"/>
      <c r="F261" s="4"/>
    </row>
    <row r="262" spans="2:6" ht="12" customHeight="1" x14ac:dyDescent="0.15">
      <c r="B262" s="2"/>
      <c r="C262" s="3"/>
      <c r="D262" s="3"/>
      <c r="E262" s="3"/>
      <c r="F262" s="4"/>
    </row>
    <row r="263" spans="2:6" ht="12" customHeight="1" x14ac:dyDescent="0.15">
      <c r="B263" s="2"/>
      <c r="C263" s="3"/>
      <c r="D263" s="3"/>
      <c r="E263" s="3"/>
      <c r="F263" s="4"/>
    </row>
    <row r="264" spans="2:6" ht="12" customHeight="1" x14ac:dyDescent="0.15">
      <c r="B264" s="2"/>
      <c r="C264" s="3"/>
      <c r="D264" s="3"/>
      <c r="E264" s="3"/>
      <c r="F264" s="4"/>
    </row>
    <row r="265" spans="2:6" ht="12" customHeight="1" x14ac:dyDescent="0.15">
      <c r="B265" s="2"/>
      <c r="C265" s="3"/>
      <c r="D265" s="3"/>
      <c r="E265" s="3"/>
      <c r="F265" s="4"/>
    </row>
    <row r="266" spans="2:6" ht="12" customHeight="1" x14ac:dyDescent="0.15">
      <c r="B266" s="2"/>
      <c r="C266" s="3"/>
      <c r="D266" s="3"/>
      <c r="E266" s="3"/>
      <c r="F266" s="4"/>
    </row>
    <row r="267" spans="2:6" ht="12" customHeight="1" x14ac:dyDescent="0.15">
      <c r="B267" s="2"/>
      <c r="C267" s="3"/>
      <c r="D267" s="3"/>
      <c r="E267" s="3"/>
      <c r="F267" s="4"/>
    </row>
    <row r="268" spans="2:6" ht="12" customHeight="1" x14ac:dyDescent="0.15">
      <c r="B268" s="2"/>
      <c r="C268" s="3"/>
      <c r="D268" s="3"/>
      <c r="E268" s="3"/>
      <c r="F268" s="4"/>
    </row>
    <row r="269" spans="2:6" ht="12" customHeight="1" x14ac:dyDescent="0.15">
      <c r="B269" s="2"/>
      <c r="C269" s="3"/>
      <c r="D269" s="3"/>
      <c r="E269" s="3"/>
      <c r="F269" s="4"/>
    </row>
    <row r="270" spans="2:6" ht="12" customHeight="1" x14ac:dyDescent="0.15">
      <c r="B270" s="2"/>
      <c r="C270" s="3"/>
      <c r="D270" s="3"/>
      <c r="E270" s="3"/>
      <c r="F270" s="4"/>
    </row>
    <row r="271" spans="2:6" ht="12" customHeight="1" x14ac:dyDescent="0.15">
      <c r="B271" s="2"/>
      <c r="C271" s="3"/>
      <c r="D271" s="3"/>
      <c r="E271" s="3"/>
      <c r="F271" s="4"/>
    </row>
    <row r="272" spans="2:6" ht="12" customHeight="1" x14ac:dyDescent="0.15">
      <c r="B272" s="2"/>
      <c r="C272" s="3"/>
      <c r="D272" s="3"/>
      <c r="E272" s="3"/>
      <c r="F272" s="4"/>
    </row>
    <row r="273" spans="2:6" ht="12" customHeight="1" x14ac:dyDescent="0.15">
      <c r="B273" s="2"/>
      <c r="C273" s="3"/>
      <c r="D273" s="3"/>
      <c r="E273" s="3"/>
      <c r="F273" s="4"/>
    </row>
    <row r="274" spans="2:6" ht="12" customHeight="1" x14ac:dyDescent="0.15">
      <c r="B274" s="2"/>
      <c r="C274" s="3"/>
      <c r="D274" s="3"/>
      <c r="E274" s="3"/>
      <c r="F274" s="4"/>
    </row>
    <row r="275" spans="2:6" ht="12" customHeight="1" x14ac:dyDescent="0.15">
      <c r="B275" s="2"/>
      <c r="C275" s="3"/>
      <c r="D275" s="3"/>
      <c r="E275" s="3"/>
      <c r="F275" s="4"/>
    </row>
    <row r="276" spans="2:6" ht="12" customHeight="1" x14ac:dyDescent="0.15">
      <c r="B276" s="2"/>
      <c r="C276" s="3"/>
      <c r="D276" s="3"/>
      <c r="E276" s="3"/>
      <c r="F276" s="4"/>
    </row>
    <row r="277" spans="2:6" ht="12" customHeight="1" x14ac:dyDescent="0.15">
      <c r="B277" s="2"/>
      <c r="C277" s="3"/>
      <c r="D277" s="3"/>
      <c r="E277" s="3"/>
      <c r="F277" s="4"/>
    </row>
    <row r="278" spans="2:6" ht="12" customHeight="1" x14ac:dyDescent="0.15">
      <c r="B278" s="2"/>
      <c r="C278" s="3"/>
      <c r="D278" s="3"/>
      <c r="E278" s="3"/>
      <c r="F278" s="4"/>
    </row>
    <row r="279" spans="2:6" ht="12" customHeight="1" x14ac:dyDescent="0.15">
      <c r="B279" s="2"/>
      <c r="C279" s="3"/>
      <c r="D279" s="3"/>
      <c r="E279" s="3"/>
      <c r="F279" s="4"/>
    </row>
    <row r="280" spans="2:6" ht="12" customHeight="1" x14ac:dyDescent="0.15">
      <c r="B280" s="2"/>
      <c r="C280" s="3"/>
      <c r="D280" s="3"/>
      <c r="E280" s="3"/>
      <c r="F280" s="4"/>
    </row>
    <row r="281" spans="2:6" ht="12" customHeight="1" x14ac:dyDescent="0.15">
      <c r="B281" s="2"/>
      <c r="C281" s="3"/>
      <c r="D281" s="3"/>
      <c r="E281" s="3"/>
      <c r="F281" s="4"/>
    </row>
    <row r="282" spans="2:6" ht="12" customHeight="1" x14ac:dyDescent="0.15">
      <c r="B282" s="2"/>
      <c r="C282" s="3"/>
      <c r="D282" s="3"/>
      <c r="E282" s="3"/>
      <c r="F282" s="4"/>
    </row>
    <row r="283" spans="2:6" ht="12" customHeight="1" x14ac:dyDescent="0.15">
      <c r="B283" s="2"/>
      <c r="C283" s="3"/>
      <c r="D283" s="3"/>
      <c r="E283" s="3"/>
      <c r="F283" s="4"/>
    </row>
    <row r="284" spans="2:6" ht="12" customHeight="1" x14ac:dyDescent="0.15">
      <c r="B284" s="2"/>
      <c r="C284" s="3"/>
      <c r="D284" s="3"/>
      <c r="E284" s="3"/>
      <c r="F284" s="4"/>
    </row>
    <row r="285" spans="2:6" ht="12" customHeight="1" x14ac:dyDescent="0.15">
      <c r="B285" s="2"/>
      <c r="C285" s="3"/>
      <c r="D285" s="3"/>
      <c r="E285" s="3"/>
      <c r="F285" s="4"/>
    </row>
    <row r="286" spans="2:6" ht="12" customHeight="1" x14ac:dyDescent="0.15">
      <c r="B286" s="2"/>
      <c r="C286" s="3"/>
      <c r="D286" s="3"/>
      <c r="E286" s="3"/>
      <c r="F286" s="4"/>
    </row>
    <row r="287" spans="2:6" ht="12" customHeight="1" x14ac:dyDescent="0.15">
      <c r="B287" s="2"/>
      <c r="C287" s="3"/>
      <c r="D287" s="3"/>
      <c r="E287" s="3"/>
      <c r="F287" s="4"/>
    </row>
    <row r="288" spans="2:6" ht="12" customHeight="1" x14ac:dyDescent="0.15">
      <c r="B288" s="2"/>
      <c r="C288" s="3"/>
      <c r="D288" s="3"/>
      <c r="E288" s="3"/>
      <c r="F288" s="4"/>
    </row>
    <row r="289" spans="2:6" ht="12" customHeight="1" x14ac:dyDescent="0.15">
      <c r="B289" s="2"/>
      <c r="C289" s="3"/>
      <c r="D289" s="3"/>
      <c r="E289" s="3"/>
      <c r="F289" s="4"/>
    </row>
    <row r="290" spans="2:6" ht="12" customHeight="1" x14ac:dyDescent="0.15">
      <c r="B290" s="2"/>
      <c r="C290" s="3"/>
      <c r="D290" s="3"/>
      <c r="E290" s="3"/>
      <c r="F290" s="4"/>
    </row>
    <row r="291" spans="2:6" ht="12" customHeight="1" x14ac:dyDescent="0.15">
      <c r="B291" s="2"/>
      <c r="C291" s="3"/>
      <c r="D291" s="3"/>
      <c r="E291" s="3"/>
      <c r="F291" s="4"/>
    </row>
    <row r="292" spans="2:6" ht="12" customHeight="1" x14ac:dyDescent="0.15">
      <c r="B292" s="2"/>
      <c r="C292" s="3"/>
      <c r="D292" s="3"/>
      <c r="E292" s="3"/>
      <c r="F292" s="4"/>
    </row>
    <row r="293" spans="2:6" ht="12" customHeight="1" x14ac:dyDescent="0.15">
      <c r="B293" s="2"/>
      <c r="C293" s="3"/>
      <c r="D293" s="3"/>
      <c r="E293" s="3"/>
      <c r="F293" s="4"/>
    </row>
    <row r="294" spans="2:6" ht="12" customHeight="1" x14ac:dyDescent="0.15">
      <c r="B294" s="2"/>
      <c r="C294" s="3"/>
      <c r="D294" s="3"/>
      <c r="E294" s="3"/>
      <c r="F294" s="4"/>
    </row>
    <row r="295" spans="2:6" ht="12" customHeight="1" x14ac:dyDescent="0.15">
      <c r="B295" s="2"/>
      <c r="C295" s="3"/>
      <c r="D295" s="3"/>
      <c r="E295" s="3"/>
      <c r="F295" s="4"/>
    </row>
    <row r="296" spans="2:6" ht="12" customHeight="1" x14ac:dyDescent="0.15">
      <c r="B296" s="2"/>
      <c r="C296" s="3"/>
      <c r="D296" s="3"/>
      <c r="E296" s="3"/>
      <c r="F296" s="4"/>
    </row>
    <row r="297" spans="2:6" ht="12" customHeight="1" x14ac:dyDescent="0.15">
      <c r="B297" s="2"/>
      <c r="C297" s="3"/>
      <c r="D297" s="3"/>
      <c r="E297" s="3"/>
      <c r="F297" s="4"/>
    </row>
    <row r="298" spans="2:6" ht="12" customHeight="1" x14ac:dyDescent="0.15">
      <c r="B298" s="2"/>
      <c r="C298" s="3"/>
      <c r="D298" s="3"/>
      <c r="E298" s="3"/>
      <c r="F298" s="4"/>
    </row>
    <row r="299" spans="2:6" ht="12" customHeight="1" x14ac:dyDescent="0.15">
      <c r="B299" s="2"/>
      <c r="C299" s="3"/>
      <c r="D299" s="3"/>
      <c r="E299" s="3"/>
      <c r="F299" s="4"/>
    </row>
    <row r="300" spans="2:6" ht="12" customHeight="1" x14ac:dyDescent="0.15">
      <c r="B300" s="2"/>
      <c r="C300" s="3"/>
      <c r="D300" s="3"/>
      <c r="E300" s="3"/>
      <c r="F300" s="4"/>
    </row>
    <row r="301" spans="2:6" ht="12" customHeight="1" x14ac:dyDescent="0.15">
      <c r="B301" s="2"/>
      <c r="C301" s="3"/>
      <c r="D301" s="3"/>
      <c r="E301" s="3"/>
      <c r="F301" s="4"/>
    </row>
    <row r="302" spans="2:6" ht="12" customHeight="1" x14ac:dyDescent="0.15">
      <c r="B302" s="2"/>
      <c r="C302" s="3"/>
      <c r="D302" s="3"/>
      <c r="E302" s="3"/>
      <c r="F302" s="4"/>
    </row>
    <row r="303" spans="2:6" ht="12" customHeight="1" x14ac:dyDescent="0.15">
      <c r="B303" s="2"/>
      <c r="C303" s="3"/>
      <c r="D303" s="3"/>
      <c r="E303" s="3"/>
      <c r="F303" s="4"/>
    </row>
    <row r="304" spans="2:6" ht="12" customHeight="1" x14ac:dyDescent="0.15">
      <c r="B304" s="2"/>
      <c r="C304" s="3"/>
      <c r="D304" s="3"/>
      <c r="E304" s="3"/>
      <c r="F304" s="4"/>
    </row>
    <row r="305" spans="2:6" ht="12" customHeight="1" x14ac:dyDescent="0.15">
      <c r="B305" s="2"/>
      <c r="C305" s="3"/>
      <c r="D305" s="3"/>
      <c r="E305" s="3"/>
      <c r="F305" s="4"/>
    </row>
    <row r="306" spans="2:6" ht="12" customHeight="1" x14ac:dyDescent="0.15">
      <c r="B306" s="2"/>
      <c r="C306" s="3"/>
      <c r="D306" s="3"/>
      <c r="E306" s="3"/>
      <c r="F306" s="4"/>
    </row>
    <row r="307" spans="2:6" ht="12" customHeight="1" x14ac:dyDescent="0.15">
      <c r="B307" s="2"/>
      <c r="C307" s="3"/>
      <c r="D307" s="3"/>
      <c r="E307" s="3"/>
      <c r="F307" s="4"/>
    </row>
    <row r="308" spans="2:6" ht="12" customHeight="1" x14ac:dyDescent="0.15">
      <c r="B308" s="2"/>
      <c r="C308" s="3"/>
      <c r="D308" s="3"/>
      <c r="E308" s="3"/>
      <c r="F308" s="4"/>
    </row>
    <row r="309" spans="2:6" ht="12" customHeight="1" x14ac:dyDescent="0.15">
      <c r="B309" s="2"/>
      <c r="C309" s="3"/>
      <c r="D309" s="3"/>
      <c r="E309" s="3"/>
      <c r="F309" s="4"/>
    </row>
    <row r="310" spans="2:6" ht="12" customHeight="1" x14ac:dyDescent="0.15">
      <c r="B310" s="2"/>
      <c r="C310" s="3"/>
      <c r="D310" s="3"/>
      <c r="E310" s="3"/>
      <c r="F310" s="4"/>
    </row>
    <row r="311" spans="2:6" ht="12" customHeight="1" x14ac:dyDescent="0.15">
      <c r="B311" s="2"/>
      <c r="C311" s="3"/>
      <c r="D311" s="3"/>
      <c r="E311" s="3"/>
      <c r="F311" s="4"/>
    </row>
    <row r="312" spans="2:6" ht="12" customHeight="1" x14ac:dyDescent="0.15">
      <c r="B312" s="2"/>
      <c r="C312" s="3"/>
      <c r="D312" s="3"/>
      <c r="E312" s="3"/>
      <c r="F312" s="4"/>
    </row>
    <row r="313" spans="2:6" ht="12" customHeight="1" x14ac:dyDescent="0.15">
      <c r="B313" s="2"/>
      <c r="C313" s="3"/>
      <c r="D313" s="3"/>
      <c r="E313" s="3"/>
      <c r="F313" s="4"/>
    </row>
    <row r="314" spans="2:6" ht="12" customHeight="1" x14ac:dyDescent="0.15">
      <c r="B314" s="2"/>
      <c r="C314" s="3"/>
      <c r="D314" s="3"/>
      <c r="E314" s="3"/>
      <c r="F314" s="4"/>
    </row>
    <row r="315" spans="2:6" ht="12" customHeight="1" x14ac:dyDescent="0.15">
      <c r="B315" s="2"/>
      <c r="C315" s="3"/>
      <c r="D315" s="3"/>
      <c r="E315" s="3"/>
      <c r="F315" s="4"/>
    </row>
    <row r="316" spans="2:6" ht="12" customHeight="1" x14ac:dyDescent="0.15">
      <c r="B316" s="2"/>
      <c r="C316" s="3"/>
      <c r="D316" s="3"/>
      <c r="E316" s="3"/>
      <c r="F316" s="4"/>
    </row>
    <row r="317" spans="2:6" ht="12" customHeight="1" x14ac:dyDescent="0.15">
      <c r="B317" s="2"/>
      <c r="C317" s="3"/>
      <c r="D317" s="3"/>
      <c r="E317" s="3"/>
      <c r="F317" s="4"/>
    </row>
    <row r="318" spans="2:6" ht="12" customHeight="1" x14ac:dyDescent="0.15">
      <c r="B318" s="2"/>
      <c r="C318" s="3"/>
      <c r="D318" s="3"/>
      <c r="E318" s="3"/>
      <c r="F318" s="4"/>
    </row>
    <row r="319" spans="2:6" ht="12" customHeight="1" x14ac:dyDescent="0.15">
      <c r="B319" s="2"/>
      <c r="C319" s="3"/>
      <c r="D319" s="3"/>
      <c r="E319" s="3"/>
      <c r="F319" s="4"/>
    </row>
    <row r="320" spans="2:6" ht="12" customHeight="1" x14ac:dyDescent="0.15">
      <c r="B320" s="2"/>
      <c r="C320" s="3"/>
      <c r="D320" s="3"/>
      <c r="E320" s="3"/>
      <c r="F320" s="4"/>
    </row>
    <row r="321" spans="2:6" ht="12" customHeight="1" x14ac:dyDescent="0.15">
      <c r="B321" s="2"/>
      <c r="C321" s="3"/>
      <c r="D321" s="3"/>
      <c r="E321" s="3"/>
      <c r="F321" s="4"/>
    </row>
    <row r="322" spans="2:6" ht="12" customHeight="1" x14ac:dyDescent="0.15">
      <c r="B322" s="2"/>
      <c r="C322" s="3"/>
      <c r="D322" s="3"/>
      <c r="E322" s="3"/>
      <c r="F322" s="4"/>
    </row>
    <row r="323" spans="2:6" ht="12" customHeight="1" x14ac:dyDescent="0.15">
      <c r="B323" s="2"/>
      <c r="C323" s="3"/>
      <c r="D323" s="3"/>
      <c r="E323" s="3"/>
      <c r="F323" s="4"/>
    </row>
    <row r="324" spans="2:6" ht="12" customHeight="1" x14ac:dyDescent="0.15">
      <c r="B324" s="2"/>
      <c r="C324" s="3"/>
      <c r="D324" s="3"/>
      <c r="E324" s="3"/>
      <c r="F324" s="4"/>
    </row>
    <row r="325" spans="2:6" ht="12" customHeight="1" x14ac:dyDescent="0.15">
      <c r="B325" s="2"/>
      <c r="C325" s="3"/>
      <c r="D325" s="3"/>
      <c r="E325" s="3"/>
      <c r="F325" s="4"/>
    </row>
    <row r="326" spans="2:6" ht="12" customHeight="1" x14ac:dyDescent="0.15">
      <c r="B326" s="2"/>
      <c r="C326" s="3"/>
      <c r="D326" s="3"/>
      <c r="E326" s="3"/>
      <c r="F326" s="4"/>
    </row>
    <row r="327" spans="2:6" ht="12" customHeight="1" x14ac:dyDescent="0.15">
      <c r="B327" s="2"/>
      <c r="C327" s="3"/>
      <c r="D327" s="3"/>
      <c r="E327" s="3"/>
      <c r="F327" s="4"/>
    </row>
    <row r="328" spans="2:6" ht="12" customHeight="1" x14ac:dyDescent="0.15">
      <c r="B328" s="2"/>
      <c r="C328" s="3"/>
      <c r="D328" s="3"/>
      <c r="E328" s="3"/>
      <c r="F328" s="4"/>
    </row>
    <row r="329" spans="2:6" ht="12" customHeight="1" x14ac:dyDescent="0.15">
      <c r="B329" s="2"/>
      <c r="C329" s="3"/>
      <c r="D329" s="3"/>
      <c r="E329" s="3"/>
      <c r="F329" s="4"/>
    </row>
    <row r="330" spans="2:6" ht="12" customHeight="1" x14ac:dyDescent="0.15">
      <c r="B330" s="2"/>
      <c r="C330" s="3"/>
      <c r="D330" s="3"/>
      <c r="E330" s="3"/>
      <c r="F330" s="4"/>
    </row>
    <row r="331" spans="2:6" ht="12" customHeight="1" x14ac:dyDescent="0.15">
      <c r="B331" s="2"/>
      <c r="C331" s="3"/>
      <c r="D331" s="3"/>
      <c r="E331" s="3"/>
      <c r="F331" s="4"/>
    </row>
    <row r="332" spans="2:6" ht="12" customHeight="1" x14ac:dyDescent="0.15">
      <c r="B332" s="2"/>
      <c r="C332" s="3"/>
      <c r="D332" s="3"/>
      <c r="E332" s="3"/>
      <c r="F332" s="4"/>
    </row>
    <row r="333" spans="2:6" ht="12" customHeight="1" x14ac:dyDescent="0.15">
      <c r="B333" s="2"/>
      <c r="C333" s="3"/>
      <c r="D333" s="3"/>
      <c r="E333" s="3"/>
      <c r="F333" s="4"/>
    </row>
    <row r="334" spans="2:6" ht="12" customHeight="1" x14ac:dyDescent="0.15">
      <c r="B334" s="2"/>
      <c r="C334" s="3"/>
      <c r="D334" s="3"/>
      <c r="E334" s="3"/>
      <c r="F334" s="4"/>
    </row>
    <row r="335" spans="2:6" ht="12" customHeight="1" x14ac:dyDescent="0.15">
      <c r="B335" s="2"/>
      <c r="C335" s="3"/>
      <c r="D335" s="3"/>
      <c r="E335" s="3"/>
      <c r="F335" s="4"/>
    </row>
    <row r="336" spans="2:6" ht="12" customHeight="1" x14ac:dyDescent="0.15">
      <c r="B336" s="2"/>
      <c r="C336" s="3"/>
      <c r="D336" s="3"/>
      <c r="E336" s="3"/>
      <c r="F336" s="4"/>
    </row>
    <row r="337" spans="2:6" ht="12" customHeight="1" x14ac:dyDescent="0.15">
      <c r="B337" s="2"/>
      <c r="C337" s="3"/>
      <c r="D337" s="3"/>
      <c r="E337" s="3"/>
      <c r="F337" s="4"/>
    </row>
    <row r="338" spans="2:6" ht="12" customHeight="1" x14ac:dyDescent="0.15">
      <c r="B338" s="2"/>
      <c r="C338" s="3"/>
      <c r="D338" s="3"/>
      <c r="E338" s="3"/>
      <c r="F338" s="4"/>
    </row>
    <row r="339" spans="2:6" ht="12" customHeight="1" x14ac:dyDescent="0.15">
      <c r="B339" s="2"/>
      <c r="C339" s="3"/>
      <c r="D339" s="3"/>
      <c r="E339" s="3"/>
      <c r="F339" s="4"/>
    </row>
    <row r="340" spans="2:6" ht="12" customHeight="1" x14ac:dyDescent="0.15">
      <c r="B340" s="2"/>
      <c r="C340" s="3"/>
      <c r="D340" s="3"/>
      <c r="E340" s="3"/>
      <c r="F340" s="4"/>
    </row>
    <row r="341" spans="2:6" ht="12" customHeight="1" x14ac:dyDescent="0.15">
      <c r="B341" s="2"/>
      <c r="C341" s="3"/>
      <c r="D341" s="3"/>
      <c r="E341" s="3"/>
      <c r="F341" s="4"/>
    </row>
    <row r="342" spans="2:6" ht="12" customHeight="1" x14ac:dyDescent="0.15">
      <c r="B342" s="2"/>
      <c r="C342" s="3"/>
      <c r="D342" s="3"/>
      <c r="E342" s="3"/>
      <c r="F342" s="4"/>
    </row>
    <row r="343" spans="2:6" ht="12" customHeight="1" x14ac:dyDescent="0.15">
      <c r="B343" s="2"/>
      <c r="C343" s="3"/>
      <c r="D343" s="3"/>
      <c r="E343" s="3"/>
      <c r="F343" s="4"/>
    </row>
    <row r="344" spans="2:6" ht="12" customHeight="1" x14ac:dyDescent="0.15">
      <c r="B344" s="2"/>
      <c r="C344" s="3"/>
      <c r="D344" s="3"/>
      <c r="E344" s="3"/>
      <c r="F344" s="4"/>
    </row>
    <row r="345" spans="2:6" ht="12" customHeight="1" x14ac:dyDescent="0.15">
      <c r="B345" s="2"/>
      <c r="C345" s="3"/>
      <c r="D345" s="3"/>
      <c r="E345" s="3"/>
      <c r="F345" s="4"/>
    </row>
    <row r="346" spans="2:6" ht="12" customHeight="1" x14ac:dyDescent="0.15">
      <c r="B346" s="2"/>
      <c r="C346" s="3"/>
      <c r="D346" s="3"/>
      <c r="E346" s="3"/>
      <c r="F346" s="4"/>
    </row>
    <row r="347" spans="2:6" ht="12" customHeight="1" x14ac:dyDescent="0.15">
      <c r="B347" s="2"/>
      <c r="C347" s="3"/>
      <c r="D347" s="3"/>
      <c r="E347" s="3"/>
      <c r="F347" s="4"/>
    </row>
    <row r="348" spans="2:6" ht="12" customHeight="1" x14ac:dyDescent="0.15">
      <c r="B348" s="2"/>
      <c r="C348" s="3"/>
      <c r="D348" s="3"/>
      <c r="E348" s="3"/>
      <c r="F348" s="4"/>
    </row>
    <row r="349" spans="2:6" ht="12" customHeight="1" x14ac:dyDescent="0.15">
      <c r="B349" s="2"/>
      <c r="C349" s="3"/>
      <c r="D349" s="3"/>
      <c r="E349" s="3"/>
      <c r="F349" s="4"/>
    </row>
    <row r="350" spans="2:6" ht="12" customHeight="1" x14ac:dyDescent="0.15">
      <c r="B350" s="2"/>
      <c r="C350" s="3"/>
      <c r="D350" s="3"/>
      <c r="E350" s="3"/>
      <c r="F350" s="4"/>
    </row>
    <row r="351" spans="2:6" ht="12" customHeight="1" x14ac:dyDescent="0.15">
      <c r="B351" s="2"/>
      <c r="C351" s="3"/>
      <c r="D351" s="3"/>
      <c r="E351" s="3"/>
      <c r="F351" s="4"/>
    </row>
    <row r="352" spans="2:6" ht="12" customHeight="1" x14ac:dyDescent="0.15">
      <c r="B352" s="2"/>
      <c r="C352" s="3"/>
      <c r="D352" s="3"/>
      <c r="E352" s="3"/>
      <c r="F352" s="4"/>
    </row>
    <row r="353" spans="2:6" ht="12" customHeight="1" x14ac:dyDescent="0.15">
      <c r="B353" s="2"/>
      <c r="C353" s="3"/>
      <c r="D353" s="3"/>
      <c r="E353" s="3"/>
      <c r="F353" s="4"/>
    </row>
    <row r="354" spans="2:6" ht="12" customHeight="1" x14ac:dyDescent="0.15">
      <c r="B354" s="2"/>
      <c r="C354" s="3"/>
      <c r="D354" s="3"/>
      <c r="E354" s="3"/>
      <c r="F354" s="4"/>
    </row>
    <row r="355" spans="2:6" ht="12" customHeight="1" x14ac:dyDescent="0.15">
      <c r="B355" s="2"/>
      <c r="C355" s="3"/>
      <c r="D355" s="3"/>
      <c r="E355" s="3"/>
      <c r="F355" s="4"/>
    </row>
    <row r="356" spans="2:6" ht="12" customHeight="1" x14ac:dyDescent="0.15">
      <c r="B356" s="2"/>
      <c r="C356" s="3"/>
      <c r="D356" s="3"/>
      <c r="E356" s="3"/>
      <c r="F356" s="4"/>
    </row>
    <row r="357" spans="2:6" ht="12" customHeight="1" x14ac:dyDescent="0.15">
      <c r="B357" s="2"/>
      <c r="C357" s="3"/>
      <c r="D357" s="3"/>
      <c r="E357" s="3"/>
      <c r="F357" s="4"/>
    </row>
    <row r="358" spans="2:6" ht="12" customHeight="1" x14ac:dyDescent="0.15">
      <c r="B358" s="2"/>
      <c r="C358" s="3"/>
      <c r="D358" s="3"/>
      <c r="E358" s="3"/>
      <c r="F358" s="4"/>
    </row>
    <row r="359" spans="2:6" ht="12" customHeight="1" x14ac:dyDescent="0.15">
      <c r="B359" s="2"/>
      <c r="C359" s="3"/>
      <c r="D359" s="3"/>
      <c r="E359" s="3"/>
      <c r="F359" s="4"/>
    </row>
    <row r="360" spans="2:6" ht="12" customHeight="1" x14ac:dyDescent="0.15">
      <c r="B360" s="2"/>
      <c r="C360" s="3"/>
      <c r="D360" s="3"/>
      <c r="E360" s="3"/>
      <c r="F360" s="4"/>
    </row>
    <row r="361" spans="2:6" ht="12" customHeight="1" x14ac:dyDescent="0.15">
      <c r="B361" s="2"/>
      <c r="C361" s="3"/>
      <c r="D361" s="3"/>
      <c r="E361" s="3"/>
      <c r="F361" s="4"/>
    </row>
    <row r="362" spans="2:6" ht="12" customHeight="1" x14ac:dyDescent="0.15">
      <c r="B362" s="2"/>
      <c r="C362" s="3"/>
      <c r="D362" s="3"/>
      <c r="E362" s="3"/>
      <c r="F362" s="4"/>
    </row>
    <row r="363" spans="2:6" ht="12" customHeight="1" x14ac:dyDescent="0.15">
      <c r="B363" s="2"/>
      <c r="C363" s="3"/>
      <c r="D363" s="3"/>
      <c r="E363" s="3"/>
      <c r="F363" s="4"/>
    </row>
    <row r="364" spans="2:6" ht="12" customHeight="1" x14ac:dyDescent="0.15">
      <c r="B364" s="2"/>
      <c r="C364" s="3"/>
      <c r="D364" s="3"/>
      <c r="E364" s="3"/>
      <c r="F364" s="4"/>
    </row>
    <row r="365" spans="2:6" ht="12" customHeight="1" x14ac:dyDescent="0.15">
      <c r="B365" s="2"/>
      <c r="C365" s="3"/>
      <c r="D365" s="3"/>
      <c r="E365" s="3"/>
      <c r="F365" s="4"/>
    </row>
    <row r="366" spans="2:6" ht="12" customHeight="1" x14ac:dyDescent="0.15">
      <c r="B366" s="2"/>
      <c r="C366" s="3"/>
      <c r="D366" s="3"/>
      <c r="E366" s="3"/>
      <c r="F366" s="4"/>
    </row>
    <row r="367" spans="2:6" ht="12" customHeight="1" x14ac:dyDescent="0.15">
      <c r="B367" s="2"/>
      <c r="C367" s="3"/>
      <c r="D367" s="3"/>
      <c r="E367" s="3"/>
      <c r="F367" s="4"/>
    </row>
    <row r="368" spans="2:6" ht="12" customHeight="1" x14ac:dyDescent="0.15">
      <c r="B368" s="2"/>
      <c r="C368" s="3"/>
      <c r="D368" s="3"/>
      <c r="E368" s="3"/>
      <c r="F368" s="4"/>
    </row>
    <row r="369" spans="2:6" ht="12" customHeight="1" x14ac:dyDescent="0.15">
      <c r="B369" s="2"/>
      <c r="C369" s="3"/>
      <c r="D369" s="3"/>
      <c r="E369" s="3"/>
      <c r="F369" s="4"/>
    </row>
    <row r="370" spans="2:6" ht="12" customHeight="1" x14ac:dyDescent="0.15">
      <c r="B370" s="2"/>
      <c r="C370" s="3"/>
      <c r="D370" s="3"/>
      <c r="E370" s="3"/>
      <c r="F370" s="4"/>
    </row>
    <row r="371" spans="2:6" ht="12" customHeight="1" x14ac:dyDescent="0.15">
      <c r="B371" s="2"/>
      <c r="C371" s="3"/>
      <c r="D371" s="3"/>
      <c r="E371" s="3"/>
      <c r="F371" s="4"/>
    </row>
    <row r="372" spans="2:6" ht="12" customHeight="1" x14ac:dyDescent="0.15">
      <c r="B372" s="2"/>
      <c r="C372" s="3"/>
      <c r="D372" s="3"/>
      <c r="E372" s="3"/>
      <c r="F372" s="4"/>
    </row>
    <row r="373" spans="2:6" ht="12" customHeight="1" x14ac:dyDescent="0.15">
      <c r="B373" s="2"/>
      <c r="C373" s="3"/>
      <c r="D373" s="3"/>
      <c r="E373" s="3"/>
      <c r="F373" s="4"/>
    </row>
    <row r="374" spans="2:6" ht="12" customHeight="1" x14ac:dyDescent="0.15">
      <c r="B374" s="2"/>
      <c r="C374" s="3"/>
      <c r="D374" s="3"/>
      <c r="E374" s="3"/>
      <c r="F374" s="4"/>
    </row>
    <row r="375" spans="2:6" ht="12" customHeight="1" x14ac:dyDescent="0.15">
      <c r="B375" s="2"/>
      <c r="C375" s="3"/>
      <c r="D375" s="3"/>
      <c r="E375" s="3"/>
      <c r="F375" s="4"/>
    </row>
    <row r="376" spans="2:6" ht="12" customHeight="1" x14ac:dyDescent="0.15">
      <c r="B376" s="2"/>
      <c r="C376" s="3"/>
      <c r="D376" s="3"/>
      <c r="E376" s="3"/>
      <c r="F376" s="4"/>
    </row>
    <row r="377" spans="2:6" ht="12" customHeight="1" x14ac:dyDescent="0.15">
      <c r="B377" s="2"/>
      <c r="C377" s="3"/>
      <c r="D377" s="3"/>
      <c r="E377" s="3"/>
      <c r="F377" s="4"/>
    </row>
    <row r="378" spans="2:6" ht="12" customHeight="1" x14ac:dyDescent="0.15">
      <c r="B378" s="2"/>
      <c r="C378" s="3"/>
      <c r="D378" s="3"/>
      <c r="E378" s="3"/>
      <c r="F378" s="4"/>
    </row>
    <row r="379" spans="2:6" ht="12" customHeight="1" x14ac:dyDescent="0.15">
      <c r="B379" s="2"/>
      <c r="C379" s="3"/>
      <c r="D379" s="3"/>
      <c r="E379" s="3"/>
      <c r="F379" s="4"/>
    </row>
    <row r="380" spans="2:6" ht="12" customHeight="1" x14ac:dyDescent="0.15">
      <c r="B380" s="2"/>
      <c r="C380" s="3"/>
      <c r="D380" s="3"/>
      <c r="E380" s="3"/>
      <c r="F380" s="4"/>
    </row>
    <row r="381" spans="2:6" ht="12" customHeight="1" x14ac:dyDescent="0.15">
      <c r="B381" s="2"/>
      <c r="C381" s="3"/>
      <c r="D381" s="3"/>
      <c r="E381" s="3"/>
      <c r="F381" s="4"/>
    </row>
    <row r="382" spans="2:6" ht="12" customHeight="1" x14ac:dyDescent="0.15">
      <c r="B382" s="2"/>
      <c r="C382" s="3"/>
      <c r="D382" s="3"/>
      <c r="E382" s="3"/>
      <c r="F382" s="4"/>
    </row>
    <row r="383" spans="2:6" ht="12" customHeight="1" x14ac:dyDescent="0.15">
      <c r="B383" s="2"/>
      <c r="C383" s="3"/>
      <c r="D383" s="3"/>
      <c r="E383" s="3"/>
      <c r="F383" s="4"/>
    </row>
    <row r="384" spans="2:6" ht="12" customHeight="1" x14ac:dyDescent="0.15">
      <c r="B384" s="2"/>
      <c r="C384" s="3"/>
      <c r="D384" s="3"/>
      <c r="E384" s="3"/>
      <c r="F384" s="4"/>
    </row>
    <row r="385" spans="2:6" ht="12" customHeight="1" x14ac:dyDescent="0.15">
      <c r="B385" s="2"/>
      <c r="C385" s="3"/>
      <c r="D385" s="3"/>
      <c r="E385" s="3"/>
      <c r="F385" s="4"/>
    </row>
    <row r="386" spans="2:6" ht="12" customHeight="1" x14ac:dyDescent="0.15">
      <c r="B386" s="2"/>
      <c r="C386" s="3"/>
      <c r="D386" s="3"/>
      <c r="E386" s="3"/>
      <c r="F386" s="4"/>
    </row>
    <row r="387" spans="2:6" ht="12" customHeight="1" x14ac:dyDescent="0.15">
      <c r="B387" s="2"/>
      <c r="C387" s="3"/>
      <c r="D387" s="3"/>
      <c r="E387" s="3"/>
      <c r="F387" s="4"/>
    </row>
    <row r="388" spans="2:6" ht="12" customHeight="1" x14ac:dyDescent="0.15">
      <c r="B388" s="2"/>
      <c r="C388" s="3"/>
      <c r="D388" s="3"/>
      <c r="E388" s="3"/>
      <c r="F388" s="4"/>
    </row>
    <row r="389" spans="2:6" ht="12" customHeight="1" x14ac:dyDescent="0.15">
      <c r="B389" s="2"/>
      <c r="C389" s="3"/>
      <c r="D389" s="3"/>
      <c r="E389" s="3"/>
      <c r="F389" s="4"/>
    </row>
    <row r="390" spans="2:6" ht="12" customHeight="1" x14ac:dyDescent="0.15">
      <c r="B390" s="2"/>
      <c r="C390" s="3"/>
      <c r="D390" s="3"/>
      <c r="E390" s="3"/>
      <c r="F390" s="4"/>
    </row>
    <row r="391" spans="2:6" ht="12" customHeight="1" x14ac:dyDescent="0.15">
      <c r="B391" s="2"/>
      <c r="C391" s="3"/>
      <c r="D391" s="3"/>
      <c r="E391" s="3"/>
      <c r="F391" s="4"/>
    </row>
    <row r="392" spans="2:6" ht="12" customHeight="1" x14ac:dyDescent="0.15">
      <c r="B392" s="2"/>
      <c r="C392" s="3"/>
      <c r="D392" s="3"/>
      <c r="E392" s="3"/>
      <c r="F392" s="4"/>
    </row>
    <row r="393" spans="2:6" ht="12" customHeight="1" x14ac:dyDescent="0.15">
      <c r="B393" s="2"/>
      <c r="C393" s="3"/>
      <c r="D393" s="3"/>
      <c r="E393" s="3"/>
      <c r="F393" s="4"/>
    </row>
    <row r="394" spans="2:6" ht="12" customHeight="1" x14ac:dyDescent="0.15">
      <c r="B394" s="2"/>
      <c r="C394" s="3"/>
      <c r="D394" s="3"/>
      <c r="E394" s="3"/>
      <c r="F394" s="4"/>
    </row>
    <row r="395" spans="2:6" ht="12" customHeight="1" x14ac:dyDescent="0.15">
      <c r="B395" s="2"/>
      <c r="C395" s="3"/>
      <c r="D395" s="3"/>
      <c r="E395" s="3"/>
      <c r="F395" s="4"/>
    </row>
    <row r="396" spans="2:6" ht="12" customHeight="1" x14ac:dyDescent="0.15">
      <c r="B396" s="2"/>
      <c r="C396" s="3"/>
      <c r="D396" s="3"/>
      <c r="E396" s="3"/>
      <c r="F396" s="4"/>
    </row>
    <row r="397" spans="2:6" ht="12" customHeight="1" x14ac:dyDescent="0.15">
      <c r="B397" s="2"/>
      <c r="C397" s="3"/>
      <c r="D397" s="3"/>
      <c r="E397" s="3"/>
      <c r="F397" s="4"/>
    </row>
    <row r="398" spans="2:6" ht="12" customHeight="1" x14ac:dyDescent="0.15">
      <c r="B398" s="2"/>
      <c r="C398" s="3"/>
      <c r="D398" s="3"/>
      <c r="E398" s="3"/>
      <c r="F398" s="4"/>
    </row>
    <row r="399" spans="2:6" ht="12" customHeight="1" x14ac:dyDescent="0.15">
      <c r="B399" s="2"/>
      <c r="C399" s="3"/>
      <c r="D399" s="3"/>
      <c r="E399" s="3"/>
      <c r="F399" s="4"/>
    </row>
    <row r="400" spans="2:6" ht="12" customHeight="1" x14ac:dyDescent="0.15">
      <c r="B400" s="2"/>
      <c r="C400" s="3"/>
      <c r="D400" s="3"/>
      <c r="E400" s="3"/>
      <c r="F400" s="4"/>
    </row>
    <row r="401" spans="2:6" ht="12" customHeight="1" x14ac:dyDescent="0.15">
      <c r="B401" s="2"/>
      <c r="C401" s="3"/>
      <c r="D401" s="3"/>
      <c r="E401" s="3"/>
      <c r="F401" s="4"/>
    </row>
    <row r="402" spans="2:6" ht="12" customHeight="1" x14ac:dyDescent="0.15">
      <c r="B402" s="2"/>
      <c r="C402" s="3"/>
      <c r="D402" s="3"/>
      <c r="E402" s="3"/>
      <c r="F402" s="4"/>
    </row>
    <row r="403" spans="2:6" ht="12" customHeight="1" x14ac:dyDescent="0.15">
      <c r="B403" s="2"/>
      <c r="C403" s="3"/>
      <c r="D403" s="3"/>
      <c r="E403" s="3"/>
      <c r="F403" s="4"/>
    </row>
    <row r="404" spans="2:6" ht="12" customHeight="1" x14ac:dyDescent="0.15">
      <c r="B404" s="2"/>
      <c r="C404" s="3"/>
      <c r="D404" s="3"/>
      <c r="E404" s="3"/>
      <c r="F404" s="4"/>
    </row>
    <row r="405" spans="2:6" ht="12" customHeight="1" x14ac:dyDescent="0.15">
      <c r="B405" s="2"/>
      <c r="C405" s="3"/>
      <c r="D405" s="3"/>
      <c r="E405" s="3"/>
      <c r="F405" s="4"/>
    </row>
    <row r="406" spans="2:6" ht="12" customHeight="1" x14ac:dyDescent="0.15">
      <c r="B406" s="2"/>
      <c r="C406" s="3"/>
      <c r="D406" s="3"/>
      <c r="E406" s="3"/>
      <c r="F406" s="4"/>
    </row>
    <row r="407" spans="2:6" ht="12" customHeight="1" x14ac:dyDescent="0.15">
      <c r="B407" s="2"/>
      <c r="C407" s="3"/>
      <c r="D407" s="3"/>
      <c r="E407" s="3"/>
      <c r="F407" s="4"/>
    </row>
    <row r="408" spans="2:6" ht="12" customHeight="1" x14ac:dyDescent="0.15">
      <c r="B408" s="2"/>
      <c r="C408" s="3"/>
      <c r="D408" s="3"/>
      <c r="E408" s="3"/>
      <c r="F408" s="4"/>
    </row>
    <row r="409" spans="2:6" ht="12" customHeight="1" x14ac:dyDescent="0.15">
      <c r="B409" s="2"/>
      <c r="C409" s="3"/>
      <c r="D409" s="3"/>
      <c r="E409" s="3"/>
      <c r="F409" s="4"/>
    </row>
    <row r="410" spans="2:6" ht="12" customHeight="1" x14ac:dyDescent="0.15">
      <c r="B410" s="2"/>
      <c r="C410" s="3"/>
      <c r="D410" s="3"/>
      <c r="E410" s="3"/>
      <c r="F410" s="4"/>
    </row>
    <row r="411" spans="2:6" ht="12" customHeight="1" x14ac:dyDescent="0.15">
      <c r="B411" s="2"/>
      <c r="C411" s="3"/>
      <c r="D411" s="3"/>
      <c r="E411" s="3"/>
      <c r="F411" s="4"/>
    </row>
    <row r="412" spans="2:6" ht="12" customHeight="1" x14ac:dyDescent="0.15">
      <c r="B412" s="2"/>
      <c r="C412" s="3"/>
      <c r="D412" s="3"/>
      <c r="E412" s="3"/>
      <c r="F412" s="4"/>
    </row>
    <row r="413" spans="2:6" ht="12" customHeight="1" x14ac:dyDescent="0.15">
      <c r="B413" s="2"/>
      <c r="C413" s="3"/>
      <c r="D413" s="3"/>
      <c r="E413" s="3"/>
      <c r="F413" s="4"/>
    </row>
    <row r="414" spans="2:6" ht="12" customHeight="1" x14ac:dyDescent="0.15">
      <c r="B414" s="2"/>
      <c r="C414" s="3"/>
      <c r="D414" s="3"/>
      <c r="E414" s="3"/>
      <c r="F414" s="4"/>
    </row>
    <row r="415" spans="2:6" ht="12" customHeight="1" x14ac:dyDescent="0.15">
      <c r="B415" s="2"/>
      <c r="C415" s="3"/>
      <c r="D415" s="3"/>
      <c r="E415" s="3"/>
      <c r="F415" s="4"/>
    </row>
    <row r="416" spans="2:6" ht="12" customHeight="1" x14ac:dyDescent="0.15">
      <c r="B416" s="2"/>
      <c r="C416" s="3"/>
      <c r="D416" s="3"/>
      <c r="E416" s="3"/>
      <c r="F416" s="4"/>
    </row>
    <row r="417" spans="2:6" ht="12" customHeight="1" x14ac:dyDescent="0.15">
      <c r="B417" s="2"/>
      <c r="C417" s="3"/>
      <c r="D417" s="3"/>
      <c r="E417" s="3"/>
      <c r="F417" s="4"/>
    </row>
    <row r="418" spans="2:6" ht="12" customHeight="1" x14ac:dyDescent="0.15">
      <c r="B418" s="2"/>
      <c r="C418" s="3"/>
      <c r="D418" s="3"/>
      <c r="E418" s="3"/>
      <c r="F418" s="4"/>
    </row>
    <row r="419" spans="2:6" ht="12" customHeight="1" x14ac:dyDescent="0.15">
      <c r="B419" s="2"/>
      <c r="C419" s="3"/>
      <c r="D419" s="3"/>
      <c r="E419" s="3"/>
      <c r="F419" s="4"/>
    </row>
    <row r="420" spans="2:6" ht="12" customHeight="1" x14ac:dyDescent="0.15">
      <c r="B420" s="2"/>
      <c r="C420" s="3"/>
      <c r="D420" s="3"/>
      <c r="E420" s="3"/>
      <c r="F420" s="4"/>
    </row>
    <row r="421" spans="2:6" ht="12" customHeight="1" x14ac:dyDescent="0.15">
      <c r="B421" s="2"/>
      <c r="C421" s="3"/>
      <c r="D421" s="3"/>
      <c r="E421" s="3"/>
      <c r="F421" s="4"/>
    </row>
    <row r="422" spans="2:6" ht="12" customHeight="1" x14ac:dyDescent="0.15">
      <c r="B422" s="2"/>
      <c r="C422" s="3"/>
      <c r="D422" s="3"/>
      <c r="E422" s="3"/>
      <c r="F422" s="4"/>
    </row>
    <row r="423" spans="2:6" ht="12" customHeight="1" x14ac:dyDescent="0.15">
      <c r="B423" s="2"/>
      <c r="C423" s="3"/>
      <c r="D423" s="3"/>
      <c r="E423" s="3"/>
      <c r="F423" s="4"/>
    </row>
    <row r="424" spans="2:6" ht="12" customHeight="1" x14ac:dyDescent="0.15">
      <c r="B424" s="2"/>
      <c r="C424" s="3"/>
      <c r="D424" s="3"/>
      <c r="E424" s="3"/>
      <c r="F424" s="4"/>
    </row>
    <row r="425" spans="2:6" ht="12" customHeight="1" x14ac:dyDescent="0.15">
      <c r="B425" s="2"/>
      <c r="C425" s="3"/>
      <c r="D425" s="3"/>
      <c r="E425" s="3"/>
      <c r="F425" s="4"/>
    </row>
    <row r="426" spans="2:6" ht="12" customHeight="1" x14ac:dyDescent="0.15">
      <c r="B426" s="2"/>
      <c r="C426" s="3"/>
      <c r="D426" s="3"/>
      <c r="E426" s="3"/>
      <c r="F426" s="4"/>
    </row>
    <row r="427" spans="2:6" ht="12" customHeight="1" x14ac:dyDescent="0.15">
      <c r="B427" s="2"/>
      <c r="C427" s="3"/>
      <c r="D427" s="3"/>
      <c r="E427" s="3"/>
      <c r="F427" s="4"/>
    </row>
    <row r="428" spans="2:6" ht="12" customHeight="1" x14ac:dyDescent="0.15">
      <c r="B428" s="2"/>
      <c r="C428" s="3"/>
      <c r="D428" s="3"/>
      <c r="E428" s="3"/>
      <c r="F428" s="4"/>
    </row>
    <row r="429" spans="2:6" ht="12" customHeight="1" x14ac:dyDescent="0.15">
      <c r="B429" s="2"/>
      <c r="C429" s="3"/>
      <c r="D429" s="3"/>
      <c r="E429" s="3"/>
      <c r="F429" s="4"/>
    </row>
    <row r="430" spans="2:6" ht="12" customHeight="1" x14ac:dyDescent="0.15">
      <c r="B430" s="2"/>
      <c r="C430" s="3"/>
      <c r="D430" s="3"/>
      <c r="E430" s="3"/>
      <c r="F430" s="4"/>
    </row>
    <row r="431" spans="2:6" ht="12" customHeight="1" x14ac:dyDescent="0.15">
      <c r="B431" s="2"/>
      <c r="C431" s="3"/>
      <c r="D431" s="3"/>
      <c r="E431" s="3"/>
      <c r="F431" s="4"/>
    </row>
    <row r="432" spans="2:6" ht="12" customHeight="1" x14ac:dyDescent="0.15">
      <c r="B432" s="2"/>
      <c r="C432" s="3"/>
      <c r="D432" s="3"/>
      <c r="E432" s="3"/>
      <c r="F432" s="4"/>
    </row>
    <row r="433" spans="2:6" ht="12" customHeight="1" x14ac:dyDescent="0.15">
      <c r="B433" s="2"/>
      <c r="C433" s="3"/>
      <c r="D433" s="3"/>
      <c r="E433" s="3"/>
      <c r="F433" s="4"/>
    </row>
    <row r="434" spans="2:6" ht="12" customHeight="1" x14ac:dyDescent="0.15">
      <c r="B434" s="2"/>
      <c r="C434" s="3"/>
      <c r="D434" s="3"/>
      <c r="E434" s="3"/>
      <c r="F434" s="4"/>
    </row>
    <row r="435" spans="2:6" ht="12" customHeight="1" x14ac:dyDescent="0.15">
      <c r="B435" s="2"/>
      <c r="C435" s="3"/>
      <c r="D435" s="3"/>
      <c r="E435" s="3"/>
      <c r="F435" s="4"/>
    </row>
    <row r="436" spans="2:6" ht="12" customHeight="1" x14ac:dyDescent="0.15">
      <c r="B436" s="2"/>
      <c r="C436" s="3"/>
      <c r="D436" s="3"/>
      <c r="E436" s="3"/>
      <c r="F436" s="4"/>
    </row>
    <row r="437" spans="2:6" ht="12" customHeight="1" x14ac:dyDescent="0.15">
      <c r="B437" s="2"/>
      <c r="C437" s="3"/>
      <c r="D437" s="3"/>
      <c r="E437" s="3"/>
      <c r="F437" s="4"/>
    </row>
    <row r="438" spans="2:6" ht="12" customHeight="1" x14ac:dyDescent="0.15">
      <c r="B438" s="2"/>
      <c r="C438" s="3"/>
      <c r="D438" s="3"/>
      <c r="E438" s="3"/>
      <c r="F438" s="4"/>
    </row>
    <row r="439" spans="2:6" ht="12" customHeight="1" x14ac:dyDescent="0.15">
      <c r="B439" s="2"/>
      <c r="C439" s="3"/>
      <c r="D439" s="3"/>
      <c r="E439" s="3"/>
      <c r="F439" s="4"/>
    </row>
    <row r="440" spans="2:6" ht="12" customHeight="1" x14ac:dyDescent="0.15">
      <c r="B440" s="2"/>
      <c r="C440" s="3"/>
      <c r="D440" s="3"/>
      <c r="E440" s="3"/>
      <c r="F440" s="4"/>
    </row>
    <row r="441" spans="2:6" ht="12" customHeight="1" x14ac:dyDescent="0.15">
      <c r="B441" s="2"/>
      <c r="C441" s="3"/>
      <c r="D441" s="3"/>
      <c r="E441" s="3"/>
      <c r="F441" s="4"/>
    </row>
    <row r="442" spans="2:6" ht="12" customHeight="1" x14ac:dyDescent="0.15">
      <c r="B442" s="2"/>
      <c r="C442" s="3"/>
      <c r="D442" s="3"/>
      <c r="E442" s="3"/>
      <c r="F442" s="4"/>
    </row>
    <row r="443" spans="2:6" ht="12" customHeight="1" x14ac:dyDescent="0.15">
      <c r="B443" s="2"/>
      <c r="C443" s="3"/>
      <c r="D443" s="3"/>
      <c r="E443" s="3"/>
      <c r="F443" s="4"/>
    </row>
    <row r="444" spans="2:6" ht="12" customHeight="1" x14ac:dyDescent="0.15">
      <c r="B444" s="2"/>
      <c r="C444" s="3"/>
      <c r="D444" s="3"/>
      <c r="E444" s="3"/>
      <c r="F444" s="4"/>
    </row>
    <row r="445" spans="2:6" ht="12" customHeight="1" x14ac:dyDescent="0.15">
      <c r="B445" s="2"/>
      <c r="C445" s="3"/>
      <c r="D445" s="3"/>
      <c r="E445" s="3"/>
      <c r="F445" s="4"/>
    </row>
    <row r="446" spans="2:6" ht="12" customHeight="1" x14ac:dyDescent="0.15">
      <c r="B446" s="2"/>
      <c r="C446" s="3"/>
      <c r="D446" s="3"/>
      <c r="E446" s="3"/>
      <c r="F446" s="4"/>
    </row>
    <row r="447" spans="2:6" ht="12" customHeight="1" x14ac:dyDescent="0.15">
      <c r="B447" s="2"/>
      <c r="C447" s="3"/>
      <c r="D447" s="3"/>
      <c r="E447" s="3"/>
      <c r="F447" s="4"/>
    </row>
    <row r="448" spans="2:6" ht="12" customHeight="1" x14ac:dyDescent="0.15">
      <c r="B448" s="2"/>
      <c r="C448" s="3"/>
      <c r="D448" s="3"/>
      <c r="E448" s="3"/>
      <c r="F448" s="4"/>
    </row>
    <row r="449" spans="2:6" ht="12" customHeight="1" x14ac:dyDescent="0.15">
      <c r="B449" s="2"/>
      <c r="C449" s="3"/>
      <c r="D449" s="3"/>
      <c r="E449" s="3"/>
      <c r="F449" s="4"/>
    </row>
    <row r="450" spans="2:6" ht="12" customHeight="1" x14ac:dyDescent="0.15">
      <c r="B450" s="2"/>
      <c r="C450" s="3"/>
      <c r="D450" s="3"/>
      <c r="E450" s="3"/>
      <c r="F450" s="4"/>
    </row>
    <row r="451" spans="2:6" ht="12" customHeight="1" x14ac:dyDescent="0.15">
      <c r="B451" s="2"/>
      <c r="C451" s="3"/>
      <c r="D451" s="3"/>
      <c r="E451" s="3"/>
      <c r="F451" s="4"/>
    </row>
    <row r="452" spans="2:6" ht="12" customHeight="1" x14ac:dyDescent="0.15">
      <c r="B452" s="2"/>
      <c r="C452" s="3"/>
      <c r="D452" s="3"/>
      <c r="E452" s="3"/>
      <c r="F452" s="4"/>
    </row>
    <row r="453" spans="2:6" ht="12" customHeight="1" x14ac:dyDescent="0.15">
      <c r="B453" s="2"/>
      <c r="C453" s="3"/>
      <c r="D453" s="3"/>
      <c r="E453" s="3"/>
      <c r="F453" s="4"/>
    </row>
    <row r="454" spans="2:6" ht="12" customHeight="1" x14ac:dyDescent="0.15">
      <c r="B454" s="2"/>
      <c r="C454" s="3"/>
      <c r="D454" s="3"/>
      <c r="E454" s="3"/>
      <c r="F454" s="4"/>
    </row>
    <row r="455" spans="2:6" ht="12" customHeight="1" x14ac:dyDescent="0.15">
      <c r="B455" s="2"/>
      <c r="C455" s="3"/>
      <c r="D455" s="3"/>
      <c r="E455" s="3"/>
      <c r="F455" s="4"/>
    </row>
    <row r="456" spans="2:6" ht="12" customHeight="1" x14ac:dyDescent="0.15">
      <c r="B456" s="2"/>
      <c r="C456" s="3"/>
      <c r="D456" s="3"/>
      <c r="E456" s="3"/>
      <c r="F456" s="4"/>
    </row>
    <row r="457" spans="2:6" ht="12" customHeight="1" x14ac:dyDescent="0.15">
      <c r="B457" s="2"/>
      <c r="C457" s="3"/>
      <c r="D457" s="3"/>
      <c r="E457" s="3"/>
      <c r="F457" s="4"/>
    </row>
    <row r="458" spans="2:6" ht="12" customHeight="1" x14ac:dyDescent="0.15">
      <c r="B458" s="2"/>
      <c r="C458" s="3"/>
      <c r="D458" s="3"/>
      <c r="E458" s="3"/>
      <c r="F458" s="4"/>
    </row>
    <row r="459" spans="2:6" ht="12" customHeight="1" x14ac:dyDescent="0.15">
      <c r="B459" s="2"/>
      <c r="C459" s="3"/>
      <c r="D459" s="3"/>
      <c r="E459" s="3"/>
      <c r="F459" s="4"/>
    </row>
    <row r="460" spans="2:6" ht="12" customHeight="1" x14ac:dyDescent="0.15">
      <c r="B460" s="2"/>
      <c r="C460" s="3"/>
      <c r="D460" s="3"/>
      <c r="E460" s="3"/>
      <c r="F460" s="4"/>
    </row>
    <row r="461" spans="2:6" ht="12" customHeight="1" x14ac:dyDescent="0.15">
      <c r="B461" s="2"/>
      <c r="C461" s="3"/>
      <c r="D461" s="3"/>
      <c r="E461" s="3"/>
      <c r="F461" s="4"/>
    </row>
    <row r="462" spans="2:6" ht="12" customHeight="1" x14ac:dyDescent="0.15">
      <c r="B462" s="2"/>
      <c r="C462" s="3"/>
      <c r="D462" s="3"/>
      <c r="E462" s="3"/>
      <c r="F462" s="4"/>
    </row>
    <row r="463" spans="2:6" ht="12" customHeight="1" x14ac:dyDescent="0.15">
      <c r="B463" s="2"/>
      <c r="C463" s="3"/>
      <c r="D463" s="3"/>
      <c r="E463" s="3"/>
      <c r="F463" s="4"/>
    </row>
    <row r="464" spans="2:6" ht="12" customHeight="1" x14ac:dyDescent="0.15">
      <c r="B464" s="2"/>
      <c r="C464" s="3"/>
      <c r="D464" s="3"/>
      <c r="E464" s="3"/>
      <c r="F464" s="4"/>
    </row>
    <row r="465" spans="2:6" ht="12" customHeight="1" x14ac:dyDescent="0.15">
      <c r="B465" s="2"/>
      <c r="C465" s="3"/>
      <c r="D465" s="3"/>
      <c r="E465" s="3"/>
      <c r="F465" s="4"/>
    </row>
    <row r="466" spans="2:6" ht="12" customHeight="1" x14ac:dyDescent="0.15">
      <c r="B466" s="2"/>
      <c r="C466" s="3"/>
      <c r="D466" s="3"/>
      <c r="E466" s="3"/>
      <c r="F466" s="4"/>
    </row>
    <row r="467" spans="2:6" ht="12" customHeight="1" x14ac:dyDescent="0.15">
      <c r="B467" s="2"/>
      <c r="C467" s="3"/>
      <c r="D467" s="3"/>
      <c r="E467" s="3"/>
      <c r="F467" s="4"/>
    </row>
    <row r="468" spans="2:6" ht="12" customHeight="1" x14ac:dyDescent="0.15">
      <c r="B468" s="2"/>
      <c r="C468" s="3"/>
      <c r="D468" s="3"/>
      <c r="E468" s="3"/>
      <c r="F468" s="4"/>
    </row>
    <row r="469" spans="2:6" ht="12" customHeight="1" x14ac:dyDescent="0.15">
      <c r="B469" s="2"/>
      <c r="C469" s="3"/>
      <c r="D469" s="3"/>
      <c r="E469" s="3"/>
      <c r="F469" s="4"/>
    </row>
    <row r="470" spans="2:6" ht="12" customHeight="1" x14ac:dyDescent="0.15">
      <c r="B470" s="2"/>
      <c r="C470" s="3"/>
      <c r="D470" s="3"/>
      <c r="E470" s="3"/>
      <c r="F470" s="4"/>
    </row>
    <row r="471" spans="2:6" ht="12" customHeight="1" x14ac:dyDescent="0.15">
      <c r="B471" s="2"/>
      <c r="C471" s="3"/>
      <c r="D471" s="3"/>
      <c r="E471" s="3"/>
      <c r="F471" s="4"/>
    </row>
    <row r="472" spans="2:6" ht="12" customHeight="1" x14ac:dyDescent="0.15">
      <c r="B472" s="2"/>
      <c r="C472" s="3"/>
      <c r="D472" s="3"/>
      <c r="E472" s="3"/>
      <c r="F472" s="4"/>
    </row>
    <row r="473" spans="2:6" ht="12" customHeight="1" x14ac:dyDescent="0.15">
      <c r="B473" s="2"/>
      <c r="C473" s="3"/>
      <c r="D473" s="3"/>
      <c r="E473" s="3"/>
      <c r="F473" s="4"/>
    </row>
    <row r="474" spans="2:6" ht="12" customHeight="1" x14ac:dyDescent="0.15">
      <c r="B474" s="2"/>
      <c r="C474" s="3"/>
      <c r="D474" s="3"/>
      <c r="E474" s="3"/>
      <c r="F474" s="4"/>
    </row>
    <row r="475" spans="2:6" ht="12" customHeight="1" x14ac:dyDescent="0.15">
      <c r="B475" s="2"/>
      <c r="C475" s="3"/>
      <c r="D475" s="3"/>
      <c r="E475" s="3"/>
      <c r="F475" s="4"/>
    </row>
    <row r="476" spans="2:6" ht="12" customHeight="1" x14ac:dyDescent="0.15">
      <c r="B476" s="2"/>
      <c r="C476" s="3"/>
      <c r="D476" s="3"/>
      <c r="E476" s="3"/>
      <c r="F476" s="4"/>
    </row>
    <row r="477" spans="2:6" ht="12" customHeight="1" x14ac:dyDescent="0.15">
      <c r="B477" s="2"/>
      <c r="C477" s="3"/>
      <c r="D477" s="3"/>
      <c r="E477" s="3"/>
      <c r="F477" s="4"/>
    </row>
    <row r="478" spans="2:6" ht="12" customHeight="1" x14ac:dyDescent="0.15">
      <c r="B478" s="2"/>
      <c r="C478" s="3"/>
      <c r="D478" s="3"/>
      <c r="E478" s="3"/>
      <c r="F478" s="4"/>
    </row>
    <row r="479" spans="2:6" ht="12" customHeight="1" x14ac:dyDescent="0.15">
      <c r="B479" s="2"/>
      <c r="C479" s="3"/>
      <c r="D479" s="3"/>
      <c r="E479" s="3"/>
      <c r="F479" s="4"/>
    </row>
    <row r="480" spans="2:6" ht="12" customHeight="1" x14ac:dyDescent="0.15">
      <c r="B480" s="2"/>
      <c r="C480" s="3"/>
      <c r="D480" s="3"/>
      <c r="E480" s="3"/>
      <c r="F480" s="4"/>
    </row>
    <row r="481" spans="2:6" ht="12" customHeight="1" x14ac:dyDescent="0.15">
      <c r="B481" s="2"/>
      <c r="C481" s="3"/>
      <c r="D481" s="3"/>
      <c r="E481" s="3"/>
      <c r="F481" s="4"/>
    </row>
    <row r="482" spans="2:6" ht="12" customHeight="1" x14ac:dyDescent="0.15">
      <c r="B482" s="2"/>
      <c r="C482" s="3"/>
      <c r="D482" s="3"/>
      <c r="E482" s="3"/>
      <c r="F482" s="4"/>
    </row>
    <row r="483" spans="2:6" ht="12" customHeight="1" x14ac:dyDescent="0.15">
      <c r="B483" s="2"/>
      <c r="C483" s="3"/>
      <c r="D483" s="3"/>
      <c r="E483" s="3"/>
      <c r="F483" s="4"/>
    </row>
    <row r="484" spans="2:6" ht="12" customHeight="1" x14ac:dyDescent="0.15">
      <c r="B484" s="2"/>
      <c r="C484" s="3"/>
      <c r="D484" s="3"/>
      <c r="E484" s="3"/>
      <c r="F484" s="4"/>
    </row>
    <row r="485" spans="2:6" ht="12" customHeight="1" x14ac:dyDescent="0.15">
      <c r="B485" s="2"/>
      <c r="C485" s="3"/>
      <c r="D485" s="3"/>
      <c r="E485" s="3"/>
      <c r="F485" s="4"/>
    </row>
    <row r="486" spans="2:6" ht="12" customHeight="1" x14ac:dyDescent="0.15">
      <c r="B486" s="2"/>
      <c r="C486" s="3"/>
      <c r="D486" s="3"/>
      <c r="E486" s="3"/>
      <c r="F486" s="4"/>
    </row>
    <row r="487" spans="2:6" ht="12" customHeight="1" x14ac:dyDescent="0.15">
      <c r="B487" s="2"/>
      <c r="C487" s="3"/>
      <c r="D487" s="3"/>
      <c r="E487" s="3"/>
      <c r="F487" s="4"/>
    </row>
    <row r="488" spans="2:6" ht="12" customHeight="1" x14ac:dyDescent="0.15">
      <c r="B488" s="2"/>
      <c r="C488" s="3"/>
      <c r="D488" s="3"/>
      <c r="E488" s="3"/>
      <c r="F488" s="4"/>
    </row>
    <row r="489" spans="2:6" ht="12" customHeight="1" x14ac:dyDescent="0.15">
      <c r="B489" s="2"/>
      <c r="C489" s="3"/>
      <c r="D489" s="3"/>
      <c r="E489" s="3"/>
      <c r="F489" s="4"/>
    </row>
    <row r="490" spans="2:6" ht="12" customHeight="1" x14ac:dyDescent="0.15">
      <c r="B490" s="2"/>
      <c r="C490" s="3"/>
      <c r="D490" s="3"/>
      <c r="E490" s="3"/>
      <c r="F490" s="4"/>
    </row>
    <row r="491" spans="2:6" ht="12" customHeight="1" x14ac:dyDescent="0.15">
      <c r="B491" s="2"/>
      <c r="C491" s="3"/>
      <c r="D491" s="3"/>
      <c r="E491" s="3"/>
      <c r="F491" s="4"/>
    </row>
    <row r="492" spans="2:6" ht="12" customHeight="1" x14ac:dyDescent="0.15">
      <c r="B492" s="2"/>
      <c r="C492" s="3"/>
      <c r="D492" s="3"/>
      <c r="E492" s="3"/>
      <c r="F492" s="4"/>
    </row>
    <row r="493" spans="2:6" ht="12" customHeight="1" x14ac:dyDescent="0.15">
      <c r="B493" s="2"/>
      <c r="C493" s="3"/>
      <c r="D493" s="3"/>
      <c r="E493" s="3"/>
      <c r="F493" s="4"/>
    </row>
    <row r="494" spans="2:6" ht="12" customHeight="1" x14ac:dyDescent="0.15">
      <c r="B494" s="2"/>
      <c r="C494" s="3"/>
      <c r="D494" s="3"/>
      <c r="E494" s="3"/>
      <c r="F494" s="4"/>
    </row>
    <row r="495" spans="2:6" ht="12" customHeight="1" x14ac:dyDescent="0.15">
      <c r="B495" s="2"/>
      <c r="C495" s="3"/>
      <c r="D495" s="3"/>
      <c r="E495" s="3"/>
      <c r="F495" s="4"/>
    </row>
    <row r="496" spans="2:6" ht="12" customHeight="1" x14ac:dyDescent="0.15">
      <c r="B496" s="2"/>
      <c r="C496" s="3"/>
      <c r="D496" s="3"/>
      <c r="E496" s="3"/>
      <c r="F496" s="4"/>
    </row>
    <row r="497" spans="2:6" ht="12" customHeight="1" x14ac:dyDescent="0.15">
      <c r="B497" s="2"/>
      <c r="C497" s="3"/>
      <c r="D497" s="3"/>
      <c r="E497" s="3"/>
      <c r="F497" s="4"/>
    </row>
    <row r="498" spans="2:6" ht="12" customHeight="1" x14ac:dyDescent="0.15">
      <c r="B498" s="2"/>
      <c r="C498" s="3"/>
      <c r="D498" s="3"/>
      <c r="E498" s="3"/>
      <c r="F498" s="4"/>
    </row>
    <row r="499" spans="2:6" ht="12" customHeight="1" x14ac:dyDescent="0.15">
      <c r="B499" s="2"/>
      <c r="C499" s="3"/>
      <c r="D499" s="3"/>
      <c r="E499" s="3"/>
      <c r="F499" s="4"/>
    </row>
    <row r="500" spans="2:6" ht="12" customHeight="1" x14ac:dyDescent="0.15">
      <c r="B500" s="2"/>
      <c r="C500" s="3"/>
      <c r="D500" s="3"/>
      <c r="E500" s="3"/>
      <c r="F500" s="4"/>
    </row>
    <row r="501" spans="2:6" ht="12" customHeight="1" x14ac:dyDescent="0.15">
      <c r="B501" s="2"/>
      <c r="C501" s="3"/>
      <c r="D501" s="3"/>
      <c r="E501" s="3"/>
      <c r="F501" s="4"/>
    </row>
    <row r="502" spans="2:6" ht="12" customHeight="1" x14ac:dyDescent="0.15">
      <c r="B502" s="2"/>
      <c r="C502" s="3"/>
      <c r="D502" s="3"/>
      <c r="E502" s="3"/>
      <c r="F502" s="4"/>
    </row>
    <row r="503" spans="2:6" ht="12" customHeight="1" x14ac:dyDescent="0.15">
      <c r="B503" s="2"/>
      <c r="C503" s="3"/>
      <c r="D503" s="3"/>
      <c r="E503" s="3"/>
      <c r="F503" s="4"/>
    </row>
    <row r="504" spans="2:6" ht="12" customHeight="1" x14ac:dyDescent="0.15">
      <c r="B504" s="2"/>
      <c r="C504" s="3"/>
      <c r="D504" s="3"/>
      <c r="E504" s="3"/>
      <c r="F504" s="4"/>
    </row>
    <row r="505" spans="2:6" ht="12" customHeight="1" x14ac:dyDescent="0.15">
      <c r="B505" s="2"/>
      <c r="C505" s="3"/>
      <c r="D505" s="3"/>
      <c r="E505" s="3"/>
      <c r="F505" s="4"/>
    </row>
    <row r="506" spans="2:6" ht="12" customHeight="1" x14ac:dyDescent="0.15">
      <c r="B506" s="2"/>
      <c r="C506" s="3"/>
      <c r="D506" s="3"/>
      <c r="E506" s="3"/>
      <c r="F506" s="4"/>
    </row>
    <row r="507" spans="2:6" ht="12" customHeight="1" x14ac:dyDescent="0.15">
      <c r="B507" s="2"/>
      <c r="C507" s="3"/>
      <c r="D507" s="3"/>
      <c r="E507" s="3"/>
      <c r="F507" s="4"/>
    </row>
    <row r="508" spans="2:6" ht="12" customHeight="1" x14ac:dyDescent="0.15">
      <c r="B508" s="2"/>
      <c r="C508" s="3"/>
      <c r="D508" s="3"/>
      <c r="E508" s="3"/>
      <c r="F508" s="4"/>
    </row>
    <row r="509" spans="2:6" ht="12" customHeight="1" x14ac:dyDescent="0.15">
      <c r="B509" s="2"/>
      <c r="C509" s="3"/>
      <c r="D509" s="3"/>
      <c r="E509" s="3"/>
      <c r="F509" s="4"/>
    </row>
    <row r="510" spans="2:6" ht="12" customHeight="1" x14ac:dyDescent="0.15">
      <c r="B510" s="2"/>
      <c r="C510" s="3"/>
      <c r="D510" s="3"/>
      <c r="E510" s="3"/>
      <c r="F510" s="4"/>
    </row>
    <row r="511" spans="2:6" ht="12" customHeight="1" x14ac:dyDescent="0.15">
      <c r="B511" s="2"/>
      <c r="C511" s="3"/>
      <c r="D511" s="3"/>
      <c r="E511" s="3"/>
      <c r="F511" s="4"/>
    </row>
    <row r="512" spans="2:6" ht="12" customHeight="1" x14ac:dyDescent="0.15">
      <c r="B512" s="2"/>
      <c r="C512" s="3"/>
      <c r="D512" s="3"/>
      <c r="E512" s="3"/>
      <c r="F512" s="4"/>
    </row>
    <row r="513" spans="2:6" ht="12" customHeight="1" x14ac:dyDescent="0.15">
      <c r="B513" s="2"/>
      <c r="C513" s="3"/>
      <c r="D513" s="3"/>
      <c r="E513" s="3"/>
      <c r="F513" s="4"/>
    </row>
    <row r="514" spans="2:6" ht="12" customHeight="1" x14ac:dyDescent="0.15">
      <c r="B514" s="2"/>
      <c r="C514" s="3"/>
      <c r="D514" s="3"/>
      <c r="E514" s="3"/>
      <c r="F514" s="4"/>
    </row>
    <row r="515" spans="2:6" ht="12" customHeight="1" x14ac:dyDescent="0.15">
      <c r="B515" s="2"/>
      <c r="C515" s="3"/>
      <c r="D515" s="3"/>
      <c r="E515" s="3"/>
      <c r="F515" s="4"/>
    </row>
    <row r="516" spans="2:6" ht="12" customHeight="1" x14ac:dyDescent="0.15">
      <c r="B516" s="2"/>
      <c r="C516" s="3"/>
      <c r="D516" s="3"/>
      <c r="E516" s="3"/>
      <c r="F516" s="4"/>
    </row>
    <row r="517" spans="2:6" ht="12" customHeight="1" x14ac:dyDescent="0.15">
      <c r="B517" s="2"/>
      <c r="C517" s="3"/>
      <c r="D517" s="3"/>
      <c r="E517" s="3"/>
      <c r="F517" s="4"/>
    </row>
    <row r="518" spans="2:6" ht="12" customHeight="1" x14ac:dyDescent="0.15">
      <c r="B518" s="2"/>
      <c r="C518" s="3"/>
      <c r="D518" s="3"/>
      <c r="E518" s="3"/>
      <c r="F518" s="4"/>
    </row>
    <row r="519" spans="2:6" ht="12" customHeight="1" x14ac:dyDescent="0.15">
      <c r="B519" s="2"/>
      <c r="C519" s="3"/>
      <c r="D519" s="3"/>
      <c r="E519" s="3"/>
      <c r="F519" s="4"/>
    </row>
    <row r="520" spans="2:6" ht="12" customHeight="1" x14ac:dyDescent="0.15">
      <c r="B520" s="2"/>
      <c r="C520" s="3"/>
      <c r="D520" s="3"/>
      <c r="E520" s="3"/>
      <c r="F520" s="4"/>
    </row>
    <row r="521" spans="2:6" ht="12" customHeight="1" x14ac:dyDescent="0.15">
      <c r="B521" s="2"/>
      <c r="C521" s="3"/>
      <c r="D521" s="3"/>
      <c r="E521" s="3"/>
      <c r="F521" s="4"/>
    </row>
    <row r="522" spans="2:6" ht="12" customHeight="1" x14ac:dyDescent="0.15">
      <c r="B522" s="2"/>
      <c r="C522" s="3"/>
      <c r="D522" s="3"/>
      <c r="E522" s="3"/>
      <c r="F522" s="4"/>
    </row>
    <row r="523" spans="2:6" ht="12" customHeight="1" x14ac:dyDescent="0.15">
      <c r="B523" s="2"/>
      <c r="C523" s="3"/>
      <c r="D523" s="3"/>
      <c r="E523" s="3"/>
      <c r="F523" s="4"/>
    </row>
    <row r="524" spans="2:6" ht="12" customHeight="1" x14ac:dyDescent="0.15">
      <c r="B524" s="2"/>
      <c r="C524" s="3"/>
      <c r="D524" s="3"/>
      <c r="E524" s="3"/>
      <c r="F524" s="4"/>
    </row>
    <row r="525" spans="2:6" ht="12" customHeight="1" x14ac:dyDescent="0.15">
      <c r="B525" s="2"/>
      <c r="C525" s="3"/>
      <c r="D525" s="3"/>
      <c r="E525" s="3"/>
      <c r="F525" s="4"/>
    </row>
    <row r="526" spans="2:6" ht="12" customHeight="1" x14ac:dyDescent="0.15">
      <c r="B526" s="2"/>
      <c r="C526" s="3"/>
      <c r="D526" s="3"/>
      <c r="E526" s="3"/>
      <c r="F526" s="4"/>
    </row>
    <row r="527" spans="2:6" ht="12" customHeight="1" x14ac:dyDescent="0.15">
      <c r="B527" s="2"/>
      <c r="C527" s="3"/>
      <c r="D527" s="3"/>
      <c r="E527" s="3"/>
      <c r="F527" s="4"/>
    </row>
    <row r="528" spans="2:6" ht="12" customHeight="1" x14ac:dyDescent="0.15">
      <c r="B528" s="2"/>
      <c r="C528" s="3"/>
      <c r="D528" s="3"/>
      <c r="E528" s="3"/>
      <c r="F528" s="4"/>
    </row>
    <row r="529" spans="2:6" ht="12" customHeight="1" x14ac:dyDescent="0.15">
      <c r="B529" s="2"/>
      <c r="C529" s="3"/>
      <c r="D529" s="3"/>
      <c r="E529" s="3"/>
      <c r="F529" s="4"/>
    </row>
    <row r="530" spans="2:6" ht="12" customHeight="1" x14ac:dyDescent="0.15">
      <c r="B530" s="2"/>
      <c r="C530" s="3"/>
      <c r="D530" s="3"/>
      <c r="E530" s="3"/>
      <c r="F530" s="4"/>
    </row>
    <row r="531" spans="2:6" ht="12" customHeight="1" x14ac:dyDescent="0.15">
      <c r="B531" s="2"/>
      <c r="C531" s="3"/>
      <c r="D531" s="3"/>
      <c r="E531" s="3"/>
      <c r="F531" s="4"/>
    </row>
    <row r="532" spans="2:6" ht="12" customHeight="1" x14ac:dyDescent="0.15">
      <c r="B532" s="2"/>
      <c r="C532" s="3"/>
      <c r="D532" s="3"/>
      <c r="E532" s="3"/>
      <c r="F532" s="4"/>
    </row>
    <row r="533" spans="2:6" ht="12" customHeight="1" x14ac:dyDescent="0.15">
      <c r="B533" s="2"/>
      <c r="C533" s="3"/>
      <c r="D533" s="3"/>
      <c r="E533" s="3"/>
      <c r="F533" s="4"/>
    </row>
    <row r="534" spans="2:6" ht="12" customHeight="1" x14ac:dyDescent="0.15">
      <c r="B534" s="2"/>
      <c r="C534" s="3"/>
      <c r="D534" s="3"/>
      <c r="E534" s="3"/>
      <c r="F534" s="4"/>
    </row>
    <row r="535" spans="2:6" ht="12" customHeight="1" x14ac:dyDescent="0.15">
      <c r="B535" s="2"/>
      <c r="C535" s="3"/>
      <c r="D535" s="3"/>
      <c r="E535" s="3"/>
      <c r="F535" s="4"/>
    </row>
    <row r="536" spans="2:6" ht="12" customHeight="1" x14ac:dyDescent="0.15">
      <c r="B536" s="2"/>
      <c r="C536" s="3"/>
      <c r="D536" s="3"/>
      <c r="E536" s="3"/>
      <c r="F536" s="4"/>
    </row>
    <row r="537" spans="2:6" ht="12" customHeight="1" x14ac:dyDescent="0.15">
      <c r="B537" s="2"/>
      <c r="C537" s="3"/>
      <c r="D537" s="3"/>
      <c r="E537" s="3"/>
      <c r="F537" s="4"/>
    </row>
    <row r="538" spans="2:6" ht="12" customHeight="1" x14ac:dyDescent="0.15">
      <c r="B538" s="2"/>
      <c r="C538" s="3"/>
      <c r="D538" s="3"/>
      <c r="E538" s="3"/>
      <c r="F538" s="4"/>
    </row>
    <row r="539" spans="2:6" ht="12" customHeight="1" x14ac:dyDescent="0.15">
      <c r="B539" s="2"/>
      <c r="C539" s="3"/>
      <c r="D539" s="3"/>
      <c r="E539" s="3"/>
      <c r="F539" s="4"/>
    </row>
    <row r="540" spans="2:6" ht="12" customHeight="1" x14ac:dyDescent="0.15">
      <c r="B540" s="2"/>
      <c r="C540" s="3"/>
      <c r="D540" s="3"/>
      <c r="E540" s="3"/>
      <c r="F540" s="4"/>
    </row>
    <row r="541" spans="2:6" ht="12" customHeight="1" x14ac:dyDescent="0.15">
      <c r="B541" s="2"/>
      <c r="C541" s="3"/>
      <c r="D541" s="3"/>
      <c r="E541" s="3"/>
      <c r="F541" s="4"/>
    </row>
    <row r="542" spans="2:6" ht="12" customHeight="1" x14ac:dyDescent="0.15">
      <c r="B542" s="2"/>
      <c r="C542" s="3"/>
      <c r="D542" s="3"/>
      <c r="E542" s="3"/>
      <c r="F542" s="4"/>
    </row>
    <row r="543" spans="2:6" ht="12" customHeight="1" x14ac:dyDescent="0.15">
      <c r="B543" s="2"/>
      <c r="C543" s="3"/>
      <c r="D543" s="3"/>
      <c r="E543" s="3"/>
      <c r="F543" s="4"/>
    </row>
    <row r="544" spans="2:6" ht="12" customHeight="1" x14ac:dyDescent="0.15">
      <c r="B544" s="2"/>
      <c r="C544" s="3"/>
      <c r="D544" s="3"/>
      <c r="E544" s="3"/>
      <c r="F544" s="4"/>
    </row>
    <row r="545" spans="2:6" ht="12" customHeight="1" x14ac:dyDescent="0.15">
      <c r="B545" s="2"/>
      <c r="C545" s="3"/>
      <c r="D545" s="3"/>
      <c r="E545" s="3"/>
      <c r="F545" s="4"/>
    </row>
    <row r="546" spans="2:6" ht="12" customHeight="1" x14ac:dyDescent="0.15">
      <c r="B546" s="2"/>
      <c r="C546" s="3"/>
      <c r="D546" s="3"/>
      <c r="E546" s="3"/>
      <c r="F546" s="4"/>
    </row>
    <row r="547" spans="2:6" ht="12" customHeight="1" x14ac:dyDescent="0.15">
      <c r="B547" s="2"/>
      <c r="C547" s="3"/>
      <c r="D547" s="3"/>
      <c r="E547" s="3"/>
      <c r="F547" s="4"/>
    </row>
    <row r="548" spans="2:6" ht="12" customHeight="1" x14ac:dyDescent="0.15">
      <c r="B548" s="2"/>
      <c r="C548" s="3"/>
      <c r="D548" s="3"/>
      <c r="E548" s="3"/>
      <c r="F548" s="4"/>
    </row>
    <row r="549" spans="2:6" ht="12" customHeight="1" x14ac:dyDescent="0.15">
      <c r="B549" s="2"/>
      <c r="C549" s="3"/>
      <c r="D549" s="3"/>
      <c r="E549" s="3"/>
      <c r="F549" s="4"/>
    </row>
    <row r="550" spans="2:6" ht="12" customHeight="1" x14ac:dyDescent="0.15">
      <c r="B550" s="2"/>
      <c r="C550" s="3"/>
      <c r="D550" s="3"/>
      <c r="E550" s="3"/>
      <c r="F550" s="4"/>
    </row>
    <row r="551" spans="2:6" ht="12" customHeight="1" x14ac:dyDescent="0.15">
      <c r="B551" s="2"/>
      <c r="C551" s="3"/>
      <c r="D551" s="3"/>
      <c r="E551" s="3"/>
      <c r="F551" s="4"/>
    </row>
    <row r="552" spans="2:6" ht="12" customHeight="1" x14ac:dyDescent="0.15">
      <c r="B552" s="2"/>
      <c r="C552" s="3"/>
      <c r="D552" s="3"/>
      <c r="E552" s="3"/>
      <c r="F552" s="4"/>
    </row>
    <row r="553" spans="2:6" ht="12" customHeight="1" x14ac:dyDescent="0.15">
      <c r="B553" s="2"/>
      <c r="C553" s="3"/>
      <c r="D553" s="3"/>
      <c r="E553" s="3"/>
      <c r="F553" s="4"/>
    </row>
    <row r="554" spans="2:6" ht="12" customHeight="1" x14ac:dyDescent="0.15">
      <c r="B554" s="2"/>
      <c r="C554" s="3"/>
      <c r="D554" s="3"/>
      <c r="E554" s="3"/>
      <c r="F554" s="4"/>
    </row>
    <row r="555" spans="2:6" ht="12" customHeight="1" x14ac:dyDescent="0.15">
      <c r="B555" s="2"/>
      <c r="C555" s="3"/>
      <c r="D555" s="3"/>
      <c r="E555" s="3"/>
      <c r="F555" s="4"/>
    </row>
    <row r="556" spans="2:6" ht="12" customHeight="1" x14ac:dyDescent="0.15">
      <c r="B556" s="2"/>
      <c r="C556" s="3"/>
      <c r="D556" s="3"/>
      <c r="E556" s="3"/>
      <c r="F556" s="4"/>
    </row>
    <row r="557" spans="2:6" ht="12" customHeight="1" x14ac:dyDescent="0.15">
      <c r="B557" s="2"/>
      <c r="C557" s="3"/>
      <c r="D557" s="3"/>
      <c r="E557" s="3"/>
      <c r="F557" s="4"/>
    </row>
    <row r="558" spans="2:6" ht="12" customHeight="1" x14ac:dyDescent="0.15">
      <c r="B558" s="2"/>
      <c r="C558" s="3"/>
      <c r="D558" s="3"/>
      <c r="E558" s="3"/>
      <c r="F558" s="4"/>
    </row>
    <row r="559" spans="2:6" ht="12" customHeight="1" x14ac:dyDescent="0.15">
      <c r="B559" s="2"/>
      <c r="C559" s="3"/>
      <c r="D559" s="3"/>
      <c r="E559" s="3"/>
      <c r="F559" s="4"/>
    </row>
    <row r="560" spans="2:6" ht="12" customHeight="1" x14ac:dyDescent="0.15">
      <c r="B560" s="2"/>
      <c r="C560" s="3"/>
      <c r="D560" s="3"/>
      <c r="E560" s="3"/>
      <c r="F560" s="4"/>
    </row>
    <row r="561" spans="2:6" ht="12" customHeight="1" x14ac:dyDescent="0.15">
      <c r="B561" s="2"/>
      <c r="C561" s="3"/>
      <c r="D561" s="3"/>
      <c r="E561" s="3"/>
      <c r="F561" s="4"/>
    </row>
    <row r="562" spans="2:6" ht="12" customHeight="1" x14ac:dyDescent="0.15">
      <c r="B562" s="2"/>
      <c r="C562" s="3"/>
      <c r="D562" s="3"/>
      <c r="E562" s="3"/>
      <c r="F562" s="4"/>
    </row>
    <row r="563" spans="2:6" ht="12" customHeight="1" x14ac:dyDescent="0.15">
      <c r="B563" s="2"/>
      <c r="C563" s="3"/>
      <c r="D563" s="3"/>
      <c r="E563" s="3"/>
      <c r="F563" s="4"/>
    </row>
    <row r="564" spans="2:6" ht="12" customHeight="1" x14ac:dyDescent="0.15">
      <c r="B564" s="2"/>
      <c r="C564" s="3"/>
      <c r="D564" s="3"/>
      <c r="E564" s="3"/>
      <c r="F564" s="4"/>
    </row>
    <row r="565" spans="2:6" ht="12" customHeight="1" x14ac:dyDescent="0.15">
      <c r="B565" s="2"/>
      <c r="C565" s="3"/>
      <c r="D565" s="3"/>
      <c r="E565" s="3"/>
      <c r="F565" s="4"/>
    </row>
    <row r="566" spans="2:6" ht="12" customHeight="1" x14ac:dyDescent="0.15">
      <c r="B566" s="2"/>
      <c r="C566" s="3"/>
      <c r="D566" s="3"/>
      <c r="E566" s="3"/>
      <c r="F566" s="4"/>
    </row>
    <row r="567" spans="2:6" ht="12" customHeight="1" x14ac:dyDescent="0.15">
      <c r="B567" s="2"/>
      <c r="C567" s="3"/>
      <c r="D567" s="3"/>
      <c r="E567" s="3"/>
      <c r="F567" s="4"/>
    </row>
    <row r="568" spans="2:6" ht="12" customHeight="1" x14ac:dyDescent="0.15">
      <c r="B568" s="2"/>
      <c r="C568" s="3"/>
      <c r="D568" s="3"/>
      <c r="E568" s="3"/>
      <c r="F568" s="4"/>
    </row>
    <row r="569" spans="2:6" ht="12" customHeight="1" x14ac:dyDescent="0.15">
      <c r="B569" s="2"/>
      <c r="C569" s="3"/>
      <c r="D569" s="3"/>
      <c r="E569" s="3"/>
      <c r="F569" s="4"/>
    </row>
    <row r="570" spans="2:6" ht="12" customHeight="1" x14ac:dyDescent="0.15">
      <c r="B570" s="2"/>
      <c r="C570" s="3"/>
      <c r="D570" s="3"/>
      <c r="E570" s="3"/>
      <c r="F570" s="4"/>
    </row>
    <row r="571" spans="2:6" ht="12" customHeight="1" x14ac:dyDescent="0.15">
      <c r="B571" s="2"/>
      <c r="C571" s="3"/>
      <c r="D571" s="3"/>
      <c r="E571" s="3"/>
      <c r="F571" s="4"/>
    </row>
    <row r="572" spans="2:6" ht="12" customHeight="1" x14ac:dyDescent="0.15">
      <c r="B572" s="2"/>
      <c r="C572" s="3"/>
      <c r="D572" s="3"/>
      <c r="E572" s="3"/>
      <c r="F572" s="4"/>
    </row>
    <row r="573" spans="2:6" ht="12" customHeight="1" x14ac:dyDescent="0.15">
      <c r="B573" s="2"/>
      <c r="C573" s="3"/>
      <c r="D573" s="3"/>
      <c r="E573" s="3"/>
      <c r="F573" s="4"/>
    </row>
    <row r="574" spans="2:6" ht="12" customHeight="1" x14ac:dyDescent="0.15">
      <c r="B574" s="2"/>
      <c r="C574" s="3"/>
      <c r="D574" s="3"/>
      <c r="E574" s="3"/>
      <c r="F574" s="4"/>
    </row>
    <row r="575" spans="2:6" ht="12" customHeight="1" x14ac:dyDescent="0.15">
      <c r="B575" s="2"/>
      <c r="C575" s="3"/>
      <c r="D575" s="3"/>
      <c r="E575" s="3"/>
      <c r="F575" s="4"/>
    </row>
    <row r="576" spans="2:6" ht="12" customHeight="1" x14ac:dyDescent="0.15">
      <c r="B576" s="2"/>
      <c r="C576" s="3"/>
      <c r="D576" s="3"/>
      <c r="E576" s="3"/>
      <c r="F576" s="4"/>
    </row>
    <row r="577" spans="2:6" ht="12" customHeight="1" x14ac:dyDescent="0.15">
      <c r="B577" s="2"/>
      <c r="C577" s="3"/>
      <c r="D577" s="3"/>
      <c r="E577" s="3"/>
      <c r="F577" s="4"/>
    </row>
    <row r="578" spans="2:6" ht="12" customHeight="1" x14ac:dyDescent="0.15">
      <c r="B578" s="2"/>
      <c r="C578" s="3"/>
      <c r="D578" s="3"/>
      <c r="E578" s="3"/>
      <c r="F578" s="4"/>
    </row>
    <row r="579" spans="2:6" ht="12" customHeight="1" x14ac:dyDescent="0.15">
      <c r="B579" s="2"/>
      <c r="C579" s="3"/>
      <c r="D579" s="3"/>
      <c r="E579" s="3"/>
      <c r="F579" s="4"/>
    </row>
    <row r="580" spans="2:6" ht="12" customHeight="1" x14ac:dyDescent="0.15">
      <c r="B580" s="2"/>
      <c r="C580" s="3"/>
      <c r="D580" s="3"/>
      <c r="E580" s="3"/>
      <c r="F580" s="4"/>
    </row>
    <row r="581" spans="2:6" ht="12" customHeight="1" x14ac:dyDescent="0.15">
      <c r="B581" s="2"/>
      <c r="C581" s="3"/>
      <c r="D581" s="3"/>
      <c r="E581" s="3"/>
      <c r="F581" s="4"/>
    </row>
    <row r="582" spans="2:6" ht="12" customHeight="1" x14ac:dyDescent="0.15">
      <c r="B582" s="2"/>
      <c r="C582" s="3"/>
      <c r="D582" s="3"/>
      <c r="E582" s="3"/>
      <c r="F582" s="4"/>
    </row>
    <row r="583" spans="2:6" ht="12" customHeight="1" x14ac:dyDescent="0.15">
      <c r="B583" s="2"/>
      <c r="C583" s="3"/>
      <c r="D583" s="3"/>
      <c r="E583" s="3"/>
      <c r="F583" s="4"/>
    </row>
    <row r="584" spans="2:6" ht="12" customHeight="1" x14ac:dyDescent="0.15">
      <c r="B584" s="2"/>
      <c r="C584" s="3"/>
      <c r="D584" s="3"/>
      <c r="E584" s="3"/>
      <c r="F584" s="4"/>
    </row>
    <row r="585" spans="2:6" ht="12" customHeight="1" x14ac:dyDescent="0.15">
      <c r="B585" s="2"/>
      <c r="C585" s="3"/>
      <c r="D585" s="3"/>
      <c r="E585" s="3"/>
      <c r="F585" s="4"/>
    </row>
    <row r="586" spans="2:6" ht="12" customHeight="1" x14ac:dyDescent="0.15">
      <c r="B586" s="2"/>
      <c r="C586" s="3"/>
      <c r="D586" s="3"/>
      <c r="E586" s="3"/>
      <c r="F586" s="4"/>
    </row>
    <row r="587" spans="2:6" ht="12" customHeight="1" x14ac:dyDescent="0.15">
      <c r="B587" s="2"/>
      <c r="C587" s="3"/>
      <c r="D587" s="3"/>
      <c r="E587" s="3"/>
      <c r="F587" s="4"/>
    </row>
    <row r="588" spans="2:6" ht="12" customHeight="1" x14ac:dyDescent="0.15">
      <c r="B588" s="2"/>
      <c r="C588" s="3"/>
      <c r="D588" s="3"/>
      <c r="E588" s="3"/>
      <c r="F588" s="4"/>
    </row>
    <row r="589" spans="2:6" ht="12" customHeight="1" x14ac:dyDescent="0.15">
      <c r="B589" s="2"/>
      <c r="C589" s="3"/>
      <c r="D589" s="3"/>
      <c r="E589" s="3"/>
      <c r="F589" s="4"/>
    </row>
    <row r="590" spans="2:6" ht="12" customHeight="1" x14ac:dyDescent="0.15">
      <c r="B590" s="2"/>
      <c r="C590" s="3"/>
      <c r="D590" s="3"/>
      <c r="E590" s="3"/>
      <c r="F590" s="4"/>
    </row>
    <row r="591" spans="2:6" ht="12" customHeight="1" x14ac:dyDescent="0.15">
      <c r="B591" s="2"/>
      <c r="C591" s="3"/>
      <c r="D591" s="3"/>
      <c r="E591" s="3"/>
      <c r="F591" s="4"/>
    </row>
    <row r="592" spans="2:6" ht="12" customHeight="1" x14ac:dyDescent="0.15">
      <c r="B592" s="2"/>
      <c r="C592" s="3"/>
      <c r="D592" s="3"/>
      <c r="E592" s="3"/>
      <c r="F592" s="4"/>
    </row>
    <row r="593" spans="2:6" ht="12" customHeight="1" x14ac:dyDescent="0.15">
      <c r="B593" s="2"/>
      <c r="C593" s="3"/>
      <c r="D593" s="3"/>
      <c r="E593" s="3"/>
      <c r="F593" s="4"/>
    </row>
    <row r="594" spans="2:6" ht="12" customHeight="1" x14ac:dyDescent="0.15">
      <c r="B594" s="2"/>
      <c r="C594" s="3"/>
      <c r="D594" s="3"/>
      <c r="E594" s="3"/>
      <c r="F594" s="4"/>
    </row>
    <row r="595" spans="2:6" ht="12" customHeight="1" x14ac:dyDescent="0.15">
      <c r="B595" s="2"/>
      <c r="C595" s="3"/>
      <c r="D595" s="3"/>
      <c r="E595" s="3"/>
      <c r="F595" s="4"/>
    </row>
    <row r="596" spans="2:6" ht="12" customHeight="1" x14ac:dyDescent="0.15">
      <c r="B596" s="2"/>
      <c r="C596" s="3"/>
      <c r="D596" s="3"/>
      <c r="E596" s="3"/>
      <c r="F596" s="4"/>
    </row>
    <row r="597" spans="2:6" ht="12" customHeight="1" x14ac:dyDescent="0.15">
      <c r="B597" s="2"/>
      <c r="C597" s="3"/>
      <c r="D597" s="3"/>
      <c r="E597" s="3"/>
      <c r="F597" s="4"/>
    </row>
    <row r="598" spans="2:6" ht="12" customHeight="1" x14ac:dyDescent="0.15">
      <c r="B598" s="2"/>
      <c r="C598" s="3"/>
      <c r="D598" s="3"/>
      <c r="E598" s="3"/>
      <c r="F598" s="4"/>
    </row>
    <row r="599" spans="2:6" ht="12" customHeight="1" x14ac:dyDescent="0.15">
      <c r="B599" s="2"/>
      <c r="C599" s="3"/>
      <c r="D599" s="3"/>
      <c r="E599" s="3"/>
      <c r="F599" s="4"/>
    </row>
    <row r="600" spans="2:6" ht="12" customHeight="1" x14ac:dyDescent="0.15">
      <c r="B600" s="2"/>
      <c r="C600" s="3"/>
      <c r="D600" s="3"/>
      <c r="E600" s="3"/>
      <c r="F600" s="4"/>
    </row>
    <row r="601" spans="2:6" ht="12" customHeight="1" x14ac:dyDescent="0.15">
      <c r="B601" s="2"/>
      <c r="C601" s="3"/>
      <c r="D601" s="3"/>
      <c r="E601" s="3"/>
      <c r="F601" s="4"/>
    </row>
    <row r="602" spans="2:6" ht="12" customHeight="1" x14ac:dyDescent="0.15">
      <c r="B602" s="2"/>
      <c r="C602" s="3"/>
      <c r="D602" s="3"/>
      <c r="E602" s="3"/>
      <c r="F602" s="4"/>
    </row>
    <row r="603" spans="2:6" ht="12" customHeight="1" x14ac:dyDescent="0.15">
      <c r="B603" s="2"/>
      <c r="C603" s="3"/>
      <c r="D603" s="3"/>
      <c r="E603" s="3"/>
      <c r="F603" s="4"/>
    </row>
    <row r="604" spans="2:6" ht="12" customHeight="1" x14ac:dyDescent="0.15">
      <c r="B604" s="2"/>
      <c r="C604" s="3"/>
      <c r="D604" s="3"/>
      <c r="E604" s="3"/>
      <c r="F604" s="4"/>
    </row>
    <row r="605" spans="2:6" ht="12" customHeight="1" x14ac:dyDescent="0.15">
      <c r="B605" s="2"/>
      <c r="C605" s="3"/>
      <c r="D605" s="3"/>
      <c r="E605" s="3"/>
      <c r="F605" s="4"/>
    </row>
    <row r="606" spans="2:6" ht="12" customHeight="1" x14ac:dyDescent="0.15">
      <c r="B606" s="2"/>
      <c r="C606" s="3"/>
      <c r="D606" s="3"/>
      <c r="E606" s="3"/>
      <c r="F606" s="4"/>
    </row>
    <row r="607" spans="2:6" ht="12" customHeight="1" x14ac:dyDescent="0.15">
      <c r="B607" s="2"/>
      <c r="C607" s="3"/>
      <c r="D607" s="3"/>
      <c r="E607" s="3"/>
      <c r="F607" s="4"/>
    </row>
    <row r="608" spans="2:6" ht="12" customHeight="1" x14ac:dyDescent="0.15">
      <c r="B608" s="2"/>
      <c r="C608" s="3"/>
      <c r="D608" s="3"/>
      <c r="E608" s="3"/>
      <c r="F608" s="4"/>
    </row>
    <row r="609" spans="2:6" ht="12" customHeight="1" x14ac:dyDescent="0.15">
      <c r="B609" s="2"/>
      <c r="C609" s="3"/>
      <c r="D609" s="3"/>
      <c r="E609" s="3"/>
      <c r="F609" s="4"/>
    </row>
    <row r="610" spans="2:6" ht="12" customHeight="1" x14ac:dyDescent="0.15">
      <c r="B610" s="2"/>
      <c r="C610" s="3"/>
      <c r="D610" s="3"/>
      <c r="E610" s="3"/>
      <c r="F610" s="4"/>
    </row>
    <row r="611" spans="2:6" ht="12" customHeight="1" x14ac:dyDescent="0.15">
      <c r="B611" s="2"/>
      <c r="C611" s="3"/>
      <c r="D611" s="3"/>
      <c r="E611" s="3"/>
      <c r="F611" s="4"/>
    </row>
    <row r="612" spans="2:6" ht="12" customHeight="1" x14ac:dyDescent="0.15">
      <c r="B612" s="2"/>
      <c r="C612" s="3"/>
      <c r="D612" s="3"/>
      <c r="E612" s="3"/>
      <c r="F612" s="4"/>
    </row>
    <row r="613" spans="2:6" ht="12" customHeight="1" x14ac:dyDescent="0.15">
      <c r="B613" s="2"/>
      <c r="C613" s="3"/>
      <c r="D613" s="3"/>
      <c r="E613" s="3"/>
      <c r="F613" s="4"/>
    </row>
    <row r="614" spans="2:6" ht="12" customHeight="1" x14ac:dyDescent="0.15">
      <c r="B614" s="2"/>
      <c r="C614" s="3"/>
      <c r="D614" s="3"/>
      <c r="E614" s="3"/>
      <c r="F614" s="4"/>
    </row>
    <row r="615" spans="2:6" ht="12" customHeight="1" x14ac:dyDescent="0.15">
      <c r="B615" s="2"/>
      <c r="C615" s="3"/>
      <c r="D615" s="3"/>
      <c r="E615" s="3"/>
      <c r="F615" s="4"/>
    </row>
    <row r="616" spans="2:6" ht="12" customHeight="1" x14ac:dyDescent="0.15">
      <c r="B616" s="2"/>
      <c r="C616" s="3"/>
      <c r="D616" s="3"/>
      <c r="E616" s="3"/>
      <c r="F616" s="4"/>
    </row>
    <row r="617" spans="2:6" ht="12" customHeight="1" x14ac:dyDescent="0.15">
      <c r="B617" s="2"/>
      <c r="C617" s="3"/>
      <c r="D617" s="3"/>
      <c r="E617" s="3"/>
      <c r="F617" s="4"/>
    </row>
    <row r="618" spans="2:6" ht="12" customHeight="1" x14ac:dyDescent="0.15">
      <c r="B618" s="2"/>
      <c r="C618" s="3"/>
      <c r="D618" s="3"/>
      <c r="E618" s="3"/>
      <c r="F618" s="4"/>
    </row>
    <row r="619" spans="2:6" ht="12" customHeight="1" x14ac:dyDescent="0.15">
      <c r="B619" s="2"/>
      <c r="C619" s="3"/>
      <c r="D619" s="3"/>
      <c r="E619" s="3"/>
      <c r="F619" s="4"/>
    </row>
    <row r="620" spans="2:6" ht="12" customHeight="1" x14ac:dyDescent="0.15">
      <c r="B620" s="2"/>
      <c r="C620" s="3"/>
      <c r="D620" s="3"/>
      <c r="E620" s="3"/>
      <c r="F620" s="4"/>
    </row>
    <row r="621" spans="2:6" ht="12" customHeight="1" x14ac:dyDescent="0.15">
      <c r="B621" s="2"/>
      <c r="C621" s="3"/>
      <c r="D621" s="3"/>
      <c r="E621" s="3"/>
      <c r="F621" s="4"/>
    </row>
    <row r="622" spans="2:6" ht="12" customHeight="1" x14ac:dyDescent="0.15">
      <c r="B622" s="2"/>
      <c r="C622" s="3"/>
      <c r="D622" s="3"/>
      <c r="E622" s="3"/>
      <c r="F622" s="4"/>
    </row>
    <row r="623" spans="2:6" ht="12" customHeight="1" x14ac:dyDescent="0.15">
      <c r="B623" s="2"/>
      <c r="C623" s="3"/>
      <c r="D623" s="3"/>
      <c r="E623" s="3"/>
      <c r="F623" s="4"/>
    </row>
    <row r="624" spans="2:6" ht="12" customHeight="1" x14ac:dyDescent="0.15">
      <c r="B624" s="2"/>
      <c r="C624" s="3"/>
      <c r="D624" s="3"/>
      <c r="E624" s="3"/>
      <c r="F624" s="4"/>
    </row>
    <row r="625" spans="2:6" ht="12" customHeight="1" x14ac:dyDescent="0.15">
      <c r="B625" s="2"/>
      <c r="C625" s="3"/>
      <c r="D625" s="3"/>
      <c r="E625" s="3"/>
      <c r="F625" s="4"/>
    </row>
    <row r="626" spans="2:6" ht="12" customHeight="1" x14ac:dyDescent="0.15">
      <c r="B626" s="2"/>
      <c r="C626" s="3"/>
      <c r="D626" s="3"/>
      <c r="E626" s="3"/>
      <c r="F626" s="4"/>
    </row>
    <row r="627" spans="2:6" ht="12" customHeight="1" x14ac:dyDescent="0.15">
      <c r="B627" s="2"/>
      <c r="C627" s="3"/>
      <c r="D627" s="3"/>
      <c r="E627" s="3"/>
      <c r="F627" s="4"/>
    </row>
    <row r="628" spans="2:6" ht="12" customHeight="1" x14ac:dyDescent="0.15">
      <c r="B628" s="2"/>
      <c r="C628" s="3"/>
      <c r="D628" s="3"/>
      <c r="E628" s="3"/>
      <c r="F628" s="4"/>
    </row>
    <row r="629" spans="2:6" ht="12" customHeight="1" x14ac:dyDescent="0.15">
      <c r="B629" s="2"/>
      <c r="C629" s="3"/>
      <c r="D629" s="3"/>
      <c r="E629" s="3"/>
      <c r="F629" s="4"/>
    </row>
    <row r="630" spans="2:6" ht="12" customHeight="1" x14ac:dyDescent="0.15">
      <c r="B630" s="2"/>
      <c r="C630" s="3"/>
      <c r="D630" s="3"/>
      <c r="E630" s="3"/>
      <c r="F630" s="4"/>
    </row>
    <row r="631" spans="2:6" ht="12" customHeight="1" x14ac:dyDescent="0.15">
      <c r="B631" s="2"/>
      <c r="C631" s="3"/>
      <c r="D631" s="3"/>
      <c r="E631" s="3"/>
      <c r="F631" s="4"/>
    </row>
    <row r="632" spans="2:6" ht="12" customHeight="1" x14ac:dyDescent="0.15">
      <c r="B632" s="2"/>
      <c r="C632" s="3"/>
      <c r="D632" s="3"/>
      <c r="E632" s="3"/>
      <c r="F632" s="4"/>
    </row>
    <row r="633" spans="2:6" ht="12" customHeight="1" x14ac:dyDescent="0.15">
      <c r="B633" s="2"/>
      <c r="C633" s="3"/>
      <c r="D633" s="3"/>
      <c r="E633" s="3"/>
      <c r="F633" s="4"/>
    </row>
    <row r="634" spans="2:6" ht="12" customHeight="1" x14ac:dyDescent="0.15">
      <c r="B634" s="2"/>
      <c r="C634" s="3"/>
      <c r="D634" s="3"/>
      <c r="E634" s="3"/>
      <c r="F634" s="4"/>
    </row>
    <row r="635" spans="2:6" ht="12" customHeight="1" x14ac:dyDescent="0.15">
      <c r="B635" s="2"/>
      <c r="C635" s="3"/>
      <c r="D635" s="3"/>
      <c r="E635" s="3"/>
      <c r="F635" s="4"/>
    </row>
    <row r="636" spans="2:6" ht="12" customHeight="1" x14ac:dyDescent="0.15">
      <c r="B636" s="2"/>
      <c r="C636" s="3"/>
      <c r="D636" s="3"/>
      <c r="E636" s="3"/>
      <c r="F636" s="4"/>
    </row>
    <row r="637" spans="2:6" ht="12" customHeight="1" x14ac:dyDescent="0.15">
      <c r="B637" s="2"/>
      <c r="C637" s="3"/>
      <c r="D637" s="3"/>
      <c r="E637" s="3"/>
      <c r="F637" s="4"/>
    </row>
    <row r="638" spans="2:6" ht="12" customHeight="1" x14ac:dyDescent="0.15">
      <c r="B638" s="2"/>
      <c r="C638" s="3"/>
      <c r="D638" s="3"/>
      <c r="E638" s="3"/>
      <c r="F638" s="4"/>
    </row>
    <row r="639" spans="2:6" ht="12" customHeight="1" x14ac:dyDescent="0.15">
      <c r="B639" s="2"/>
      <c r="C639" s="3"/>
      <c r="D639" s="3"/>
      <c r="E639" s="3"/>
      <c r="F639" s="4"/>
    </row>
    <row r="640" spans="2:6" ht="12" customHeight="1" x14ac:dyDescent="0.15">
      <c r="B640" s="2"/>
      <c r="C640" s="3"/>
      <c r="D640" s="3"/>
      <c r="E640" s="3"/>
      <c r="F640" s="4"/>
    </row>
    <row r="641" spans="2:6" ht="12" customHeight="1" x14ac:dyDescent="0.15">
      <c r="B641" s="2"/>
      <c r="C641" s="3"/>
      <c r="D641" s="3"/>
      <c r="E641" s="3"/>
      <c r="F641" s="4"/>
    </row>
    <row r="642" spans="2:6" ht="12" customHeight="1" x14ac:dyDescent="0.15">
      <c r="B642" s="2"/>
      <c r="C642" s="3"/>
      <c r="D642" s="3"/>
      <c r="E642" s="3"/>
      <c r="F642" s="4"/>
    </row>
    <row r="643" spans="2:6" ht="12" customHeight="1" x14ac:dyDescent="0.15">
      <c r="B643" s="2"/>
      <c r="C643" s="3"/>
      <c r="D643" s="3"/>
      <c r="E643" s="3"/>
      <c r="F643" s="4"/>
    </row>
    <row r="644" spans="2:6" ht="12" customHeight="1" x14ac:dyDescent="0.15">
      <c r="B644" s="2"/>
      <c r="C644" s="3"/>
      <c r="D644" s="3"/>
      <c r="E644" s="3"/>
      <c r="F644" s="4"/>
    </row>
    <row r="645" spans="2:6" ht="12" customHeight="1" x14ac:dyDescent="0.15">
      <c r="B645" s="2"/>
      <c r="C645" s="3"/>
      <c r="D645" s="3"/>
      <c r="E645" s="3"/>
      <c r="F645" s="4"/>
    </row>
    <row r="646" spans="2:6" ht="12" customHeight="1" x14ac:dyDescent="0.15">
      <c r="B646" s="2"/>
      <c r="C646" s="3"/>
      <c r="D646" s="3"/>
      <c r="E646" s="3"/>
      <c r="F646" s="4"/>
    </row>
    <row r="647" spans="2:6" ht="12" customHeight="1" x14ac:dyDescent="0.15">
      <c r="B647" s="2"/>
      <c r="C647" s="3"/>
      <c r="D647" s="3"/>
      <c r="E647" s="3"/>
      <c r="F647" s="4"/>
    </row>
    <row r="648" spans="2:6" ht="12" customHeight="1" x14ac:dyDescent="0.15">
      <c r="B648" s="2"/>
      <c r="C648" s="3"/>
      <c r="D648" s="3"/>
      <c r="E648" s="3"/>
      <c r="F648" s="4"/>
    </row>
    <row r="649" spans="2:6" ht="12" customHeight="1" x14ac:dyDescent="0.15">
      <c r="B649" s="2"/>
      <c r="C649" s="3"/>
      <c r="D649" s="3"/>
      <c r="E649" s="3"/>
      <c r="F649" s="4"/>
    </row>
    <row r="650" spans="2:6" ht="12" customHeight="1" x14ac:dyDescent="0.15">
      <c r="B650" s="2"/>
      <c r="C650" s="3"/>
      <c r="D650" s="3"/>
      <c r="E650" s="3"/>
      <c r="F650" s="4"/>
    </row>
    <row r="651" spans="2:6" ht="12" customHeight="1" x14ac:dyDescent="0.15">
      <c r="B651" s="2"/>
      <c r="C651" s="3"/>
      <c r="D651" s="3"/>
      <c r="E651" s="3"/>
      <c r="F651" s="4"/>
    </row>
    <row r="652" spans="2:6" ht="12" customHeight="1" x14ac:dyDescent="0.15">
      <c r="B652" s="2"/>
      <c r="C652" s="3"/>
      <c r="D652" s="3"/>
      <c r="E652" s="3"/>
      <c r="F652" s="4"/>
    </row>
    <row r="653" spans="2:6" ht="12" customHeight="1" x14ac:dyDescent="0.15">
      <c r="B653" s="2"/>
      <c r="C653" s="3"/>
      <c r="D653" s="3"/>
      <c r="E653" s="3"/>
      <c r="F653" s="4"/>
    </row>
    <row r="654" spans="2:6" ht="12" customHeight="1" x14ac:dyDescent="0.15">
      <c r="B654" s="2"/>
      <c r="C654" s="3"/>
      <c r="D654" s="3"/>
      <c r="E654" s="3"/>
      <c r="F654" s="4"/>
    </row>
    <row r="655" spans="2:6" ht="12" customHeight="1" x14ac:dyDescent="0.15">
      <c r="B655" s="2"/>
      <c r="C655" s="3"/>
      <c r="D655" s="3"/>
      <c r="E655" s="3"/>
      <c r="F655" s="4"/>
    </row>
    <row r="656" spans="2:6" ht="12" customHeight="1" x14ac:dyDescent="0.15">
      <c r="B656" s="2"/>
      <c r="C656" s="3"/>
      <c r="D656" s="3"/>
      <c r="E656" s="3"/>
      <c r="F656" s="4"/>
    </row>
    <row r="657" spans="2:6" ht="12" customHeight="1" x14ac:dyDescent="0.15">
      <c r="B657" s="2"/>
      <c r="C657" s="3"/>
      <c r="D657" s="3"/>
      <c r="E657" s="3"/>
      <c r="F657" s="4"/>
    </row>
    <row r="658" spans="2:6" ht="12" customHeight="1" x14ac:dyDescent="0.15">
      <c r="B658" s="2"/>
      <c r="C658" s="3"/>
      <c r="D658" s="3"/>
      <c r="E658" s="3"/>
      <c r="F658" s="4"/>
    </row>
    <row r="659" spans="2:6" ht="12" customHeight="1" x14ac:dyDescent="0.15">
      <c r="B659" s="2"/>
      <c r="C659" s="3"/>
      <c r="D659" s="3"/>
      <c r="E659" s="3"/>
      <c r="F659" s="4"/>
    </row>
    <row r="660" spans="2:6" ht="12" customHeight="1" x14ac:dyDescent="0.15">
      <c r="B660" s="2"/>
      <c r="C660" s="3"/>
      <c r="D660" s="3"/>
      <c r="E660" s="3"/>
      <c r="F660" s="4"/>
    </row>
    <row r="661" spans="2:6" ht="12" customHeight="1" x14ac:dyDescent="0.15">
      <c r="B661" s="2"/>
      <c r="C661" s="3"/>
      <c r="D661" s="3"/>
      <c r="E661" s="3"/>
      <c r="F661" s="4"/>
    </row>
    <row r="662" spans="2:6" ht="12" customHeight="1" x14ac:dyDescent="0.15">
      <c r="B662" s="2"/>
      <c r="C662" s="3"/>
      <c r="D662" s="3"/>
      <c r="E662" s="3"/>
      <c r="F662" s="4"/>
    </row>
    <row r="663" spans="2:6" ht="12" customHeight="1" x14ac:dyDescent="0.15">
      <c r="B663" s="2"/>
      <c r="C663" s="3"/>
      <c r="D663" s="3"/>
      <c r="E663" s="3"/>
      <c r="F663" s="4"/>
    </row>
    <row r="664" spans="2:6" ht="12" customHeight="1" x14ac:dyDescent="0.15">
      <c r="B664" s="2"/>
      <c r="C664" s="3"/>
      <c r="D664" s="3"/>
      <c r="E664" s="3"/>
      <c r="F664" s="4"/>
    </row>
    <row r="665" spans="2:6" ht="12" customHeight="1" x14ac:dyDescent="0.15">
      <c r="B665" s="2"/>
      <c r="C665" s="3"/>
      <c r="D665" s="3"/>
      <c r="E665" s="3"/>
      <c r="F665" s="4"/>
    </row>
    <row r="666" spans="2:6" ht="12" customHeight="1" x14ac:dyDescent="0.15">
      <c r="B666" s="2"/>
      <c r="C666" s="3"/>
      <c r="D666" s="3"/>
      <c r="E666" s="3"/>
      <c r="F666" s="4"/>
    </row>
    <row r="667" spans="2:6" ht="12" customHeight="1" x14ac:dyDescent="0.15">
      <c r="B667" s="2"/>
      <c r="C667" s="3"/>
      <c r="D667" s="3"/>
      <c r="E667" s="3"/>
      <c r="F667" s="4"/>
    </row>
    <row r="668" spans="2:6" ht="12" customHeight="1" x14ac:dyDescent="0.15">
      <c r="B668" s="2"/>
      <c r="C668" s="3"/>
      <c r="D668" s="3"/>
      <c r="E668" s="3"/>
      <c r="F668" s="4"/>
    </row>
    <row r="669" spans="2:6" ht="12" customHeight="1" x14ac:dyDescent="0.15">
      <c r="B669" s="2"/>
      <c r="C669" s="3"/>
      <c r="D669" s="3"/>
      <c r="E669" s="3"/>
      <c r="F669" s="4"/>
    </row>
    <row r="670" spans="2:6" ht="12" customHeight="1" x14ac:dyDescent="0.15">
      <c r="B670" s="2"/>
      <c r="C670" s="3"/>
      <c r="D670" s="3"/>
      <c r="E670" s="3"/>
      <c r="F670" s="4"/>
    </row>
    <row r="671" spans="2:6" ht="12" customHeight="1" x14ac:dyDescent="0.15">
      <c r="B671" s="2"/>
      <c r="C671" s="3"/>
      <c r="D671" s="3"/>
      <c r="E671" s="3"/>
      <c r="F671" s="4"/>
    </row>
    <row r="672" spans="2:6" ht="12" customHeight="1" x14ac:dyDescent="0.15">
      <c r="B672" s="2"/>
      <c r="C672" s="3"/>
      <c r="D672" s="3"/>
      <c r="E672" s="3"/>
      <c r="F672" s="4"/>
    </row>
    <row r="673" spans="2:6" ht="12" customHeight="1" x14ac:dyDescent="0.15">
      <c r="B673" s="2"/>
      <c r="C673" s="3"/>
      <c r="D673" s="3"/>
      <c r="E673" s="3"/>
      <c r="F673" s="4"/>
    </row>
    <row r="674" spans="2:6" ht="12" customHeight="1" x14ac:dyDescent="0.15">
      <c r="B674" s="2"/>
      <c r="C674" s="3"/>
      <c r="D674" s="3"/>
      <c r="E674" s="3"/>
      <c r="F674" s="4"/>
    </row>
    <row r="675" spans="2:6" ht="12" customHeight="1" x14ac:dyDescent="0.15">
      <c r="B675" s="2"/>
      <c r="C675" s="3"/>
      <c r="D675" s="3"/>
      <c r="E675" s="3"/>
      <c r="F675" s="4"/>
    </row>
    <row r="676" spans="2:6" ht="12" customHeight="1" x14ac:dyDescent="0.15">
      <c r="B676" s="2"/>
      <c r="C676" s="3"/>
      <c r="D676" s="3"/>
      <c r="E676" s="3"/>
      <c r="F676" s="4"/>
    </row>
    <row r="677" spans="2:6" ht="12" customHeight="1" x14ac:dyDescent="0.15">
      <c r="B677" s="2"/>
      <c r="C677" s="3"/>
      <c r="D677" s="3"/>
      <c r="E677" s="3"/>
      <c r="F677" s="4"/>
    </row>
    <row r="678" spans="2:6" ht="12" customHeight="1" x14ac:dyDescent="0.15">
      <c r="B678" s="2"/>
      <c r="C678" s="3"/>
      <c r="D678" s="3"/>
      <c r="E678" s="3"/>
      <c r="F678" s="4"/>
    </row>
    <row r="679" spans="2:6" ht="12" customHeight="1" x14ac:dyDescent="0.15">
      <c r="B679" s="2"/>
      <c r="C679" s="3"/>
      <c r="D679" s="3"/>
      <c r="E679" s="3"/>
      <c r="F679" s="4"/>
    </row>
    <row r="680" spans="2:6" ht="12" customHeight="1" x14ac:dyDescent="0.15">
      <c r="B680" s="2"/>
      <c r="C680" s="3"/>
      <c r="D680" s="3"/>
      <c r="E680" s="3"/>
      <c r="F680" s="4"/>
    </row>
    <row r="681" spans="2:6" ht="12" customHeight="1" x14ac:dyDescent="0.15">
      <c r="B681" s="2"/>
      <c r="C681" s="3"/>
      <c r="D681" s="3"/>
      <c r="E681" s="3"/>
      <c r="F681" s="4"/>
    </row>
    <row r="682" spans="2:6" ht="12" customHeight="1" x14ac:dyDescent="0.15">
      <c r="B682" s="2"/>
      <c r="C682" s="3"/>
      <c r="D682" s="3"/>
      <c r="E682" s="3"/>
      <c r="F682" s="4"/>
    </row>
    <row r="683" spans="2:6" ht="12" customHeight="1" x14ac:dyDescent="0.15">
      <c r="B683" s="2"/>
      <c r="C683" s="3"/>
      <c r="D683" s="3"/>
      <c r="E683" s="3"/>
      <c r="F683" s="4"/>
    </row>
    <row r="684" spans="2:6" ht="12" customHeight="1" x14ac:dyDescent="0.15">
      <c r="B684" s="2"/>
      <c r="C684" s="3"/>
      <c r="D684" s="3"/>
      <c r="E684" s="3"/>
      <c r="F684" s="4"/>
    </row>
    <row r="685" spans="2:6" ht="12" customHeight="1" x14ac:dyDescent="0.15">
      <c r="B685" s="2"/>
      <c r="C685" s="3"/>
      <c r="D685" s="3"/>
      <c r="E685" s="3"/>
      <c r="F685" s="4"/>
    </row>
    <row r="686" spans="2:6" ht="12" customHeight="1" x14ac:dyDescent="0.15">
      <c r="B686" s="2"/>
      <c r="C686" s="3"/>
      <c r="D686" s="3"/>
      <c r="E686" s="3"/>
      <c r="F686" s="4"/>
    </row>
    <row r="687" spans="2:6" ht="12" customHeight="1" x14ac:dyDescent="0.15">
      <c r="B687" s="2"/>
      <c r="C687" s="3"/>
      <c r="D687" s="3"/>
      <c r="E687" s="3"/>
      <c r="F687" s="4"/>
    </row>
    <row r="688" spans="2:6" ht="12" customHeight="1" x14ac:dyDescent="0.15">
      <c r="B688" s="2"/>
      <c r="C688" s="3"/>
      <c r="D688" s="3"/>
      <c r="E688" s="3"/>
      <c r="F688" s="4"/>
    </row>
    <row r="689" spans="2:6" ht="12" customHeight="1" x14ac:dyDescent="0.15">
      <c r="B689" s="2"/>
      <c r="C689" s="3"/>
      <c r="D689" s="3"/>
      <c r="E689" s="3"/>
      <c r="F689" s="4"/>
    </row>
    <row r="690" spans="2:6" ht="12" customHeight="1" x14ac:dyDescent="0.15">
      <c r="B690" s="2"/>
      <c r="C690" s="3"/>
      <c r="D690" s="3"/>
      <c r="E690" s="3"/>
      <c r="F690" s="4"/>
    </row>
    <row r="691" spans="2:6" ht="12" customHeight="1" x14ac:dyDescent="0.15">
      <c r="B691" s="2"/>
      <c r="C691" s="3"/>
      <c r="D691" s="3"/>
      <c r="E691" s="3"/>
      <c r="F691" s="4"/>
    </row>
    <row r="692" spans="2:6" ht="12" customHeight="1" x14ac:dyDescent="0.15">
      <c r="B692" s="2"/>
      <c r="C692" s="3"/>
      <c r="D692" s="3"/>
      <c r="E692" s="3"/>
      <c r="F692" s="4"/>
    </row>
    <row r="693" spans="2:6" ht="12" customHeight="1" x14ac:dyDescent="0.15">
      <c r="B693" s="2"/>
      <c r="C693" s="3"/>
      <c r="D693" s="3"/>
      <c r="E693" s="3"/>
      <c r="F693" s="4"/>
    </row>
    <row r="694" spans="2:6" ht="12" customHeight="1" x14ac:dyDescent="0.15">
      <c r="B694" s="2"/>
      <c r="C694" s="3"/>
      <c r="D694" s="3"/>
      <c r="E694" s="3"/>
      <c r="F694" s="4"/>
    </row>
    <row r="695" spans="2:6" ht="12" customHeight="1" x14ac:dyDescent="0.15">
      <c r="B695" s="2"/>
      <c r="C695" s="3"/>
      <c r="D695" s="3"/>
      <c r="E695" s="3"/>
      <c r="F695" s="4"/>
    </row>
    <row r="696" spans="2:6" ht="12" customHeight="1" x14ac:dyDescent="0.15">
      <c r="B696" s="2"/>
      <c r="C696" s="3"/>
      <c r="D696" s="3"/>
      <c r="E696" s="3"/>
      <c r="F696" s="4"/>
    </row>
    <row r="697" spans="2:6" ht="12" customHeight="1" x14ac:dyDescent="0.15">
      <c r="B697" s="2"/>
      <c r="C697" s="3"/>
      <c r="D697" s="3"/>
      <c r="E697" s="3"/>
      <c r="F697" s="4"/>
    </row>
    <row r="698" spans="2:6" ht="12" customHeight="1" x14ac:dyDescent="0.15">
      <c r="B698" s="2"/>
      <c r="C698" s="3"/>
      <c r="D698" s="3"/>
      <c r="E698" s="3"/>
      <c r="F698" s="4"/>
    </row>
    <row r="699" spans="2:6" ht="12" customHeight="1" x14ac:dyDescent="0.15">
      <c r="B699" s="2"/>
      <c r="C699" s="3"/>
      <c r="D699" s="3"/>
      <c r="E699" s="3"/>
      <c r="F699" s="4"/>
    </row>
    <row r="700" spans="2:6" ht="12" customHeight="1" x14ac:dyDescent="0.15">
      <c r="B700" s="2"/>
      <c r="C700" s="3"/>
      <c r="D700" s="3"/>
      <c r="E700" s="3"/>
      <c r="F700" s="4"/>
    </row>
    <row r="701" spans="2:6" ht="12" customHeight="1" x14ac:dyDescent="0.15">
      <c r="B701" s="2"/>
      <c r="C701" s="3"/>
      <c r="D701" s="3"/>
      <c r="E701" s="3"/>
      <c r="F701" s="4"/>
    </row>
    <row r="702" spans="2:6" ht="12" customHeight="1" x14ac:dyDescent="0.15">
      <c r="B702" s="2"/>
      <c r="C702" s="3"/>
      <c r="D702" s="3"/>
      <c r="E702" s="3"/>
      <c r="F702" s="4"/>
    </row>
    <row r="703" spans="2:6" ht="12" customHeight="1" x14ac:dyDescent="0.15">
      <c r="B703" s="2"/>
      <c r="C703" s="3"/>
      <c r="D703" s="3"/>
      <c r="E703" s="3"/>
      <c r="F703" s="4"/>
    </row>
    <row r="704" spans="2:6" ht="12" customHeight="1" x14ac:dyDescent="0.15">
      <c r="B704" s="2"/>
      <c r="C704" s="3"/>
      <c r="D704" s="3"/>
      <c r="E704" s="3"/>
      <c r="F704" s="4"/>
    </row>
    <row r="705" spans="2:6" ht="12" customHeight="1" x14ac:dyDescent="0.15">
      <c r="B705" s="2"/>
      <c r="C705" s="3"/>
      <c r="D705" s="3"/>
      <c r="E705" s="3"/>
      <c r="F705" s="4"/>
    </row>
    <row r="706" spans="2:6" ht="12" customHeight="1" x14ac:dyDescent="0.15">
      <c r="B706" s="2"/>
      <c r="C706" s="3"/>
      <c r="D706" s="3"/>
      <c r="E706" s="3"/>
      <c r="F706" s="4"/>
    </row>
    <row r="707" spans="2:6" ht="12" customHeight="1" x14ac:dyDescent="0.15">
      <c r="B707" s="2"/>
      <c r="C707" s="3"/>
      <c r="D707" s="3"/>
      <c r="E707" s="3"/>
      <c r="F707" s="4"/>
    </row>
    <row r="708" spans="2:6" ht="12" customHeight="1" x14ac:dyDescent="0.15">
      <c r="B708" s="2"/>
      <c r="C708" s="3"/>
      <c r="D708" s="3"/>
      <c r="E708" s="3"/>
      <c r="F708" s="4"/>
    </row>
    <row r="709" spans="2:6" ht="12" customHeight="1" x14ac:dyDescent="0.15">
      <c r="B709" s="2"/>
      <c r="C709" s="3"/>
      <c r="D709" s="3"/>
      <c r="E709" s="3"/>
      <c r="F709" s="4"/>
    </row>
    <row r="710" spans="2:6" ht="12" customHeight="1" x14ac:dyDescent="0.15">
      <c r="B710" s="2"/>
      <c r="C710" s="3"/>
      <c r="D710" s="3"/>
      <c r="E710" s="3"/>
      <c r="F710" s="4"/>
    </row>
    <row r="711" spans="2:6" ht="12" customHeight="1" x14ac:dyDescent="0.15">
      <c r="B711" s="2"/>
      <c r="C711" s="3"/>
      <c r="D711" s="3"/>
      <c r="E711" s="3"/>
      <c r="F711" s="4"/>
    </row>
    <row r="712" spans="2:6" ht="12" customHeight="1" x14ac:dyDescent="0.15">
      <c r="B712" s="2"/>
      <c r="C712" s="3"/>
      <c r="D712" s="3"/>
      <c r="E712" s="3"/>
      <c r="F712" s="4"/>
    </row>
    <row r="713" spans="2:6" ht="12" customHeight="1" x14ac:dyDescent="0.15">
      <c r="B713" s="2"/>
      <c r="C713" s="3"/>
      <c r="D713" s="3"/>
      <c r="E713" s="3"/>
      <c r="F713" s="4"/>
    </row>
    <row r="714" spans="2:6" ht="12" customHeight="1" x14ac:dyDescent="0.15">
      <c r="B714" s="2"/>
      <c r="C714" s="3"/>
      <c r="D714" s="3"/>
      <c r="E714" s="3"/>
      <c r="F714" s="4"/>
    </row>
    <row r="715" spans="2:6" ht="12" customHeight="1" x14ac:dyDescent="0.15">
      <c r="B715" s="2"/>
      <c r="C715" s="3"/>
      <c r="D715" s="3"/>
      <c r="E715" s="3"/>
      <c r="F715" s="4"/>
    </row>
    <row r="716" spans="2:6" ht="12" customHeight="1" x14ac:dyDescent="0.15">
      <c r="B716" s="2"/>
      <c r="C716" s="3"/>
      <c r="D716" s="3"/>
      <c r="E716" s="3"/>
      <c r="F716" s="4"/>
    </row>
    <row r="717" spans="2:6" ht="12" customHeight="1" x14ac:dyDescent="0.15">
      <c r="B717" s="2"/>
      <c r="C717" s="3"/>
      <c r="D717" s="3"/>
      <c r="E717" s="3"/>
      <c r="F717" s="4"/>
    </row>
    <row r="718" spans="2:6" ht="12" customHeight="1" x14ac:dyDescent="0.15">
      <c r="B718" s="2"/>
      <c r="C718" s="3"/>
      <c r="D718" s="3"/>
      <c r="E718" s="3"/>
      <c r="F718" s="4"/>
    </row>
    <row r="719" spans="2:6" ht="12" customHeight="1" x14ac:dyDescent="0.15">
      <c r="B719" s="2"/>
      <c r="C719" s="3"/>
      <c r="D719" s="3"/>
      <c r="E719" s="3"/>
      <c r="F719" s="4"/>
    </row>
    <row r="720" spans="2:6" ht="12" customHeight="1" x14ac:dyDescent="0.15">
      <c r="B720" s="2"/>
      <c r="C720" s="3"/>
      <c r="D720" s="3"/>
      <c r="E720" s="3"/>
      <c r="F720" s="4"/>
    </row>
    <row r="721" spans="2:6" ht="12" customHeight="1" x14ac:dyDescent="0.15">
      <c r="B721" s="2"/>
      <c r="C721" s="3"/>
      <c r="D721" s="3"/>
      <c r="E721" s="3"/>
      <c r="F721" s="4"/>
    </row>
    <row r="722" spans="2:6" ht="12" customHeight="1" x14ac:dyDescent="0.15">
      <c r="B722" s="2"/>
      <c r="C722" s="3"/>
      <c r="D722" s="3"/>
      <c r="E722" s="3"/>
      <c r="F722" s="4"/>
    </row>
    <row r="723" spans="2:6" ht="12" customHeight="1" x14ac:dyDescent="0.15">
      <c r="B723" s="2"/>
      <c r="C723" s="3"/>
      <c r="D723" s="3"/>
      <c r="E723" s="3"/>
      <c r="F723" s="4"/>
    </row>
    <row r="724" spans="2:6" ht="12" customHeight="1" x14ac:dyDescent="0.15">
      <c r="B724" s="2"/>
      <c r="C724" s="3"/>
      <c r="D724" s="3"/>
      <c r="E724" s="3"/>
      <c r="F724" s="4"/>
    </row>
    <row r="725" spans="2:6" ht="12" customHeight="1" x14ac:dyDescent="0.15">
      <c r="B725" s="2"/>
      <c r="C725" s="3"/>
      <c r="D725" s="3"/>
      <c r="E725" s="3"/>
      <c r="F725" s="4"/>
    </row>
    <row r="726" spans="2:6" ht="12" customHeight="1" x14ac:dyDescent="0.15">
      <c r="B726" s="2"/>
      <c r="C726" s="3"/>
      <c r="D726" s="3"/>
      <c r="E726" s="3"/>
      <c r="F726" s="4"/>
    </row>
    <row r="727" spans="2:6" ht="12" customHeight="1" x14ac:dyDescent="0.15">
      <c r="B727" s="2"/>
      <c r="C727" s="3"/>
      <c r="D727" s="3"/>
      <c r="E727" s="3"/>
      <c r="F727" s="4"/>
    </row>
    <row r="728" spans="2:6" ht="12" customHeight="1" x14ac:dyDescent="0.15">
      <c r="B728" s="2"/>
      <c r="C728" s="3"/>
      <c r="D728" s="3"/>
      <c r="E728" s="3"/>
      <c r="F728" s="4"/>
    </row>
    <row r="729" spans="2:6" ht="12" customHeight="1" x14ac:dyDescent="0.15">
      <c r="B729" s="2"/>
      <c r="C729" s="3"/>
      <c r="D729" s="3"/>
      <c r="E729" s="3"/>
      <c r="F729" s="4"/>
    </row>
    <row r="730" spans="2:6" ht="12" customHeight="1" x14ac:dyDescent="0.15">
      <c r="B730" s="2"/>
      <c r="C730" s="3"/>
      <c r="D730" s="3"/>
      <c r="E730" s="3"/>
      <c r="F730" s="4"/>
    </row>
    <row r="731" spans="2:6" ht="12" customHeight="1" x14ac:dyDescent="0.15">
      <c r="B731" s="2"/>
      <c r="C731" s="3"/>
      <c r="D731" s="3"/>
      <c r="E731" s="3"/>
      <c r="F731" s="4"/>
    </row>
    <row r="732" spans="2:6" ht="12" customHeight="1" x14ac:dyDescent="0.15">
      <c r="B732" s="2"/>
      <c r="C732" s="3"/>
      <c r="D732" s="3"/>
      <c r="E732" s="3"/>
      <c r="F732" s="4"/>
    </row>
    <row r="733" spans="2:6" ht="12" customHeight="1" x14ac:dyDescent="0.15">
      <c r="B733" s="2"/>
      <c r="C733" s="3"/>
      <c r="D733" s="3"/>
      <c r="E733" s="3"/>
      <c r="F733" s="4"/>
    </row>
    <row r="734" spans="2:6" ht="12" customHeight="1" x14ac:dyDescent="0.15">
      <c r="B734" s="2"/>
      <c r="C734" s="3"/>
      <c r="D734" s="3"/>
      <c r="E734" s="3"/>
      <c r="F734" s="4"/>
    </row>
    <row r="735" spans="2:6" ht="12" customHeight="1" x14ac:dyDescent="0.15">
      <c r="B735" s="2"/>
      <c r="C735" s="3"/>
      <c r="D735" s="3"/>
      <c r="E735" s="3"/>
      <c r="F735" s="4"/>
    </row>
    <row r="736" spans="2:6" ht="12" customHeight="1" x14ac:dyDescent="0.15">
      <c r="B736" s="2"/>
      <c r="C736" s="3"/>
      <c r="D736" s="3"/>
      <c r="E736" s="3"/>
      <c r="F736" s="4"/>
    </row>
    <row r="737" spans="2:6" ht="12" customHeight="1" x14ac:dyDescent="0.15">
      <c r="B737" s="2"/>
      <c r="C737" s="3"/>
      <c r="D737" s="3"/>
      <c r="E737" s="3"/>
      <c r="F737" s="4"/>
    </row>
    <row r="738" spans="2:6" ht="12" customHeight="1" x14ac:dyDescent="0.15">
      <c r="B738" s="2"/>
      <c r="C738" s="3"/>
      <c r="D738" s="3"/>
      <c r="E738" s="3"/>
      <c r="F738" s="4"/>
    </row>
    <row r="739" spans="2:6" ht="12" customHeight="1" x14ac:dyDescent="0.15">
      <c r="B739" s="2"/>
      <c r="C739" s="3"/>
      <c r="D739" s="3"/>
      <c r="E739" s="3"/>
      <c r="F739" s="4"/>
    </row>
    <row r="740" spans="2:6" ht="12" customHeight="1" x14ac:dyDescent="0.15">
      <c r="B740" s="2"/>
      <c r="C740" s="3"/>
      <c r="D740" s="3"/>
      <c r="E740" s="3"/>
      <c r="F740" s="4"/>
    </row>
    <row r="741" spans="2:6" ht="12" customHeight="1" x14ac:dyDescent="0.15">
      <c r="B741" s="2"/>
      <c r="C741" s="3"/>
      <c r="D741" s="3"/>
      <c r="E741" s="3"/>
      <c r="F741" s="4"/>
    </row>
    <row r="742" spans="2:6" ht="12" customHeight="1" x14ac:dyDescent="0.15">
      <c r="B742" s="2"/>
      <c r="C742" s="3"/>
      <c r="D742" s="3"/>
      <c r="E742" s="3"/>
      <c r="F742" s="4"/>
    </row>
    <row r="743" spans="2:6" ht="12" customHeight="1" x14ac:dyDescent="0.15">
      <c r="B743" s="2"/>
      <c r="C743" s="3"/>
      <c r="D743" s="3"/>
      <c r="E743" s="3"/>
      <c r="F743" s="4"/>
    </row>
    <row r="744" spans="2:6" ht="12" customHeight="1" x14ac:dyDescent="0.15">
      <c r="B744" s="2"/>
      <c r="C744" s="3"/>
      <c r="D744" s="3"/>
      <c r="E744" s="3"/>
      <c r="F744" s="4"/>
    </row>
    <row r="745" spans="2:6" ht="12" customHeight="1" x14ac:dyDescent="0.15">
      <c r="B745" s="2"/>
      <c r="C745" s="3"/>
      <c r="D745" s="3"/>
      <c r="E745" s="3"/>
      <c r="F745" s="4"/>
    </row>
    <row r="746" spans="2:6" ht="12" customHeight="1" x14ac:dyDescent="0.15">
      <c r="B746" s="2"/>
      <c r="C746" s="3"/>
      <c r="D746" s="3"/>
      <c r="E746" s="3"/>
      <c r="F746" s="4"/>
    </row>
    <row r="747" spans="2:6" ht="12" customHeight="1" x14ac:dyDescent="0.15">
      <c r="B747" s="2"/>
      <c r="C747" s="3"/>
      <c r="D747" s="3"/>
      <c r="E747" s="3"/>
      <c r="F747" s="4"/>
    </row>
    <row r="748" spans="2:6" ht="12" customHeight="1" x14ac:dyDescent="0.15">
      <c r="B748" s="2"/>
      <c r="C748" s="3"/>
      <c r="D748" s="3"/>
      <c r="E748" s="3"/>
      <c r="F748" s="4"/>
    </row>
    <row r="749" spans="2:6" ht="12" customHeight="1" x14ac:dyDescent="0.15">
      <c r="B749" s="2"/>
      <c r="C749" s="3"/>
      <c r="D749" s="3"/>
      <c r="E749" s="3"/>
      <c r="F749" s="4"/>
    </row>
    <row r="750" spans="2:6" ht="12" customHeight="1" x14ac:dyDescent="0.15">
      <c r="B750" s="2"/>
      <c r="C750" s="3"/>
      <c r="D750" s="3"/>
      <c r="E750" s="3"/>
      <c r="F750" s="4"/>
    </row>
    <row r="751" spans="2:6" ht="12" customHeight="1" x14ac:dyDescent="0.15">
      <c r="B751" s="2"/>
      <c r="C751" s="3"/>
      <c r="D751" s="3"/>
      <c r="E751" s="3"/>
      <c r="F751" s="4"/>
    </row>
    <row r="752" spans="2:6" ht="12" customHeight="1" x14ac:dyDescent="0.15">
      <c r="B752" s="2"/>
      <c r="C752" s="3"/>
      <c r="D752" s="3"/>
      <c r="E752" s="3"/>
      <c r="F752" s="4"/>
    </row>
    <row r="753" spans="2:6" ht="12" customHeight="1" x14ac:dyDescent="0.15">
      <c r="B753" s="2"/>
      <c r="C753" s="3"/>
      <c r="D753" s="3"/>
      <c r="E753" s="3"/>
      <c r="F753" s="4"/>
    </row>
    <row r="754" spans="2:6" ht="12" customHeight="1" x14ac:dyDescent="0.15">
      <c r="B754" s="2"/>
      <c r="C754" s="3"/>
      <c r="D754" s="3"/>
      <c r="E754" s="3"/>
      <c r="F754" s="4"/>
    </row>
    <row r="755" spans="2:6" ht="12" customHeight="1" x14ac:dyDescent="0.15">
      <c r="B755" s="2"/>
      <c r="C755" s="3"/>
      <c r="D755" s="3"/>
      <c r="E755" s="3"/>
      <c r="F755" s="4"/>
    </row>
    <row r="756" spans="2:6" ht="12" customHeight="1" x14ac:dyDescent="0.15">
      <c r="B756" s="2"/>
      <c r="C756" s="3"/>
      <c r="D756" s="3"/>
      <c r="E756" s="3"/>
      <c r="F756" s="4"/>
    </row>
    <row r="757" spans="2:6" ht="12" customHeight="1" x14ac:dyDescent="0.15">
      <c r="B757" s="2"/>
      <c r="C757" s="3"/>
      <c r="D757" s="3"/>
      <c r="E757" s="3"/>
      <c r="F757" s="4"/>
    </row>
    <row r="758" spans="2:6" ht="12" customHeight="1" x14ac:dyDescent="0.15">
      <c r="B758" s="2"/>
      <c r="C758" s="3"/>
      <c r="D758" s="3"/>
      <c r="E758" s="3"/>
      <c r="F758" s="4"/>
    </row>
    <row r="759" spans="2:6" ht="12" customHeight="1" x14ac:dyDescent="0.15">
      <c r="B759" s="2"/>
      <c r="C759" s="3"/>
      <c r="D759" s="3"/>
      <c r="E759" s="3"/>
      <c r="F759" s="4"/>
    </row>
    <row r="760" spans="2:6" ht="12" customHeight="1" x14ac:dyDescent="0.15">
      <c r="B760" s="2"/>
      <c r="C760" s="3"/>
      <c r="D760" s="3"/>
      <c r="E760" s="3"/>
      <c r="F760" s="4"/>
    </row>
    <row r="761" spans="2:6" ht="12" customHeight="1" x14ac:dyDescent="0.15">
      <c r="B761" s="2"/>
      <c r="C761" s="3"/>
      <c r="D761" s="3"/>
      <c r="E761" s="3"/>
      <c r="F761" s="4"/>
    </row>
    <row r="762" spans="2:6" ht="12" customHeight="1" x14ac:dyDescent="0.15">
      <c r="B762" s="2"/>
      <c r="C762" s="3"/>
      <c r="D762" s="3"/>
      <c r="E762" s="3"/>
      <c r="F762" s="4"/>
    </row>
    <row r="763" spans="2:6" ht="12" customHeight="1" x14ac:dyDescent="0.15">
      <c r="B763" s="2"/>
      <c r="C763" s="3"/>
      <c r="D763" s="3"/>
      <c r="E763" s="3"/>
      <c r="F763" s="4"/>
    </row>
    <row r="764" spans="2:6" ht="12" customHeight="1" x14ac:dyDescent="0.15">
      <c r="B764" s="2"/>
      <c r="C764" s="3"/>
      <c r="D764" s="3"/>
      <c r="E764" s="3"/>
      <c r="F764" s="4"/>
    </row>
    <row r="765" spans="2:6" ht="12" customHeight="1" x14ac:dyDescent="0.15">
      <c r="B765" s="2"/>
      <c r="C765" s="3"/>
      <c r="D765" s="3"/>
      <c r="E765" s="3"/>
      <c r="F765" s="4"/>
    </row>
    <row r="766" spans="2:6" ht="12" customHeight="1" x14ac:dyDescent="0.15">
      <c r="B766" s="2"/>
      <c r="C766" s="3"/>
      <c r="D766" s="3"/>
      <c r="E766" s="3"/>
      <c r="F766" s="4"/>
    </row>
    <row r="767" spans="2:6" ht="12" customHeight="1" x14ac:dyDescent="0.15">
      <c r="B767" s="2"/>
      <c r="C767" s="3"/>
      <c r="D767" s="3"/>
      <c r="E767" s="3"/>
      <c r="F767" s="4"/>
    </row>
    <row r="768" spans="2:6" ht="12" customHeight="1" x14ac:dyDescent="0.15">
      <c r="B768" s="2"/>
      <c r="C768" s="3"/>
      <c r="D768" s="3"/>
      <c r="E768" s="3"/>
      <c r="F768" s="4"/>
    </row>
    <row r="769" spans="2:6" ht="12" customHeight="1" x14ac:dyDescent="0.15">
      <c r="B769" s="2"/>
      <c r="C769" s="3"/>
      <c r="D769" s="3"/>
      <c r="E769" s="3"/>
      <c r="F769" s="4"/>
    </row>
    <row r="770" spans="2:6" ht="12" customHeight="1" x14ac:dyDescent="0.15">
      <c r="B770" s="2"/>
      <c r="C770" s="3"/>
      <c r="D770" s="3"/>
      <c r="E770" s="3"/>
      <c r="F770" s="4"/>
    </row>
    <row r="771" spans="2:6" ht="12" customHeight="1" x14ac:dyDescent="0.15">
      <c r="B771" s="2"/>
      <c r="C771" s="3"/>
      <c r="D771" s="3"/>
      <c r="E771" s="3"/>
      <c r="F771" s="4"/>
    </row>
    <row r="772" spans="2:6" ht="12" customHeight="1" x14ac:dyDescent="0.15">
      <c r="B772" s="2"/>
      <c r="C772" s="3"/>
      <c r="D772" s="3"/>
      <c r="E772" s="3"/>
      <c r="F772" s="4"/>
    </row>
    <row r="773" spans="2:6" ht="12" customHeight="1" x14ac:dyDescent="0.15">
      <c r="B773" s="2"/>
      <c r="C773" s="3"/>
      <c r="D773" s="3"/>
      <c r="E773" s="3"/>
      <c r="F773" s="4"/>
    </row>
    <row r="774" spans="2:6" ht="12" customHeight="1" x14ac:dyDescent="0.15">
      <c r="B774" s="2"/>
      <c r="C774" s="3"/>
      <c r="D774" s="3"/>
      <c r="E774" s="3"/>
      <c r="F774" s="4"/>
    </row>
    <row r="775" spans="2:6" ht="12" customHeight="1" x14ac:dyDescent="0.15">
      <c r="B775" s="2"/>
      <c r="C775" s="3"/>
      <c r="D775" s="3"/>
      <c r="E775" s="3"/>
      <c r="F775" s="4"/>
    </row>
    <row r="776" spans="2:6" ht="12" customHeight="1" x14ac:dyDescent="0.15">
      <c r="B776" s="2"/>
      <c r="C776" s="3"/>
      <c r="D776" s="3"/>
      <c r="E776" s="3"/>
      <c r="F776" s="4"/>
    </row>
    <row r="777" spans="2:6" ht="12" customHeight="1" x14ac:dyDescent="0.15">
      <c r="B777" s="2"/>
      <c r="C777" s="3"/>
      <c r="D777" s="3"/>
      <c r="E777" s="3"/>
      <c r="F777" s="4"/>
    </row>
    <row r="778" spans="2:6" ht="12" customHeight="1" x14ac:dyDescent="0.15">
      <c r="B778" s="2"/>
      <c r="C778" s="3"/>
      <c r="D778" s="3"/>
      <c r="E778" s="3"/>
      <c r="F778" s="4"/>
    </row>
    <row r="779" spans="2:6" ht="12" customHeight="1" x14ac:dyDescent="0.15">
      <c r="B779" s="2"/>
      <c r="C779" s="3"/>
      <c r="D779" s="3"/>
      <c r="E779" s="3"/>
      <c r="F779" s="4"/>
    </row>
    <row r="780" spans="2:6" ht="12" customHeight="1" x14ac:dyDescent="0.15">
      <c r="B780" s="2"/>
      <c r="C780" s="3"/>
      <c r="D780" s="3"/>
      <c r="E780" s="3"/>
      <c r="F780" s="4"/>
    </row>
    <row r="781" spans="2:6" ht="12" customHeight="1" x14ac:dyDescent="0.15">
      <c r="B781" s="2"/>
      <c r="C781" s="3"/>
      <c r="D781" s="3"/>
      <c r="E781" s="3"/>
      <c r="F781" s="4"/>
    </row>
    <row r="782" spans="2:6" ht="12" customHeight="1" x14ac:dyDescent="0.15">
      <c r="B782" s="2"/>
      <c r="C782" s="3"/>
      <c r="D782" s="3"/>
      <c r="E782" s="3"/>
      <c r="F782" s="4"/>
    </row>
    <row r="783" spans="2:6" ht="12" customHeight="1" x14ac:dyDescent="0.15">
      <c r="B783" s="2"/>
      <c r="C783" s="3"/>
      <c r="D783" s="3"/>
      <c r="E783" s="3"/>
      <c r="F783" s="4"/>
    </row>
    <row r="784" spans="2:6" ht="12" customHeight="1" x14ac:dyDescent="0.15">
      <c r="B784" s="2"/>
      <c r="C784" s="3"/>
      <c r="D784" s="3"/>
      <c r="E784" s="3"/>
      <c r="F784" s="4"/>
    </row>
    <row r="785" spans="2:6" ht="12" customHeight="1" x14ac:dyDescent="0.15">
      <c r="B785" s="2"/>
      <c r="C785" s="3"/>
      <c r="D785" s="3"/>
      <c r="E785" s="3"/>
      <c r="F785" s="4"/>
    </row>
    <row r="786" spans="2:6" ht="12" customHeight="1" x14ac:dyDescent="0.15">
      <c r="B786" s="2"/>
      <c r="C786" s="3"/>
      <c r="D786" s="3"/>
      <c r="E786" s="3"/>
      <c r="F786" s="4"/>
    </row>
    <row r="787" spans="2:6" ht="12" customHeight="1" x14ac:dyDescent="0.15">
      <c r="B787" s="2"/>
      <c r="C787" s="3"/>
      <c r="D787" s="3"/>
      <c r="E787" s="3"/>
      <c r="F787" s="4"/>
    </row>
    <row r="788" spans="2:6" ht="12" customHeight="1" x14ac:dyDescent="0.15">
      <c r="B788" s="2"/>
      <c r="C788" s="3"/>
      <c r="D788" s="3"/>
      <c r="E788" s="3"/>
      <c r="F788" s="4"/>
    </row>
    <row r="789" spans="2:6" ht="12" customHeight="1" x14ac:dyDescent="0.15">
      <c r="B789" s="2"/>
      <c r="C789" s="3"/>
      <c r="D789" s="3"/>
      <c r="E789" s="3"/>
      <c r="F789" s="4"/>
    </row>
    <row r="790" spans="2:6" ht="12" customHeight="1" x14ac:dyDescent="0.15">
      <c r="B790" s="2"/>
      <c r="C790" s="3"/>
      <c r="D790" s="3"/>
      <c r="E790" s="3"/>
      <c r="F790" s="4"/>
    </row>
    <row r="791" spans="2:6" ht="12" customHeight="1" x14ac:dyDescent="0.15">
      <c r="B791" s="2"/>
      <c r="C791" s="3"/>
      <c r="D791" s="3"/>
      <c r="E791" s="3"/>
      <c r="F791" s="4"/>
    </row>
    <row r="792" spans="2:6" ht="12" customHeight="1" x14ac:dyDescent="0.15">
      <c r="B792" s="2"/>
      <c r="C792" s="3"/>
      <c r="D792" s="3"/>
      <c r="E792" s="3"/>
      <c r="F792" s="4"/>
    </row>
    <row r="793" spans="2:6" ht="12" customHeight="1" x14ac:dyDescent="0.15">
      <c r="B793" s="2"/>
      <c r="C793" s="3"/>
      <c r="D793" s="3"/>
      <c r="E793" s="3"/>
      <c r="F793" s="4"/>
    </row>
    <row r="794" spans="2:6" ht="12" customHeight="1" x14ac:dyDescent="0.15">
      <c r="B794" s="2"/>
      <c r="C794" s="3"/>
      <c r="D794" s="3"/>
      <c r="E794" s="3"/>
      <c r="F794" s="4"/>
    </row>
    <row r="795" spans="2:6" ht="12" customHeight="1" x14ac:dyDescent="0.15">
      <c r="B795" s="2"/>
      <c r="C795" s="3"/>
      <c r="D795" s="3"/>
      <c r="E795" s="3"/>
      <c r="F795" s="4"/>
    </row>
    <row r="796" spans="2:6" ht="12" customHeight="1" x14ac:dyDescent="0.15">
      <c r="B796" s="2"/>
      <c r="C796" s="3"/>
      <c r="D796" s="3"/>
      <c r="E796" s="3"/>
      <c r="F796" s="4"/>
    </row>
    <row r="797" spans="2:6" ht="12" customHeight="1" x14ac:dyDescent="0.15">
      <c r="B797" s="2"/>
      <c r="C797" s="3"/>
      <c r="D797" s="3"/>
      <c r="E797" s="3"/>
      <c r="F797" s="4"/>
    </row>
    <row r="798" spans="2:6" ht="12" customHeight="1" x14ac:dyDescent="0.15">
      <c r="B798" s="2"/>
      <c r="C798" s="3"/>
      <c r="D798" s="3"/>
      <c r="E798" s="3"/>
      <c r="F798" s="4"/>
    </row>
    <row r="799" spans="2:6" ht="12" customHeight="1" x14ac:dyDescent="0.15">
      <c r="B799" s="2"/>
      <c r="C799" s="3"/>
      <c r="D799" s="3"/>
      <c r="E799" s="3"/>
      <c r="F799" s="4"/>
    </row>
    <row r="800" spans="2:6" ht="12" customHeight="1" x14ac:dyDescent="0.15">
      <c r="B800" s="2"/>
      <c r="C800" s="3"/>
      <c r="D800" s="3"/>
      <c r="E800" s="3"/>
      <c r="F800" s="4"/>
    </row>
    <row r="801" spans="2:6" ht="12" customHeight="1" x14ac:dyDescent="0.15">
      <c r="B801" s="2"/>
      <c r="C801" s="3"/>
      <c r="D801" s="3"/>
      <c r="E801" s="3"/>
      <c r="F801" s="4"/>
    </row>
    <row r="802" spans="2:6" ht="12" customHeight="1" x14ac:dyDescent="0.15">
      <c r="B802" s="2"/>
      <c r="C802" s="3"/>
      <c r="D802" s="3"/>
      <c r="E802" s="3"/>
      <c r="F802" s="4"/>
    </row>
    <row r="803" spans="2:6" ht="12" customHeight="1" x14ac:dyDescent="0.15">
      <c r="B803" s="2"/>
      <c r="C803" s="3"/>
      <c r="D803" s="3"/>
      <c r="E803" s="3"/>
      <c r="F803" s="4"/>
    </row>
    <row r="804" spans="2:6" ht="12" customHeight="1" x14ac:dyDescent="0.15">
      <c r="B804" s="2"/>
      <c r="C804" s="3"/>
      <c r="D804" s="3"/>
      <c r="E804" s="3"/>
      <c r="F804" s="4"/>
    </row>
    <row r="805" spans="2:6" ht="12" customHeight="1" x14ac:dyDescent="0.15">
      <c r="B805" s="2"/>
      <c r="C805" s="3"/>
      <c r="D805" s="3"/>
      <c r="E805" s="3"/>
      <c r="F805" s="4"/>
    </row>
    <row r="806" spans="2:6" ht="12" customHeight="1" x14ac:dyDescent="0.15">
      <c r="B806" s="2"/>
      <c r="C806" s="3"/>
      <c r="D806" s="3"/>
      <c r="E806" s="3"/>
      <c r="F806" s="4"/>
    </row>
    <row r="807" spans="2:6" ht="12" customHeight="1" x14ac:dyDescent="0.15">
      <c r="B807" s="2"/>
      <c r="C807" s="3"/>
      <c r="D807" s="3"/>
      <c r="E807" s="3"/>
      <c r="F807" s="4"/>
    </row>
    <row r="808" spans="2:6" ht="12" customHeight="1" x14ac:dyDescent="0.15">
      <c r="B808" s="2"/>
      <c r="C808" s="3"/>
      <c r="D808" s="3"/>
      <c r="E808" s="3"/>
      <c r="F808" s="4"/>
    </row>
    <row r="809" spans="2:6" ht="12" customHeight="1" x14ac:dyDescent="0.15">
      <c r="B809" s="2"/>
      <c r="C809" s="3"/>
      <c r="D809" s="3"/>
      <c r="E809" s="3"/>
      <c r="F809" s="4"/>
    </row>
    <row r="810" spans="2:6" ht="12" customHeight="1" x14ac:dyDescent="0.15">
      <c r="B810" s="2"/>
      <c r="C810" s="3"/>
      <c r="D810" s="3"/>
      <c r="E810" s="3"/>
      <c r="F810" s="4"/>
    </row>
    <row r="811" spans="2:6" ht="12" customHeight="1" x14ac:dyDescent="0.15">
      <c r="B811" s="2"/>
      <c r="C811" s="3"/>
      <c r="D811" s="3"/>
      <c r="E811" s="3"/>
      <c r="F811" s="4"/>
    </row>
    <row r="812" spans="2:6" ht="12" customHeight="1" x14ac:dyDescent="0.15">
      <c r="B812" s="2"/>
      <c r="C812" s="3"/>
      <c r="D812" s="3"/>
      <c r="E812" s="3"/>
      <c r="F812" s="4"/>
    </row>
    <row r="813" spans="2:6" ht="12" customHeight="1" x14ac:dyDescent="0.15">
      <c r="B813" s="2"/>
      <c r="C813" s="3"/>
      <c r="D813" s="3"/>
      <c r="E813" s="3"/>
      <c r="F813" s="4"/>
    </row>
    <row r="814" spans="2:6" ht="12" customHeight="1" x14ac:dyDescent="0.15">
      <c r="B814" s="2"/>
      <c r="C814" s="3"/>
      <c r="D814" s="3"/>
      <c r="E814" s="3"/>
      <c r="F814" s="4"/>
    </row>
    <row r="815" spans="2:6" ht="12" customHeight="1" x14ac:dyDescent="0.15">
      <c r="B815" s="2"/>
      <c r="C815" s="3"/>
      <c r="D815" s="3"/>
      <c r="E815" s="3"/>
      <c r="F815" s="4"/>
    </row>
    <row r="816" spans="2:6" ht="12" customHeight="1" x14ac:dyDescent="0.15">
      <c r="B816" s="2"/>
      <c r="C816" s="3"/>
      <c r="D816" s="3"/>
      <c r="E816" s="3"/>
      <c r="F816" s="4"/>
    </row>
    <row r="817" spans="2:6" ht="12" customHeight="1" x14ac:dyDescent="0.15">
      <c r="B817" s="2"/>
      <c r="C817" s="3"/>
      <c r="D817" s="3"/>
      <c r="E817" s="3"/>
      <c r="F817" s="4"/>
    </row>
    <row r="818" spans="2:6" ht="12" customHeight="1" x14ac:dyDescent="0.15">
      <c r="B818" s="2"/>
      <c r="C818" s="3"/>
      <c r="D818" s="3"/>
      <c r="E818" s="3"/>
      <c r="F818" s="4"/>
    </row>
    <row r="819" spans="2:6" ht="12" customHeight="1" x14ac:dyDescent="0.15">
      <c r="B819" s="2"/>
      <c r="C819" s="3"/>
      <c r="D819" s="3"/>
      <c r="E819" s="3"/>
      <c r="F819" s="4"/>
    </row>
    <row r="820" spans="2:6" ht="12" customHeight="1" x14ac:dyDescent="0.15">
      <c r="B820" s="2"/>
      <c r="C820" s="3"/>
      <c r="D820" s="3"/>
      <c r="E820" s="3"/>
      <c r="F820" s="4"/>
    </row>
    <row r="821" spans="2:6" ht="12" customHeight="1" x14ac:dyDescent="0.15">
      <c r="B821" s="2"/>
      <c r="C821" s="3"/>
      <c r="D821" s="3"/>
      <c r="E821" s="3"/>
      <c r="F821" s="4"/>
    </row>
    <row r="822" spans="2:6" ht="12" customHeight="1" x14ac:dyDescent="0.15">
      <c r="B822" s="2"/>
      <c r="C822" s="3"/>
      <c r="D822" s="3"/>
      <c r="E822" s="3"/>
      <c r="F822" s="4"/>
    </row>
    <row r="823" spans="2:6" ht="12" customHeight="1" x14ac:dyDescent="0.15">
      <c r="B823" s="2"/>
      <c r="C823" s="3"/>
      <c r="D823" s="3"/>
      <c r="E823" s="3"/>
      <c r="F823" s="4"/>
    </row>
    <row r="824" spans="2:6" ht="12" customHeight="1" x14ac:dyDescent="0.15">
      <c r="B824" s="2"/>
      <c r="C824" s="3"/>
      <c r="D824" s="3"/>
      <c r="E824" s="3"/>
      <c r="F824" s="4"/>
    </row>
    <row r="825" spans="2:6" ht="12" customHeight="1" x14ac:dyDescent="0.15">
      <c r="B825" s="2"/>
      <c r="C825" s="3"/>
      <c r="D825" s="3"/>
      <c r="E825" s="3"/>
      <c r="F825" s="4"/>
    </row>
    <row r="826" spans="2:6" ht="12" customHeight="1" x14ac:dyDescent="0.15">
      <c r="B826" s="2"/>
      <c r="C826" s="3"/>
      <c r="D826" s="3"/>
      <c r="E826" s="3"/>
      <c r="F826" s="4"/>
    </row>
    <row r="827" spans="2:6" ht="12" customHeight="1" x14ac:dyDescent="0.15">
      <c r="B827" s="2"/>
      <c r="C827" s="3"/>
      <c r="D827" s="3"/>
      <c r="E827" s="3"/>
      <c r="F827" s="4"/>
    </row>
    <row r="828" spans="2:6" ht="12" customHeight="1" x14ac:dyDescent="0.15">
      <c r="B828" s="2"/>
      <c r="C828" s="3"/>
      <c r="D828" s="3"/>
      <c r="E828" s="3"/>
      <c r="F828" s="4"/>
    </row>
    <row r="829" spans="2:6" ht="12" customHeight="1" x14ac:dyDescent="0.15">
      <c r="B829" s="2"/>
      <c r="C829" s="3"/>
      <c r="D829" s="3"/>
      <c r="E829" s="3"/>
      <c r="F829" s="4"/>
    </row>
    <row r="830" spans="2:6" ht="12" customHeight="1" x14ac:dyDescent="0.15">
      <c r="B830" s="2"/>
      <c r="C830" s="3"/>
      <c r="D830" s="3"/>
      <c r="E830" s="3"/>
      <c r="F830" s="4"/>
    </row>
    <row r="831" spans="2:6" ht="12" customHeight="1" x14ac:dyDescent="0.15">
      <c r="B831" s="2"/>
      <c r="C831" s="3"/>
      <c r="D831" s="3"/>
      <c r="E831" s="3"/>
      <c r="F831" s="4"/>
    </row>
    <row r="832" spans="2:6" ht="12" customHeight="1" x14ac:dyDescent="0.15">
      <c r="B832" s="2"/>
      <c r="C832" s="3"/>
      <c r="D832" s="3"/>
      <c r="E832" s="3"/>
      <c r="F832" s="4"/>
    </row>
    <row r="833" spans="2:6" ht="12" customHeight="1" x14ac:dyDescent="0.15">
      <c r="B833" s="2"/>
      <c r="C833" s="3"/>
      <c r="D833" s="3"/>
      <c r="E833" s="3"/>
      <c r="F833" s="4"/>
    </row>
    <row r="834" spans="2:6" ht="12" customHeight="1" x14ac:dyDescent="0.15">
      <c r="B834" s="2"/>
      <c r="C834" s="3"/>
      <c r="D834" s="3"/>
      <c r="E834" s="3"/>
      <c r="F834" s="4"/>
    </row>
    <row r="835" spans="2:6" ht="12" customHeight="1" x14ac:dyDescent="0.15">
      <c r="B835" s="2"/>
      <c r="C835" s="3"/>
      <c r="D835" s="3"/>
      <c r="E835" s="3"/>
      <c r="F835" s="4"/>
    </row>
    <row r="836" spans="2:6" ht="12" customHeight="1" x14ac:dyDescent="0.15">
      <c r="B836" s="2"/>
      <c r="C836" s="3"/>
      <c r="D836" s="3"/>
      <c r="E836" s="3"/>
      <c r="F836" s="4"/>
    </row>
    <row r="837" spans="2:6" ht="12" customHeight="1" x14ac:dyDescent="0.15">
      <c r="B837" s="2"/>
      <c r="C837" s="3"/>
      <c r="D837" s="3"/>
      <c r="E837" s="3"/>
      <c r="F837" s="4"/>
    </row>
    <row r="838" spans="2:6" ht="12" customHeight="1" x14ac:dyDescent="0.15">
      <c r="B838" s="2"/>
      <c r="C838" s="3"/>
      <c r="D838" s="3"/>
      <c r="E838" s="3"/>
      <c r="F838" s="4"/>
    </row>
    <row r="839" spans="2:6" ht="12" customHeight="1" x14ac:dyDescent="0.15">
      <c r="B839" s="2"/>
      <c r="C839" s="3"/>
      <c r="D839" s="3"/>
      <c r="E839" s="3"/>
      <c r="F839" s="4"/>
    </row>
    <row r="840" spans="2:6" ht="12" customHeight="1" x14ac:dyDescent="0.15">
      <c r="B840" s="2"/>
      <c r="C840" s="3"/>
      <c r="D840" s="3"/>
      <c r="E840" s="3"/>
      <c r="F840" s="4"/>
    </row>
    <row r="841" spans="2:6" ht="12" customHeight="1" x14ac:dyDescent="0.15">
      <c r="B841" s="2"/>
      <c r="C841" s="3"/>
      <c r="D841" s="3"/>
      <c r="E841" s="3"/>
      <c r="F841" s="4"/>
    </row>
    <row r="842" spans="2:6" ht="12" customHeight="1" x14ac:dyDescent="0.15">
      <c r="B842" s="2"/>
      <c r="C842" s="3"/>
      <c r="D842" s="3"/>
      <c r="E842" s="3"/>
      <c r="F842" s="4"/>
    </row>
    <row r="843" spans="2:6" ht="12" customHeight="1" x14ac:dyDescent="0.15">
      <c r="B843" s="2"/>
      <c r="C843" s="3"/>
      <c r="D843" s="3"/>
      <c r="E843" s="3"/>
      <c r="F843" s="4"/>
    </row>
    <row r="844" spans="2:6" ht="12" customHeight="1" x14ac:dyDescent="0.15">
      <c r="B844" s="2"/>
      <c r="C844" s="3"/>
      <c r="D844" s="3"/>
      <c r="E844" s="3"/>
      <c r="F844" s="4"/>
    </row>
    <row r="845" spans="2:6" ht="12" customHeight="1" x14ac:dyDescent="0.15">
      <c r="B845" s="2"/>
      <c r="C845" s="3"/>
      <c r="D845" s="3"/>
      <c r="E845" s="3"/>
      <c r="F845" s="4"/>
    </row>
    <row r="846" spans="2:6" ht="12" customHeight="1" x14ac:dyDescent="0.15">
      <c r="B846" s="2"/>
      <c r="C846" s="3"/>
      <c r="D846" s="3"/>
      <c r="E846" s="3"/>
      <c r="F846" s="4"/>
    </row>
    <row r="847" spans="2:6" ht="12" customHeight="1" x14ac:dyDescent="0.15">
      <c r="B847" s="2"/>
      <c r="C847" s="3"/>
      <c r="D847" s="3"/>
      <c r="E847" s="3"/>
      <c r="F847" s="4"/>
    </row>
    <row r="848" spans="2:6" ht="12" customHeight="1" x14ac:dyDescent="0.15">
      <c r="B848" s="2"/>
      <c r="C848" s="3"/>
      <c r="D848" s="3"/>
      <c r="E848" s="3"/>
      <c r="F848" s="4"/>
    </row>
    <row r="849" spans="2:6" ht="12" customHeight="1" x14ac:dyDescent="0.15">
      <c r="B849" s="2"/>
      <c r="C849" s="3"/>
      <c r="D849" s="3"/>
      <c r="E849" s="3"/>
      <c r="F849" s="4"/>
    </row>
    <row r="850" spans="2:6" ht="12" customHeight="1" x14ac:dyDescent="0.15">
      <c r="B850" s="2"/>
      <c r="C850" s="3"/>
      <c r="D850" s="3"/>
      <c r="E850" s="3"/>
      <c r="F850" s="4"/>
    </row>
    <row r="851" spans="2:6" ht="12" customHeight="1" x14ac:dyDescent="0.15">
      <c r="B851" s="2"/>
      <c r="C851" s="3"/>
      <c r="D851" s="3"/>
      <c r="E851" s="3"/>
      <c r="F851" s="4"/>
    </row>
    <row r="852" spans="2:6" ht="12" customHeight="1" x14ac:dyDescent="0.15">
      <c r="B852" s="2"/>
      <c r="C852" s="3"/>
      <c r="D852" s="3"/>
      <c r="E852" s="3"/>
      <c r="F852" s="4"/>
    </row>
    <row r="853" spans="2:6" ht="12" customHeight="1" x14ac:dyDescent="0.15">
      <c r="B853" s="2"/>
      <c r="C853" s="3"/>
      <c r="D853" s="3"/>
      <c r="E853" s="3"/>
      <c r="F853" s="4"/>
    </row>
    <row r="854" spans="2:6" ht="12" customHeight="1" x14ac:dyDescent="0.15">
      <c r="B854" s="2"/>
      <c r="C854" s="3"/>
      <c r="D854" s="3"/>
      <c r="E854" s="3"/>
      <c r="F854" s="4"/>
    </row>
    <row r="855" spans="2:6" ht="12" customHeight="1" x14ac:dyDescent="0.15">
      <c r="B855" s="2"/>
      <c r="C855" s="3"/>
      <c r="D855" s="3"/>
      <c r="E855" s="3"/>
      <c r="F855" s="4"/>
    </row>
    <row r="856" spans="2:6" ht="12" customHeight="1" x14ac:dyDescent="0.15">
      <c r="B856" s="2"/>
      <c r="C856" s="3"/>
      <c r="D856" s="3"/>
      <c r="E856" s="3"/>
      <c r="F856" s="4"/>
    </row>
    <row r="857" spans="2:6" ht="12" customHeight="1" x14ac:dyDescent="0.15">
      <c r="B857" s="2"/>
      <c r="C857" s="3"/>
      <c r="D857" s="3"/>
      <c r="E857" s="3"/>
      <c r="F857" s="4"/>
    </row>
    <row r="858" spans="2:6" ht="12" customHeight="1" x14ac:dyDescent="0.15">
      <c r="B858" s="2"/>
      <c r="C858" s="3"/>
      <c r="D858" s="3"/>
      <c r="E858" s="3"/>
      <c r="F858" s="4"/>
    </row>
    <row r="859" spans="2:6" ht="12" customHeight="1" x14ac:dyDescent="0.15">
      <c r="B859" s="2"/>
      <c r="C859" s="3"/>
      <c r="D859" s="3"/>
      <c r="E859" s="3"/>
      <c r="F859" s="4"/>
    </row>
    <row r="860" spans="2:6" ht="12" customHeight="1" x14ac:dyDescent="0.15">
      <c r="B860" s="2"/>
      <c r="C860" s="3"/>
      <c r="D860" s="3"/>
      <c r="E860" s="3"/>
      <c r="F860" s="4"/>
    </row>
    <row r="861" spans="2:6" ht="12" customHeight="1" x14ac:dyDescent="0.15">
      <c r="B861" s="2"/>
      <c r="C861" s="3"/>
      <c r="D861" s="3"/>
      <c r="E861" s="3"/>
      <c r="F861" s="4"/>
    </row>
    <row r="862" spans="2:6" ht="12" customHeight="1" x14ac:dyDescent="0.15">
      <c r="B862" s="2"/>
      <c r="C862" s="3"/>
      <c r="D862" s="3"/>
      <c r="E862" s="3"/>
      <c r="F862" s="4"/>
    </row>
    <row r="863" spans="2:6" ht="12" customHeight="1" x14ac:dyDescent="0.15">
      <c r="B863" s="2"/>
      <c r="C863" s="3"/>
      <c r="D863" s="3"/>
      <c r="E863" s="3"/>
      <c r="F863" s="4"/>
    </row>
    <row r="864" spans="2:6" ht="12" customHeight="1" x14ac:dyDescent="0.15">
      <c r="B864" s="2"/>
      <c r="C864" s="3"/>
      <c r="D864" s="3"/>
      <c r="E864" s="3"/>
      <c r="F864" s="4"/>
    </row>
    <row r="865" spans="2:6" ht="12" customHeight="1" x14ac:dyDescent="0.15">
      <c r="B865" s="2"/>
      <c r="C865" s="3"/>
      <c r="D865" s="3"/>
      <c r="E865" s="3"/>
      <c r="F865" s="4"/>
    </row>
    <row r="866" spans="2:6" ht="12" customHeight="1" x14ac:dyDescent="0.15">
      <c r="B866" s="2"/>
      <c r="C866" s="3"/>
      <c r="D866" s="3"/>
      <c r="E866" s="3"/>
      <c r="F866" s="4"/>
    </row>
    <row r="867" spans="2:6" ht="12" customHeight="1" x14ac:dyDescent="0.15">
      <c r="B867" s="2"/>
      <c r="C867" s="3"/>
      <c r="D867" s="3"/>
      <c r="E867" s="3"/>
      <c r="F867" s="4"/>
    </row>
    <row r="868" spans="2:6" ht="12" customHeight="1" x14ac:dyDescent="0.15">
      <c r="B868" s="2"/>
      <c r="C868" s="3"/>
      <c r="D868" s="3"/>
      <c r="E868" s="3"/>
      <c r="F868" s="4"/>
    </row>
    <row r="869" spans="2:6" ht="12" customHeight="1" x14ac:dyDescent="0.15">
      <c r="B869" s="2"/>
      <c r="C869" s="3"/>
      <c r="D869" s="3"/>
      <c r="E869" s="3"/>
      <c r="F869" s="4"/>
    </row>
    <row r="870" spans="2:6" ht="12" customHeight="1" x14ac:dyDescent="0.15">
      <c r="B870" s="2"/>
      <c r="C870" s="3"/>
      <c r="D870" s="3"/>
      <c r="E870" s="3"/>
      <c r="F870" s="4"/>
    </row>
    <row r="871" spans="2:6" ht="12" customHeight="1" x14ac:dyDescent="0.15">
      <c r="B871" s="2"/>
      <c r="C871" s="3"/>
      <c r="D871" s="3"/>
      <c r="E871" s="3"/>
      <c r="F871" s="4"/>
    </row>
    <row r="872" spans="2:6" ht="12" customHeight="1" x14ac:dyDescent="0.15">
      <c r="B872" s="2"/>
      <c r="C872" s="3"/>
      <c r="D872" s="3"/>
      <c r="E872" s="3"/>
      <c r="F872" s="4"/>
    </row>
    <row r="873" spans="2:6" ht="12" customHeight="1" x14ac:dyDescent="0.15">
      <c r="B873" s="2"/>
      <c r="C873" s="3"/>
      <c r="D873" s="3"/>
      <c r="E873" s="3"/>
      <c r="F873" s="4"/>
    </row>
    <row r="874" spans="2:6" ht="12" customHeight="1" x14ac:dyDescent="0.15">
      <c r="B874" s="2"/>
      <c r="C874" s="3"/>
      <c r="D874" s="3"/>
      <c r="E874" s="3"/>
      <c r="F874" s="4"/>
    </row>
    <row r="875" spans="2:6" ht="12" customHeight="1" x14ac:dyDescent="0.15">
      <c r="B875" s="2"/>
      <c r="C875" s="3"/>
      <c r="D875" s="3"/>
      <c r="E875" s="3"/>
      <c r="F875" s="4"/>
    </row>
    <row r="876" spans="2:6" ht="12" customHeight="1" x14ac:dyDescent="0.15">
      <c r="B876" s="2"/>
      <c r="C876" s="3"/>
      <c r="D876" s="3"/>
      <c r="E876" s="3"/>
      <c r="F876" s="4"/>
    </row>
    <row r="877" spans="2:6" ht="12" customHeight="1" x14ac:dyDescent="0.15">
      <c r="B877" s="2"/>
      <c r="C877" s="3"/>
      <c r="D877" s="3"/>
      <c r="E877" s="3"/>
      <c r="F877" s="4"/>
    </row>
    <row r="878" spans="2:6" ht="12" customHeight="1" x14ac:dyDescent="0.15">
      <c r="B878" s="2"/>
      <c r="C878" s="3"/>
      <c r="D878" s="3"/>
      <c r="E878" s="3"/>
      <c r="F878" s="4"/>
    </row>
    <row r="879" spans="2:6" ht="12" customHeight="1" x14ac:dyDescent="0.15">
      <c r="B879" s="2"/>
      <c r="C879" s="3"/>
      <c r="D879" s="3"/>
      <c r="E879" s="3"/>
      <c r="F879" s="4"/>
    </row>
    <row r="880" spans="2:6" ht="12" customHeight="1" x14ac:dyDescent="0.15">
      <c r="B880" s="2"/>
      <c r="C880" s="3"/>
      <c r="D880" s="3"/>
      <c r="E880" s="3"/>
      <c r="F880" s="4"/>
    </row>
    <row r="881" spans="2:6" ht="12" customHeight="1" x14ac:dyDescent="0.15">
      <c r="B881" s="2"/>
      <c r="C881" s="3"/>
      <c r="D881" s="3"/>
      <c r="E881" s="3"/>
      <c r="F881" s="4"/>
    </row>
    <row r="882" spans="2:6" ht="12" customHeight="1" x14ac:dyDescent="0.15">
      <c r="B882" s="2"/>
      <c r="C882" s="3"/>
      <c r="D882" s="3"/>
      <c r="E882" s="3"/>
      <c r="F882" s="4"/>
    </row>
    <row r="883" spans="2:6" ht="12" customHeight="1" x14ac:dyDescent="0.15">
      <c r="B883" s="2"/>
      <c r="C883" s="3"/>
      <c r="D883" s="3"/>
      <c r="E883" s="3"/>
      <c r="F883" s="4"/>
    </row>
    <row r="884" spans="2:6" ht="12" customHeight="1" x14ac:dyDescent="0.15">
      <c r="B884" s="2"/>
      <c r="C884" s="3"/>
      <c r="D884" s="3"/>
      <c r="E884" s="3"/>
      <c r="F884" s="4"/>
    </row>
    <row r="885" spans="2:6" ht="12" customHeight="1" x14ac:dyDescent="0.15">
      <c r="B885" s="2"/>
      <c r="C885" s="3"/>
      <c r="D885" s="3"/>
      <c r="E885" s="3"/>
      <c r="F885" s="4"/>
    </row>
    <row r="886" spans="2:6" ht="12" customHeight="1" x14ac:dyDescent="0.15">
      <c r="B886" s="2"/>
      <c r="C886" s="3"/>
      <c r="D886" s="3"/>
      <c r="E886" s="3"/>
      <c r="F886" s="4"/>
    </row>
    <row r="887" spans="2:6" ht="12" customHeight="1" x14ac:dyDescent="0.15">
      <c r="B887" s="2"/>
      <c r="C887" s="3"/>
      <c r="D887" s="3"/>
      <c r="E887" s="3"/>
      <c r="F887" s="4"/>
    </row>
    <row r="888" spans="2:6" ht="12" customHeight="1" x14ac:dyDescent="0.15">
      <c r="B888" s="2"/>
      <c r="C888" s="3"/>
      <c r="D888" s="3"/>
      <c r="E888" s="3"/>
      <c r="F888" s="4"/>
    </row>
    <row r="889" spans="2:6" ht="12" customHeight="1" x14ac:dyDescent="0.15">
      <c r="B889" s="2"/>
      <c r="C889" s="3"/>
      <c r="D889" s="3"/>
      <c r="E889" s="3"/>
      <c r="F889" s="4"/>
    </row>
    <row r="890" spans="2:6" ht="12" customHeight="1" x14ac:dyDescent="0.15">
      <c r="B890" s="2"/>
      <c r="C890" s="3"/>
      <c r="D890" s="3"/>
      <c r="E890" s="3"/>
      <c r="F890" s="4"/>
    </row>
    <row r="891" spans="2:6" ht="12" customHeight="1" x14ac:dyDescent="0.15">
      <c r="B891" s="2"/>
      <c r="C891" s="3"/>
      <c r="D891" s="3"/>
      <c r="E891" s="3"/>
      <c r="F891" s="4"/>
    </row>
    <row r="892" spans="2:6" ht="12" customHeight="1" x14ac:dyDescent="0.15">
      <c r="B892" s="2"/>
      <c r="C892" s="3"/>
      <c r="D892" s="3"/>
      <c r="E892" s="3"/>
      <c r="F892" s="4"/>
    </row>
    <row r="893" spans="2:6" ht="12" customHeight="1" x14ac:dyDescent="0.15">
      <c r="B893" s="2"/>
      <c r="C893" s="3"/>
      <c r="D893" s="3"/>
      <c r="E893" s="3"/>
      <c r="F893" s="4"/>
    </row>
    <row r="894" spans="2:6" ht="12" customHeight="1" x14ac:dyDescent="0.15">
      <c r="B894" s="2"/>
      <c r="C894" s="3"/>
      <c r="D894" s="3"/>
      <c r="E894" s="3"/>
      <c r="F894" s="4"/>
    </row>
    <row r="895" spans="2:6" ht="12" customHeight="1" x14ac:dyDescent="0.15">
      <c r="B895" s="2"/>
      <c r="C895" s="3"/>
      <c r="D895" s="3"/>
      <c r="E895" s="3"/>
      <c r="F895" s="4"/>
    </row>
    <row r="896" spans="2:6" ht="12" customHeight="1" x14ac:dyDescent="0.15">
      <c r="B896" s="2"/>
      <c r="C896" s="3"/>
      <c r="D896" s="3"/>
      <c r="E896" s="3"/>
      <c r="F896" s="4"/>
    </row>
    <row r="897" spans="2:6" ht="12" customHeight="1" x14ac:dyDescent="0.15">
      <c r="B897" s="2"/>
      <c r="C897" s="3"/>
      <c r="D897" s="3"/>
      <c r="E897" s="3"/>
      <c r="F897" s="4"/>
    </row>
    <row r="898" spans="2:6" ht="12" customHeight="1" x14ac:dyDescent="0.15">
      <c r="B898" s="2"/>
      <c r="C898" s="3"/>
      <c r="D898" s="3"/>
      <c r="E898" s="3"/>
      <c r="F898" s="4"/>
    </row>
    <row r="899" spans="2:6" ht="12" customHeight="1" x14ac:dyDescent="0.15">
      <c r="B899" s="2"/>
      <c r="C899" s="3"/>
      <c r="D899" s="3"/>
      <c r="E899" s="3"/>
      <c r="F899" s="4"/>
    </row>
    <row r="900" spans="2:6" ht="12" customHeight="1" x14ac:dyDescent="0.15">
      <c r="B900" s="2"/>
      <c r="C900" s="3"/>
      <c r="D900" s="3"/>
      <c r="E900" s="3"/>
      <c r="F900" s="4"/>
    </row>
    <row r="901" spans="2:6" ht="12" customHeight="1" x14ac:dyDescent="0.15">
      <c r="B901" s="2"/>
      <c r="C901" s="3"/>
      <c r="D901" s="3"/>
      <c r="E901" s="3"/>
      <c r="F901" s="4"/>
    </row>
    <row r="902" spans="2:6" ht="12" customHeight="1" x14ac:dyDescent="0.15">
      <c r="B902" s="2"/>
      <c r="C902" s="3"/>
      <c r="D902" s="3"/>
      <c r="E902" s="3"/>
      <c r="F902" s="4"/>
    </row>
    <row r="903" spans="2:6" ht="12" customHeight="1" x14ac:dyDescent="0.15">
      <c r="B903" s="2"/>
      <c r="C903" s="3"/>
      <c r="D903" s="3"/>
      <c r="E903" s="3"/>
      <c r="F903" s="4"/>
    </row>
    <row r="904" spans="2:6" ht="12" customHeight="1" x14ac:dyDescent="0.15">
      <c r="B904" s="2"/>
      <c r="C904" s="3"/>
      <c r="D904" s="3"/>
      <c r="E904" s="3"/>
      <c r="F904" s="4"/>
    </row>
    <row r="905" spans="2:6" ht="12" customHeight="1" x14ac:dyDescent="0.15">
      <c r="B905" s="2"/>
      <c r="C905" s="3"/>
      <c r="D905" s="3"/>
      <c r="E905" s="3"/>
      <c r="F905" s="4"/>
    </row>
    <row r="906" spans="2:6" ht="12" customHeight="1" x14ac:dyDescent="0.15">
      <c r="B906" s="2"/>
      <c r="C906" s="3"/>
      <c r="D906" s="3"/>
      <c r="E906" s="3"/>
      <c r="F906" s="4"/>
    </row>
    <row r="907" spans="2:6" ht="12" customHeight="1" x14ac:dyDescent="0.15">
      <c r="B907" s="2"/>
      <c r="C907" s="3"/>
      <c r="D907" s="3"/>
      <c r="E907" s="3"/>
      <c r="F907" s="4"/>
    </row>
    <row r="908" spans="2:6" ht="12" customHeight="1" x14ac:dyDescent="0.15">
      <c r="B908" s="2"/>
      <c r="C908" s="3"/>
      <c r="D908" s="3"/>
      <c r="E908" s="3"/>
      <c r="F908" s="4"/>
    </row>
    <row r="909" spans="2:6" ht="12" customHeight="1" x14ac:dyDescent="0.15">
      <c r="B909" s="2"/>
      <c r="C909" s="3"/>
      <c r="D909" s="3"/>
      <c r="E909" s="3"/>
      <c r="F909" s="4"/>
    </row>
    <row r="910" spans="2:6" ht="12" customHeight="1" x14ac:dyDescent="0.15">
      <c r="B910" s="2"/>
      <c r="C910" s="3"/>
      <c r="D910" s="3"/>
      <c r="E910" s="3"/>
      <c r="F910" s="4"/>
    </row>
    <row r="911" spans="2:6" ht="12" customHeight="1" x14ac:dyDescent="0.15">
      <c r="B911" s="2"/>
      <c r="C911" s="3"/>
      <c r="D911" s="3"/>
      <c r="E911" s="3"/>
      <c r="F911" s="4"/>
    </row>
    <row r="912" spans="2:6" ht="12" customHeight="1" x14ac:dyDescent="0.15">
      <c r="B912" s="2"/>
      <c r="C912" s="3"/>
      <c r="D912" s="3"/>
      <c r="E912" s="3"/>
      <c r="F912" s="4"/>
    </row>
    <row r="913" spans="2:6" ht="12" customHeight="1" x14ac:dyDescent="0.15">
      <c r="B913" s="2"/>
      <c r="C913" s="3"/>
      <c r="D913" s="3"/>
      <c r="E913" s="3"/>
      <c r="F913" s="4"/>
    </row>
    <row r="914" spans="2:6" ht="12" customHeight="1" x14ac:dyDescent="0.15">
      <c r="B914" s="2"/>
      <c r="C914" s="3"/>
      <c r="D914" s="3"/>
      <c r="E914" s="3"/>
      <c r="F914" s="4"/>
    </row>
    <row r="915" spans="2:6" ht="12" customHeight="1" x14ac:dyDescent="0.15">
      <c r="B915" s="2"/>
      <c r="C915" s="3"/>
      <c r="D915" s="3"/>
      <c r="E915" s="3"/>
      <c r="F915" s="4"/>
    </row>
    <row r="916" spans="2:6" ht="12" customHeight="1" x14ac:dyDescent="0.15">
      <c r="B916" s="2"/>
      <c r="C916" s="3"/>
      <c r="D916" s="3"/>
      <c r="E916" s="3"/>
      <c r="F916" s="4"/>
    </row>
    <row r="917" spans="2:6" ht="12" customHeight="1" x14ac:dyDescent="0.15">
      <c r="B917" s="2"/>
      <c r="C917" s="3"/>
      <c r="D917" s="3"/>
      <c r="E917" s="3"/>
      <c r="F917" s="4"/>
    </row>
    <row r="918" spans="2:6" ht="12" customHeight="1" x14ac:dyDescent="0.15">
      <c r="B918" s="2"/>
      <c r="C918" s="3"/>
      <c r="D918" s="3"/>
      <c r="E918" s="3"/>
      <c r="F918" s="4"/>
    </row>
    <row r="919" spans="2:6" ht="12" customHeight="1" x14ac:dyDescent="0.15">
      <c r="B919" s="2"/>
      <c r="C919" s="3"/>
      <c r="D919" s="3"/>
      <c r="E919" s="3"/>
      <c r="F919" s="4"/>
    </row>
    <row r="920" spans="2:6" ht="12" customHeight="1" x14ac:dyDescent="0.15">
      <c r="B920" s="2"/>
      <c r="C920" s="3"/>
      <c r="D920" s="3"/>
      <c r="E920" s="3"/>
      <c r="F920" s="4"/>
    </row>
    <row r="921" spans="2:6" ht="12" customHeight="1" x14ac:dyDescent="0.15">
      <c r="B921" s="2"/>
      <c r="C921" s="3"/>
      <c r="D921" s="3"/>
      <c r="E921" s="3"/>
      <c r="F921" s="4"/>
    </row>
    <row r="922" spans="2:6" ht="12" customHeight="1" x14ac:dyDescent="0.15">
      <c r="B922" s="2"/>
      <c r="C922" s="3"/>
      <c r="D922" s="3"/>
      <c r="E922" s="3"/>
      <c r="F922" s="4"/>
    </row>
    <row r="923" spans="2:6" ht="12" customHeight="1" x14ac:dyDescent="0.15">
      <c r="B923" s="2"/>
      <c r="C923" s="3"/>
      <c r="D923" s="3"/>
      <c r="E923" s="3"/>
      <c r="F923" s="4"/>
    </row>
    <row r="924" spans="2:6" ht="12" customHeight="1" x14ac:dyDescent="0.15">
      <c r="B924" s="2"/>
      <c r="C924" s="3"/>
      <c r="D924" s="3"/>
      <c r="E924" s="3"/>
      <c r="F924" s="4"/>
    </row>
    <row r="925" spans="2:6" ht="12" customHeight="1" x14ac:dyDescent="0.15">
      <c r="B925" s="2"/>
      <c r="C925" s="3"/>
      <c r="D925" s="3"/>
      <c r="E925" s="3"/>
      <c r="F925" s="4"/>
    </row>
    <row r="926" spans="2:6" ht="12" customHeight="1" x14ac:dyDescent="0.15">
      <c r="B926" s="2"/>
      <c r="C926" s="3"/>
      <c r="D926" s="3"/>
      <c r="E926" s="3"/>
      <c r="F926" s="4"/>
    </row>
    <row r="927" spans="2:6" ht="12" customHeight="1" x14ac:dyDescent="0.15">
      <c r="B927" s="2"/>
      <c r="C927" s="3"/>
      <c r="D927" s="3"/>
      <c r="E927" s="3"/>
      <c r="F927" s="4"/>
    </row>
    <row r="928" spans="2:6" ht="12" customHeight="1" x14ac:dyDescent="0.15">
      <c r="B928" s="2"/>
      <c r="C928" s="3"/>
      <c r="D928" s="3"/>
      <c r="E928" s="3"/>
      <c r="F928" s="4"/>
    </row>
    <row r="929" spans="2:6" ht="12" customHeight="1" x14ac:dyDescent="0.15">
      <c r="B929" s="2"/>
      <c r="C929" s="3"/>
      <c r="D929" s="3"/>
      <c r="E929" s="3"/>
      <c r="F929" s="4"/>
    </row>
    <row r="930" spans="2:6" ht="12" customHeight="1" x14ac:dyDescent="0.15">
      <c r="B930" s="2"/>
      <c r="C930" s="3"/>
      <c r="D930" s="3"/>
      <c r="E930" s="3"/>
      <c r="F930" s="4"/>
    </row>
    <row r="931" spans="2:6" ht="12" customHeight="1" x14ac:dyDescent="0.15">
      <c r="B931" s="2"/>
      <c r="C931" s="3"/>
      <c r="D931" s="3"/>
      <c r="E931" s="3"/>
      <c r="F931" s="4"/>
    </row>
    <row r="932" spans="2:6" ht="12" customHeight="1" x14ac:dyDescent="0.15">
      <c r="B932" s="2"/>
      <c r="C932" s="3"/>
      <c r="D932" s="3"/>
      <c r="E932" s="3"/>
      <c r="F932" s="4"/>
    </row>
    <row r="933" spans="2:6" ht="12" customHeight="1" x14ac:dyDescent="0.15">
      <c r="B933" s="2"/>
      <c r="C933" s="3"/>
      <c r="D933" s="3"/>
      <c r="E933" s="3"/>
      <c r="F933" s="4"/>
    </row>
    <row r="934" spans="2:6" ht="12" customHeight="1" x14ac:dyDescent="0.15">
      <c r="B934" s="2"/>
      <c r="C934" s="3"/>
      <c r="D934" s="3"/>
      <c r="E934" s="3"/>
      <c r="F934" s="4"/>
    </row>
    <row r="935" spans="2:6" ht="12" customHeight="1" x14ac:dyDescent="0.15">
      <c r="B935" s="2"/>
      <c r="C935" s="3"/>
      <c r="D935" s="3"/>
      <c r="E935" s="3"/>
      <c r="F935" s="4"/>
    </row>
    <row r="936" spans="2:6" ht="12" customHeight="1" x14ac:dyDescent="0.15">
      <c r="B936" s="2"/>
      <c r="C936" s="3"/>
      <c r="D936" s="3"/>
      <c r="E936" s="3"/>
      <c r="F936" s="4"/>
    </row>
    <row r="937" spans="2:6" ht="12" customHeight="1" x14ac:dyDescent="0.15">
      <c r="B937" s="2"/>
      <c r="C937" s="3"/>
      <c r="D937" s="3"/>
      <c r="E937" s="3"/>
      <c r="F937" s="4"/>
    </row>
    <row r="938" spans="2:6" ht="12" customHeight="1" x14ac:dyDescent="0.15">
      <c r="B938" s="2"/>
      <c r="C938" s="3"/>
      <c r="D938" s="3"/>
      <c r="E938" s="3"/>
      <c r="F938" s="4"/>
    </row>
    <row r="939" spans="2:6" ht="12" customHeight="1" x14ac:dyDescent="0.15">
      <c r="B939" s="2"/>
      <c r="C939" s="3"/>
      <c r="D939" s="3"/>
      <c r="E939" s="3"/>
      <c r="F939" s="4"/>
    </row>
    <row r="940" spans="2:6" ht="12" customHeight="1" x14ac:dyDescent="0.15">
      <c r="B940" s="2"/>
      <c r="C940" s="3"/>
      <c r="D940" s="3"/>
      <c r="E940" s="3"/>
      <c r="F940" s="4"/>
    </row>
    <row r="941" spans="2:6" ht="12" customHeight="1" x14ac:dyDescent="0.15">
      <c r="B941" s="2"/>
      <c r="C941" s="3"/>
      <c r="D941" s="3"/>
      <c r="E941" s="3"/>
      <c r="F941" s="4"/>
    </row>
    <row r="942" spans="2:6" ht="12" customHeight="1" x14ac:dyDescent="0.15">
      <c r="B942" s="2"/>
      <c r="C942" s="3"/>
      <c r="D942" s="3"/>
      <c r="E942" s="3"/>
      <c r="F942" s="4"/>
    </row>
    <row r="943" spans="2:6" ht="12" customHeight="1" x14ac:dyDescent="0.15">
      <c r="B943" s="2"/>
      <c r="C943" s="3"/>
      <c r="D943" s="3"/>
      <c r="E943" s="3"/>
      <c r="F943" s="4"/>
    </row>
    <row r="944" spans="2:6" ht="12" customHeight="1" x14ac:dyDescent="0.15">
      <c r="B944" s="2"/>
      <c r="C944" s="3"/>
      <c r="D944" s="3"/>
      <c r="E944" s="3"/>
      <c r="F944" s="4"/>
    </row>
    <row r="945" spans="2:6" ht="12" customHeight="1" x14ac:dyDescent="0.15">
      <c r="B945" s="2"/>
      <c r="C945" s="3"/>
      <c r="D945" s="3"/>
      <c r="E945" s="3"/>
      <c r="F945" s="4"/>
    </row>
    <row r="946" spans="2:6" ht="12" customHeight="1" x14ac:dyDescent="0.15">
      <c r="B946" s="2"/>
      <c r="C946" s="3"/>
      <c r="D946" s="3"/>
      <c r="E946" s="3"/>
      <c r="F946" s="4"/>
    </row>
    <row r="947" spans="2:6" ht="12" customHeight="1" x14ac:dyDescent="0.15">
      <c r="B947" s="2"/>
      <c r="C947" s="3"/>
      <c r="D947" s="3"/>
      <c r="E947" s="3"/>
      <c r="F947" s="4"/>
    </row>
    <row r="948" spans="2:6" ht="12" customHeight="1" x14ac:dyDescent="0.15">
      <c r="B948" s="2"/>
      <c r="C948" s="3"/>
      <c r="D948" s="3"/>
      <c r="E948" s="3"/>
      <c r="F948" s="4"/>
    </row>
    <row r="949" spans="2:6" ht="12" customHeight="1" x14ac:dyDescent="0.15">
      <c r="B949" s="2"/>
      <c r="C949" s="3"/>
      <c r="D949" s="3"/>
      <c r="E949" s="3"/>
      <c r="F949" s="4"/>
    </row>
    <row r="950" spans="2:6" ht="12" customHeight="1" x14ac:dyDescent="0.15">
      <c r="B950" s="2"/>
      <c r="C950" s="3"/>
      <c r="D950" s="3"/>
      <c r="E950" s="3"/>
      <c r="F950" s="4"/>
    </row>
    <row r="951" spans="2:6" ht="12" customHeight="1" x14ac:dyDescent="0.15">
      <c r="B951" s="2"/>
      <c r="C951" s="3"/>
      <c r="D951" s="3"/>
      <c r="E951" s="3"/>
      <c r="F951" s="4"/>
    </row>
    <row r="952" spans="2:6" ht="12" customHeight="1" x14ac:dyDescent="0.15">
      <c r="B952" s="2"/>
      <c r="C952" s="3"/>
      <c r="D952" s="3"/>
      <c r="E952" s="3"/>
      <c r="F952" s="4"/>
    </row>
    <row r="953" spans="2:6" ht="12" customHeight="1" x14ac:dyDescent="0.15">
      <c r="B953" s="2"/>
      <c r="C953" s="3"/>
      <c r="D953" s="3"/>
      <c r="E953" s="3"/>
      <c r="F953" s="4"/>
    </row>
    <row r="954" spans="2:6" ht="12" customHeight="1" x14ac:dyDescent="0.15">
      <c r="B954" s="2"/>
      <c r="C954" s="3"/>
      <c r="D954" s="3"/>
      <c r="E954" s="3"/>
      <c r="F954" s="4"/>
    </row>
    <row r="955" spans="2:6" ht="12" customHeight="1" x14ac:dyDescent="0.15">
      <c r="B955" s="2"/>
      <c r="C955" s="3"/>
      <c r="D955" s="3"/>
      <c r="E955" s="3"/>
      <c r="F955" s="4"/>
    </row>
    <row r="956" spans="2:6" ht="12" customHeight="1" x14ac:dyDescent="0.15">
      <c r="B956" s="2"/>
      <c r="C956" s="3"/>
      <c r="D956" s="3"/>
      <c r="E956" s="3"/>
      <c r="F956" s="4"/>
    </row>
    <row r="957" spans="2:6" ht="12" customHeight="1" x14ac:dyDescent="0.15">
      <c r="B957" s="2"/>
      <c r="C957" s="3"/>
      <c r="D957" s="3"/>
      <c r="E957" s="3"/>
      <c r="F957" s="4"/>
    </row>
    <row r="958" spans="2:6" ht="12" customHeight="1" x14ac:dyDescent="0.15">
      <c r="B958" s="2"/>
      <c r="C958" s="3"/>
      <c r="D958" s="3"/>
      <c r="E958" s="3"/>
      <c r="F958" s="4"/>
    </row>
    <row r="959" spans="2:6" ht="12" customHeight="1" x14ac:dyDescent="0.15">
      <c r="B959" s="2"/>
      <c r="C959" s="3"/>
      <c r="D959" s="3"/>
      <c r="E959" s="3"/>
      <c r="F959" s="4"/>
    </row>
    <row r="960" spans="2:6" ht="12" customHeight="1" x14ac:dyDescent="0.15">
      <c r="B960" s="2"/>
      <c r="C960" s="3"/>
      <c r="D960" s="3"/>
      <c r="E960" s="3"/>
      <c r="F960" s="4"/>
    </row>
    <row r="961" spans="2:6" ht="12" customHeight="1" x14ac:dyDescent="0.15">
      <c r="B961" s="2"/>
      <c r="C961" s="3"/>
      <c r="D961" s="3"/>
      <c r="E961" s="3"/>
      <c r="F961" s="4"/>
    </row>
    <row r="962" spans="2:6" ht="12" customHeight="1" x14ac:dyDescent="0.15">
      <c r="B962" s="2"/>
      <c r="C962" s="3"/>
      <c r="D962" s="3"/>
      <c r="E962" s="3"/>
      <c r="F962" s="4"/>
    </row>
    <row r="963" spans="2:6" ht="12" customHeight="1" x14ac:dyDescent="0.15">
      <c r="B963" s="2"/>
      <c r="C963" s="3"/>
      <c r="D963" s="3"/>
      <c r="E963" s="3"/>
      <c r="F963" s="4"/>
    </row>
    <row r="964" spans="2:6" ht="12" customHeight="1" x14ac:dyDescent="0.15">
      <c r="B964" s="2"/>
      <c r="C964" s="3"/>
      <c r="D964" s="3"/>
      <c r="E964" s="3"/>
      <c r="F964" s="4"/>
    </row>
    <row r="965" spans="2:6" ht="12" customHeight="1" x14ac:dyDescent="0.15">
      <c r="B965" s="2"/>
      <c r="C965" s="3"/>
      <c r="D965" s="3"/>
      <c r="E965" s="3"/>
      <c r="F965" s="4"/>
    </row>
    <row r="966" spans="2:6" ht="12" customHeight="1" x14ac:dyDescent="0.15">
      <c r="B966" s="2"/>
      <c r="C966" s="3"/>
      <c r="D966" s="3"/>
      <c r="E966" s="3"/>
      <c r="F966" s="4"/>
    </row>
    <row r="967" spans="2:6" ht="12" customHeight="1" x14ac:dyDescent="0.15">
      <c r="B967" s="2"/>
      <c r="C967" s="3"/>
      <c r="D967" s="3"/>
      <c r="E967" s="3"/>
      <c r="F967" s="4"/>
    </row>
    <row r="968" spans="2:6" ht="12" customHeight="1" x14ac:dyDescent="0.15">
      <c r="B968" s="2"/>
      <c r="C968" s="3"/>
      <c r="D968" s="3"/>
      <c r="E968" s="3"/>
      <c r="F968" s="4"/>
    </row>
    <row r="969" spans="2:6" ht="12" customHeight="1" x14ac:dyDescent="0.15">
      <c r="B969" s="2"/>
      <c r="C969" s="3"/>
      <c r="D969" s="3"/>
      <c r="E969" s="3"/>
      <c r="F969" s="4"/>
    </row>
    <row r="970" spans="2:6" ht="12" customHeight="1" x14ac:dyDescent="0.15">
      <c r="B970" s="2"/>
      <c r="C970" s="3"/>
      <c r="D970" s="3"/>
      <c r="E970" s="3"/>
      <c r="F970" s="4"/>
    </row>
    <row r="971" spans="2:6" ht="12" customHeight="1" x14ac:dyDescent="0.15">
      <c r="B971" s="2"/>
      <c r="C971" s="3"/>
      <c r="D971" s="3"/>
      <c r="E971" s="3"/>
      <c r="F971" s="4"/>
    </row>
    <row r="972" spans="2:6" ht="12" customHeight="1" x14ac:dyDescent="0.15">
      <c r="B972" s="2"/>
      <c r="C972" s="3"/>
      <c r="D972" s="3"/>
      <c r="E972" s="3"/>
      <c r="F972" s="4"/>
    </row>
    <row r="973" spans="2:6" ht="12" customHeight="1" x14ac:dyDescent="0.15">
      <c r="B973" s="2"/>
      <c r="C973" s="3"/>
      <c r="D973" s="3"/>
      <c r="E973" s="3"/>
      <c r="F973" s="4"/>
    </row>
    <row r="974" spans="2:6" ht="12" customHeight="1" x14ac:dyDescent="0.15">
      <c r="B974" s="2"/>
      <c r="C974" s="3"/>
      <c r="D974" s="3"/>
      <c r="E974" s="3"/>
      <c r="F974" s="4"/>
    </row>
    <row r="975" spans="2:6" ht="12" customHeight="1" x14ac:dyDescent="0.15">
      <c r="B975" s="2"/>
      <c r="C975" s="3"/>
      <c r="D975" s="3"/>
      <c r="E975" s="3"/>
      <c r="F975" s="4"/>
    </row>
    <row r="976" spans="2:6" ht="12" customHeight="1" x14ac:dyDescent="0.15">
      <c r="B976" s="2"/>
      <c r="C976" s="3"/>
      <c r="D976" s="3"/>
      <c r="E976" s="3"/>
      <c r="F976" s="4"/>
    </row>
    <row r="977" spans="2:6" ht="12" customHeight="1" x14ac:dyDescent="0.15">
      <c r="B977" s="2"/>
      <c r="C977" s="3"/>
      <c r="D977" s="3"/>
      <c r="E977" s="3"/>
      <c r="F977" s="4"/>
    </row>
    <row r="978" spans="2:6" ht="12" customHeight="1" x14ac:dyDescent="0.15">
      <c r="B978" s="2"/>
      <c r="C978" s="3"/>
      <c r="D978" s="3"/>
      <c r="E978" s="3"/>
      <c r="F978" s="4"/>
    </row>
    <row r="979" spans="2:6" ht="12" customHeight="1" x14ac:dyDescent="0.15">
      <c r="B979" s="2"/>
      <c r="C979" s="3"/>
      <c r="D979" s="3"/>
      <c r="E979" s="3"/>
      <c r="F979" s="4"/>
    </row>
    <row r="980" spans="2:6" ht="12" customHeight="1" x14ac:dyDescent="0.15">
      <c r="B980" s="2"/>
      <c r="C980" s="3"/>
      <c r="D980" s="3"/>
      <c r="E980" s="3"/>
      <c r="F980" s="4"/>
    </row>
    <row r="981" spans="2:6" ht="12" customHeight="1" x14ac:dyDescent="0.15">
      <c r="B981" s="2"/>
      <c r="C981" s="3"/>
      <c r="D981" s="3"/>
      <c r="E981" s="3"/>
      <c r="F981" s="4"/>
    </row>
    <row r="982" spans="2:6" ht="12" customHeight="1" x14ac:dyDescent="0.15">
      <c r="B982" s="2"/>
      <c r="C982" s="3"/>
      <c r="D982" s="3"/>
      <c r="E982" s="3"/>
      <c r="F982" s="4"/>
    </row>
    <row r="983" spans="2:6" ht="12" customHeight="1" x14ac:dyDescent="0.15">
      <c r="B983" s="2"/>
      <c r="C983" s="3"/>
      <c r="D983" s="3"/>
      <c r="E983" s="3"/>
      <c r="F983" s="4"/>
    </row>
    <row r="984" spans="2:6" ht="12" customHeight="1" x14ac:dyDescent="0.15">
      <c r="B984" s="2"/>
      <c r="C984" s="3"/>
      <c r="D984" s="3"/>
      <c r="E984" s="3"/>
      <c r="F984" s="4"/>
    </row>
    <row r="985" spans="2:6" ht="12" customHeight="1" x14ac:dyDescent="0.15">
      <c r="B985" s="2"/>
      <c r="C985" s="3"/>
      <c r="D985" s="3"/>
      <c r="E985" s="3"/>
      <c r="F985" s="4"/>
    </row>
    <row r="986" spans="2:6" ht="12" customHeight="1" x14ac:dyDescent="0.15">
      <c r="B986" s="2"/>
      <c r="C986" s="3"/>
      <c r="D986" s="3"/>
      <c r="E986" s="3"/>
      <c r="F986" s="4"/>
    </row>
    <row r="987" spans="2:6" ht="12" customHeight="1" x14ac:dyDescent="0.15">
      <c r="B987" s="2"/>
      <c r="C987" s="3"/>
      <c r="D987" s="3"/>
      <c r="E987" s="3"/>
      <c r="F987" s="4"/>
    </row>
    <row r="988" spans="2:6" ht="12" customHeight="1" x14ac:dyDescent="0.15">
      <c r="B988" s="2"/>
      <c r="C988" s="3"/>
      <c r="D988" s="3"/>
      <c r="E988" s="3"/>
      <c r="F988" s="4"/>
    </row>
    <row r="989" spans="2:6" ht="12" customHeight="1" x14ac:dyDescent="0.15">
      <c r="B989" s="2"/>
      <c r="C989" s="3"/>
      <c r="D989" s="3"/>
      <c r="E989" s="3"/>
      <c r="F989" s="4"/>
    </row>
    <row r="990" spans="2:6" ht="12" customHeight="1" x14ac:dyDescent="0.15">
      <c r="B990" s="2"/>
      <c r="C990" s="3"/>
      <c r="D990" s="3"/>
      <c r="E990" s="3"/>
      <c r="F990" s="4"/>
    </row>
    <row r="991" spans="2:6" ht="12" customHeight="1" x14ac:dyDescent="0.15">
      <c r="B991" s="2"/>
      <c r="C991" s="3"/>
      <c r="D991" s="3"/>
      <c r="E991" s="3"/>
      <c r="F991" s="4"/>
    </row>
    <row r="992" spans="2:6" ht="12" customHeight="1" x14ac:dyDescent="0.15">
      <c r="B992" s="2"/>
      <c r="C992" s="3"/>
      <c r="D992" s="3"/>
      <c r="E992" s="3"/>
      <c r="F992" s="4"/>
    </row>
    <row r="993" spans="2:6" ht="12" customHeight="1" x14ac:dyDescent="0.15">
      <c r="B993" s="2"/>
      <c r="C993" s="3"/>
      <c r="D993" s="3"/>
      <c r="E993" s="3"/>
      <c r="F993" s="4"/>
    </row>
    <row r="994" spans="2:6" ht="12" customHeight="1" x14ac:dyDescent="0.15">
      <c r="B994" s="2"/>
      <c r="C994" s="3"/>
      <c r="D994" s="3"/>
      <c r="E994" s="3"/>
      <c r="F994" s="4"/>
    </row>
    <row r="995" spans="2:6" ht="12" customHeight="1" x14ac:dyDescent="0.15">
      <c r="B995" s="2"/>
      <c r="C995" s="3"/>
      <c r="D995" s="3"/>
      <c r="E995" s="3"/>
      <c r="F995" s="4"/>
    </row>
    <row r="996" spans="2:6" ht="12" customHeight="1" x14ac:dyDescent="0.15">
      <c r="B996" s="2"/>
      <c r="C996" s="3"/>
      <c r="D996" s="3"/>
      <c r="E996" s="3"/>
      <c r="F996" s="4"/>
    </row>
    <row r="997" spans="2:6" ht="12" customHeight="1" x14ac:dyDescent="0.15">
      <c r="B997" s="2"/>
      <c r="C997" s="3"/>
      <c r="D997" s="3"/>
      <c r="E997" s="3"/>
      <c r="F997" s="4"/>
    </row>
    <row r="998" spans="2:6" ht="12" customHeight="1" x14ac:dyDescent="0.15">
      <c r="B998" s="2"/>
      <c r="C998" s="3"/>
      <c r="D998" s="3"/>
      <c r="E998" s="3"/>
      <c r="F998" s="4"/>
    </row>
    <row r="999" spans="2:6" ht="12" customHeight="1" x14ac:dyDescent="0.15">
      <c r="B999" s="2"/>
      <c r="C999" s="3"/>
      <c r="D999" s="3"/>
      <c r="E999" s="3"/>
      <c r="F999" s="4"/>
    </row>
    <row r="1000" spans="2:6" ht="12" customHeight="1" x14ac:dyDescent="0.15">
      <c r="B1000" s="2"/>
      <c r="C1000" s="3"/>
      <c r="D1000" s="3"/>
      <c r="E1000" s="3"/>
      <c r="F1000" s="4"/>
    </row>
    <row r="1001" spans="2:6" ht="12" customHeight="1" x14ac:dyDescent="0.15">
      <c r="B1001" s="2"/>
      <c r="C1001" s="3"/>
      <c r="D1001" s="3"/>
      <c r="E1001" s="3"/>
      <c r="F1001" s="4"/>
    </row>
    <row r="1002" spans="2:6" ht="12" customHeight="1" x14ac:dyDescent="0.15">
      <c r="B1002" s="2"/>
      <c r="C1002" s="3"/>
      <c r="D1002" s="3"/>
      <c r="E1002" s="3"/>
      <c r="F1002" s="4"/>
    </row>
    <row r="1003" spans="2:6" ht="12" customHeight="1" x14ac:dyDescent="0.15">
      <c r="B1003" s="2"/>
      <c r="C1003" s="3"/>
      <c r="D1003" s="3"/>
      <c r="E1003" s="3"/>
      <c r="F1003" s="4"/>
    </row>
  </sheetData>
  <mergeCells count="2">
    <mergeCell ref="A1:F1"/>
    <mergeCell ref="D6:E6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/>
    <pageSetUpPr fitToPage="1"/>
  </sheetPr>
  <dimension ref="A1:Z1003"/>
  <sheetViews>
    <sheetView topLeftCell="A25" workbookViewId="0">
      <selection activeCell="B39" sqref="B39"/>
    </sheetView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3" width="13.1640625" customWidth="1"/>
    <col min="4" max="4" width="13" customWidth="1"/>
    <col min="5" max="5" width="15.5" customWidth="1"/>
    <col min="6" max="6" width="13" customWidth="1"/>
    <col min="7" max="7" width="4.5" customWidth="1"/>
  </cols>
  <sheetData>
    <row r="1" spans="1:26" ht="54" customHeight="1" x14ac:dyDescent="0.15">
      <c r="A1" s="434"/>
      <c r="B1" s="435"/>
      <c r="C1" s="435"/>
      <c r="D1" s="435"/>
      <c r="E1" s="435"/>
      <c r="F1" s="435"/>
    </row>
    <row r="2" spans="1:26" ht="12" customHeight="1" x14ac:dyDescent="0.15">
      <c r="B2" s="2"/>
      <c r="C2" s="3"/>
      <c r="D2" s="3"/>
      <c r="E2" s="3"/>
      <c r="F2" s="4"/>
    </row>
    <row r="3" spans="1:26" ht="18.75" customHeight="1" x14ac:dyDescent="0.2">
      <c r="A3" s="5" t="s">
        <v>0</v>
      </c>
      <c r="C3" s="3"/>
      <c r="D3" s="3"/>
      <c r="E3" s="3"/>
      <c r="F3" s="4"/>
    </row>
    <row r="4" spans="1:26" ht="12" customHeight="1" x14ac:dyDescent="0.15">
      <c r="A4" s="2" t="s">
        <v>1</v>
      </c>
      <c r="C4" s="3"/>
      <c r="D4" s="3"/>
      <c r="E4" s="3"/>
      <c r="F4" s="4"/>
    </row>
    <row r="5" spans="1:26" ht="12" customHeight="1" x14ac:dyDescent="0.15">
      <c r="A5" s="2"/>
      <c r="B5" s="274" t="s">
        <v>435</v>
      </c>
      <c r="C5" s="3"/>
      <c r="D5" s="3"/>
      <c r="E5" s="3"/>
      <c r="F5" s="4"/>
    </row>
    <row r="6" spans="1:26" ht="12" customHeight="1" x14ac:dyDescent="0.15">
      <c r="A6" s="2"/>
      <c r="B6" s="275" t="s">
        <v>436</v>
      </c>
      <c r="C6" s="3"/>
      <c r="D6" s="438" t="s">
        <v>510</v>
      </c>
      <c r="E6" s="435"/>
      <c r="F6" s="4"/>
    </row>
    <row r="7" spans="1:26" ht="12" customHeight="1" x14ac:dyDescent="0.15">
      <c r="A7" s="2"/>
      <c r="B7" s="115" t="s">
        <v>437</v>
      </c>
      <c r="C7" s="3"/>
      <c r="D7" s="3"/>
      <c r="E7" s="3"/>
      <c r="F7" s="4"/>
    </row>
    <row r="8" spans="1:26" ht="12" customHeight="1" x14ac:dyDescent="0.15">
      <c r="B8" s="2"/>
      <c r="C8" s="3"/>
      <c r="D8" s="3"/>
      <c r="E8" s="3"/>
      <c r="F8" s="4"/>
    </row>
    <row r="9" spans="1:26" ht="12" customHeight="1" x14ac:dyDescent="0.15">
      <c r="B9" s="6"/>
      <c r="C9" s="3"/>
      <c r="D9" s="3"/>
      <c r="E9" s="3"/>
      <c r="F9" s="4"/>
      <c r="G9" s="277" t="s">
        <v>511</v>
      </c>
    </row>
    <row r="10" spans="1:26" ht="17.25" customHeight="1" x14ac:dyDescent="0.15">
      <c r="A10" s="8"/>
      <c r="B10" s="125" t="s">
        <v>363</v>
      </c>
      <c r="C10" s="126"/>
      <c r="D10" s="126"/>
      <c r="E10" s="126"/>
      <c r="F10" s="12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" customHeight="1" x14ac:dyDescent="0.15">
      <c r="B11" s="2"/>
      <c r="C11" s="3"/>
      <c r="D11" s="3"/>
      <c r="E11" s="3"/>
      <c r="F11" s="4"/>
    </row>
    <row r="12" spans="1:26" ht="15" customHeight="1" x14ac:dyDescent="0.15">
      <c r="B12" s="12" t="s">
        <v>4</v>
      </c>
      <c r="C12" s="13" t="s">
        <v>5</v>
      </c>
      <c r="D12" s="13" t="s">
        <v>364</v>
      </c>
      <c r="E12" s="14" t="s">
        <v>365</v>
      </c>
      <c r="F12" s="14" t="s">
        <v>366</v>
      </c>
    </row>
    <row r="13" spans="1:26" ht="12" hidden="1" customHeight="1" x14ac:dyDescent="0.15">
      <c r="B13" s="131" t="s">
        <v>438</v>
      </c>
      <c r="C13" s="128">
        <v>45117</v>
      </c>
      <c r="D13" s="139"/>
      <c r="E13" s="139">
        <v>5900</v>
      </c>
      <c r="F13" s="349">
        <f>E13</f>
        <v>5900</v>
      </c>
    </row>
    <row r="14" spans="1:26" ht="12" hidden="1" customHeight="1" x14ac:dyDescent="0.15">
      <c r="B14" s="131" t="s">
        <v>438</v>
      </c>
      <c r="C14" s="128">
        <v>45117</v>
      </c>
      <c r="D14" s="139"/>
      <c r="E14" s="139">
        <v>7272</v>
      </c>
      <c r="F14" s="349">
        <f t="shared" ref="F14:F39" si="0">F13-D14+E14</f>
        <v>13172</v>
      </c>
    </row>
    <row r="15" spans="1:26" ht="12" hidden="1" customHeight="1" x14ac:dyDescent="0.15">
      <c r="B15" s="131" t="s">
        <v>438</v>
      </c>
      <c r="C15" s="128">
        <v>45217</v>
      </c>
      <c r="D15" s="139"/>
      <c r="E15" s="139">
        <v>30925</v>
      </c>
      <c r="F15" s="349">
        <f t="shared" si="0"/>
        <v>44097</v>
      </c>
    </row>
    <row r="16" spans="1:26" ht="12" hidden="1" customHeight="1" x14ac:dyDescent="0.15">
      <c r="B16" s="131" t="s">
        <v>438</v>
      </c>
      <c r="C16" s="128">
        <v>45246</v>
      </c>
      <c r="D16" s="139"/>
      <c r="E16" s="139">
        <v>94010</v>
      </c>
      <c r="F16" s="349">
        <f t="shared" si="0"/>
        <v>138107</v>
      </c>
    </row>
    <row r="17" spans="2:6" ht="12" customHeight="1" x14ac:dyDescent="0.15">
      <c r="B17" s="330" t="s">
        <v>369</v>
      </c>
      <c r="C17" s="331">
        <v>45291</v>
      </c>
      <c r="D17" s="350"/>
      <c r="E17" s="350"/>
      <c r="F17" s="351">
        <f t="shared" si="0"/>
        <v>138107</v>
      </c>
    </row>
    <row r="18" spans="2:6" ht="12" customHeight="1" x14ac:dyDescent="0.15">
      <c r="B18" s="352" t="s">
        <v>370</v>
      </c>
      <c r="C18" s="353">
        <v>45321</v>
      </c>
      <c r="D18" s="139">
        <v>24786.23</v>
      </c>
      <c r="E18" s="139"/>
      <c r="F18" s="349">
        <f t="shared" si="0"/>
        <v>113320.77</v>
      </c>
    </row>
    <row r="19" spans="2:6" ht="12" customHeight="1" x14ac:dyDescent="0.15">
      <c r="B19" s="352" t="s">
        <v>438</v>
      </c>
      <c r="C19" s="353">
        <v>45334</v>
      </c>
      <c r="D19" s="139"/>
      <c r="E19" s="139">
        <v>24787</v>
      </c>
      <c r="F19" s="349">
        <f t="shared" si="0"/>
        <v>138107.77000000002</v>
      </c>
    </row>
    <row r="20" spans="2:6" ht="12" customHeight="1" x14ac:dyDescent="0.15">
      <c r="B20" s="28" t="s">
        <v>373</v>
      </c>
      <c r="C20" s="282">
        <v>45335</v>
      </c>
      <c r="D20" s="139">
        <v>128529.47</v>
      </c>
      <c r="E20" s="139"/>
      <c r="F20" s="349">
        <f t="shared" si="0"/>
        <v>9578.3000000000175</v>
      </c>
    </row>
    <row r="21" spans="2:6" ht="12" customHeight="1" x14ac:dyDescent="0.15">
      <c r="B21" s="28" t="s">
        <v>374</v>
      </c>
      <c r="C21" s="282">
        <v>45335</v>
      </c>
      <c r="D21" s="139">
        <v>6363.12</v>
      </c>
      <c r="E21" s="139"/>
      <c r="F21" s="349">
        <f t="shared" si="0"/>
        <v>3215.1800000000176</v>
      </c>
    </row>
    <row r="22" spans="2:6" ht="12" customHeight="1" x14ac:dyDescent="0.15">
      <c r="B22" s="28" t="s">
        <v>375</v>
      </c>
      <c r="C22" s="282">
        <v>45336</v>
      </c>
      <c r="D22" s="139">
        <v>19854.43</v>
      </c>
      <c r="E22" s="139"/>
      <c r="F22" s="349">
        <f t="shared" si="0"/>
        <v>-16639.249999999982</v>
      </c>
    </row>
    <row r="23" spans="2:6" ht="12" customHeight="1" x14ac:dyDescent="0.15">
      <c r="B23" s="28" t="s">
        <v>376</v>
      </c>
      <c r="C23" s="282">
        <v>45336</v>
      </c>
      <c r="D23" s="139">
        <v>1590.78</v>
      </c>
      <c r="E23" s="139"/>
      <c r="F23" s="349">
        <f t="shared" si="0"/>
        <v>-18230.029999999981</v>
      </c>
    </row>
    <row r="24" spans="2:6" ht="12" customHeight="1" x14ac:dyDescent="0.15">
      <c r="B24" s="28" t="s">
        <v>438</v>
      </c>
      <c r="C24" s="282">
        <v>45358</v>
      </c>
      <c r="D24" s="139"/>
      <c r="E24" s="139">
        <v>18230.03</v>
      </c>
      <c r="F24" s="349">
        <f t="shared" si="0"/>
        <v>0</v>
      </c>
    </row>
    <row r="25" spans="2:6" ht="12" customHeight="1" x14ac:dyDescent="0.15">
      <c r="B25" s="28" t="s">
        <v>378</v>
      </c>
      <c r="C25" s="333">
        <v>45397</v>
      </c>
      <c r="D25" s="139">
        <v>19854.427500000002</v>
      </c>
      <c r="E25" s="139"/>
      <c r="F25" s="349">
        <f t="shared" si="0"/>
        <v>-19854.427500000002</v>
      </c>
    </row>
    <row r="26" spans="2:6" ht="12" customHeight="1" x14ac:dyDescent="0.15">
      <c r="B26" s="28" t="s">
        <v>379</v>
      </c>
      <c r="C26" s="333">
        <v>45397</v>
      </c>
      <c r="D26" s="139">
        <v>1590.78</v>
      </c>
      <c r="E26" s="139"/>
      <c r="F26" s="349">
        <f t="shared" si="0"/>
        <v>-21445.2075</v>
      </c>
    </row>
    <row r="27" spans="2:6" ht="12" customHeight="1" x14ac:dyDescent="0.15">
      <c r="B27" s="28" t="s">
        <v>380</v>
      </c>
      <c r="C27" s="59">
        <v>45397</v>
      </c>
      <c r="D27" s="354">
        <v>12426.403730967948</v>
      </c>
      <c r="E27" s="139"/>
      <c r="F27" s="349">
        <f t="shared" si="0"/>
        <v>-33871.611230967945</v>
      </c>
    </row>
    <row r="28" spans="2:6" ht="12" customHeight="1" x14ac:dyDescent="0.15">
      <c r="B28" s="28" t="s">
        <v>438</v>
      </c>
      <c r="C28" s="59">
        <v>45412</v>
      </c>
      <c r="D28" s="355"/>
      <c r="E28" s="139">
        <v>33871.61</v>
      </c>
      <c r="F28" s="349">
        <f t="shared" si="0"/>
        <v>-1.2309679441386834E-3</v>
      </c>
    </row>
    <row r="29" spans="2:6" ht="12" customHeight="1" x14ac:dyDescent="0.15">
      <c r="B29" s="28" t="s">
        <v>385</v>
      </c>
      <c r="C29" s="59">
        <v>45474</v>
      </c>
      <c r="D29" s="354">
        <f>'Presupuesto 2024 Aprobado'!C55</f>
        <v>19854.427500000002</v>
      </c>
      <c r="E29" s="139"/>
      <c r="F29" s="349">
        <f t="shared" si="0"/>
        <v>-19854.428730967946</v>
      </c>
    </row>
    <row r="30" spans="2:6" ht="12" customHeight="1" x14ac:dyDescent="0.15">
      <c r="B30" s="28" t="s">
        <v>414</v>
      </c>
      <c r="C30" s="59">
        <v>45474</v>
      </c>
      <c r="D30" s="354">
        <f>'Presupuesto 2024 Aprobado'!D55</f>
        <v>1590.78</v>
      </c>
      <c r="E30" s="139"/>
      <c r="F30" s="349">
        <f t="shared" si="0"/>
        <v>-21445.208730967945</v>
      </c>
    </row>
    <row r="31" spans="2:6" ht="12" customHeight="1" x14ac:dyDescent="0.15">
      <c r="B31" s="28" t="s">
        <v>438</v>
      </c>
      <c r="C31" s="59">
        <v>45484</v>
      </c>
      <c r="D31" s="354"/>
      <c r="E31" s="139">
        <v>21445.21</v>
      </c>
      <c r="F31" s="349">
        <f t="shared" si="0"/>
        <v>1.2690320545516443E-3</v>
      </c>
    </row>
    <row r="32" spans="2:6" ht="12" customHeight="1" x14ac:dyDescent="0.15">
      <c r="B32" s="28" t="s">
        <v>390</v>
      </c>
      <c r="C32" s="59">
        <v>45510</v>
      </c>
      <c r="D32" s="354">
        <v>11404.47</v>
      </c>
      <c r="E32" s="139"/>
      <c r="F32" s="349">
        <f t="shared" si="0"/>
        <v>-11404.468730967945</v>
      </c>
    </row>
    <row r="33" spans="2:6" ht="12" customHeight="1" x14ac:dyDescent="0.15">
      <c r="B33" s="28" t="s">
        <v>438</v>
      </c>
      <c r="C33" s="59">
        <v>45530</v>
      </c>
      <c r="D33" s="354"/>
      <c r="E33" s="139">
        <v>11404.47</v>
      </c>
      <c r="F33" s="349">
        <f t="shared" si="0"/>
        <v>1.2690320545516443E-3</v>
      </c>
    </row>
    <row r="34" spans="2:6" ht="12" customHeight="1" x14ac:dyDescent="0.15">
      <c r="B34" s="296" t="s">
        <v>392</v>
      </c>
      <c r="C34" s="59">
        <v>45566</v>
      </c>
      <c r="D34" s="356">
        <f>'Presupuesto 2024 Aprobado'!C55</f>
        <v>19854.427500000002</v>
      </c>
      <c r="E34" s="139"/>
      <c r="F34" s="349">
        <f t="shared" si="0"/>
        <v>-19854.426230967947</v>
      </c>
    </row>
    <row r="35" spans="2:6" ht="12" customHeight="1" x14ac:dyDescent="0.15">
      <c r="B35" s="296" t="s">
        <v>393</v>
      </c>
      <c r="C35" s="59">
        <v>45566</v>
      </c>
      <c r="D35" s="356">
        <f>'Presupuesto 2024 Aprobado'!D55</f>
        <v>1590.78</v>
      </c>
      <c r="E35" s="139"/>
      <c r="F35" s="349">
        <f t="shared" si="0"/>
        <v>-21445.206230967946</v>
      </c>
    </row>
    <row r="36" spans="2:6" ht="12" customHeight="1" x14ac:dyDescent="0.15">
      <c r="B36" s="28" t="s">
        <v>438</v>
      </c>
      <c r="C36" s="59">
        <v>45579</v>
      </c>
      <c r="D36" s="356"/>
      <c r="E36" s="139">
        <v>21455.21</v>
      </c>
      <c r="F36" s="349">
        <f t="shared" si="0"/>
        <v>10.003769032053242</v>
      </c>
    </row>
    <row r="37" spans="2:6" s="429" customFormat="1" ht="29" customHeight="1" x14ac:dyDescent="0.15">
      <c r="B37" s="296" t="s">
        <v>512</v>
      </c>
      <c r="C37" s="431">
        <v>45664</v>
      </c>
      <c r="D37" s="356">
        <f>'PedidoVotoElec-11-10'!E36</f>
        <v>7484.4187371405051</v>
      </c>
      <c r="E37" s="139"/>
      <c r="F37" s="349">
        <f t="shared" si="0"/>
        <v>-7474.4149681084518</v>
      </c>
    </row>
    <row r="38" spans="2:6" s="429" customFormat="1" ht="30" customHeight="1" x14ac:dyDescent="0.15">
      <c r="B38" s="296" t="s">
        <v>513</v>
      </c>
      <c r="C38" s="431">
        <v>45664</v>
      </c>
      <c r="D38" s="356">
        <f>'PedidoVotoElec-09-12'!E37</f>
        <v>17813.558730739333</v>
      </c>
      <c r="E38" s="139"/>
      <c r="F38" s="349">
        <f t="shared" si="0"/>
        <v>-25287.973698847785</v>
      </c>
    </row>
    <row r="39" spans="2:6" s="429" customFormat="1" ht="20" customHeight="1" x14ac:dyDescent="0.15">
      <c r="B39" s="440" t="s">
        <v>514</v>
      </c>
      <c r="C39" s="431">
        <v>45664</v>
      </c>
      <c r="D39" s="356">
        <f>'Pedido Exceptional - ENERO2025'!E30</f>
        <v>6711.5985816835073</v>
      </c>
      <c r="E39" s="139"/>
      <c r="F39" s="349">
        <f t="shared" si="0"/>
        <v>-31999.572280531291</v>
      </c>
    </row>
    <row r="40" spans="2:6" ht="15" customHeight="1" x14ac:dyDescent="0.15">
      <c r="B40" s="341"/>
      <c r="C40" s="342" t="s">
        <v>439</v>
      </c>
      <c r="D40" s="343">
        <f>SUM(D13:D39)</f>
        <v>301300.10228053131</v>
      </c>
      <c r="E40" s="343">
        <f>SUM(E13:E39)</f>
        <v>269300.53000000003</v>
      </c>
      <c r="F40" s="344">
        <f>E40-D40</f>
        <v>-31999.572280531283</v>
      </c>
    </row>
    <row r="41" spans="2:6" ht="12" customHeight="1" x14ac:dyDescent="0.15">
      <c r="B41" s="2"/>
      <c r="C41" s="3"/>
      <c r="D41" s="3"/>
      <c r="E41" s="3"/>
      <c r="F41" s="4"/>
    </row>
    <row r="42" spans="2:6" ht="12" customHeight="1" x14ac:dyDescent="0.15">
      <c r="B42" s="320" t="s">
        <v>402</v>
      </c>
      <c r="C42" s="3"/>
      <c r="D42" s="3"/>
      <c r="E42" s="3"/>
      <c r="F42" s="4"/>
    </row>
    <row r="43" spans="2:6" ht="12" customHeight="1" x14ac:dyDescent="0.15">
      <c r="B43" s="2" t="s">
        <v>404</v>
      </c>
      <c r="C43" s="3"/>
      <c r="D43" s="3"/>
      <c r="E43" s="3"/>
      <c r="F43" s="4"/>
    </row>
    <row r="44" spans="2:6" ht="12" customHeight="1" x14ac:dyDescent="0.15">
      <c r="B44" s="321"/>
      <c r="C44" s="3"/>
      <c r="D44" s="3"/>
      <c r="E44" s="3"/>
      <c r="F44" s="4"/>
    </row>
    <row r="45" spans="2:6" ht="12" customHeight="1" x14ac:dyDescent="0.15">
      <c r="B45" s="322" t="s">
        <v>405</v>
      </c>
      <c r="C45" s="323"/>
      <c r="D45" s="324"/>
      <c r="E45" s="3"/>
      <c r="F45" s="4"/>
    </row>
    <row r="46" spans="2:6" ht="12" customHeight="1" x14ac:dyDescent="0.15">
      <c r="B46" s="325" t="s">
        <v>406</v>
      </c>
      <c r="C46" s="3"/>
      <c r="D46" s="48"/>
      <c r="E46" s="3"/>
      <c r="F46" s="4"/>
    </row>
    <row r="47" spans="2:6" ht="12" customHeight="1" x14ac:dyDescent="0.15">
      <c r="B47" s="325" t="s">
        <v>407</v>
      </c>
      <c r="C47" s="3"/>
      <c r="D47" s="48"/>
      <c r="E47" s="3"/>
      <c r="F47" s="4"/>
    </row>
    <row r="48" spans="2:6" ht="12" customHeight="1" x14ac:dyDescent="0.15">
      <c r="B48" s="327" t="s">
        <v>408</v>
      </c>
      <c r="C48" s="328"/>
      <c r="D48" s="329"/>
      <c r="E48" s="3"/>
      <c r="F48" s="4"/>
    </row>
    <row r="49" spans="2:6" ht="12" customHeight="1" x14ac:dyDescent="0.15">
      <c r="B49" s="2"/>
      <c r="C49" s="3"/>
      <c r="D49" s="3"/>
      <c r="E49" s="3"/>
      <c r="F49" s="4"/>
    </row>
    <row r="50" spans="2:6" ht="12" customHeight="1" x14ac:dyDescent="0.15">
      <c r="B50" s="2"/>
      <c r="C50" s="3"/>
      <c r="D50" s="3"/>
      <c r="E50" s="3"/>
      <c r="F50" s="4"/>
    </row>
    <row r="51" spans="2:6" ht="12" customHeight="1" x14ac:dyDescent="0.15">
      <c r="B51" s="2"/>
      <c r="C51" s="3"/>
      <c r="D51" s="3"/>
      <c r="E51" s="3"/>
      <c r="F51" s="4"/>
    </row>
    <row r="52" spans="2:6" ht="12" customHeight="1" x14ac:dyDescent="0.15">
      <c r="B52" s="2"/>
      <c r="C52" s="3"/>
      <c r="D52" s="3"/>
      <c r="E52" s="3"/>
      <c r="F52" s="4"/>
    </row>
    <row r="53" spans="2:6" ht="12" customHeight="1" x14ac:dyDescent="0.15">
      <c r="B53" s="2"/>
      <c r="C53" s="3"/>
      <c r="D53" s="3"/>
      <c r="E53" s="3"/>
      <c r="F53" s="4"/>
    </row>
    <row r="54" spans="2:6" ht="12" customHeight="1" x14ac:dyDescent="0.15">
      <c r="B54" s="2"/>
      <c r="C54" s="3"/>
      <c r="D54" s="3"/>
      <c r="E54" s="3"/>
      <c r="F54" s="4"/>
    </row>
    <row r="55" spans="2:6" ht="12" customHeight="1" x14ac:dyDescent="0.15">
      <c r="B55" s="2"/>
      <c r="C55" s="3"/>
      <c r="D55" s="3"/>
      <c r="E55" s="3"/>
      <c r="F55" s="4"/>
    </row>
    <row r="56" spans="2:6" ht="12" customHeight="1" x14ac:dyDescent="0.15">
      <c r="B56" s="2"/>
      <c r="C56" s="3"/>
      <c r="D56" s="3"/>
      <c r="E56" s="3"/>
      <c r="F56" s="4"/>
    </row>
    <row r="57" spans="2:6" ht="12" customHeight="1" x14ac:dyDescent="0.15">
      <c r="B57" s="2"/>
      <c r="C57" s="3"/>
      <c r="D57" s="3"/>
      <c r="E57" s="3"/>
      <c r="F57" s="4"/>
    </row>
    <row r="58" spans="2:6" ht="12" customHeight="1" x14ac:dyDescent="0.15">
      <c r="B58" s="2"/>
      <c r="C58" s="3"/>
      <c r="D58" s="3"/>
      <c r="E58" s="3"/>
      <c r="F58" s="4"/>
    </row>
    <row r="59" spans="2:6" ht="12" customHeight="1" x14ac:dyDescent="0.15">
      <c r="B59" s="2"/>
      <c r="C59" s="3"/>
      <c r="D59" s="3"/>
      <c r="E59" s="3"/>
      <c r="F59" s="4"/>
    </row>
    <row r="60" spans="2:6" ht="12" customHeight="1" x14ac:dyDescent="0.15">
      <c r="B60" s="2"/>
      <c r="C60" s="3"/>
      <c r="D60" s="3"/>
      <c r="E60" s="3"/>
      <c r="F60" s="4"/>
    </row>
    <row r="61" spans="2:6" ht="12" customHeight="1" x14ac:dyDescent="0.15">
      <c r="B61" s="2"/>
      <c r="C61" s="3"/>
      <c r="D61" s="3"/>
      <c r="E61" s="3"/>
      <c r="F61" s="4"/>
    </row>
    <row r="62" spans="2:6" ht="12" customHeight="1" x14ac:dyDescent="0.15">
      <c r="B62" s="2"/>
      <c r="C62" s="3"/>
      <c r="D62" s="3"/>
      <c r="E62" s="3"/>
      <c r="F62" s="4"/>
    </row>
    <row r="63" spans="2:6" ht="12" customHeight="1" x14ac:dyDescent="0.15">
      <c r="B63" s="2"/>
      <c r="C63" s="3"/>
      <c r="D63" s="3"/>
      <c r="E63" s="3"/>
      <c r="F63" s="4"/>
    </row>
    <row r="64" spans="2:6" ht="12" customHeight="1" x14ac:dyDescent="0.15">
      <c r="B64" s="2"/>
      <c r="C64" s="3"/>
      <c r="D64" s="3"/>
      <c r="E64" s="3"/>
      <c r="F64" s="4"/>
    </row>
    <row r="65" spans="2:6" ht="12" customHeight="1" x14ac:dyDescent="0.15">
      <c r="B65" s="2"/>
      <c r="C65" s="3"/>
      <c r="D65" s="3"/>
      <c r="E65" s="3"/>
      <c r="F65" s="4"/>
    </row>
    <row r="66" spans="2:6" ht="12" customHeight="1" x14ac:dyDescent="0.15">
      <c r="B66" s="2"/>
      <c r="C66" s="3"/>
      <c r="D66" s="3"/>
      <c r="E66" s="3"/>
      <c r="F66" s="4"/>
    </row>
    <row r="67" spans="2:6" ht="12" customHeight="1" x14ac:dyDescent="0.15">
      <c r="B67" s="2"/>
      <c r="C67" s="3"/>
      <c r="D67" s="3"/>
      <c r="E67" s="3"/>
      <c r="F67" s="4"/>
    </row>
    <row r="68" spans="2:6" ht="12" customHeight="1" x14ac:dyDescent="0.15">
      <c r="B68" s="2"/>
      <c r="C68" s="3"/>
      <c r="D68" s="3"/>
      <c r="E68" s="3"/>
      <c r="F68" s="4"/>
    </row>
    <row r="69" spans="2:6" ht="12" customHeight="1" x14ac:dyDescent="0.15">
      <c r="B69" s="2"/>
      <c r="C69" s="3"/>
      <c r="D69" s="3"/>
      <c r="E69" s="3"/>
      <c r="F69" s="4"/>
    </row>
    <row r="70" spans="2:6" ht="12" customHeight="1" x14ac:dyDescent="0.15">
      <c r="B70" s="2"/>
      <c r="C70" s="3"/>
      <c r="D70" s="3"/>
      <c r="E70" s="3"/>
      <c r="F70" s="4"/>
    </row>
    <row r="71" spans="2:6" ht="12" customHeight="1" x14ac:dyDescent="0.15">
      <c r="B71" s="2"/>
      <c r="C71" s="3"/>
      <c r="D71" s="3"/>
      <c r="E71" s="3"/>
      <c r="F71" s="4"/>
    </row>
    <row r="72" spans="2:6" ht="12" customHeight="1" x14ac:dyDescent="0.15">
      <c r="B72" s="2"/>
      <c r="C72" s="3"/>
      <c r="D72" s="3"/>
      <c r="E72" s="3"/>
      <c r="F72" s="4"/>
    </row>
    <row r="73" spans="2:6" ht="12" customHeight="1" x14ac:dyDescent="0.15">
      <c r="B73" s="2"/>
      <c r="C73" s="3"/>
      <c r="D73" s="3"/>
      <c r="E73" s="3"/>
      <c r="F73" s="4"/>
    </row>
    <row r="74" spans="2:6" ht="12" customHeight="1" x14ac:dyDescent="0.15">
      <c r="B74" s="2"/>
      <c r="C74" s="3"/>
      <c r="D74" s="3"/>
      <c r="E74" s="3"/>
      <c r="F74" s="4"/>
    </row>
    <row r="75" spans="2:6" ht="12" customHeight="1" x14ac:dyDescent="0.15">
      <c r="B75" s="2"/>
      <c r="C75" s="3"/>
      <c r="D75" s="3"/>
      <c r="E75" s="3"/>
      <c r="F75" s="4"/>
    </row>
    <row r="76" spans="2:6" ht="12" customHeight="1" x14ac:dyDescent="0.15">
      <c r="B76" s="2"/>
      <c r="C76" s="3"/>
      <c r="D76" s="3"/>
      <c r="E76" s="3"/>
      <c r="F76" s="4"/>
    </row>
    <row r="77" spans="2:6" ht="12" customHeight="1" x14ac:dyDescent="0.15">
      <c r="B77" s="2"/>
      <c r="C77" s="3"/>
      <c r="D77" s="3"/>
      <c r="E77" s="3"/>
      <c r="F77" s="4"/>
    </row>
    <row r="78" spans="2:6" ht="12" customHeight="1" x14ac:dyDescent="0.15">
      <c r="B78" s="2"/>
      <c r="C78" s="3"/>
      <c r="D78" s="3"/>
      <c r="E78" s="3"/>
      <c r="F78" s="4"/>
    </row>
    <row r="79" spans="2:6" ht="12" customHeight="1" x14ac:dyDescent="0.15">
      <c r="B79" s="2"/>
      <c r="C79" s="3"/>
      <c r="D79" s="3"/>
      <c r="E79" s="3"/>
      <c r="F79" s="4"/>
    </row>
    <row r="80" spans="2:6" ht="12" customHeight="1" x14ac:dyDescent="0.15">
      <c r="B80" s="2"/>
      <c r="C80" s="3"/>
      <c r="D80" s="3"/>
      <c r="E80" s="3"/>
      <c r="F80" s="4"/>
    </row>
    <row r="81" spans="2:6" ht="12" customHeight="1" x14ac:dyDescent="0.15">
      <c r="B81" s="2"/>
      <c r="C81" s="3"/>
      <c r="D81" s="3"/>
      <c r="E81" s="3"/>
      <c r="F81" s="4"/>
    </row>
    <row r="82" spans="2:6" ht="12" customHeight="1" x14ac:dyDescent="0.15">
      <c r="B82" s="2"/>
      <c r="C82" s="3"/>
      <c r="D82" s="3"/>
      <c r="E82" s="3"/>
      <c r="F82" s="4"/>
    </row>
    <row r="83" spans="2:6" ht="12" customHeight="1" x14ac:dyDescent="0.15">
      <c r="B83" s="2"/>
      <c r="C83" s="3"/>
      <c r="D83" s="3"/>
      <c r="E83" s="3"/>
      <c r="F83" s="4"/>
    </row>
    <row r="84" spans="2:6" ht="12" customHeight="1" x14ac:dyDescent="0.15">
      <c r="B84" s="2"/>
      <c r="C84" s="3"/>
      <c r="D84" s="3"/>
      <c r="E84" s="3"/>
      <c r="F84" s="4"/>
    </row>
    <row r="85" spans="2:6" ht="12" customHeight="1" x14ac:dyDescent="0.15">
      <c r="B85" s="2"/>
      <c r="C85" s="3"/>
      <c r="D85" s="3"/>
      <c r="E85" s="3"/>
      <c r="F85" s="4"/>
    </row>
    <row r="86" spans="2:6" ht="12" customHeight="1" x14ac:dyDescent="0.15">
      <c r="B86" s="2"/>
      <c r="C86" s="3"/>
      <c r="D86" s="3"/>
      <c r="E86" s="3"/>
      <c r="F86" s="4"/>
    </row>
    <row r="87" spans="2:6" ht="12" customHeight="1" x14ac:dyDescent="0.15">
      <c r="B87" s="2"/>
      <c r="C87" s="3"/>
      <c r="D87" s="3"/>
      <c r="E87" s="3"/>
      <c r="F87" s="4"/>
    </row>
    <row r="88" spans="2:6" ht="12" customHeight="1" x14ac:dyDescent="0.15">
      <c r="B88" s="2"/>
      <c r="C88" s="3"/>
      <c r="D88" s="3"/>
      <c r="E88" s="3"/>
      <c r="F88" s="4"/>
    </row>
    <row r="89" spans="2:6" ht="12" customHeight="1" x14ac:dyDescent="0.15">
      <c r="B89" s="2"/>
      <c r="C89" s="3"/>
      <c r="D89" s="3"/>
      <c r="E89" s="3"/>
      <c r="F89" s="4"/>
    </row>
    <row r="90" spans="2:6" ht="12" customHeight="1" x14ac:dyDescent="0.15">
      <c r="B90" s="2"/>
      <c r="C90" s="3"/>
      <c r="D90" s="3"/>
      <c r="E90" s="3"/>
      <c r="F90" s="4"/>
    </row>
    <row r="91" spans="2:6" ht="12" customHeight="1" x14ac:dyDescent="0.15">
      <c r="B91" s="2"/>
      <c r="C91" s="3"/>
      <c r="D91" s="3"/>
      <c r="E91" s="3"/>
      <c r="F91" s="4"/>
    </row>
    <row r="92" spans="2:6" ht="12" customHeight="1" x14ac:dyDescent="0.15">
      <c r="B92" s="2"/>
      <c r="C92" s="3"/>
      <c r="D92" s="3"/>
      <c r="E92" s="3"/>
      <c r="F92" s="4"/>
    </row>
    <row r="93" spans="2:6" ht="12" customHeight="1" x14ac:dyDescent="0.15">
      <c r="B93" s="2"/>
      <c r="C93" s="3"/>
      <c r="D93" s="3"/>
      <c r="E93" s="3"/>
      <c r="F93" s="4"/>
    </row>
    <row r="94" spans="2:6" ht="12" customHeight="1" x14ac:dyDescent="0.15">
      <c r="B94" s="2"/>
      <c r="C94" s="3"/>
      <c r="D94" s="3"/>
      <c r="E94" s="3"/>
      <c r="F94" s="4"/>
    </row>
    <row r="95" spans="2:6" ht="12" customHeight="1" x14ac:dyDescent="0.15">
      <c r="B95" s="2"/>
      <c r="C95" s="3"/>
      <c r="D95" s="3"/>
      <c r="E95" s="3"/>
      <c r="F95" s="4"/>
    </row>
    <row r="96" spans="2:6" ht="12" customHeight="1" x14ac:dyDescent="0.15">
      <c r="B96" s="2"/>
      <c r="C96" s="3"/>
      <c r="D96" s="3"/>
      <c r="E96" s="3"/>
      <c r="F96" s="4"/>
    </row>
    <row r="97" spans="2:6" ht="12" customHeight="1" x14ac:dyDescent="0.15">
      <c r="B97" s="2"/>
      <c r="C97" s="3"/>
      <c r="D97" s="3"/>
      <c r="E97" s="3"/>
      <c r="F97" s="4"/>
    </row>
    <row r="98" spans="2:6" ht="12" customHeight="1" x14ac:dyDescent="0.15">
      <c r="B98" s="2"/>
      <c r="C98" s="3"/>
      <c r="D98" s="3"/>
      <c r="E98" s="3"/>
      <c r="F98" s="4"/>
    </row>
    <row r="99" spans="2:6" ht="12" customHeight="1" x14ac:dyDescent="0.15">
      <c r="B99" s="2"/>
      <c r="C99" s="3"/>
      <c r="D99" s="3"/>
      <c r="E99" s="3"/>
      <c r="F99" s="4"/>
    </row>
    <row r="100" spans="2:6" ht="12" customHeight="1" x14ac:dyDescent="0.15">
      <c r="B100" s="2"/>
      <c r="C100" s="3"/>
      <c r="D100" s="3"/>
      <c r="E100" s="3"/>
      <c r="F100" s="4"/>
    </row>
    <row r="101" spans="2:6" ht="12" customHeight="1" x14ac:dyDescent="0.15">
      <c r="B101" s="2"/>
      <c r="C101" s="3"/>
      <c r="D101" s="3"/>
      <c r="E101" s="3"/>
      <c r="F101" s="4"/>
    </row>
    <row r="102" spans="2:6" ht="12" customHeight="1" x14ac:dyDescent="0.15">
      <c r="B102" s="2"/>
      <c r="C102" s="3"/>
      <c r="D102" s="3"/>
      <c r="E102" s="3"/>
      <c r="F102" s="4"/>
    </row>
    <row r="103" spans="2:6" ht="12" customHeight="1" x14ac:dyDescent="0.15">
      <c r="B103" s="2"/>
      <c r="C103" s="3"/>
      <c r="D103" s="3"/>
      <c r="E103" s="3"/>
      <c r="F103" s="4"/>
    </row>
    <row r="104" spans="2:6" ht="12" customHeight="1" x14ac:dyDescent="0.15">
      <c r="B104" s="2"/>
      <c r="C104" s="3"/>
      <c r="D104" s="3"/>
      <c r="E104" s="3"/>
      <c r="F104" s="4"/>
    </row>
    <row r="105" spans="2:6" ht="12" customHeight="1" x14ac:dyDescent="0.15">
      <c r="B105" s="2"/>
      <c r="C105" s="3"/>
      <c r="D105" s="3"/>
      <c r="E105" s="3"/>
      <c r="F105" s="4"/>
    </row>
    <row r="106" spans="2:6" ht="12" customHeight="1" x14ac:dyDescent="0.15">
      <c r="B106" s="2"/>
      <c r="C106" s="3"/>
      <c r="D106" s="3"/>
      <c r="E106" s="3"/>
      <c r="F106" s="4"/>
    </row>
    <row r="107" spans="2:6" ht="12" customHeight="1" x14ac:dyDescent="0.15">
      <c r="B107" s="2"/>
      <c r="C107" s="3"/>
      <c r="D107" s="3"/>
      <c r="E107" s="3"/>
      <c r="F107" s="4"/>
    </row>
    <row r="108" spans="2:6" ht="12" customHeight="1" x14ac:dyDescent="0.15">
      <c r="B108" s="2"/>
      <c r="C108" s="3"/>
      <c r="D108" s="3"/>
      <c r="E108" s="3"/>
      <c r="F108" s="4"/>
    </row>
    <row r="109" spans="2:6" ht="12" customHeight="1" x14ac:dyDescent="0.15">
      <c r="B109" s="2"/>
      <c r="C109" s="3"/>
      <c r="D109" s="3"/>
      <c r="E109" s="3"/>
      <c r="F109" s="4"/>
    </row>
    <row r="110" spans="2:6" ht="12" customHeight="1" x14ac:dyDescent="0.15">
      <c r="B110" s="2"/>
      <c r="C110" s="3"/>
      <c r="D110" s="3"/>
      <c r="E110" s="3"/>
      <c r="F110" s="4"/>
    </row>
    <row r="111" spans="2:6" ht="12" customHeight="1" x14ac:dyDescent="0.15">
      <c r="B111" s="2"/>
      <c r="C111" s="3"/>
      <c r="D111" s="3"/>
      <c r="E111" s="3"/>
      <c r="F111" s="4"/>
    </row>
    <row r="112" spans="2:6" ht="12" customHeight="1" x14ac:dyDescent="0.15">
      <c r="B112" s="2"/>
      <c r="C112" s="3"/>
      <c r="D112" s="3"/>
      <c r="E112" s="3"/>
      <c r="F112" s="4"/>
    </row>
    <row r="113" spans="2:6" ht="12" customHeight="1" x14ac:dyDescent="0.15">
      <c r="B113" s="2"/>
      <c r="C113" s="3"/>
      <c r="D113" s="3"/>
      <c r="E113" s="3"/>
      <c r="F113" s="4"/>
    </row>
    <row r="114" spans="2:6" ht="12" customHeight="1" x14ac:dyDescent="0.15">
      <c r="B114" s="2"/>
      <c r="C114" s="3"/>
      <c r="D114" s="3"/>
      <c r="E114" s="3"/>
      <c r="F114" s="4"/>
    </row>
    <row r="115" spans="2:6" ht="12" customHeight="1" x14ac:dyDescent="0.15">
      <c r="B115" s="2"/>
      <c r="C115" s="3"/>
      <c r="D115" s="3"/>
      <c r="E115" s="3"/>
      <c r="F115" s="4"/>
    </row>
    <row r="116" spans="2:6" ht="12" customHeight="1" x14ac:dyDescent="0.15">
      <c r="B116" s="2"/>
      <c r="C116" s="3"/>
      <c r="D116" s="3"/>
      <c r="E116" s="3"/>
      <c r="F116" s="4"/>
    </row>
    <row r="117" spans="2:6" ht="12" customHeight="1" x14ac:dyDescent="0.15">
      <c r="B117" s="2"/>
      <c r="C117" s="3"/>
      <c r="D117" s="3"/>
      <c r="E117" s="3"/>
      <c r="F117" s="4"/>
    </row>
    <row r="118" spans="2:6" ht="12" customHeight="1" x14ac:dyDescent="0.15">
      <c r="B118" s="2"/>
      <c r="C118" s="3"/>
      <c r="D118" s="3"/>
      <c r="E118" s="3"/>
      <c r="F118" s="4"/>
    </row>
    <row r="119" spans="2:6" ht="12" customHeight="1" x14ac:dyDescent="0.15">
      <c r="B119" s="2"/>
      <c r="C119" s="3"/>
      <c r="D119" s="3"/>
      <c r="E119" s="3"/>
      <c r="F119" s="4"/>
    </row>
    <row r="120" spans="2:6" ht="12" customHeight="1" x14ac:dyDescent="0.15">
      <c r="B120" s="2"/>
      <c r="C120" s="3"/>
      <c r="D120" s="3"/>
      <c r="E120" s="3"/>
      <c r="F120" s="4"/>
    </row>
    <row r="121" spans="2:6" ht="12" customHeight="1" x14ac:dyDescent="0.15">
      <c r="B121" s="2"/>
      <c r="C121" s="3"/>
      <c r="D121" s="3"/>
      <c r="E121" s="3"/>
      <c r="F121" s="4"/>
    </row>
    <row r="122" spans="2:6" ht="12" customHeight="1" x14ac:dyDescent="0.15">
      <c r="B122" s="2"/>
      <c r="C122" s="3"/>
      <c r="D122" s="3"/>
      <c r="E122" s="3"/>
      <c r="F122" s="4"/>
    </row>
    <row r="123" spans="2:6" ht="12" customHeight="1" x14ac:dyDescent="0.15">
      <c r="B123" s="2"/>
      <c r="C123" s="3"/>
      <c r="D123" s="3"/>
      <c r="E123" s="3"/>
      <c r="F123" s="4"/>
    </row>
    <row r="124" spans="2:6" ht="12" customHeight="1" x14ac:dyDescent="0.15">
      <c r="B124" s="2"/>
      <c r="C124" s="3"/>
      <c r="D124" s="3"/>
      <c r="E124" s="3"/>
      <c r="F124" s="4"/>
    </row>
    <row r="125" spans="2:6" ht="12" customHeight="1" x14ac:dyDescent="0.15">
      <c r="B125" s="2"/>
      <c r="C125" s="3"/>
      <c r="D125" s="3"/>
      <c r="E125" s="3"/>
      <c r="F125" s="4"/>
    </row>
    <row r="126" spans="2:6" ht="12" customHeight="1" x14ac:dyDescent="0.15">
      <c r="B126" s="2"/>
      <c r="C126" s="3"/>
      <c r="D126" s="3"/>
      <c r="E126" s="3"/>
      <c r="F126" s="4"/>
    </row>
    <row r="127" spans="2:6" ht="12" customHeight="1" x14ac:dyDescent="0.15">
      <c r="B127" s="2"/>
      <c r="C127" s="3"/>
      <c r="D127" s="3"/>
      <c r="E127" s="3"/>
      <c r="F127" s="4"/>
    </row>
    <row r="128" spans="2:6" ht="12" customHeight="1" x14ac:dyDescent="0.15">
      <c r="B128" s="2"/>
      <c r="C128" s="3"/>
      <c r="D128" s="3"/>
      <c r="E128" s="3"/>
      <c r="F128" s="4"/>
    </row>
    <row r="129" spans="2:6" ht="12" customHeight="1" x14ac:dyDescent="0.15">
      <c r="B129" s="2"/>
      <c r="C129" s="3"/>
      <c r="D129" s="3"/>
      <c r="E129" s="3"/>
      <c r="F129" s="4"/>
    </row>
    <row r="130" spans="2:6" ht="12" customHeight="1" x14ac:dyDescent="0.15">
      <c r="B130" s="2"/>
      <c r="C130" s="3"/>
      <c r="D130" s="3"/>
      <c r="E130" s="3"/>
      <c r="F130" s="4"/>
    </row>
    <row r="131" spans="2:6" ht="12" customHeight="1" x14ac:dyDescent="0.15">
      <c r="B131" s="2"/>
      <c r="C131" s="3"/>
      <c r="D131" s="3"/>
      <c r="E131" s="3"/>
      <c r="F131" s="4"/>
    </row>
    <row r="132" spans="2:6" ht="12" customHeight="1" x14ac:dyDescent="0.15">
      <c r="B132" s="2"/>
      <c r="C132" s="3"/>
      <c r="D132" s="3"/>
      <c r="E132" s="3"/>
      <c r="F132" s="4"/>
    </row>
    <row r="133" spans="2:6" ht="12" customHeight="1" x14ac:dyDescent="0.15">
      <c r="B133" s="2"/>
      <c r="C133" s="3"/>
      <c r="D133" s="3"/>
      <c r="E133" s="3"/>
      <c r="F133" s="4"/>
    </row>
    <row r="134" spans="2:6" ht="12" customHeight="1" x14ac:dyDescent="0.15">
      <c r="B134" s="2"/>
      <c r="C134" s="3"/>
      <c r="D134" s="3"/>
      <c r="E134" s="3"/>
      <c r="F134" s="4"/>
    </row>
    <row r="135" spans="2:6" ht="12" customHeight="1" x14ac:dyDescent="0.15">
      <c r="B135" s="2"/>
      <c r="C135" s="3"/>
      <c r="D135" s="3"/>
      <c r="E135" s="3"/>
      <c r="F135" s="4"/>
    </row>
    <row r="136" spans="2:6" ht="12" customHeight="1" x14ac:dyDescent="0.15">
      <c r="B136" s="2"/>
      <c r="C136" s="3"/>
      <c r="D136" s="3"/>
      <c r="E136" s="3"/>
      <c r="F136" s="4"/>
    </row>
    <row r="137" spans="2:6" ht="12" customHeight="1" x14ac:dyDescent="0.15">
      <c r="B137" s="2"/>
      <c r="C137" s="3"/>
      <c r="D137" s="3"/>
      <c r="E137" s="3"/>
      <c r="F137" s="4"/>
    </row>
    <row r="138" spans="2:6" ht="12" customHeight="1" x14ac:dyDescent="0.15">
      <c r="B138" s="2"/>
      <c r="C138" s="3"/>
      <c r="D138" s="3"/>
      <c r="E138" s="3"/>
      <c r="F138" s="4"/>
    </row>
    <row r="139" spans="2:6" ht="12" customHeight="1" x14ac:dyDescent="0.15">
      <c r="B139" s="2"/>
      <c r="C139" s="3"/>
      <c r="D139" s="3"/>
      <c r="E139" s="3"/>
      <c r="F139" s="4"/>
    </row>
    <row r="140" spans="2:6" ht="12" customHeight="1" x14ac:dyDescent="0.15">
      <c r="B140" s="2"/>
      <c r="C140" s="3"/>
      <c r="D140" s="3"/>
      <c r="E140" s="3"/>
      <c r="F140" s="4"/>
    </row>
    <row r="141" spans="2:6" ht="12" customHeight="1" x14ac:dyDescent="0.15">
      <c r="B141" s="2"/>
      <c r="C141" s="3"/>
      <c r="D141" s="3"/>
      <c r="E141" s="3"/>
      <c r="F141" s="4"/>
    </row>
    <row r="142" spans="2:6" ht="12" customHeight="1" x14ac:dyDescent="0.15">
      <c r="B142" s="2"/>
      <c r="C142" s="3"/>
      <c r="D142" s="3"/>
      <c r="E142" s="3"/>
      <c r="F142" s="4"/>
    </row>
    <row r="143" spans="2:6" ht="12" customHeight="1" x14ac:dyDescent="0.15">
      <c r="B143" s="2"/>
      <c r="C143" s="3"/>
      <c r="D143" s="3"/>
      <c r="E143" s="3"/>
      <c r="F143" s="4"/>
    </row>
    <row r="144" spans="2:6" ht="12" customHeight="1" x14ac:dyDescent="0.15">
      <c r="B144" s="2"/>
      <c r="C144" s="3"/>
      <c r="D144" s="3"/>
      <c r="E144" s="3"/>
      <c r="F144" s="4"/>
    </row>
    <row r="145" spans="2:6" ht="12" customHeight="1" x14ac:dyDescent="0.15">
      <c r="B145" s="2"/>
      <c r="C145" s="3"/>
      <c r="D145" s="3"/>
      <c r="E145" s="3"/>
      <c r="F145" s="4"/>
    </row>
    <row r="146" spans="2:6" ht="12" customHeight="1" x14ac:dyDescent="0.15">
      <c r="B146" s="2"/>
      <c r="C146" s="3"/>
      <c r="D146" s="3"/>
      <c r="E146" s="3"/>
      <c r="F146" s="4"/>
    </row>
    <row r="147" spans="2:6" ht="12" customHeight="1" x14ac:dyDescent="0.15">
      <c r="B147" s="2"/>
      <c r="C147" s="3"/>
      <c r="D147" s="3"/>
      <c r="E147" s="3"/>
      <c r="F147" s="4"/>
    </row>
    <row r="148" spans="2:6" ht="12" customHeight="1" x14ac:dyDescent="0.15">
      <c r="B148" s="2"/>
      <c r="C148" s="3"/>
      <c r="D148" s="3"/>
      <c r="E148" s="3"/>
      <c r="F148" s="4"/>
    </row>
    <row r="149" spans="2:6" ht="12" customHeight="1" x14ac:dyDescent="0.15">
      <c r="B149" s="2"/>
      <c r="C149" s="3"/>
      <c r="D149" s="3"/>
      <c r="E149" s="3"/>
      <c r="F149" s="4"/>
    </row>
    <row r="150" spans="2:6" ht="12" customHeight="1" x14ac:dyDescent="0.15">
      <c r="B150" s="2"/>
      <c r="C150" s="3"/>
      <c r="D150" s="3"/>
      <c r="E150" s="3"/>
      <c r="F150" s="4"/>
    </row>
    <row r="151" spans="2:6" ht="12" customHeight="1" x14ac:dyDescent="0.15">
      <c r="B151" s="2"/>
      <c r="C151" s="3"/>
      <c r="D151" s="3"/>
      <c r="E151" s="3"/>
      <c r="F151" s="4"/>
    </row>
    <row r="152" spans="2:6" ht="12" customHeight="1" x14ac:dyDescent="0.15">
      <c r="B152" s="2"/>
      <c r="C152" s="3"/>
      <c r="D152" s="3"/>
      <c r="E152" s="3"/>
      <c r="F152" s="4"/>
    </row>
    <row r="153" spans="2:6" ht="12" customHeight="1" x14ac:dyDescent="0.15">
      <c r="B153" s="2"/>
      <c r="C153" s="3"/>
      <c r="D153" s="3"/>
      <c r="E153" s="3"/>
      <c r="F153" s="4"/>
    </row>
    <row r="154" spans="2:6" ht="12" customHeight="1" x14ac:dyDescent="0.15">
      <c r="B154" s="2"/>
      <c r="C154" s="3"/>
      <c r="D154" s="3"/>
      <c r="E154" s="3"/>
      <c r="F154" s="4"/>
    </row>
    <row r="155" spans="2:6" ht="12" customHeight="1" x14ac:dyDescent="0.15">
      <c r="B155" s="2"/>
      <c r="C155" s="3"/>
      <c r="D155" s="3"/>
      <c r="E155" s="3"/>
      <c r="F155" s="4"/>
    </row>
    <row r="156" spans="2:6" ht="12" customHeight="1" x14ac:dyDescent="0.15">
      <c r="B156" s="2"/>
      <c r="C156" s="3"/>
      <c r="D156" s="3"/>
      <c r="E156" s="3"/>
      <c r="F156" s="4"/>
    </row>
    <row r="157" spans="2:6" ht="12" customHeight="1" x14ac:dyDescent="0.15">
      <c r="B157" s="2"/>
      <c r="C157" s="3"/>
      <c r="D157" s="3"/>
      <c r="E157" s="3"/>
      <c r="F157" s="4"/>
    </row>
    <row r="158" spans="2:6" ht="12" customHeight="1" x14ac:dyDescent="0.15">
      <c r="B158" s="2"/>
      <c r="C158" s="3"/>
      <c r="D158" s="3"/>
      <c r="E158" s="3"/>
      <c r="F158" s="4"/>
    </row>
    <row r="159" spans="2:6" ht="12" customHeight="1" x14ac:dyDescent="0.15">
      <c r="B159" s="2"/>
      <c r="C159" s="3"/>
      <c r="D159" s="3"/>
      <c r="E159" s="3"/>
      <c r="F159" s="4"/>
    </row>
    <row r="160" spans="2:6" ht="12" customHeight="1" x14ac:dyDescent="0.15">
      <c r="B160" s="2"/>
      <c r="C160" s="3"/>
      <c r="D160" s="3"/>
      <c r="E160" s="3"/>
      <c r="F160" s="4"/>
    </row>
    <row r="161" spans="2:6" ht="12" customHeight="1" x14ac:dyDescent="0.15">
      <c r="B161" s="2"/>
      <c r="C161" s="3"/>
      <c r="D161" s="3"/>
      <c r="E161" s="3"/>
      <c r="F161" s="4"/>
    </row>
    <row r="162" spans="2:6" ht="12" customHeight="1" x14ac:dyDescent="0.15">
      <c r="B162" s="2"/>
      <c r="C162" s="3"/>
      <c r="D162" s="3"/>
      <c r="E162" s="3"/>
      <c r="F162" s="4"/>
    </row>
    <row r="163" spans="2:6" ht="12" customHeight="1" x14ac:dyDescent="0.15">
      <c r="B163" s="2"/>
      <c r="C163" s="3"/>
      <c r="D163" s="3"/>
      <c r="E163" s="3"/>
      <c r="F163" s="4"/>
    </row>
    <row r="164" spans="2:6" ht="12" customHeight="1" x14ac:dyDescent="0.15">
      <c r="B164" s="2"/>
      <c r="C164" s="3"/>
      <c r="D164" s="3"/>
      <c r="E164" s="3"/>
      <c r="F164" s="4"/>
    </row>
    <row r="165" spans="2:6" ht="12" customHeight="1" x14ac:dyDescent="0.15">
      <c r="B165" s="2"/>
      <c r="C165" s="3"/>
      <c r="D165" s="3"/>
      <c r="E165" s="3"/>
      <c r="F165" s="4"/>
    </row>
    <row r="166" spans="2:6" ht="12" customHeight="1" x14ac:dyDescent="0.15">
      <c r="B166" s="2"/>
      <c r="C166" s="3"/>
      <c r="D166" s="3"/>
      <c r="E166" s="3"/>
      <c r="F166" s="4"/>
    </row>
    <row r="167" spans="2:6" ht="12" customHeight="1" x14ac:dyDescent="0.15">
      <c r="B167" s="2"/>
      <c r="C167" s="3"/>
      <c r="D167" s="3"/>
      <c r="E167" s="3"/>
      <c r="F167" s="4"/>
    </row>
    <row r="168" spans="2:6" ht="12" customHeight="1" x14ac:dyDescent="0.15">
      <c r="B168" s="2"/>
      <c r="C168" s="3"/>
      <c r="D168" s="3"/>
      <c r="E168" s="3"/>
      <c r="F168" s="4"/>
    </row>
    <row r="169" spans="2:6" ht="12" customHeight="1" x14ac:dyDescent="0.15">
      <c r="B169" s="2"/>
      <c r="C169" s="3"/>
      <c r="D169" s="3"/>
      <c r="E169" s="3"/>
      <c r="F169" s="4"/>
    </row>
    <row r="170" spans="2:6" ht="12" customHeight="1" x14ac:dyDescent="0.15">
      <c r="B170" s="2"/>
      <c r="C170" s="3"/>
      <c r="D170" s="3"/>
      <c r="E170" s="3"/>
      <c r="F170" s="4"/>
    </row>
    <row r="171" spans="2:6" ht="12" customHeight="1" x14ac:dyDescent="0.15">
      <c r="B171" s="2"/>
      <c r="C171" s="3"/>
      <c r="D171" s="3"/>
      <c r="E171" s="3"/>
      <c r="F171" s="4"/>
    </row>
    <row r="172" spans="2:6" ht="12" customHeight="1" x14ac:dyDescent="0.15">
      <c r="B172" s="2"/>
      <c r="C172" s="3"/>
      <c r="D172" s="3"/>
      <c r="E172" s="3"/>
      <c r="F172" s="4"/>
    </row>
    <row r="173" spans="2:6" ht="12" customHeight="1" x14ac:dyDescent="0.15">
      <c r="B173" s="2"/>
      <c r="C173" s="3"/>
      <c r="D173" s="3"/>
      <c r="E173" s="3"/>
      <c r="F173" s="4"/>
    </row>
    <row r="174" spans="2:6" ht="12" customHeight="1" x14ac:dyDescent="0.15">
      <c r="B174" s="2"/>
      <c r="C174" s="3"/>
      <c r="D174" s="3"/>
      <c r="E174" s="3"/>
      <c r="F174" s="4"/>
    </row>
    <row r="175" spans="2:6" ht="12" customHeight="1" x14ac:dyDescent="0.15">
      <c r="B175" s="2"/>
      <c r="C175" s="3"/>
      <c r="D175" s="3"/>
      <c r="E175" s="3"/>
      <c r="F175" s="4"/>
    </row>
    <row r="176" spans="2:6" ht="12" customHeight="1" x14ac:dyDescent="0.15">
      <c r="B176" s="2"/>
      <c r="C176" s="3"/>
      <c r="D176" s="3"/>
      <c r="E176" s="3"/>
      <c r="F176" s="4"/>
    </row>
    <row r="177" spans="2:6" ht="12" customHeight="1" x14ac:dyDescent="0.15">
      <c r="B177" s="2"/>
      <c r="C177" s="3"/>
      <c r="D177" s="3"/>
      <c r="E177" s="3"/>
      <c r="F177" s="4"/>
    </row>
    <row r="178" spans="2:6" ht="12" customHeight="1" x14ac:dyDescent="0.15">
      <c r="B178" s="2"/>
      <c r="C178" s="3"/>
      <c r="D178" s="3"/>
      <c r="E178" s="3"/>
      <c r="F178" s="4"/>
    </row>
    <row r="179" spans="2:6" ht="12" customHeight="1" x14ac:dyDescent="0.15">
      <c r="B179" s="2"/>
      <c r="C179" s="3"/>
      <c r="D179" s="3"/>
      <c r="E179" s="3"/>
      <c r="F179" s="4"/>
    </row>
    <row r="180" spans="2:6" ht="12" customHeight="1" x14ac:dyDescent="0.15">
      <c r="B180" s="2"/>
      <c r="C180" s="3"/>
      <c r="D180" s="3"/>
      <c r="E180" s="3"/>
      <c r="F180" s="4"/>
    </row>
    <row r="181" spans="2:6" ht="12" customHeight="1" x14ac:dyDescent="0.15">
      <c r="B181" s="2"/>
      <c r="C181" s="3"/>
      <c r="D181" s="3"/>
      <c r="E181" s="3"/>
      <c r="F181" s="4"/>
    </row>
    <row r="182" spans="2:6" ht="12" customHeight="1" x14ac:dyDescent="0.15">
      <c r="B182" s="2"/>
      <c r="C182" s="3"/>
      <c r="D182" s="3"/>
      <c r="E182" s="3"/>
      <c r="F182" s="4"/>
    </row>
    <row r="183" spans="2:6" ht="12" customHeight="1" x14ac:dyDescent="0.15">
      <c r="B183" s="2"/>
      <c r="C183" s="3"/>
      <c r="D183" s="3"/>
      <c r="E183" s="3"/>
      <c r="F183" s="4"/>
    </row>
    <row r="184" spans="2:6" ht="12" customHeight="1" x14ac:dyDescent="0.15">
      <c r="B184" s="2"/>
      <c r="C184" s="3"/>
      <c r="D184" s="3"/>
      <c r="E184" s="3"/>
      <c r="F184" s="4"/>
    </row>
    <row r="185" spans="2:6" ht="12" customHeight="1" x14ac:dyDescent="0.15">
      <c r="B185" s="2"/>
      <c r="C185" s="3"/>
      <c r="D185" s="3"/>
      <c r="E185" s="3"/>
      <c r="F185" s="4"/>
    </row>
    <row r="186" spans="2:6" ht="12" customHeight="1" x14ac:dyDescent="0.15">
      <c r="B186" s="2"/>
      <c r="C186" s="3"/>
      <c r="D186" s="3"/>
      <c r="E186" s="3"/>
      <c r="F186" s="4"/>
    </row>
    <row r="187" spans="2:6" ht="12" customHeight="1" x14ac:dyDescent="0.15">
      <c r="B187" s="2"/>
      <c r="C187" s="3"/>
      <c r="D187" s="3"/>
      <c r="E187" s="3"/>
      <c r="F187" s="4"/>
    </row>
    <row r="188" spans="2:6" ht="12" customHeight="1" x14ac:dyDescent="0.15">
      <c r="B188" s="2"/>
      <c r="C188" s="3"/>
      <c r="D188" s="3"/>
      <c r="E188" s="3"/>
      <c r="F188" s="4"/>
    </row>
    <row r="189" spans="2:6" ht="12" customHeight="1" x14ac:dyDescent="0.15">
      <c r="B189" s="2"/>
      <c r="C189" s="3"/>
      <c r="D189" s="3"/>
      <c r="E189" s="3"/>
      <c r="F189" s="4"/>
    </row>
    <row r="190" spans="2:6" ht="12" customHeight="1" x14ac:dyDescent="0.15">
      <c r="B190" s="2"/>
      <c r="C190" s="3"/>
      <c r="D190" s="3"/>
      <c r="E190" s="3"/>
      <c r="F190" s="4"/>
    </row>
    <row r="191" spans="2:6" ht="12" customHeight="1" x14ac:dyDescent="0.15">
      <c r="B191" s="2"/>
      <c r="C191" s="3"/>
      <c r="D191" s="3"/>
      <c r="E191" s="3"/>
      <c r="F191" s="4"/>
    </row>
    <row r="192" spans="2:6" ht="12" customHeight="1" x14ac:dyDescent="0.15">
      <c r="B192" s="2"/>
      <c r="C192" s="3"/>
      <c r="D192" s="3"/>
      <c r="E192" s="3"/>
      <c r="F192" s="4"/>
    </row>
    <row r="193" spans="2:6" ht="12" customHeight="1" x14ac:dyDescent="0.15">
      <c r="B193" s="2"/>
      <c r="C193" s="3"/>
      <c r="D193" s="3"/>
      <c r="E193" s="3"/>
      <c r="F193" s="4"/>
    </row>
    <row r="194" spans="2:6" ht="12" customHeight="1" x14ac:dyDescent="0.15">
      <c r="B194" s="2"/>
      <c r="C194" s="3"/>
      <c r="D194" s="3"/>
      <c r="E194" s="3"/>
      <c r="F194" s="4"/>
    </row>
    <row r="195" spans="2:6" ht="12" customHeight="1" x14ac:dyDescent="0.15">
      <c r="B195" s="2"/>
      <c r="C195" s="3"/>
      <c r="D195" s="3"/>
      <c r="E195" s="3"/>
      <c r="F195" s="4"/>
    </row>
    <row r="196" spans="2:6" ht="12" customHeight="1" x14ac:dyDescent="0.15">
      <c r="B196" s="2"/>
      <c r="C196" s="3"/>
      <c r="D196" s="3"/>
      <c r="E196" s="3"/>
      <c r="F196" s="4"/>
    </row>
    <row r="197" spans="2:6" ht="12" customHeight="1" x14ac:dyDescent="0.15">
      <c r="B197" s="2"/>
      <c r="C197" s="3"/>
      <c r="D197" s="3"/>
      <c r="E197" s="3"/>
      <c r="F197" s="4"/>
    </row>
    <row r="198" spans="2:6" ht="12" customHeight="1" x14ac:dyDescent="0.15">
      <c r="B198" s="2"/>
      <c r="C198" s="3"/>
      <c r="D198" s="3"/>
      <c r="E198" s="3"/>
      <c r="F198" s="4"/>
    </row>
    <row r="199" spans="2:6" ht="12" customHeight="1" x14ac:dyDescent="0.15">
      <c r="B199" s="2"/>
      <c r="C199" s="3"/>
      <c r="D199" s="3"/>
      <c r="E199" s="3"/>
      <c r="F199" s="4"/>
    </row>
    <row r="200" spans="2:6" ht="12" customHeight="1" x14ac:dyDescent="0.15">
      <c r="B200" s="2"/>
      <c r="C200" s="3"/>
      <c r="D200" s="3"/>
      <c r="E200" s="3"/>
      <c r="F200" s="4"/>
    </row>
    <row r="201" spans="2:6" ht="12" customHeight="1" x14ac:dyDescent="0.15">
      <c r="B201" s="2"/>
      <c r="C201" s="3"/>
      <c r="D201" s="3"/>
      <c r="E201" s="3"/>
      <c r="F201" s="4"/>
    </row>
    <row r="202" spans="2:6" ht="12" customHeight="1" x14ac:dyDescent="0.15">
      <c r="B202" s="2"/>
      <c r="C202" s="3"/>
      <c r="D202" s="3"/>
      <c r="E202" s="3"/>
      <c r="F202" s="4"/>
    </row>
    <row r="203" spans="2:6" ht="12" customHeight="1" x14ac:dyDescent="0.15">
      <c r="B203" s="2"/>
      <c r="C203" s="3"/>
      <c r="D203" s="3"/>
      <c r="E203" s="3"/>
      <c r="F203" s="4"/>
    </row>
    <row r="204" spans="2:6" ht="12" customHeight="1" x14ac:dyDescent="0.15">
      <c r="B204" s="2"/>
      <c r="C204" s="3"/>
      <c r="D204" s="3"/>
      <c r="E204" s="3"/>
      <c r="F204" s="4"/>
    </row>
    <row r="205" spans="2:6" ht="12" customHeight="1" x14ac:dyDescent="0.15">
      <c r="B205" s="2"/>
      <c r="C205" s="3"/>
      <c r="D205" s="3"/>
      <c r="E205" s="3"/>
      <c r="F205" s="4"/>
    </row>
    <row r="206" spans="2:6" ht="12" customHeight="1" x14ac:dyDescent="0.15">
      <c r="B206" s="2"/>
      <c r="C206" s="3"/>
      <c r="D206" s="3"/>
      <c r="E206" s="3"/>
      <c r="F206" s="4"/>
    </row>
    <row r="207" spans="2:6" ht="12" customHeight="1" x14ac:dyDescent="0.15">
      <c r="B207" s="2"/>
      <c r="C207" s="3"/>
      <c r="D207" s="3"/>
      <c r="E207" s="3"/>
      <c r="F207" s="4"/>
    </row>
    <row r="208" spans="2:6" ht="12" customHeight="1" x14ac:dyDescent="0.15">
      <c r="B208" s="2"/>
      <c r="C208" s="3"/>
      <c r="D208" s="3"/>
      <c r="E208" s="3"/>
      <c r="F208" s="4"/>
    </row>
    <row r="209" spans="2:6" ht="12" customHeight="1" x14ac:dyDescent="0.15">
      <c r="B209" s="2"/>
      <c r="C209" s="3"/>
      <c r="D209" s="3"/>
      <c r="E209" s="3"/>
      <c r="F209" s="4"/>
    </row>
    <row r="210" spans="2:6" ht="12" customHeight="1" x14ac:dyDescent="0.15">
      <c r="B210" s="2"/>
      <c r="C210" s="3"/>
      <c r="D210" s="3"/>
      <c r="E210" s="3"/>
      <c r="F210" s="4"/>
    </row>
    <row r="211" spans="2:6" ht="12" customHeight="1" x14ac:dyDescent="0.15">
      <c r="B211" s="2"/>
      <c r="C211" s="3"/>
      <c r="D211" s="3"/>
      <c r="E211" s="3"/>
      <c r="F211" s="4"/>
    </row>
    <row r="212" spans="2:6" ht="12" customHeight="1" x14ac:dyDescent="0.15">
      <c r="B212" s="2"/>
      <c r="C212" s="3"/>
      <c r="D212" s="3"/>
      <c r="E212" s="3"/>
      <c r="F212" s="4"/>
    </row>
    <row r="213" spans="2:6" ht="12" customHeight="1" x14ac:dyDescent="0.15">
      <c r="B213" s="2"/>
      <c r="C213" s="3"/>
      <c r="D213" s="3"/>
      <c r="E213" s="3"/>
      <c r="F213" s="4"/>
    </row>
    <row r="214" spans="2:6" ht="12" customHeight="1" x14ac:dyDescent="0.15">
      <c r="B214" s="2"/>
      <c r="C214" s="3"/>
      <c r="D214" s="3"/>
      <c r="E214" s="3"/>
      <c r="F214" s="4"/>
    </row>
    <row r="215" spans="2:6" ht="12" customHeight="1" x14ac:dyDescent="0.15">
      <c r="B215" s="2"/>
      <c r="C215" s="3"/>
      <c r="D215" s="3"/>
      <c r="E215" s="3"/>
      <c r="F215" s="4"/>
    </row>
    <row r="216" spans="2:6" ht="12" customHeight="1" x14ac:dyDescent="0.15">
      <c r="B216" s="2"/>
      <c r="C216" s="3"/>
      <c r="D216" s="3"/>
      <c r="E216" s="3"/>
      <c r="F216" s="4"/>
    </row>
    <row r="217" spans="2:6" ht="12" customHeight="1" x14ac:dyDescent="0.15">
      <c r="B217" s="2"/>
      <c r="C217" s="3"/>
      <c r="D217" s="3"/>
      <c r="E217" s="3"/>
      <c r="F217" s="4"/>
    </row>
    <row r="218" spans="2:6" ht="12" customHeight="1" x14ac:dyDescent="0.15">
      <c r="B218" s="2"/>
      <c r="C218" s="3"/>
      <c r="D218" s="3"/>
      <c r="E218" s="3"/>
      <c r="F218" s="4"/>
    </row>
    <row r="219" spans="2:6" ht="12" customHeight="1" x14ac:dyDescent="0.15">
      <c r="B219" s="2"/>
      <c r="C219" s="3"/>
      <c r="D219" s="3"/>
      <c r="E219" s="3"/>
      <c r="F219" s="4"/>
    </row>
    <row r="220" spans="2:6" ht="12" customHeight="1" x14ac:dyDescent="0.15">
      <c r="B220" s="2"/>
      <c r="C220" s="3"/>
      <c r="D220" s="3"/>
      <c r="E220" s="3"/>
      <c r="F220" s="4"/>
    </row>
    <row r="221" spans="2:6" ht="12" customHeight="1" x14ac:dyDescent="0.15">
      <c r="B221" s="2"/>
      <c r="C221" s="3"/>
      <c r="D221" s="3"/>
      <c r="E221" s="3"/>
      <c r="F221" s="4"/>
    </row>
    <row r="222" spans="2:6" ht="12" customHeight="1" x14ac:dyDescent="0.15">
      <c r="B222" s="2"/>
      <c r="C222" s="3"/>
      <c r="D222" s="3"/>
      <c r="E222" s="3"/>
      <c r="F222" s="4"/>
    </row>
    <row r="223" spans="2:6" ht="12" customHeight="1" x14ac:dyDescent="0.15">
      <c r="B223" s="2"/>
      <c r="C223" s="3"/>
      <c r="D223" s="3"/>
      <c r="E223" s="3"/>
      <c r="F223" s="4"/>
    </row>
    <row r="224" spans="2:6" ht="12" customHeight="1" x14ac:dyDescent="0.15">
      <c r="B224" s="2"/>
      <c r="C224" s="3"/>
      <c r="D224" s="3"/>
      <c r="E224" s="3"/>
      <c r="F224" s="4"/>
    </row>
    <row r="225" spans="2:6" ht="12" customHeight="1" x14ac:dyDescent="0.15">
      <c r="B225" s="2"/>
      <c r="C225" s="3"/>
      <c r="D225" s="3"/>
      <c r="E225" s="3"/>
      <c r="F225" s="4"/>
    </row>
    <row r="226" spans="2:6" ht="12" customHeight="1" x14ac:dyDescent="0.15">
      <c r="B226" s="2"/>
      <c r="C226" s="3"/>
      <c r="D226" s="3"/>
      <c r="E226" s="3"/>
      <c r="F226" s="4"/>
    </row>
    <row r="227" spans="2:6" ht="12" customHeight="1" x14ac:dyDescent="0.15">
      <c r="B227" s="2"/>
      <c r="C227" s="3"/>
      <c r="D227" s="3"/>
      <c r="E227" s="3"/>
      <c r="F227" s="4"/>
    </row>
    <row r="228" spans="2:6" ht="12" customHeight="1" x14ac:dyDescent="0.15">
      <c r="B228" s="2"/>
      <c r="C228" s="3"/>
      <c r="D228" s="3"/>
      <c r="E228" s="3"/>
      <c r="F228" s="4"/>
    </row>
    <row r="229" spans="2:6" ht="12" customHeight="1" x14ac:dyDescent="0.15">
      <c r="B229" s="2"/>
      <c r="C229" s="3"/>
      <c r="D229" s="3"/>
      <c r="E229" s="3"/>
      <c r="F229" s="4"/>
    </row>
    <row r="230" spans="2:6" ht="12" customHeight="1" x14ac:dyDescent="0.15">
      <c r="B230" s="2"/>
      <c r="C230" s="3"/>
      <c r="D230" s="3"/>
      <c r="E230" s="3"/>
      <c r="F230" s="4"/>
    </row>
    <row r="231" spans="2:6" ht="12" customHeight="1" x14ac:dyDescent="0.15">
      <c r="B231" s="2"/>
      <c r="C231" s="3"/>
      <c r="D231" s="3"/>
      <c r="E231" s="3"/>
      <c r="F231" s="4"/>
    </row>
    <row r="232" spans="2:6" ht="12" customHeight="1" x14ac:dyDescent="0.15">
      <c r="B232" s="2"/>
      <c r="C232" s="3"/>
      <c r="D232" s="3"/>
      <c r="E232" s="3"/>
      <c r="F232" s="4"/>
    </row>
    <row r="233" spans="2:6" ht="12" customHeight="1" x14ac:dyDescent="0.15">
      <c r="B233" s="2"/>
      <c r="C233" s="3"/>
      <c r="D233" s="3"/>
      <c r="E233" s="3"/>
      <c r="F233" s="4"/>
    </row>
    <row r="234" spans="2:6" ht="12" customHeight="1" x14ac:dyDescent="0.15">
      <c r="B234" s="2"/>
      <c r="C234" s="3"/>
      <c r="D234" s="3"/>
      <c r="E234" s="3"/>
      <c r="F234" s="4"/>
    </row>
    <row r="235" spans="2:6" ht="12" customHeight="1" x14ac:dyDescent="0.15">
      <c r="B235" s="2"/>
      <c r="C235" s="3"/>
      <c r="D235" s="3"/>
      <c r="E235" s="3"/>
      <c r="F235" s="4"/>
    </row>
    <row r="236" spans="2:6" ht="12" customHeight="1" x14ac:dyDescent="0.15">
      <c r="B236" s="2"/>
      <c r="C236" s="3"/>
      <c r="D236" s="3"/>
      <c r="E236" s="3"/>
      <c r="F236" s="4"/>
    </row>
    <row r="237" spans="2:6" ht="12" customHeight="1" x14ac:dyDescent="0.15">
      <c r="B237" s="2"/>
      <c r="C237" s="3"/>
      <c r="D237" s="3"/>
      <c r="E237" s="3"/>
      <c r="F237" s="4"/>
    </row>
    <row r="238" spans="2:6" ht="12" customHeight="1" x14ac:dyDescent="0.15">
      <c r="B238" s="2"/>
      <c r="C238" s="3"/>
      <c r="D238" s="3"/>
      <c r="E238" s="3"/>
      <c r="F238" s="4"/>
    </row>
    <row r="239" spans="2:6" ht="12" customHeight="1" x14ac:dyDescent="0.15">
      <c r="B239" s="2"/>
      <c r="C239" s="3"/>
      <c r="D239" s="3"/>
      <c r="E239" s="3"/>
      <c r="F239" s="4"/>
    </row>
    <row r="240" spans="2:6" ht="12" customHeight="1" x14ac:dyDescent="0.15">
      <c r="B240" s="2"/>
      <c r="C240" s="3"/>
      <c r="D240" s="3"/>
      <c r="E240" s="3"/>
      <c r="F240" s="4"/>
    </row>
    <row r="241" spans="2:6" ht="12" customHeight="1" x14ac:dyDescent="0.15">
      <c r="B241" s="2"/>
      <c r="C241" s="3"/>
      <c r="D241" s="3"/>
      <c r="E241" s="3"/>
      <c r="F241" s="4"/>
    </row>
    <row r="242" spans="2:6" ht="12" customHeight="1" x14ac:dyDescent="0.15">
      <c r="B242" s="2"/>
      <c r="C242" s="3"/>
      <c r="D242" s="3"/>
      <c r="E242" s="3"/>
      <c r="F242" s="4"/>
    </row>
    <row r="243" spans="2:6" ht="12" customHeight="1" x14ac:dyDescent="0.15">
      <c r="B243" s="2"/>
      <c r="C243" s="3"/>
      <c r="D243" s="3"/>
      <c r="E243" s="3"/>
      <c r="F243" s="4"/>
    </row>
    <row r="244" spans="2:6" ht="12" customHeight="1" x14ac:dyDescent="0.15">
      <c r="B244" s="2"/>
      <c r="C244" s="3"/>
      <c r="D244" s="3"/>
      <c r="E244" s="3"/>
      <c r="F244" s="4"/>
    </row>
    <row r="245" spans="2:6" ht="12" customHeight="1" x14ac:dyDescent="0.15">
      <c r="B245" s="2"/>
      <c r="C245" s="3"/>
      <c r="D245" s="3"/>
      <c r="E245" s="3"/>
      <c r="F245" s="4"/>
    </row>
    <row r="246" spans="2:6" ht="12" customHeight="1" x14ac:dyDescent="0.15">
      <c r="B246" s="2"/>
      <c r="C246" s="3"/>
      <c r="D246" s="3"/>
      <c r="E246" s="3"/>
      <c r="F246" s="4"/>
    </row>
    <row r="247" spans="2:6" ht="12" customHeight="1" x14ac:dyDescent="0.15">
      <c r="B247" s="2"/>
      <c r="C247" s="3"/>
      <c r="D247" s="3"/>
      <c r="E247" s="3"/>
      <c r="F247" s="4"/>
    </row>
    <row r="248" spans="2:6" ht="12" customHeight="1" x14ac:dyDescent="0.15">
      <c r="B248" s="2"/>
      <c r="C248" s="3"/>
      <c r="D248" s="3"/>
      <c r="E248" s="3"/>
      <c r="F248" s="4"/>
    </row>
    <row r="249" spans="2:6" ht="12" customHeight="1" x14ac:dyDescent="0.15">
      <c r="B249" s="2"/>
      <c r="C249" s="3"/>
      <c r="D249" s="3"/>
      <c r="E249" s="3"/>
      <c r="F249" s="4"/>
    </row>
    <row r="250" spans="2:6" ht="12" customHeight="1" x14ac:dyDescent="0.15">
      <c r="B250" s="2"/>
      <c r="C250" s="3"/>
      <c r="D250" s="3"/>
      <c r="E250" s="3"/>
      <c r="F250" s="4"/>
    </row>
    <row r="251" spans="2:6" ht="12" customHeight="1" x14ac:dyDescent="0.15">
      <c r="B251" s="2"/>
      <c r="C251" s="3"/>
      <c r="D251" s="3"/>
      <c r="E251" s="3"/>
      <c r="F251" s="4"/>
    </row>
    <row r="252" spans="2:6" ht="12" customHeight="1" x14ac:dyDescent="0.15">
      <c r="B252" s="2"/>
      <c r="C252" s="3"/>
      <c r="D252" s="3"/>
      <c r="E252" s="3"/>
      <c r="F252" s="4"/>
    </row>
    <row r="253" spans="2:6" ht="12" customHeight="1" x14ac:dyDescent="0.15">
      <c r="B253" s="2"/>
      <c r="C253" s="3"/>
      <c r="D253" s="3"/>
      <c r="E253" s="3"/>
      <c r="F253" s="4"/>
    </row>
    <row r="254" spans="2:6" ht="12" customHeight="1" x14ac:dyDescent="0.15">
      <c r="B254" s="2"/>
      <c r="C254" s="3"/>
      <c r="D254" s="3"/>
      <c r="E254" s="3"/>
      <c r="F254" s="4"/>
    </row>
    <row r="255" spans="2:6" ht="12" customHeight="1" x14ac:dyDescent="0.15">
      <c r="B255" s="2"/>
      <c r="C255" s="3"/>
      <c r="D255" s="3"/>
      <c r="E255" s="3"/>
      <c r="F255" s="4"/>
    </row>
    <row r="256" spans="2:6" ht="12" customHeight="1" x14ac:dyDescent="0.15">
      <c r="B256" s="2"/>
      <c r="C256" s="3"/>
      <c r="D256" s="3"/>
      <c r="E256" s="3"/>
      <c r="F256" s="4"/>
    </row>
    <row r="257" spans="2:6" ht="12" customHeight="1" x14ac:dyDescent="0.15">
      <c r="B257" s="2"/>
      <c r="C257" s="3"/>
      <c r="D257" s="3"/>
      <c r="E257" s="3"/>
      <c r="F257" s="4"/>
    </row>
    <row r="258" spans="2:6" ht="12" customHeight="1" x14ac:dyDescent="0.15">
      <c r="B258" s="2"/>
      <c r="C258" s="3"/>
      <c r="D258" s="3"/>
      <c r="E258" s="3"/>
      <c r="F258" s="4"/>
    </row>
    <row r="259" spans="2:6" ht="12" customHeight="1" x14ac:dyDescent="0.15">
      <c r="B259" s="2"/>
      <c r="C259" s="3"/>
      <c r="D259" s="3"/>
      <c r="E259" s="3"/>
      <c r="F259" s="4"/>
    </row>
    <row r="260" spans="2:6" ht="12" customHeight="1" x14ac:dyDescent="0.15">
      <c r="B260" s="2"/>
      <c r="C260" s="3"/>
      <c r="D260" s="3"/>
      <c r="E260" s="3"/>
      <c r="F260" s="4"/>
    </row>
    <row r="261" spans="2:6" ht="12" customHeight="1" x14ac:dyDescent="0.15">
      <c r="B261" s="2"/>
      <c r="C261" s="3"/>
      <c r="D261" s="3"/>
      <c r="E261" s="3"/>
      <c r="F261" s="4"/>
    </row>
    <row r="262" spans="2:6" ht="12" customHeight="1" x14ac:dyDescent="0.15">
      <c r="B262" s="2"/>
      <c r="C262" s="3"/>
      <c r="D262" s="3"/>
      <c r="E262" s="3"/>
      <c r="F262" s="4"/>
    </row>
    <row r="263" spans="2:6" ht="12" customHeight="1" x14ac:dyDescent="0.15">
      <c r="B263" s="2"/>
      <c r="C263" s="3"/>
      <c r="D263" s="3"/>
      <c r="E263" s="3"/>
      <c r="F263" s="4"/>
    </row>
    <row r="264" spans="2:6" ht="12" customHeight="1" x14ac:dyDescent="0.15">
      <c r="B264" s="2"/>
      <c r="C264" s="3"/>
      <c r="D264" s="3"/>
      <c r="E264" s="3"/>
      <c r="F264" s="4"/>
    </row>
    <row r="265" spans="2:6" ht="12" customHeight="1" x14ac:dyDescent="0.15">
      <c r="B265" s="2"/>
      <c r="C265" s="3"/>
      <c r="D265" s="3"/>
      <c r="E265" s="3"/>
      <c r="F265" s="4"/>
    </row>
    <row r="266" spans="2:6" ht="12" customHeight="1" x14ac:dyDescent="0.15">
      <c r="B266" s="2"/>
      <c r="C266" s="3"/>
      <c r="D266" s="3"/>
      <c r="E266" s="3"/>
      <c r="F266" s="4"/>
    </row>
    <row r="267" spans="2:6" ht="12" customHeight="1" x14ac:dyDescent="0.15">
      <c r="B267" s="2"/>
      <c r="C267" s="3"/>
      <c r="D267" s="3"/>
      <c r="E267" s="3"/>
      <c r="F267" s="4"/>
    </row>
    <row r="268" spans="2:6" ht="12" customHeight="1" x14ac:dyDescent="0.15">
      <c r="B268" s="2"/>
      <c r="C268" s="3"/>
      <c r="D268" s="3"/>
      <c r="E268" s="3"/>
      <c r="F268" s="4"/>
    </row>
    <row r="269" spans="2:6" ht="12" customHeight="1" x14ac:dyDescent="0.15">
      <c r="B269" s="2"/>
      <c r="C269" s="3"/>
      <c r="D269" s="3"/>
      <c r="E269" s="3"/>
      <c r="F269" s="4"/>
    </row>
    <row r="270" spans="2:6" ht="12" customHeight="1" x14ac:dyDescent="0.15">
      <c r="B270" s="2"/>
      <c r="C270" s="3"/>
      <c r="D270" s="3"/>
      <c r="E270" s="3"/>
      <c r="F270" s="4"/>
    </row>
    <row r="271" spans="2:6" ht="12" customHeight="1" x14ac:dyDescent="0.15">
      <c r="B271" s="2"/>
      <c r="C271" s="3"/>
      <c r="D271" s="3"/>
      <c r="E271" s="3"/>
      <c r="F271" s="4"/>
    </row>
    <row r="272" spans="2:6" ht="12" customHeight="1" x14ac:dyDescent="0.15">
      <c r="B272" s="2"/>
      <c r="C272" s="3"/>
      <c r="D272" s="3"/>
      <c r="E272" s="3"/>
      <c r="F272" s="4"/>
    </row>
    <row r="273" spans="2:6" ht="12" customHeight="1" x14ac:dyDescent="0.15">
      <c r="B273" s="2"/>
      <c r="C273" s="3"/>
      <c r="D273" s="3"/>
      <c r="E273" s="3"/>
      <c r="F273" s="4"/>
    </row>
    <row r="274" spans="2:6" ht="12" customHeight="1" x14ac:dyDescent="0.15">
      <c r="B274" s="2"/>
      <c r="C274" s="3"/>
      <c r="D274" s="3"/>
      <c r="E274" s="3"/>
      <c r="F274" s="4"/>
    </row>
    <row r="275" spans="2:6" ht="12" customHeight="1" x14ac:dyDescent="0.15">
      <c r="B275" s="2"/>
      <c r="C275" s="3"/>
      <c r="D275" s="3"/>
      <c r="E275" s="3"/>
      <c r="F275" s="4"/>
    </row>
    <row r="276" spans="2:6" ht="12" customHeight="1" x14ac:dyDescent="0.15">
      <c r="B276" s="2"/>
      <c r="C276" s="3"/>
      <c r="D276" s="3"/>
      <c r="E276" s="3"/>
      <c r="F276" s="4"/>
    </row>
    <row r="277" spans="2:6" ht="12" customHeight="1" x14ac:dyDescent="0.15">
      <c r="B277" s="2"/>
      <c r="C277" s="3"/>
      <c r="D277" s="3"/>
      <c r="E277" s="3"/>
      <c r="F277" s="4"/>
    </row>
    <row r="278" spans="2:6" ht="12" customHeight="1" x14ac:dyDescent="0.15">
      <c r="B278" s="2"/>
      <c r="C278" s="3"/>
      <c r="D278" s="3"/>
      <c r="E278" s="3"/>
      <c r="F278" s="4"/>
    </row>
    <row r="279" spans="2:6" ht="12" customHeight="1" x14ac:dyDescent="0.15">
      <c r="B279" s="2"/>
      <c r="C279" s="3"/>
      <c r="D279" s="3"/>
      <c r="E279" s="3"/>
      <c r="F279" s="4"/>
    </row>
    <row r="280" spans="2:6" ht="12" customHeight="1" x14ac:dyDescent="0.15">
      <c r="B280" s="2"/>
      <c r="C280" s="3"/>
      <c r="D280" s="3"/>
      <c r="E280" s="3"/>
      <c r="F280" s="4"/>
    </row>
    <row r="281" spans="2:6" ht="12" customHeight="1" x14ac:dyDescent="0.15">
      <c r="B281" s="2"/>
      <c r="C281" s="3"/>
      <c r="D281" s="3"/>
      <c r="E281" s="3"/>
      <c r="F281" s="4"/>
    </row>
    <row r="282" spans="2:6" ht="12" customHeight="1" x14ac:dyDescent="0.15">
      <c r="B282" s="2"/>
      <c r="C282" s="3"/>
      <c r="D282" s="3"/>
      <c r="E282" s="3"/>
      <c r="F282" s="4"/>
    </row>
    <row r="283" spans="2:6" ht="12" customHeight="1" x14ac:dyDescent="0.15">
      <c r="B283" s="2"/>
      <c r="C283" s="3"/>
      <c r="D283" s="3"/>
      <c r="E283" s="3"/>
      <c r="F283" s="4"/>
    </row>
    <row r="284" spans="2:6" ht="12" customHeight="1" x14ac:dyDescent="0.15">
      <c r="B284" s="2"/>
      <c r="C284" s="3"/>
      <c r="D284" s="3"/>
      <c r="E284" s="3"/>
      <c r="F284" s="4"/>
    </row>
    <row r="285" spans="2:6" ht="12" customHeight="1" x14ac:dyDescent="0.15">
      <c r="B285" s="2"/>
      <c r="C285" s="3"/>
      <c r="D285" s="3"/>
      <c r="E285" s="3"/>
      <c r="F285" s="4"/>
    </row>
    <row r="286" spans="2:6" ht="12" customHeight="1" x14ac:dyDescent="0.15">
      <c r="B286" s="2"/>
      <c r="C286" s="3"/>
      <c r="D286" s="3"/>
      <c r="E286" s="3"/>
      <c r="F286" s="4"/>
    </row>
    <row r="287" spans="2:6" ht="12" customHeight="1" x14ac:dyDescent="0.15">
      <c r="B287" s="2"/>
      <c r="C287" s="3"/>
      <c r="D287" s="3"/>
      <c r="E287" s="3"/>
      <c r="F287" s="4"/>
    </row>
    <row r="288" spans="2:6" ht="12" customHeight="1" x14ac:dyDescent="0.15">
      <c r="B288" s="2"/>
      <c r="C288" s="3"/>
      <c r="D288" s="3"/>
      <c r="E288" s="3"/>
      <c r="F288" s="4"/>
    </row>
    <row r="289" spans="2:6" ht="12" customHeight="1" x14ac:dyDescent="0.15">
      <c r="B289" s="2"/>
      <c r="C289" s="3"/>
      <c r="D289" s="3"/>
      <c r="E289" s="3"/>
      <c r="F289" s="4"/>
    </row>
    <row r="290" spans="2:6" ht="12" customHeight="1" x14ac:dyDescent="0.15">
      <c r="B290" s="2"/>
      <c r="C290" s="3"/>
      <c r="D290" s="3"/>
      <c r="E290" s="3"/>
      <c r="F290" s="4"/>
    </row>
    <row r="291" spans="2:6" ht="12" customHeight="1" x14ac:dyDescent="0.15">
      <c r="B291" s="2"/>
      <c r="C291" s="3"/>
      <c r="D291" s="3"/>
      <c r="E291" s="3"/>
      <c r="F291" s="4"/>
    </row>
    <row r="292" spans="2:6" ht="12" customHeight="1" x14ac:dyDescent="0.15">
      <c r="B292" s="2"/>
      <c r="C292" s="3"/>
      <c r="D292" s="3"/>
      <c r="E292" s="3"/>
      <c r="F292" s="4"/>
    </row>
    <row r="293" spans="2:6" ht="12" customHeight="1" x14ac:dyDescent="0.15">
      <c r="B293" s="2"/>
      <c r="C293" s="3"/>
      <c r="D293" s="3"/>
      <c r="E293" s="3"/>
      <c r="F293" s="4"/>
    </row>
    <row r="294" spans="2:6" ht="12" customHeight="1" x14ac:dyDescent="0.15">
      <c r="B294" s="2"/>
      <c r="C294" s="3"/>
      <c r="D294" s="3"/>
      <c r="E294" s="3"/>
      <c r="F294" s="4"/>
    </row>
    <row r="295" spans="2:6" ht="12" customHeight="1" x14ac:dyDescent="0.15">
      <c r="B295" s="2"/>
      <c r="C295" s="3"/>
      <c r="D295" s="3"/>
      <c r="E295" s="3"/>
      <c r="F295" s="4"/>
    </row>
    <row r="296" spans="2:6" ht="12" customHeight="1" x14ac:dyDescent="0.15">
      <c r="B296" s="2"/>
      <c r="C296" s="3"/>
      <c r="D296" s="3"/>
      <c r="E296" s="3"/>
      <c r="F296" s="4"/>
    </row>
    <row r="297" spans="2:6" ht="12" customHeight="1" x14ac:dyDescent="0.15">
      <c r="B297" s="2"/>
      <c r="C297" s="3"/>
      <c r="D297" s="3"/>
      <c r="E297" s="3"/>
      <c r="F297" s="4"/>
    </row>
    <row r="298" spans="2:6" ht="12" customHeight="1" x14ac:dyDescent="0.15">
      <c r="B298" s="2"/>
      <c r="C298" s="3"/>
      <c r="D298" s="3"/>
      <c r="E298" s="3"/>
      <c r="F298" s="4"/>
    </row>
    <row r="299" spans="2:6" ht="12" customHeight="1" x14ac:dyDescent="0.15">
      <c r="B299" s="2"/>
      <c r="C299" s="3"/>
      <c r="D299" s="3"/>
      <c r="E299" s="3"/>
      <c r="F299" s="4"/>
    </row>
    <row r="300" spans="2:6" ht="12" customHeight="1" x14ac:dyDescent="0.15">
      <c r="B300" s="2"/>
      <c r="C300" s="3"/>
      <c r="D300" s="3"/>
      <c r="E300" s="3"/>
      <c r="F300" s="4"/>
    </row>
    <row r="301" spans="2:6" ht="12" customHeight="1" x14ac:dyDescent="0.15">
      <c r="B301" s="2"/>
      <c r="C301" s="3"/>
      <c r="D301" s="3"/>
      <c r="E301" s="3"/>
      <c r="F301" s="4"/>
    </row>
    <row r="302" spans="2:6" ht="12" customHeight="1" x14ac:dyDescent="0.15">
      <c r="B302" s="2"/>
      <c r="C302" s="3"/>
      <c r="D302" s="3"/>
      <c r="E302" s="3"/>
      <c r="F302" s="4"/>
    </row>
    <row r="303" spans="2:6" ht="12" customHeight="1" x14ac:dyDescent="0.15">
      <c r="B303" s="2"/>
      <c r="C303" s="3"/>
      <c r="D303" s="3"/>
      <c r="E303" s="3"/>
      <c r="F303" s="4"/>
    </row>
    <row r="304" spans="2:6" ht="12" customHeight="1" x14ac:dyDescent="0.15">
      <c r="B304" s="2"/>
      <c r="C304" s="3"/>
      <c r="D304" s="3"/>
      <c r="E304" s="3"/>
      <c r="F304" s="4"/>
    </row>
    <row r="305" spans="2:6" ht="12" customHeight="1" x14ac:dyDescent="0.15">
      <c r="B305" s="2"/>
      <c r="C305" s="3"/>
      <c r="D305" s="3"/>
      <c r="E305" s="3"/>
      <c r="F305" s="4"/>
    </row>
    <row r="306" spans="2:6" ht="12" customHeight="1" x14ac:dyDescent="0.15">
      <c r="B306" s="2"/>
      <c r="C306" s="3"/>
      <c r="D306" s="3"/>
      <c r="E306" s="3"/>
      <c r="F306" s="4"/>
    </row>
    <row r="307" spans="2:6" ht="12" customHeight="1" x14ac:dyDescent="0.15">
      <c r="B307" s="2"/>
      <c r="C307" s="3"/>
      <c r="D307" s="3"/>
      <c r="E307" s="3"/>
      <c r="F307" s="4"/>
    </row>
    <row r="308" spans="2:6" ht="12" customHeight="1" x14ac:dyDescent="0.15">
      <c r="B308" s="2"/>
      <c r="C308" s="3"/>
      <c r="D308" s="3"/>
      <c r="E308" s="3"/>
      <c r="F308" s="4"/>
    </row>
    <row r="309" spans="2:6" ht="12" customHeight="1" x14ac:dyDescent="0.15">
      <c r="B309" s="2"/>
      <c r="C309" s="3"/>
      <c r="D309" s="3"/>
      <c r="E309" s="3"/>
      <c r="F309" s="4"/>
    </row>
    <row r="310" spans="2:6" ht="12" customHeight="1" x14ac:dyDescent="0.15">
      <c r="B310" s="2"/>
      <c r="C310" s="3"/>
      <c r="D310" s="3"/>
      <c r="E310" s="3"/>
      <c r="F310" s="4"/>
    </row>
    <row r="311" spans="2:6" ht="12" customHeight="1" x14ac:dyDescent="0.15">
      <c r="B311" s="2"/>
      <c r="C311" s="3"/>
      <c r="D311" s="3"/>
      <c r="E311" s="3"/>
      <c r="F311" s="4"/>
    </row>
    <row r="312" spans="2:6" ht="12" customHeight="1" x14ac:dyDescent="0.15">
      <c r="B312" s="2"/>
      <c r="C312" s="3"/>
      <c r="D312" s="3"/>
      <c r="E312" s="3"/>
      <c r="F312" s="4"/>
    </row>
    <row r="313" spans="2:6" ht="12" customHeight="1" x14ac:dyDescent="0.15">
      <c r="B313" s="2"/>
      <c r="C313" s="3"/>
      <c r="D313" s="3"/>
      <c r="E313" s="3"/>
      <c r="F313" s="4"/>
    </row>
    <row r="314" spans="2:6" ht="12" customHeight="1" x14ac:dyDescent="0.15">
      <c r="B314" s="2"/>
      <c r="C314" s="3"/>
      <c r="D314" s="3"/>
      <c r="E314" s="3"/>
      <c r="F314" s="4"/>
    </row>
    <row r="315" spans="2:6" ht="12" customHeight="1" x14ac:dyDescent="0.15">
      <c r="B315" s="2"/>
      <c r="C315" s="3"/>
      <c r="D315" s="3"/>
      <c r="E315" s="3"/>
      <c r="F315" s="4"/>
    </row>
    <row r="316" spans="2:6" ht="12" customHeight="1" x14ac:dyDescent="0.15">
      <c r="B316" s="2"/>
      <c r="C316" s="3"/>
      <c r="D316" s="3"/>
      <c r="E316" s="3"/>
      <c r="F316" s="4"/>
    </row>
    <row r="317" spans="2:6" ht="12" customHeight="1" x14ac:dyDescent="0.15">
      <c r="B317" s="2"/>
      <c r="C317" s="3"/>
      <c r="D317" s="3"/>
      <c r="E317" s="3"/>
      <c r="F317" s="4"/>
    </row>
    <row r="318" spans="2:6" ht="12" customHeight="1" x14ac:dyDescent="0.15">
      <c r="B318" s="2"/>
      <c r="C318" s="3"/>
      <c r="D318" s="3"/>
      <c r="E318" s="3"/>
      <c r="F318" s="4"/>
    </row>
    <row r="319" spans="2:6" ht="12" customHeight="1" x14ac:dyDescent="0.15">
      <c r="B319" s="2"/>
      <c r="C319" s="3"/>
      <c r="D319" s="3"/>
      <c r="E319" s="3"/>
      <c r="F319" s="4"/>
    </row>
    <row r="320" spans="2:6" ht="12" customHeight="1" x14ac:dyDescent="0.15">
      <c r="B320" s="2"/>
      <c r="C320" s="3"/>
      <c r="D320" s="3"/>
      <c r="E320" s="3"/>
      <c r="F320" s="4"/>
    </row>
    <row r="321" spans="2:6" ht="12" customHeight="1" x14ac:dyDescent="0.15">
      <c r="B321" s="2"/>
      <c r="C321" s="3"/>
      <c r="D321" s="3"/>
      <c r="E321" s="3"/>
      <c r="F321" s="4"/>
    </row>
    <row r="322" spans="2:6" ht="12" customHeight="1" x14ac:dyDescent="0.15">
      <c r="B322" s="2"/>
      <c r="C322" s="3"/>
      <c r="D322" s="3"/>
      <c r="E322" s="3"/>
      <c r="F322" s="4"/>
    </row>
    <row r="323" spans="2:6" ht="12" customHeight="1" x14ac:dyDescent="0.15">
      <c r="B323" s="2"/>
      <c r="C323" s="3"/>
      <c r="D323" s="3"/>
      <c r="E323" s="3"/>
      <c r="F323" s="4"/>
    </row>
    <row r="324" spans="2:6" ht="12" customHeight="1" x14ac:dyDescent="0.15">
      <c r="B324" s="2"/>
      <c r="C324" s="3"/>
      <c r="D324" s="3"/>
      <c r="E324" s="3"/>
      <c r="F324" s="4"/>
    </row>
    <row r="325" spans="2:6" ht="12" customHeight="1" x14ac:dyDescent="0.15">
      <c r="B325" s="2"/>
      <c r="C325" s="3"/>
      <c r="D325" s="3"/>
      <c r="E325" s="3"/>
      <c r="F325" s="4"/>
    </row>
    <row r="326" spans="2:6" ht="12" customHeight="1" x14ac:dyDescent="0.15">
      <c r="B326" s="2"/>
      <c r="C326" s="3"/>
      <c r="D326" s="3"/>
      <c r="E326" s="3"/>
      <c r="F326" s="4"/>
    </row>
    <row r="327" spans="2:6" ht="12" customHeight="1" x14ac:dyDescent="0.15">
      <c r="B327" s="2"/>
      <c r="C327" s="3"/>
      <c r="D327" s="3"/>
      <c r="E327" s="3"/>
      <c r="F327" s="4"/>
    </row>
    <row r="328" spans="2:6" ht="12" customHeight="1" x14ac:dyDescent="0.15">
      <c r="B328" s="2"/>
      <c r="C328" s="3"/>
      <c r="D328" s="3"/>
      <c r="E328" s="3"/>
      <c r="F328" s="4"/>
    </row>
    <row r="329" spans="2:6" ht="12" customHeight="1" x14ac:dyDescent="0.15">
      <c r="B329" s="2"/>
      <c r="C329" s="3"/>
      <c r="D329" s="3"/>
      <c r="E329" s="3"/>
      <c r="F329" s="4"/>
    </row>
    <row r="330" spans="2:6" ht="12" customHeight="1" x14ac:dyDescent="0.15">
      <c r="B330" s="2"/>
      <c r="C330" s="3"/>
      <c r="D330" s="3"/>
      <c r="E330" s="3"/>
      <c r="F330" s="4"/>
    </row>
    <row r="331" spans="2:6" ht="12" customHeight="1" x14ac:dyDescent="0.15">
      <c r="B331" s="2"/>
      <c r="C331" s="3"/>
      <c r="D331" s="3"/>
      <c r="E331" s="3"/>
      <c r="F331" s="4"/>
    </row>
    <row r="332" spans="2:6" ht="12" customHeight="1" x14ac:dyDescent="0.15">
      <c r="B332" s="2"/>
      <c r="C332" s="3"/>
      <c r="D332" s="3"/>
      <c r="E332" s="3"/>
      <c r="F332" s="4"/>
    </row>
    <row r="333" spans="2:6" ht="12" customHeight="1" x14ac:dyDescent="0.15">
      <c r="B333" s="2"/>
      <c r="C333" s="3"/>
      <c r="D333" s="3"/>
      <c r="E333" s="3"/>
      <c r="F333" s="4"/>
    </row>
    <row r="334" spans="2:6" ht="12" customHeight="1" x14ac:dyDescent="0.15">
      <c r="B334" s="2"/>
      <c r="C334" s="3"/>
      <c r="D334" s="3"/>
      <c r="E334" s="3"/>
      <c r="F334" s="4"/>
    </row>
    <row r="335" spans="2:6" ht="12" customHeight="1" x14ac:dyDescent="0.15">
      <c r="B335" s="2"/>
      <c r="C335" s="3"/>
      <c r="D335" s="3"/>
      <c r="E335" s="3"/>
      <c r="F335" s="4"/>
    </row>
    <row r="336" spans="2:6" ht="12" customHeight="1" x14ac:dyDescent="0.15">
      <c r="B336" s="2"/>
      <c r="C336" s="3"/>
      <c r="D336" s="3"/>
      <c r="E336" s="3"/>
      <c r="F336" s="4"/>
    </row>
    <row r="337" spans="2:6" ht="12" customHeight="1" x14ac:dyDescent="0.15">
      <c r="B337" s="2"/>
      <c r="C337" s="3"/>
      <c r="D337" s="3"/>
      <c r="E337" s="3"/>
      <c r="F337" s="4"/>
    </row>
    <row r="338" spans="2:6" ht="12" customHeight="1" x14ac:dyDescent="0.15">
      <c r="B338" s="2"/>
      <c r="C338" s="3"/>
      <c r="D338" s="3"/>
      <c r="E338" s="3"/>
      <c r="F338" s="4"/>
    </row>
    <row r="339" spans="2:6" ht="12" customHeight="1" x14ac:dyDescent="0.15">
      <c r="B339" s="2"/>
      <c r="C339" s="3"/>
      <c r="D339" s="3"/>
      <c r="E339" s="3"/>
      <c r="F339" s="4"/>
    </row>
    <row r="340" spans="2:6" ht="12" customHeight="1" x14ac:dyDescent="0.15">
      <c r="B340" s="2"/>
      <c r="C340" s="3"/>
      <c r="D340" s="3"/>
      <c r="E340" s="3"/>
      <c r="F340" s="4"/>
    </row>
    <row r="341" spans="2:6" ht="12" customHeight="1" x14ac:dyDescent="0.15">
      <c r="B341" s="2"/>
      <c r="C341" s="3"/>
      <c r="D341" s="3"/>
      <c r="E341" s="3"/>
      <c r="F341" s="4"/>
    </row>
    <row r="342" spans="2:6" ht="12" customHeight="1" x14ac:dyDescent="0.15">
      <c r="B342" s="2"/>
      <c r="C342" s="3"/>
      <c r="D342" s="3"/>
      <c r="E342" s="3"/>
      <c r="F342" s="4"/>
    </row>
    <row r="343" spans="2:6" ht="12" customHeight="1" x14ac:dyDescent="0.15">
      <c r="B343" s="2"/>
      <c r="C343" s="3"/>
      <c r="D343" s="3"/>
      <c r="E343" s="3"/>
      <c r="F343" s="4"/>
    </row>
    <row r="344" spans="2:6" ht="12" customHeight="1" x14ac:dyDescent="0.15">
      <c r="B344" s="2"/>
      <c r="C344" s="3"/>
      <c r="D344" s="3"/>
      <c r="E344" s="3"/>
      <c r="F344" s="4"/>
    </row>
    <row r="345" spans="2:6" ht="12" customHeight="1" x14ac:dyDescent="0.15">
      <c r="B345" s="2"/>
      <c r="C345" s="3"/>
      <c r="D345" s="3"/>
      <c r="E345" s="3"/>
      <c r="F345" s="4"/>
    </row>
    <row r="346" spans="2:6" ht="12" customHeight="1" x14ac:dyDescent="0.15">
      <c r="B346" s="2"/>
      <c r="C346" s="3"/>
      <c r="D346" s="3"/>
      <c r="E346" s="3"/>
      <c r="F346" s="4"/>
    </row>
    <row r="347" spans="2:6" ht="12" customHeight="1" x14ac:dyDescent="0.15">
      <c r="B347" s="2"/>
      <c r="C347" s="3"/>
      <c r="D347" s="3"/>
      <c r="E347" s="3"/>
      <c r="F347" s="4"/>
    </row>
    <row r="348" spans="2:6" ht="12" customHeight="1" x14ac:dyDescent="0.15">
      <c r="B348" s="2"/>
      <c r="C348" s="3"/>
      <c r="D348" s="3"/>
      <c r="E348" s="3"/>
      <c r="F348" s="4"/>
    </row>
    <row r="349" spans="2:6" ht="12" customHeight="1" x14ac:dyDescent="0.15">
      <c r="B349" s="2"/>
      <c r="C349" s="3"/>
      <c r="D349" s="3"/>
      <c r="E349" s="3"/>
      <c r="F349" s="4"/>
    </row>
    <row r="350" spans="2:6" ht="12" customHeight="1" x14ac:dyDescent="0.15">
      <c r="B350" s="2"/>
      <c r="C350" s="3"/>
      <c r="D350" s="3"/>
      <c r="E350" s="3"/>
      <c r="F350" s="4"/>
    </row>
    <row r="351" spans="2:6" ht="12" customHeight="1" x14ac:dyDescent="0.15">
      <c r="B351" s="2"/>
      <c r="C351" s="3"/>
      <c r="D351" s="3"/>
      <c r="E351" s="3"/>
      <c r="F351" s="4"/>
    </row>
    <row r="352" spans="2:6" ht="12" customHeight="1" x14ac:dyDescent="0.15">
      <c r="B352" s="2"/>
      <c r="C352" s="3"/>
      <c r="D352" s="3"/>
      <c r="E352" s="3"/>
      <c r="F352" s="4"/>
    </row>
    <row r="353" spans="2:6" ht="12" customHeight="1" x14ac:dyDescent="0.15">
      <c r="B353" s="2"/>
      <c r="C353" s="3"/>
      <c r="D353" s="3"/>
      <c r="E353" s="3"/>
      <c r="F353" s="4"/>
    </row>
    <row r="354" spans="2:6" ht="12" customHeight="1" x14ac:dyDescent="0.15">
      <c r="B354" s="2"/>
      <c r="C354" s="3"/>
      <c r="D354" s="3"/>
      <c r="E354" s="3"/>
      <c r="F354" s="4"/>
    </row>
    <row r="355" spans="2:6" ht="12" customHeight="1" x14ac:dyDescent="0.15">
      <c r="B355" s="2"/>
      <c r="C355" s="3"/>
      <c r="D355" s="3"/>
      <c r="E355" s="3"/>
      <c r="F355" s="4"/>
    </row>
    <row r="356" spans="2:6" ht="12" customHeight="1" x14ac:dyDescent="0.15">
      <c r="B356" s="2"/>
      <c r="C356" s="3"/>
      <c r="D356" s="3"/>
      <c r="E356" s="3"/>
      <c r="F356" s="4"/>
    </row>
    <row r="357" spans="2:6" ht="12" customHeight="1" x14ac:dyDescent="0.15">
      <c r="B357" s="2"/>
      <c r="C357" s="3"/>
      <c r="D357" s="3"/>
      <c r="E357" s="3"/>
      <c r="F357" s="4"/>
    </row>
    <row r="358" spans="2:6" ht="12" customHeight="1" x14ac:dyDescent="0.15">
      <c r="B358" s="2"/>
      <c r="C358" s="3"/>
      <c r="D358" s="3"/>
      <c r="E358" s="3"/>
      <c r="F358" s="4"/>
    </row>
    <row r="359" spans="2:6" ht="12" customHeight="1" x14ac:dyDescent="0.15">
      <c r="B359" s="2"/>
      <c r="C359" s="3"/>
      <c r="D359" s="3"/>
      <c r="E359" s="3"/>
      <c r="F359" s="4"/>
    </row>
    <row r="360" spans="2:6" ht="12" customHeight="1" x14ac:dyDescent="0.15">
      <c r="B360" s="2"/>
      <c r="C360" s="3"/>
      <c r="D360" s="3"/>
      <c r="E360" s="3"/>
      <c r="F360" s="4"/>
    </row>
    <row r="361" spans="2:6" ht="12" customHeight="1" x14ac:dyDescent="0.15">
      <c r="B361" s="2"/>
      <c r="C361" s="3"/>
      <c r="D361" s="3"/>
      <c r="E361" s="3"/>
      <c r="F361" s="4"/>
    </row>
    <row r="362" spans="2:6" ht="12" customHeight="1" x14ac:dyDescent="0.15">
      <c r="B362" s="2"/>
      <c r="C362" s="3"/>
      <c r="D362" s="3"/>
      <c r="E362" s="3"/>
      <c r="F362" s="4"/>
    </row>
    <row r="363" spans="2:6" ht="12" customHeight="1" x14ac:dyDescent="0.15">
      <c r="B363" s="2"/>
      <c r="C363" s="3"/>
      <c r="D363" s="3"/>
      <c r="E363" s="3"/>
      <c r="F363" s="4"/>
    </row>
    <row r="364" spans="2:6" ht="12" customHeight="1" x14ac:dyDescent="0.15">
      <c r="B364" s="2"/>
      <c r="C364" s="3"/>
      <c r="D364" s="3"/>
      <c r="E364" s="3"/>
      <c r="F364" s="4"/>
    </row>
    <row r="365" spans="2:6" ht="12" customHeight="1" x14ac:dyDescent="0.15">
      <c r="B365" s="2"/>
      <c r="C365" s="3"/>
      <c r="D365" s="3"/>
      <c r="E365" s="3"/>
      <c r="F365" s="4"/>
    </row>
    <row r="366" spans="2:6" ht="12" customHeight="1" x14ac:dyDescent="0.15">
      <c r="B366" s="2"/>
      <c r="C366" s="3"/>
      <c r="D366" s="3"/>
      <c r="E366" s="3"/>
      <c r="F366" s="4"/>
    </row>
    <row r="367" spans="2:6" ht="12" customHeight="1" x14ac:dyDescent="0.15">
      <c r="B367" s="2"/>
      <c r="C367" s="3"/>
      <c r="D367" s="3"/>
      <c r="E367" s="3"/>
      <c r="F367" s="4"/>
    </row>
    <row r="368" spans="2:6" ht="12" customHeight="1" x14ac:dyDescent="0.15">
      <c r="B368" s="2"/>
      <c r="C368" s="3"/>
      <c r="D368" s="3"/>
      <c r="E368" s="3"/>
      <c r="F368" s="4"/>
    </row>
    <row r="369" spans="2:6" ht="12" customHeight="1" x14ac:dyDescent="0.15">
      <c r="B369" s="2"/>
      <c r="C369" s="3"/>
      <c r="D369" s="3"/>
      <c r="E369" s="3"/>
      <c r="F369" s="4"/>
    </row>
    <row r="370" spans="2:6" ht="12" customHeight="1" x14ac:dyDescent="0.15">
      <c r="B370" s="2"/>
      <c r="C370" s="3"/>
      <c r="D370" s="3"/>
      <c r="E370" s="3"/>
      <c r="F370" s="4"/>
    </row>
    <row r="371" spans="2:6" ht="12" customHeight="1" x14ac:dyDescent="0.15">
      <c r="B371" s="2"/>
      <c r="C371" s="3"/>
      <c r="D371" s="3"/>
      <c r="E371" s="3"/>
      <c r="F371" s="4"/>
    </row>
    <row r="372" spans="2:6" ht="12" customHeight="1" x14ac:dyDescent="0.15">
      <c r="B372" s="2"/>
      <c r="C372" s="3"/>
      <c r="D372" s="3"/>
      <c r="E372" s="3"/>
      <c r="F372" s="4"/>
    </row>
    <row r="373" spans="2:6" ht="12" customHeight="1" x14ac:dyDescent="0.15">
      <c r="B373" s="2"/>
      <c r="C373" s="3"/>
      <c r="D373" s="3"/>
      <c r="E373" s="3"/>
      <c r="F373" s="4"/>
    </row>
    <row r="374" spans="2:6" ht="12" customHeight="1" x14ac:dyDescent="0.15">
      <c r="B374" s="2"/>
      <c r="C374" s="3"/>
      <c r="D374" s="3"/>
      <c r="E374" s="3"/>
      <c r="F374" s="4"/>
    </row>
    <row r="375" spans="2:6" ht="12" customHeight="1" x14ac:dyDescent="0.15">
      <c r="B375" s="2"/>
      <c r="C375" s="3"/>
      <c r="D375" s="3"/>
      <c r="E375" s="3"/>
      <c r="F375" s="4"/>
    </row>
    <row r="376" spans="2:6" ht="12" customHeight="1" x14ac:dyDescent="0.15">
      <c r="B376" s="2"/>
      <c r="C376" s="3"/>
      <c r="D376" s="3"/>
      <c r="E376" s="3"/>
      <c r="F376" s="4"/>
    </row>
    <row r="377" spans="2:6" ht="12" customHeight="1" x14ac:dyDescent="0.15">
      <c r="B377" s="2"/>
      <c r="C377" s="3"/>
      <c r="D377" s="3"/>
      <c r="E377" s="3"/>
      <c r="F377" s="4"/>
    </row>
    <row r="378" spans="2:6" ht="12" customHeight="1" x14ac:dyDescent="0.15">
      <c r="B378" s="2"/>
      <c r="C378" s="3"/>
      <c r="D378" s="3"/>
      <c r="E378" s="3"/>
      <c r="F378" s="4"/>
    </row>
    <row r="379" spans="2:6" ht="12" customHeight="1" x14ac:dyDescent="0.15">
      <c r="B379" s="2"/>
      <c r="C379" s="3"/>
      <c r="D379" s="3"/>
      <c r="E379" s="3"/>
      <c r="F379" s="4"/>
    </row>
    <row r="380" spans="2:6" ht="12" customHeight="1" x14ac:dyDescent="0.15">
      <c r="B380" s="2"/>
      <c r="C380" s="3"/>
      <c r="D380" s="3"/>
      <c r="E380" s="3"/>
      <c r="F380" s="4"/>
    </row>
    <row r="381" spans="2:6" ht="12" customHeight="1" x14ac:dyDescent="0.15">
      <c r="B381" s="2"/>
      <c r="C381" s="3"/>
      <c r="D381" s="3"/>
      <c r="E381" s="3"/>
      <c r="F381" s="4"/>
    </row>
    <row r="382" spans="2:6" ht="12" customHeight="1" x14ac:dyDescent="0.15">
      <c r="B382" s="2"/>
      <c r="C382" s="3"/>
      <c r="D382" s="3"/>
      <c r="E382" s="3"/>
      <c r="F382" s="4"/>
    </row>
    <row r="383" spans="2:6" ht="12" customHeight="1" x14ac:dyDescent="0.15">
      <c r="B383" s="2"/>
      <c r="C383" s="3"/>
      <c r="D383" s="3"/>
      <c r="E383" s="3"/>
      <c r="F383" s="4"/>
    </row>
    <row r="384" spans="2:6" ht="12" customHeight="1" x14ac:dyDescent="0.15">
      <c r="B384" s="2"/>
      <c r="C384" s="3"/>
      <c r="D384" s="3"/>
      <c r="E384" s="3"/>
      <c r="F384" s="4"/>
    </row>
    <row r="385" spans="2:6" ht="12" customHeight="1" x14ac:dyDescent="0.15">
      <c r="B385" s="2"/>
      <c r="C385" s="3"/>
      <c r="D385" s="3"/>
      <c r="E385" s="3"/>
      <c r="F385" s="4"/>
    </row>
    <row r="386" spans="2:6" ht="12" customHeight="1" x14ac:dyDescent="0.15">
      <c r="B386" s="2"/>
      <c r="C386" s="3"/>
      <c r="D386" s="3"/>
      <c r="E386" s="3"/>
      <c r="F386" s="4"/>
    </row>
    <row r="387" spans="2:6" ht="12" customHeight="1" x14ac:dyDescent="0.15">
      <c r="B387" s="2"/>
      <c r="C387" s="3"/>
      <c r="D387" s="3"/>
      <c r="E387" s="3"/>
      <c r="F387" s="4"/>
    </row>
    <row r="388" spans="2:6" ht="12" customHeight="1" x14ac:dyDescent="0.15">
      <c r="B388" s="2"/>
      <c r="C388" s="3"/>
      <c r="D388" s="3"/>
      <c r="E388" s="3"/>
      <c r="F388" s="4"/>
    </row>
    <row r="389" spans="2:6" ht="12" customHeight="1" x14ac:dyDescent="0.15">
      <c r="B389" s="2"/>
      <c r="C389" s="3"/>
      <c r="D389" s="3"/>
      <c r="E389" s="3"/>
      <c r="F389" s="4"/>
    </row>
    <row r="390" spans="2:6" ht="12" customHeight="1" x14ac:dyDescent="0.15">
      <c r="B390" s="2"/>
      <c r="C390" s="3"/>
      <c r="D390" s="3"/>
      <c r="E390" s="3"/>
      <c r="F390" s="4"/>
    </row>
    <row r="391" spans="2:6" ht="12" customHeight="1" x14ac:dyDescent="0.15">
      <c r="B391" s="2"/>
      <c r="C391" s="3"/>
      <c r="D391" s="3"/>
      <c r="E391" s="3"/>
      <c r="F391" s="4"/>
    </row>
    <row r="392" spans="2:6" ht="12" customHeight="1" x14ac:dyDescent="0.15">
      <c r="B392" s="2"/>
      <c r="C392" s="3"/>
      <c r="D392" s="3"/>
      <c r="E392" s="3"/>
      <c r="F392" s="4"/>
    </row>
    <row r="393" spans="2:6" ht="12" customHeight="1" x14ac:dyDescent="0.15">
      <c r="B393" s="2"/>
      <c r="C393" s="3"/>
      <c r="D393" s="3"/>
      <c r="E393" s="3"/>
      <c r="F393" s="4"/>
    </row>
    <row r="394" spans="2:6" ht="12" customHeight="1" x14ac:dyDescent="0.15">
      <c r="B394" s="2"/>
      <c r="C394" s="3"/>
      <c r="D394" s="3"/>
      <c r="E394" s="3"/>
      <c r="F394" s="4"/>
    </row>
    <row r="395" spans="2:6" ht="12" customHeight="1" x14ac:dyDescent="0.15">
      <c r="B395" s="2"/>
      <c r="C395" s="3"/>
      <c r="D395" s="3"/>
      <c r="E395" s="3"/>
      <c r="F395" s="4"/>
    </row>
    <row r="396" spans="2:6" ht="12" customHeight="1" x14ac:dyDescent="0.15">
      <c r="B396" s="2"/>
      <c r="C396" s="3"/>
      <c r="D396" s="3"/>
      <c r="E396" s="3"/>
      <c r="F396" s="4"/>
    </row>
    <row r="397" spans="2:6" ht="12" customHeight="1" x14ac:dyDescent="0.15">
      <c r="B397" s="2"/>
      <c r="C397" s="3"/>
      <c r="D397" s="3"/>
      <c r="E397" s="3"/>
      <c r="F397" s="4"/>
    </row>
    <row r="398" spans="2:6" ht="12" customHeight="1" x14ac:dyDescent="0.15">
      <c r="B398" s="2"/>
      <c r="C398" s="3"/>
      <c r="D398" s="3"/>
      <c r="E398" s="3"/>
      <c r="F398" s="4"/>
    </row>
    <row r="399" spans="2:6" ht="12" customHeight="1" x14ac:dyDescent="0.15">
      <c r="B399" s="2"/>
      <c r="C399" s="3"/>
      <c r="D399" s="3"/>
      <c r="E399" s="3"/>
      <c r="F399" s="4"/>
    </row>
    <row r="400" spans="2:6" ht="12" customHeight="1" x14ac:dyDescent="0.15">
      <c r="B400" s="2"/>
      <c r="C400" s="3"/>
      <c r="D400" s="3"/>
      <c r="E400" s="3"/>
      <c r="F400" s="4"/>
    </row>
    <row r="401" spans="2:6" ht="12" customHeight="1" x14ac:dyDescent="0.15">
      <c r="B401" s="2"/>
      <c r="C401" s="3"/>
      <c r="D401" s="3"/>
      <c r="E401" s="3"/>
      <c r="F401" s="4"/>
    </row>
    <row r="402" spans="2:6" ht="12" customHeight="1" x14ac:dyDescent="0.15">
      <c r="B402" s="2"/>
      <c r="C402" s="3"/>
      <c r="D402" s="3"/>
      <c r="E402" s="3"/>
      <c r="F402" s="4"/>
    </row>
    <row r="403" spans="2:6" ht="12" customHeight="1" x14ac:dyDescent="0.15">
      <c r="B403" s="2"/>
      <c r="C403" s="3"/>
      <c r="D403" s="3"/>
      <c r="E403" s="3"/>
      <c r="F403" s="4"/>
    </row>
    <row r="404" spans="2:6" ht="12" customHeight="1" x14ac:dyDescent="0.15">
      <c r="B404" s="2"/>
      <c r="C404" s="3"/>
      <c r="D404" s="3"/>
      <c r="E404" s="3"/>
      <c r="F404" s="4"/>
    </row>
    <row r="405" spans="2:6" ht="12" customHeight="1" x14ac:dyDescent="0.15">
      <c r="B405" s="2"/>
      <c r="C405" s="3"/>
      <c r="D405" s="3"/>
      <c r="E405" s="3"/>
      <c r="F405" s="4"/>
    </row>
    <row r="406" spans="2:6" ht="12" customHeight="1" x14ac:dyDescent="0.15">
      <c r="B406" s="2"/>
      <c r="C406" s="3"/>
      <c r="D406" s="3"/>
      <c r="E406" s="3"/>
      <c r="F406" s="4"/>
    </row>
    <row r="407" spans="2:6" ht="12" customHeight="1" x14ac:dyDescent="0.15">
      <c r="B407" s="2"/>
      <c r="C407" s="3"/>
      <c r="D407" s="3"/>
      <c r="E407" s="3"/>
      <c r="F407" s="4"/>
    </row>
    <row r="408" spans="2:6" ht="12" customHeight="1" x14ac:dyDescent="0.15">
      <c r="B408" s="2"/>
      <c r="C408" s="3"/>
      <c r="D408" s="3"/>
      <c r="E408" s="3"/>
      <c r="F408" s="4"/>
    </row>
    <row r="409" spans="2:6" ht="12" customHeight="1" x14ac:dyDescent="0.15">
      <c r="B409" s="2"/>
      <c r="C409" s="3"/>
      <c r="D409" s="3"/>
      <c r="E409" s="3"/>
      <c r="F409" s="4"/>
    </row>
    <row r="410" spans="2:6" ht="12" customHeight="1" x14ac:dyDescent="0.15">
      <c r="B410" s="2"/>
      <c r="C410" s="3"/>
      <c r="D410" s="3"/>
      <c r="E410" s="3"/>
      <c r="F410" s="4"/>
    </row>
    <row r="411" spans="2:6" ht="12" customHeight="1" x14ac:dyDescent="0.15">
      <c r="B411" s="2"/>
      <c r="C411" s="3"/>
      <c r="D411" s="3"/>
      <c r="E411" s="3"/>
      <c r="F411" s="4"/>
    </row>
    <row r="412" spans="2:6" ht="12" customHeight="1" x14ac:dyDescent="0.15">
      <c r="B412" s="2"/>
      <c r="C412" s="3"/>
      <c r="D412" s="3"/>
      <c r="E412" s="3"/>
      <c r="F412" s="4"/>
    </row>
    <row r="413" spans="2:6" ht="12" customHeight="1" x14ac:dyDescent="0.15">
      <c r="B413" s="2"/>
      <c r="C413" s="3"/>
      <c r="D413" s="3"/>
      <c r="E413" s="3"/>
      <c r="F413" s="4"/>
    </row>
    <row r="414" spans="2:6" ht="12" customHeight="1" x14ac:dyDescent="0.15">
      <c r="B414" s="2"/>
      <c r="C414" s="3"/>
      <c r="D414" s="3"/>
      <c r="E414" s="3"/>
      <c r="F414" s="4"/>
    </row>
    <row r="415" spans="2:6" ht="12" customHeight="1" x14ac:dyDescent="0.15">
      <c r="B415" s="2"/>
      <c r="C415" s="3"/>
      <c r="D415" s="3"/>
      <c r="E415" s="3"/>
      <c r="F415" s="4"/>
    </row>
    <row r="416" spans="2:6" ht="12" customHeight="1" x14ac:dyDescent="0.15">
      <c r="B416" s="2"/>
      <c r="C416" s="3"/>
      <c r="D416" s="3"/>
      <c r="E416" s="3"/>
      <c r="F416" s="4"/>
    </row>
    <row r="417" spans="2:6" ht="12" customHeight="1" x14ac:dyDescent="0.15">
      <c r="B417" s="2"/>
      <c r="C417" s="3"/>
      <c r="D417" s="3"/>
      <c r="E417" s="3"/>
      <c r="F417" s="4"/>
    </row>
    <row r="418" spans="2:6" ht="12" customHeight="1" x14ac:dyDescent="0.15">
      <c r="B418" s="2"/>
      <c r="C418" s="3"/>
      <c r="D418" s="3"/>
      <c r="E418" s="3"/>
      <c r="F418" s="4"/>
    </row>
    <row r="419" spans="2:6" ht="12" customHeight="1" x14ac:dyDescent="0.15">
      <c r="B419" s="2"/>
      <c r="C419" s="3"/>
      <c r="D419" s="3"/>
      <c r="E419" s="3"/>
      <c r="F419" s="4"/>
    </row>
    <row r="420" spans="2:6" ht="12" customHeight="1" x14ac:dyDescent="0.15">
      <c r="B420" s="2"/>
      <c r="C420" s="3"/>
      <c r="D420" s="3"/>
      <c r="E420" s="3"/>
      <c r="F420" s="4"/>
    </row>
    <row r="421" spans="2:6" ht="12" customHeight="1" x14ac:dyDescent="0.15">
      <c r="B421" s="2"/>
      <c r="C421" s="3"/>
      <c r="D421" s="3"/>
      <c r="E421" s="3"/>
      <c r="F421" s="4"/>
    </row>
    <row r="422" spans="2:6" ht="12" customHeight="1" x14ac:dyDescent="0.15">
      <c r="B422" s="2"/>
      <c r="C422" s="3"/>
      <c r="D422" s="3"/>
      <c r="E422" s="3"/>
      <c r="F422" s="4"/>
    </row>
    <row r="423" spans="2:6" ht="12" customHeight="1" x14ac:dyDescent="0.15">
      <c r="B423" s="2"/>
      <c r="C423" s="3"/>
      <c r="D423" s="3"/>
      <c r="E423" s="3"/>
      <c r="F423" s="4"/>
    </row>
    <row r="424" spans="2:6" ht="12" customHeight="1" x14ac:dyDescent="0.15">
      <c r="B424" s="2"/>
      <c r="C424" s="3"/>
      <c r="D424" s="3"/>
      <c r="E424" s="3"/>
      <c r="F424" s="4"/>
    </row>
    <row r="425" spans="2:6" ht="12" customHeight="1" x14ac:dyDescent="0.15">
      <c r="B425" s="2"/>
      <c r="C425" s="3"/>
      <c r="D425" s="3"/>
      <c r="E425" s="3"/>
      <c r="F425" s="4"/>
    </row>
    <row r="426" spans="2:6" ht="12" customHeight="1" x14ac:dyDescent="0.15">
      <c r="B426" s="2"/>
      <c r="C426" s="3"/>
      <c r="D426" s="3"/>
      <c r="E426" s="3"/>
      <c r="F426" s="4"/>
    </row>
    <row r="427" spans="2:6" ht="12" customHeight="1" x14ac:dyDescent="0.15">
      <c r="B427" s="2"/>
      <c r="C427" s="3"/>
      <c r="D427" s="3"/>
      <c r="E427" s="3"/>
      <c r="F427" s="4"/>
    </row>
    <row r="428" spans="2:6" ht="12" customHeight="1" x14ac:dyDescent="0.15">
      <c r="B428" s="2"/>
      <c r="C428" s="3"/>
      <c r="D428" s="3"/>
      <c r="E428" s="3"/>
      <c r="F428" s="4"/>
    </row>
    <row r="429" spans="2:6" ht="12" customHeight="1" x14ac:dyDescent="0.15">
      <c r="B429" s="2"/>
      <c r="C429" s="3"/>
      <c r="D429" s="3"/>
      <c r="E429" s="3"/>
      <c r="F429" s="4"/>
    </row>
    <row r="430" spans="2:6" ht="12" customHeight="1" x14ac:dyDescent="0.15">
      <c r="B430" s="2"/>
      <c r="C430" s="3"/>
      <c r="D430" s="3"/>
      <c r="E430" s="3"/>
      <c r="F430" s="4"/>
    </row>
    <row r="431" spans="2:6" ht="12" customHeight="1" x14ac:dyDescent="0.15">
      <c r="B431" s="2"/>
      <c r="C431" s="3"/>
      <c r="D431" s="3"/>
      <c r="E431" s="3"/>
      <c r="F431" s="4"/>
    </row>
    <row r="432" spans="2:6" ht="12" customHeight="1" x14ac:dyDescent="0.15">
      <c r="B432" s="2"/>
      <c r="C432" s="3"/>
      <c r="D432" s="3"/>
      <c r="E432" s="3"/>
      <c r="F432" s="4"/>
    </row>
    <row r="433" spans="2:6" ht="12" customHeight="1" x14ac:dyDescent="0.15">
      <c r="B433" s="2"/>
      <c r="C433" s="3"/>
      <c r="D433" s="3"/>
      <c r="E433" s="3"/>
      <c r="F433" s="4"/>
    </row>
    <row r="434" spans="2:6" ht="12" customHeight="1" x14ac:dyDescent="0.15">
      <c r="B434" s="2"/>
      <c r="C434" s="3"/>
      <c r="D434" s="3"/>
      <c r="E434" s="3"/>
      <c r="F434" s="4"/>
    </row>
    <row r="435" spans="2:6" ht="12" customHeight="1" x14ac:dyDescent="0.15">
      <c r="B435" s="2"/>
      <c r="C435" s="3"/>
      <c r="D435" s="3"/>
      <c r="E435" s="3"/>
      <c r="F435" s="4"/>
    </row>
    <row r="436" spans="2:6" ht="12" customHeight="1" x14ac:dyDescent="0.15">
      <c r="B436" s="2"/>
      <c r="C436" s="3"/>
      <c r="D436" s="3"/>
      <c r="E436" s="3"/>
      <c r="F436" s="4"/>
    </row>
    <row r="437" spans="2:6" ht="12" customHeight="1" x14ac:dyDescent="0.15">
      <c r="B437" s="2"/>
      <c r="C437" s="3"/>
      <c r="D437" s="3"/>
      <c r="E437" s="3"/>
      <c r="F437" s="4"/>
    </row>
    <row r="438" spans="2:6" ht="12" customHeight="1" x14ac:dyDescent="0.15">
      <c r="B438" s="2"/>
      <c r="C438" s="3"/>
      <c r="D438" s="3"/>
      <c r="E438" s="3"/>
      <c r="F438" s="4"/>
    </row>
    <row r="439" spans="2:6" ht="12" customHeight="1" x14ac:dyDescent="0.15">
      <c r="B439" s="2"/>
      <c r="C439" s="3"/>
      <c r="D439" s="3"/>
      <c r="E439" s="3"/>
      <c r="F439" s="4"/>
    </row>
    <row r="440" spans="2:6" ht="12" customHeight="1" x14ac:dyDescent="0.15">
      <c r="B440" s="2"/>
      <c r="C440" s="3"/>
      <c r="D440" s="3"/>
      <c r="E440" s="3"/>
      <c r="F440" s="4"/>
    </row>
    <row r="441" spans="2:6" ht="12" customHeight="1" x14ac:dyDescent="0.15">
      <c r="B441" s="2"/>
      <c r="C441" s="3"/>
      <c r="D441" s="3"/>
      <c r="E441" s="3"/>
      <c r="F441" s="4"/>
    </row>
    <row r="442" spans="2:6" ht="12" customHeight="1" x14ac:dyDescent="0.15">
      <c r="B442" s="2"/>
      <c r="C442" s="3"/>
      <c r="D442" s="3"/>
      <c r="E442" s="3"/>
      <c r="F442" s="4"/>
    </row>
    <row r="443" spans="2:6" ht="12" customHeight="1" x14ac:dyDescent="0.15">
      <c r="B443" s="2"/>
      <c r="C443" s="3"/>
      <c r="D443" s="3"/>
      <c r="E443" s="3"/>
      <c r="F443" s="4"/>
    </row>
    <row r="444" spans="2:6" ht="12" customHeight="1" x14ac:dyDescent="0.15">
      <c r="B444" s="2"/>
      <c r="C444" s="3"/>
      <c r="D444" s="3"/>
      <c r="E444" s="3"/>
      <c r="F444" s="4"/>
    </row>
    <row r="445" spans="2:6" ht="12" customHeight="1" x14ac:dyDescent="0.15">
      <c r="B445" s="2"/>
      <c r="C445" s="3"/>
      <c r="D445" s="3"/>
      <c r="E445" s="3"/>
      <c r="F445" s="4"/>
    </row>
    <row r="446" spans="2:6" ht="12" customHeight="1" x14ac:dyDescent="0.15">
      <c r="B446" s="2"/>
      <c r="C446" s="3"/>
      <c r="D446" s="3"/>
      <c r="E446" s="3"/>
      <c r="F446" s="4"/>
    </row>
    <row r="447" spans="2:6" ht="12" customHeight="1" x14ac:dyDescent="0.15">
      <c r="B447" s="2"/>
      <c r="C447" s="3"/>
      <c r="D447" s="3"/>
      <c r="E447" s="3"/>
      <c r="F447" s="4"/>
    </row>
    <row r="448" spans="2:6" ht="12" customHeight="1" x14ac:dyDescent="0.15">
      <c r="B448" s="2"/>
      <c r="C448" s="3"/>
      <c r="D448" s="3"/>
      <c r="E448" s="3"/>
      <c r="F448" s="4"/>
    </row>
    <row r="449" spans="2:6" ht="12" customHeight="1" x14ac:dyDescent="0.15">
      <c r="B449" s="2"/>
      <c r="C449" s="3"/>
      <c r="D449" s="3"/>
      <c r="E449" s="3"/>
      <c r="F449" s="4"/>
    </row>
    <row r="450" spans="2:6" ht="12" customHeight="1" x14ac:dyDescent="0.15">
      <c r="B450" s="2"/>
      <c r="C450" s="3"/>
      <c r="D450" s="3"/>
      <c r="E450" s="3"/>
      <c r="F450" s="4"/>
    </row>
    <row r="451" spans="2:6" ht="12" customHeight="1" x14ac:dyDescent="0.15">
      <c r="B451" s="2"/>
      <c r="C451" s="3"/>
      <c r="D451" s="3"/>
      <c r="E451" s="3"/>
      <c r="F451" s="4"/>
    </row>
    <row r="452" spans="2:6" ht="12" customHeight="1" x14ac:dyDescent="0.15">
      <c r="B452" s="2"/>
      <c r="C452" s="3"/>
      <c r="D452" s="3"/>
      <c r="E452" s="3"/>
      <c r="F452" s="4"/>
    </row>
    <row r="453" spans="2:6" ht="12" customHeight="1" x14ac:dyDescent="0.15">
      <c r="B453" s="2"/>
      <c r="C453" s="3"/>
      <c r="D453" s="3"/>
      <c r="E453" s="3"/>
      <c r="F453" s="4"/>
    </row>
    <row r="454" spans="2:6" ht="12" customHeight="1" x14ac:dyDescent="0.15">
      <c r="B454" s="2"/>
      <c r="C454" s="3"/>
      <c r="D454" s="3"/>
      <c r="E454" s="3"/>
      <c r="F454" s="4"/>
    </row>
    <row r="455" spans="2:6" ht="12" customHeight="1" x14ac:dyDescent="0.15">
      <c r="B455" s="2"/>
      <c r="C455" s="3"/>
      <c r="D455" s="3"/>
      <c r="E455" s="3"/>
      <c r="F455" s="4"/>
    </row>
    <row r="456" spans="2:6" ht="12" customHeight="1" x14ac:dyDescent="0.15">
      <c r="B456" s="2"/>
      <c r="C456" s="3"/>
      <c r="D456" s="3"/>
      <c r="E456" s="3"/>
      <c r="F456" s="4"/>
    </row>
    <row r="457" spans="2:6" ht="12" customHeight="1" x14ac:dyDescent="0.15">
      <c r="B457" s="2"/>
      <c r="C457" s="3"/>
      <c r="D457" s="3"/>
      <c r="E457" s="3"/>
      <c r="F457" s="4"/>
    </row>
    <row r="458" spans="2:6" ht="12" customHeight="1" x14ac:dyDescent="0.15">
      <c r="B458" s="2"/>
      <c r="C458" s="3"/>
      <c r="D458" s="3"/>
      <c r="E458" s="3"/>
      <c r="F458" s="4"/>
    </row>
    <row r="459" spans="2:6" ht="12" customHeight="1" x14ac:dyDescent="0.15">
      <c r="B459" s="2"/>
      <c r="C459" s="3"/>
      <c r="D459" s="3"/>
      <c r="E459" s="3"/>
      <c r="F459" s="4"/>
    </row>
    <row r="460" spans="2:6" ht="12" customHeight="1" x14ac:dyDescent="0.15">
      <c r="B460" s="2"/>
      <c r="C460" s="3"/>
      <c r="D460" s="3"/>
      <c r="E460" s="3"/>
      <c r="F460" s="4"/>
    </row>
    <row r="461" spans="2:6" ht="12" customHeight="1" x14ac:dyDescent="0.15">
      <c r="B461" s="2"/>
      <c r="C461" s="3"/>
      <c r="D461" s="3"/>
      <c r="E461" s="3"/>
      <c r="F461" s="4"/>
    </row>
    <row r="462" spans="2:6" ht="12" customHeight="1" x14ac:dyDescent="0.15">
      <c r="B462" s="2"/>
      <c r="C462" s="3"/>
      <c r="D462" s="3"/>
      <c r="E462" s="3"/>
      <c r="F462" s="4"/>
    </row>
    <row r="463" spans="2:6" ht="12" customHeight="1" x14ac:dyDescent="0.15">
      <c r="B463" s="2"/>
      <c r="C463" s="3"/>
      <c r="D463" s="3"/>
      <c r="E463" s="3"/>
      <c r="F463" s="4"/>
    </row>
    <row r="464" spans="2:6" ht="12" customHeight="1" x14ac:dyDescent="0.15">
      <c r="B464" s="2"/>
      <c r="C464" s="3"/>
      <c r="D464" s="3"/>
      <c r="E464" s="3"/>
      <c r="F464" s="4"/>
    </row>
    <row r="465" spans="2:6" ht="12" customHeight="1" x14ac:dyDescent="0.15">
      <c r="B465" s="2"/>
      <c r="C465" s="3"/>
      <c r="D465" s="3"/>
      <c r="E465" s="3"/>
      <c r="F465" s="4"/>
    </row>
    <row r="466" spans="2:6" ht="12" customHeight="1" x14ac:dyDescent="0.15">
      <c r="B466" s="2"/>
      <c r="C466" s="3"/>
      <c r="D466" s="3"/>
      <c r="E466" s="3"/>
      <c r="F466" s="4"/>
    </row>
    <row r="467" spans="2:6" ht="12" customHeight="1" x14ac:dyDescent="0.15">
      <c r="B467" s="2"/>
      <c r="C467" s="3"/>
      <c r="D467" s="3"/>
      <c r="E467" s="3"/>
      <c r="F467" s="4"/>
    </row>
    <row r="468" spans="2:6" ht="12" customHeight="1" x14ac:dyDescent="0.15">
      <c r="B468" s="2"/>
      <c r="C468" s="3"/>
      <c r="D468" s="3"/>
      <c r="E468" s="3"/>
      <c r="F468" s="4"/>
    </row>
    <row r="469" spans="2:6" ht="12" customHeight="1" x14ac:dyDescent="0.15">
      <c r="B469" s="2"/>
      <c r="C469" s="3"/>
      <c r="D469" s="3"/>
      <c r="E469" s="3"/>
      <c r="F469" s="4"/>
    </row>
    <row r="470" spans="2:6" ht="12" customHeight="1" x14ac:dyDescent="0.15">
      <c r="B470" s="2"/>
      <c r="C470" s="3"/>
      <c r="D470" s="3"/>
      <c r="E470" s="3"/>
      <c r="F470" s="4"/>
    </row>
    <row r="471" spans="2:6" ht="12" customHeight="1" x14ac:dyDescent="0.15">
      <c r="B471" s="2"/>
      <c r="C471" s="3"/>
      <c r="D471" s="3"/>
      <c r="E471" s="3"/>
      <c r="F471" s="4"/>
    </row>
    <row r="472" spans="2:6" ht="12" customHeight="1" x14ac:dyDescent="0.15">
      <c r="B472" s="2"/>
      <c r="C472" s="3"/>
      <c r="D472" s="3"/>
      <c r="E472" s="3"/>
      <c r="F472" s="4"/>
    </row>
    <row r="473" spans="2:6" ht="12" customHeight="1" x14ac:dyDescent="0.15">
      <c r="B473" s="2"/>
      <c r="C473" s="3"/>
      <c r="D473" s="3"/>
      <c r="E473" s="3"/>
      <c r="F473" s="4"/>
    </row>
    <row r="474" spans="2:6" ht="12" customHeight="1" x14ac:dyDescent="0.15">
      <c r="B474" s="2"/>
      <c r="C474" s="3"/>
      <c r="D474" s="3"/>
      <c r="E474" s="3"/>
      <c r="F474" s="4"/>
    </row>
    <row r="475" spans="2:6" ht="12" customHeight="1" x14ac:dyDescent="0.15">
      <c r="B475" s="2"/>
      <c r="C475" s="3"/>
      <c r="D475" s="3"/>
      <c r="E475" s="3"/>
      <c r="F475" s="4"/>
    </row>
    <row r="476" spans="2:6" ht="12" customHeight="1" x14ac:dyDescent="0.15">
      <c r="B476" s="2"/>
      <c r="C476" s="3"/>
      <c r="D476" s="3"/>
      <c r="E476" s="3"/>
      <c r="F476" s="4"/>
    </row>
    <row r="477" spans="2:6" ht="12" customHeight="1" x14ac:dyDescent="0.15">
      <c r="B477" s="2"/>
      <c r="C477" s="3"/>
      <c r="D477" s="3"/>
      <c r="E477" s="3"/>
      <c r="F477" s="4"/>
    </row>
    <row r="478" spans="2:6" ht="12" customHeight="1" x14ac:dyDescent="0.15">
      <c r="B478" s="2"/>
      <c r="C478" s="3"/>
      <c r="D478" s="3"/>
      <c r="E478" s="3"/>
      <c r="F478" s="4"/>
    </row>
    <row r="479" spans="2:6" ht="12" customHeight="1" x14ac:dyDescent="0.15">
      <c r="B479" s="2"/>
      <c r="C479" s="3"/>
      <c r="D479" s="3"/>
      <c r="E479" s="3"/>
      <c r="F479" s="4"/>
    </row>
    <row r="480" spans="2:6" ht="12" customHeight="1" x14ac:dyDescent="0.15">
      <c r="B480" s="2"/>
      <c r="C480" s="3"/>
      <c r="D480" s="3"/>
      <c r="E480" s="3"/>
      <c r="F480" s="4"/>
    </row>
    <row r="481" spans="2:6" ht="12" customHeight="1" x14ac:dyDescent="0.15">
      <c r="B481" s="2"/>
      <c r="C481" s="3"/>
      <c r="D481" s="3"/>
      <c r="E481" s="3"/>
      <c r="F481" s="4"/>
    </row>
    <row r="482" spans="2:6" ht="12" customHeight="1" x14ac:dyDescent="0.15">
      <c r="B482" s="2"/>
      <c r="C482" s="3"/>
      <c r="D482" s="3"/>
      <c r="E482" s="3"/>
      <c r="F482" s="4"/>
    </row>
    <row r="483" spans="2:6" ht="12" customHeight="1" x14ac:dyDescent="0.15">
      <c r="B483" s="2"/>
      <c r="C483" s="3"/>
      <c r="D483" s="3"/>
      <c r="E483" s="3"/>
      <c r="F483" s="4"/>
    </row>
    <row r="484" spans="2:6" ht="12" customHeight="1" x14ac:dyDescent="0.15">
      <c r="B484" s="2"/>
      <c r="C484" s="3"/>
      <c r="D484" s="3"/>
      <c r="E484" s="3"/>
      <c r="F484" s="4"/>
    </row>
    <row r="485" spans="2:6" ht="12" customHeight="1" x14ac:dyDescent="0.15">
      <c r="B485" s="2"/>
      <c r="C485" s="3"/>
      <c r="D485" s="3"/>
      <c r="E485" s="3"/>
      <c r="F485" s="4"/>
    </row>
    <row r="486" spans="2:6" ht="12" customHeight="1" x14ac:dyDescent="0.15">
      <c r="B486" s="2"/>
      <c r="C486" s="3"/>
      <c r="D486" s="3"/>
      <c r="E486" s="3"/>
      <c r="F486" s="4"/>
    </row>
    <row r="487" spans="2:6" ht="12" customHeight="1" x14ac:dyDescent="0.15">
      <c r="B487" s="2"/>
      <c r="C487" s="3"/>
      <c r="D487" s="3"/>
      <c r="E487" s="3"/>
      <c r="F487" s="4"/>
    </row>
    <row r="488" spans="2:6" ht="12" customHeight="1" x14ac:dyDescent="0.15">
      <c r="B488" s="2"/>
      <c r="C488" s="3"/>
      <c r="D488" s="3"/>
      <c r="E488" s="3"/>
      <c r="F488" s="4"/>
    </row>
    <row r="489" spans="2:6" ht="12" customHeight="1" x14ac:dyDescent="0.15">
      <c r="B489" s="2"/>
      <c r="C489" s="3"/>
      <c r="D489" s="3"/>
      <c r="E489" s="3"/>
      <c r="F489" s="4"/>
    </row>
    <row r="490" spans="2:6" ht="12" customHeight="1" x14ac:dyDescent="0.15">
      <c r="B490" s="2"/>
      <c r="C490" s="3"/>
      <c r="D490" s="3"/>
      <c r="E490" s="3"/>
      <c r="F490" s="4"/>
    </row>
    <row r="491" spans="2:6" ht="12" customHeight="1" x14ac:dyDescent="0.15">
      <c r="B491" s="2"/>
      <c r="C491" s="3"/>
      <c r="D491" s="3"/>
      <c r="E491" s="3"/>
      <c r="F491" s="4"/>
    </row>
    <row r="492" spans="2:6" ht="12" customHeight="1" x14ac:dyDescent="0.15">
      <c r="B492" s="2"/>
      <c r="C492" s="3"/>
      <c r="D492" s="3"/>
      <c r="E492" s="3"/>
      <c r="F492" s="4"/>
    </row>
    <row r="493" spans="2:6" ht="12" customHeight="1" x14ac:dyDescent="0.15">
      <c r="B493" s="2"/>
      <c r="C493" s="3"/>
      <c r="D493" s="3"/>
      <c r="E493" s="3"/>
      <c r="F493" s="4"/>
    </row>
    <row r="494" spans="2:6" ht="12" customHeight="1" x14ac:dyDescent="0.15">
      <c r="B494" s="2"/>
      <c r="C494" s="3"/>
      <c r="D494" s="3"/>
      <c r="E494" s="3"/>
      <c r="F494" s="4"/>
    </row>
    <row r="495" spans="2:6" ht="12" customHeight="1" x14ac:dyDescent="0.15">
      <c r="B495" s="2"/>
      <c r="C495" s="3"/>
      <c r="D495" s="3"/>
      <c r="E495" s="3"/>
      <c r="F495" s="4"/>
    </row>
    <row r="496" spans="2:6" ht="12" customHeight="1" x14ac:dyDescent="0.15">
      <c r="B496" s="2"/>
      <c r="C496" s="3"/>
      <c r="D496" s="3"/>
      <c r="E496" s="3"/>
      <c r="F496" s="4"/>
    </row>
    <row r="497" spans="2:6" ht="12" customHeight="1" x14ac:dyDescent="0.15">
      <c r="B497" s="2"/>
      <c r="C497" s="3"/>
      <c r="D497" s="3"/>
      <c r="E497" s="3"/>
      <c r="F497" s="4"/>
    </row>
    <row r="498" spans="2:6" ht="12" customHeight="1" x14ac:dyDescent="0.15">
      <c r="B498" s="2"/>
      <c r="C498" s="3"/>
      <c r="D498" s="3"/>
      <c r="E498" s="3"/>
      <c r="F498" s="4"/>
    </row>
    <row r="499" spans="2:6" ht="12" customHeight="1" x14ac:dyDescent="0.15">
      <c r="B499" s="2"/>
      <c r="C499" s="3"/>
      <c r="D499" s="3"/>
      <c r="E499" s="3"/>
      <c r="F499" s="4"/>
    </row>
    <row r="500" spans="2:6" ht="12" customHeight="1" x14ac:dyDescent="0.15">
      <c r="B500" s="2"/>
      <c r="C500" s="3"/>
      <c r="D500" s="3"/>
      <c r="E500" s="3"/>
      <c r="F500" s="4"/>
    </row>
    <row r="501" spans="2:6" ht="12" customHeight="1" x14ac:dyDescent="0.15">
      <c r="B501" s="2"/>
      <c r="C501" s="3"/>
      <c r="D501" s="3"/>
      <c r="E501" s="3"/>
      <c r="F501" s="4"/>
    </row>
    <row r="502" spans="2:6" ht="12" customHeight="1" x14ac:dyDescent="0.15">
      <c r="B502" s="2"/>
      <c r="C502" s="3"/>
      <c r="D502" s="3"/>
      <c r="E502" s="3"/>
      <c r="F502" s="4"/>
    </row>
    <row r="503" spans="2:6" ht="12" customHeight="1" x14ac:dyDescent="0.15">
      <c r="B503" s="2"/>
      <c r="C503" s="3"/>
      <c r="D503" s="3"/>
      <c r="E503" s="3"/>
      <c r="F503" s="4"/>
    </row>
    <row r="504" spans="2:6" ht="12" customHeight="1" x14ac:dyDescent="0.15">
      <c r="B504" s="2"/>
      <c r="C504" s="3"/>
      <c r="D504" s="3"/>
      <c r="E504" s="3"/>
      <c r="F504" s="4"/>
    </row>
    <row r="505" spans="2:6" ht="12" customHeight="1" x14ac:dyDescent="0.15">
      <c r="B505" s="2"/>
      <c r="C505" s="3"/>
      <c r="D505" s="3"/>
      <c r="E505" s="3"/>
      <c r="F505" s="4"/>
    </row>
    <row r="506" spans="2:6" ht="12" customHeight="1" x14ac:dyDescent="0.15">
      <c r="B506" s="2"/>
      <c r="C506" s="3"/>
      <c r="D506" s="3"/>
      <c r="E506" s="3"/>
      <c r="F506" s="4"/>
    </row>
    <row r="507" spans="2:6" ht="12" customHeight="1" x14ac:dyDescent="0.15">
      <c r="B507" s="2"/>
      <c r="C507" s="3"/>
      <c r="D507" s="3"/>
      <c r="E507" s="3"/>
      <c r="F507" s="4"/>
    </row>
    <row r="508" spans="2:6" ht="12" customHeight="1" x14ac:dyDescent="0.15">
      <c r="B508" s="2"/>
      <c r="C508" s="3"/>
      <c r="D508" s="3"/>
      <c r="E508" s="3"/>
      <c r="F508" s="4"/>
    </row>
    <row r="509" spans="2:6" ht="12" customHeight="1" x14ac:dyDescent="0.15">
      <c r="B509" s="2"/>
      <c r="C509" s="3"/>
      <c r="D509" s="3"/>
      <c r="E509" s="3"/>
      <c r="F509" s="4"/>
    </row>
    <row r="510" spans="2:6" ht="12" customHeight="1" x14ac:dyDescent="0.15">
      <c r="B510" s="2"/>
      <c r="C510" s="3"/>
      <c r="D510" s="3"/>
      <c r="E510" s="3"/>
      <c r="F510" s="4"/>
    </row>
    <row r="511" spans="2:6" ht="12" customHeight="1" x14ac:dyDescent="0.15">
      <c r="B511" s="2"/>
      <c r="C511" s="3"/>
      <c r="D511" s="3"/>
      <c r="E511" s="3"/>
      <c r="F511" s="4"/>
    </row>
    <row r="512" spans="2:6" ht="12" customHeight="1" x14ac:dyDescent="0.15">
      <c r="B512" s="2"/>
      <c r="C512" s="3"/>
      <c r="D512" s="3"/>
      <c r="E512" s="3"/>
      <c r="F512" s="4"/>
    </row>
    <row r="513" spans="2:6" ht="12" customHeight="1" x14ac:dyDescent="0.15">
      <c r="B513" s="2"/>
      <c r="C513" s="3"/>
      <c r="D513" s="3"/>
      <c r="E513" s="3"/>
      <c r="F513" s="4"/>
    </row>
    <row r="514" spans="2:6" ht="12" customHeight="1" x14ac:dyDescent="0.15">
      <c r="B514" s="2"/>
      <c r="C514" s="3"/>
      <c r="D514" s="3"/>
      <c r="E514" s="3"/>
      <c r="F514" s="4"/>
    </row>
    <row r="515" spans="2:6" ht="12" customHeight="1" x14ac:dyDescent="0.15">
      <c r="B515" s="2"/>
      <c r="C515" s="3"/>
      <c r="D515" s="3"/>
      <c r="E515" s="3"/>
      <c r="F515" s="4"/>
    </row>
    <row r="516" spans="2:6" ht="12" customHeight="1" x14ac:dyDescent="0.15">
      <c r="B516" s="2"/>
      <c r="C516" s="3"/>
      <c r="D516" s="3"/>
      <c r="E516" s="3"/>
      <c r="F516" s="4"/>
    </row>
    <row r="517" spans="2:6" ht="12" customHeight="1" x14ac:dyDescent="0.15">
      <c r="B517" s="2"/>
      <c r="C517" s="3"/>
      <c r="D517" s="3"/>
      <c r="E517" s="3"/>
      <c r="F517" s="4"/>
    </row>
    <row r="518" spans="2:6" ht="12" customHeight="1" x14ac:dyDescent="0.15">
      <c r="B518" s="2"/>
      <c r="C518" s="3"/>
      <c r="D518" s="3"/>
      <c r="E518" s="3"/>
      <c r="F518" s="4"/>
    </row>
    <row r="519" spans="2:6" ht="12" customHeight="1" x14ac:dyDescent="0.15">
      <c r="B519" s="2"/>
      <c r="C519" s="3"/>
      <c r="D519" s="3"/>
      <c r="E519" s="3"/>
      <c r="F519" s="4"/>
    </row>
    <row r="520" spans="2:6" ht="12" customHeight="1" x14ac:dyDescent="0.15">
      <c r="B520" s="2"/>
      <c r="C520" s="3"/>
      <c r="D520" s="3"/>
      <c r="E520" s="3"/>
      <c r="F520" s="4"/>
    </row>
    <row r="521" spans="2:6" ht="12" customHeight="1" x14ac:dyDescent="0.15">
      <c r="B521" s="2"/>
      <c r="C521" s="3"/>
      <c r="D521" s="3"/>
      <c r="E521" s="3"/>
      <c r="F521" s="4"/>
    </row>
    <row r="522" spans="2:6" ht="12" customHeight="1" x14ac:dyDescent="0.15">
      <c r="B522" s="2"/>
      <c r="C522" s="3"/>
      <c r="D522" s="3"/>
      <c r="E522" s="3"/>
      <c r="F522" s="4"/>
    </row>
    <row r="523" spans="2:6" ht="12" customHeight="1" x14ac:dyDescent="0.15">
      <c r="B523" s="2"/>
      <c r="C523" s="3"/>
      <c r="D523" s="3"/>
      <c r="E523" s="3"/>
      <c r="F523" s="4"/>
    </row>
    <row r="524" spans="2:6" ht="12" customHeight="1" x14ac:dyDescent="0.15">
      <c r="B524" s="2"/>
      <c r="C524" s="3"/>
      <c r="D524" s="3"/>
      <c r="E524" s="3"/>
      <c r="F524" s="4"/>
    </row>
    <row r="525" spans="2:6" ht="12" customHeight="1" x14ac:dyDescent="0.15">
      <c r="B525" s="2"/>
      <c r="C525" s="3"/>
      <c r="D525" s="3"/>
      <c r="E525" s="3"/>
      <c r="F525" s="4"/>
    </row>
    <row r="526" spans="2:6" ht="12" customHeight="1" x14ac:dyDescent="0.15">
      <c r="B526" s="2"/>
      <c r="C526" s="3"/>
      <c r="D526" s="3"/>
      <c r="E526" s="3"/>
      <c r="F526" s="4"/>
    </row>
    <row r="527" spans="2:6" ht="12" customHeight="1" x14ac:dyDescent="0.15">
      <c r="B527" s="2"/>
      <c r="C527" s="3"/>
      <c r="D527" s="3"/>
      <c r="E527" s="3"/>
      <c r="F527" s="4"/>
    </row>
    <row r="528" spans="2:6" ht="12" customHeight="1" x14ac:dyDescent="0.15">
      <c r="B528" s="2"/>
      <c r="C528" s="3"/>
      <c r="D528" s="3"/>
      <c r="E528" s="3"/>
      <c r="F528" s="4"/>
    </row>
    <row r="529" spans="2:6" ht="12" customHeight="1" x14ac:dyDescent="0.15">
      <c r="B529" s="2"/>
      <c r="C529" s="3"/>
      <c r="D529" s="3"/>
      <c r="E529" s="3"/>
      <c r="F529" s="4"/>
    </row>
    <row r="530" spans="2:6" ht="12" customHeight="1" x14ac:dyDescent="0.15">
      <c r="B530" s="2"/>
      <c r="C530" s="3"/>
      <c r="D530" s="3"/>
      <c r="E530" s="3"/>
      <c r="F530" s="4"/>
    </row>
    <row r="531" spans="2:6" ht="12" customHeight="1" x14ac:dyDescent="0.15">
      <c r="B531" s="2"/>
      <c r="C531" s="3"/>
      <c r="D531" s="3"/>
      <c r="E531" s="3"/>
      <c r="F531" s="4"/>
    </row>
    <row r="532" spans="2:6" ht="12" customHeight="1" x14ac:dyDescent="0.15">
      <c r="B532" s="2"/>
      <c r="C532" s="3"/>
      <c r="D532" s="3"/>
      <c r="E532" s="3"/>
      <c r="F532" s="4"/>
    </row>
    <row r="533" spans="2:6" ht="12" customHeight="1" x14ac:dyDescent="0.15">
      <c r="B533" s="2"/>
      <c r="C533" s="3"/>
      <c r="D533" s="3"/>
      <c r="E533" s="3"/>
      <c r="F533" s="4"/>
    </row>
    <row r="534" spans="2:6" ht="12" customHeight="1" x14ac:dyDescent="0.15">
      <c r="B534" s="2"/>
      <c r="C534" s="3"/>
      <c r="D534" s="3"/>
      <c r="E534" s="3"/>
      <c r="F534" s="4"/>
    </row>
    <row r="535" spans="2:6" ht="12" customHeight="1" x14ac:dyDescent="0.15">
      <c r="B535" s="2"/>
      <c r="C535" s="3"/>
      <c r="D535" s="3"/>
      <c r="E535" s="3"/>
      <c r="F535" s="4"/>
    </row>
    <row r="536" spans="2:6" ht="12" customHeight="1" x14ac:dyDescent="0.15">
      <c r="B536" s="2"/>
      <c r="C536" s="3"/>
      <c r="D536" s="3"/>
      <c r="E536" s="3"/>
      <c r="F536" s="4"/>
    </row>
    <row r="537" spans="2:6" ht="12" customHeight="1" x14ac:dyDescent="0.15">
      <c r="B537" s="2"/>
      <c r="C537" s="3"/>
      <c r="D537" s="3"/>
      <c r="E537" s="3"/>
      <c r="F537" s="4"/>
    </row>
    <row r="538" spans="2:6" ht="12" customHeight="1" x14ac:dyDescent="0.15">
      <c r="B538" s="2"/>
      <c r="C538" s="3"/>
      <c r="D538" s="3"/>
      <c r="E538" s="3"/>
      <c r="F538" s="4"/>
    </row>
    <row r="539" spans="2:6" ht="12" customHeight="1" x14ac:dyDescent="0.15">
      <c r="B539" s="2"/>
      <c r="C539" s="3"/>
      <c r="D539" s="3"/>
      <c r="E539" s="3"/>
      <c r="F539" s="4"/>
    </row>
    <row r="540" spans="2:6" ht="12" customHeight="1" x14ac:dyDescent="0.15">
      <c r="B540" s="2"/>
      <c r="C540" s="3"/>
      <c r="D540" s="3"/>
      <c r="E540" s="3"/>
      <c r="F540" s="4"/>
    </row>
    <row r="541" spans="2:6" ht="12" customHeight="1" x14ac:dyDescent="0.15">
      <c r="B541" s="2"/>
      <c r="C541" s="3"/>
      <c r="D541" s="3"/>
      <c r="E541" s="3"/>
      <c r="F541" s="4"/>
    </row>
    <row r="542" spans="2:6" ht="12" customHeight="1" x14ac:dyDescent="0.15">
      <c r="B542" s="2"/>
      <c r="C542" s="3"/>
      <c r="D542" s="3"/>
      <c r="E542" s="3"/>
      <c r="F542" s="4"/>
    </row>
    <row r="543" spans="2:6" ht="12" customHeight="1" x14ac:dyDescent="0.15">
      <c r="B543" s="2"/>
      <c r="C543" s="3"/>
      <c r="D543" s="3"/>
      <c r="E543" s="3"/>
      <c r="F543" s="4"/>
    </row>
    <row r="544" spans="2:6" ht="12" customHeight="1" x14ac:dyDescent="0.15">
      <c r="B544" s="2"/>
      <c r="C544" s="3"/>
      <c r="D544" s="3"/>
      <c r="E544" s="3"/>
      <c r="F544" s="4"/>
    </row>
    <row r="545" spans="2:6" ht="12" customHeight="1" x14ac:dyDescent="0.15">
      <c r="B545" s="2"/>
      <c r="C545" s="3"/>
      <c r="D545" s="3"/>
      <c r="E545" s="3"/>
      <c r="F545" s="4"/>
    </row>
    <row r="546" spans="2:6" ht="12" customHeight="1" x14ac:dyDescent="0.15">
      <c r="B546" s="2"/>
      <c r="C546" s="3"/>
      <c r="D546" s="3"/>
      <c r="E546" s="3"/>
      <c r="F546" s="4"/>
    </row>
    <row r="547" spans="2:6" ht="12" customHeight="1" x14ac:dyDescent="0.15">
      <c r="B547" s="2"/>
      <c r="C547" s="3"/>
      <c r="D547" s="3"/>
      <c r="E547" s="3"/>
      <c r="F547" s="4"/>
    </row>
    <row r="548" spans="2:6" ht="12" customHeight="1" x14ac:dyDescent="0.15">
      <c r="B548" s="2"/>
      <c r="C548" s="3"/>
      <c r="D548" s="3"/>
      <c r="E548" s="3"/>
      <c r="F548" s="4"/>
    </row>
    <row r="549" spans="2:6" ht="12" customHeight="1" x14ac:dyDescent="0.15">
      <c r="B549" s="2"/>
      <c r="C549" s="3"/>
      <c r="D549" s="3"/>
      <c r="E549" s="3"/>
      <c r="F549" s="4"/>
    </row>
    <row r="550" spans="2:6" ht="12" customHeight="1" x14ac:dyDescent="0.15">
      <c r="B550" s="2"/>
      <c r="C550" s="3"/>
      <c r="D550" s="3"/>
      <c r="E550" s="3"/>
      <c r="F550" s="4"/>
    </row>
    <row r="551" spans="2:6" ht="12" customHeight="1" x14ac:dyDescent="0.15">
      <c r="B551" s="2"/>
      <c r="C551" s="3"/>
      <c r="D551" s="3"/>
      <c r="E551" s="3"/>
      <c r="F551" s="4"/>
    </row>
    <row r="552" spans="2:6" ht="12" customHeight="1" x14ac:dyDescent="0.15">
      <c r="B552" s="2"/>
      <c r="C552" s="3"/>
      <c r="D552" s="3"/>
      <c r="E552" s="3"/>
      <c r="F552" s="4"/>
    </row>
    <row r="553" spans="2:6" ht="12" customHeight="1" x14ac:dyDescent="0.15">
      <c r="B553" s="2"/>
      <c r="C553" s="3"/>
      <c r="D553" s="3"/>
      <c r="E553" s="3"/>
      <c r="F553" s="4"/>
    </row>
    <row r="554" spans="2:6" ht="12" customHeight="1" x14ac:dyDescent="0.15">
      <c r="B554" s="2"/>
      <c r="C554" s="3"/>
      <c r="D554" s="3"/>
      <c r="E554" s="3"/>
      <c r="F554" s="4"/>
    </row>
    <row r="555" spans="2:6" ht="12" customHeight="1" x14ac:dyDescent="0.15">
      <c r="B555" s="2"/>
      <c r="C555" s="3"/>
      <c r="D555" s="3"/>
      <c r="E555" s="3"/>
      <c r="F555" s="4"/>
    </row>
    <row r="556" spans="2:6" ht="12" customHeight="1" x14ac:dyDescent="0.15">
      <c r="B556" s="2"/>
      <c r="C556" s="3"/>
      <c r="D556" s="3"/>
      <c r="E556" s="3"/>
      <c r="F556" s="4"/>
    </row>
    <row r="557" spans="2:6" ht="12" customHeight="1" x14ac:dyDescent="0.15">
      <c r="B557" s="2"/>
      <c r="C557" s="3"/>
      <c r="D557" s="3"/>
      <c r="E557" s="3"/>
      <c r="F557" s="4"/>
    </row>
    <row r="558" spans="2:6" ht="12" customHeight="1" x14ac:dyDescent="0.15">
      <c r="B558" s="2"/>
      <c r="C558" s="3"/>
      <c r="D558" s="3"/>
      <c r="E558" s="3"/>
      <c r="F558" s="4"/>
    </row>
    <row r="559" spans="2:6" ht="12" customHeight="1" x14ac:dyDescent="0.15">
      <c r="B559" s="2"/>
      <c r="C559" s="3"/>
      <c r="D559" s="3"/>
      <c r="E559" s="3"/>
      <c r="F559" s="4"/>
    </row>
    <row r="560" spans="2:6" ht="12" customHeight="1" x14ac:dyDescent="0.15">
      <c r="B560" s="2"/>
      <c r="C560" s="3"/>
      <c r="D560" s="3"/>
      <c r="E560" s="3"/>
      <c r="F560" s="4"/>
    </row>
    <row r="561" spans="2:6" ht="12" customHeight="1" x14ac:dyDescent="0.15">
      <c r="B561" s="2"/>
      <c r="C561" s="3"/>
      <c r="D561" s="3"/>
      <c r="E561" s="3"/>
      <c r="F561" s="4"/>
    </row>
    <row r="562" spans="2:6" ht="12" customHeight="1" x14ac:dyDescent="0.15">
      <c r="B562" s="2"/>
      <c r="C562" s="3"/>
      <c r="D562" s="3"/>
      <c r="E562" s="3"/>
      <c r="F562" s="4"/>
    </row>
    <row r="563" spans="2:6" ht="12" customHeight="1" x14ac:dyDescent="0.15">
      <c r="B563" s="2"/>
      <c r="C563" s="3"/>
      <c r="D563" s="3"/>
      <c r="E563" s="3"/>
      <c r="F563" s="4"/>
    </row>
    <row r="564" spans="2:6" ht="12" customHeight="1" x14ac:dyDescent="0.15">
      <c r="B564" s="2"/>
      <c r="C564" s="3"/>
      <c r="D564" s="3"/>
      <c r="E564" s="3"/>
      <c r="F564" s="4"/>
    </row>
    <row r="565" spans="2:6" ht="12" customHeight="1" x14ac:dyDescent="0.15">
      <c r="B565" s="2"/>
      <c r="C565" s="3"/>
      <c r="D565" s="3"/>
      <c r="E565" s="3"/>
      <c r="F565" s="4"/>
    </row>
    <row r="566" spans="2:6" ht="12" customHeight="1" x14ac:dyDescent="0.15">
      <c r="B566" s="2"/>
      <c r="C566" s="3"/>
      <c r="D566" s="3"/>
      <c r="E566" s="3"/>
      <c r="F566" s="4"/>
    </row>
    <row r="567" spans="2:6" ht="12" customHeight="1" x14ac:dyDescent="0.15">
      <c r="B567" s="2"/>
      <c r="C567" s="3"/>
      <c r="D567" s="3"/>
      <c r="E567" s="3"/>
      <c r="F567" s="4"/>
    </row>
    <row r="568" spans="2:6" ht="12" customHeight="1" x14ac:dyDescent="0.15">
      <c r="B568" s="2"/>
      <c r="C568" s="3"/>
      <c r="D568" s="3"/>
      <c r="E568" s="3"/>
      <c r="F568" s="4"/>
    </row>
    <row r="569" spans="2:6" ht="12" customHeight="1" x14ac:dyDescent="0.15">
      <c r="B569" s="2"/>
      <c r="C569" s="3"/>
      <c r="D569" s="3"/>
      <c r="E569" s="3"/>
      <c r="F569" s="4"/>
    </row>
    <row r="570" spans="2:6" ht="12" customHeight="1" x14ac:dyDescent="0.15">
      <c r="B570" s="2"/>
      <c r="C570" s="3"/>
      <c r="D570" s="3"/>
      <c r="E570" s="3"/>
      <c r="F570" s="4"/>
    </row>
    <row r="571" spans="2:6" ht="12" customHeight="1" x14ac:dyDescent="0.15">
      <c r="B571" s="2"/>
      <c r="C571" s="3"/>
      <c r="D571" s="3"/>
      <c r="E571" s="3"/>
      <c r="F571" s="4"/>
    </row>
    <row r="572" spans="2:6" ht="12" customHeight="1" x14ac:dyDescent="0.15">
      <c r="B572" s="2"/>
      <c r="C572" s="3"/>
      <c r="D572" s="3"/>
      <c r="E572" s="3"/>
      <c r="F572" s="4"/>
    </row>
    <row r="573" spans="2:6" ht="12" customHeight="1" x14ac:dyDescent="0.15">
      <c r="B573" s="2"/>
      <c r="C573" s="3"/>
      <c r="D573" s="3"/>
      <c r="E573" s="3"/>
      <c r="F573" s="4"/>
    </row>
    <row r="574" spans="2:6" ht="12" customHeight="1" x14ac:dyDescent="0.15">
      <c r="B574" s="2"/>
      <c r="C574" s="3"/>
      <c r="D574" s="3"/>
      <c r="E574" s="3"/>
      <c r="F574" s="4"/>
    </row>
    <row r="575" spans="2:6" ht="12" customHeight="1" x14ac:dyDescent="0.15">
      <c r="B575" s="2"/>
      <c r="C575" s="3"/>
      <c r="D575" s="3"/>
      <c r="E575" s="3"/>
      <c r="F575" s="4"/>
    </row>
    <row r="576" spans="2:6" ht="12" customHeight="1" x14ac:dyDescent="0.15">
      <c r="B576" s="2"/>
      <c r="C576" s="3"/>
      <c r="D576" s="3"/>
      <c r="E576" s="3"/>
      <c r="F576" s="4"/>
    </row>
    <row r="577" spans="2:6" ht="12" customHeight="1" x14ac:dyDescent="0.15">
      <c r="B577" s="2"/>
      <c r="C577" s="3"/>
      <c r="D577" s="3"/>
      <c r="E577" s="3"/>
      <c r="F577" s="4"/>
    </row>
    <row r="578" spans="2:6" ht="12" customHeight="1" x14ac:dyDescent="0.15">
      <c r="B578" s="2"/>
      <c r="C578" s="3"/>
      <c r="D578" s="3"/>
      <c r="E578" s="3"/>
      <c r="F578" s="4"/>
    </row>
    <row r="579" spans="2:6" ht="12" customHeight="1" x14ac:dyDescent="0.15">
      <c r="B579" s="2"/>
      <c r="C579" s="3"/>
      <c r="D579" s="3"/>
      <c r="E579" s="3"/>
      <c r="F579" s="4"/>
    </row>
    <row r="580" spans="2:6" ht="12" customHeight="1" x14ac:dyDescent="0.15">
      <c r="B580" s="2"/>
      <c r="C580" s="3"/>
      <c r="D580" s="3"/>
      <c r="E580" s="3"/>
      <c r="F580" s="4"/>
    </row>
    <row r="581" spans="2:6" ht="12" customHeight="1" x14ac:dyDescent="0.15">
      <c r="B581" s="2"/>
      <c r="C581" s="3"/>
      <c r="D581" s="3"/>
      <c r="E581" s="3"/>
      <c r="F581" s="4"/>
    </row>
    <row r="582" spans="2:6" ht="12" customHeight="1" x14ac:dyDescent="0.15">
      <c r="B582" s="2"/>
      <c r="C582" s="3"/>
      <c r="D582" s="3"/>
      <c r="E582" s="3"/>
      <c r="F582" s="4"/>
    </row>
    <row r="583" spans="2:6" ht="12" customHeight="1" x14ac:dyDescent="0.15">
      <c r="B583" s="2"/>
      <c r="C583" s="3"/>
      <c r="D583" s="3"/>
      <c r="E583" s="3"/>
      <c r="F583" s="4"/>
    </row>
    <row r="584" spans="2:6" ht="12" customHeight="1" x14ac:dyDescent="0.15">
      <c r="B584" s="2"/>
      <c r="C584" s="3"/>
      <c r="D584" s="3"/>
      <c r="E584" s="3"/>
      <c r="F584" s="4"/>
    </row>
    <row r="585" spans="2:6" ht="12" customHeight="1" x14ac:dyDescent="0.15">
      <c r="B585" s="2"/>
      <c r="C585" s="3"/>
      <c r="D585" s="3"/>
      <c r="E585" s="3"/>
      <c r="F585" s="4"/>
    </row>
    <row r="586" spans="2:6" ht="12" customHeight="1" x14ac:dyDescent="0.15">
      <c r="B586" s="2"/>
      <c r="C586" s="3"/>
      <c r="D586" s="3"/>
      <c r="E586" s="3"/>
      <c r="F586" s="4"/>
    </row>
    <row r="587" spans="2:6" ht="12" customHeight="1" x14ac:dyDescent="0.15">
      <c r="B587" s="2"/>
      <c r="C587" s="3"/>
      <c r="D587" s="3"/>
      <c r="E587" s="3"/>
      <c r="F587" s="4"/>
    </row>
    <row r="588" spans="2:6" ht="12" customHeight="1" x14ac:dyDescent="0.15">
      <c r="B588" s="2"/>
      <c r="C588" s="3"/>
      <c r="D588" s="3"/>
      <c r="E588" s="3"/>
      <c r="F588" s="4"/>
    </row>
    <row r="589" spans="2:6" ht="12" customHeight="1" x14ac:dyDescent="0.15">
      <c r="B589" s="2"/>
      <c r="C589" s="3"/>
      <c r="D589" s="3"/>
      <c r="E589" s="3"/>
      <c r="F589" s="4"/>
    </row>
    <row r="590" spans="2:6" ht="12" customHeight="1" x14ac:dyDescent="0.15">
      <c r="B590" s="2"/>
      <c r="C590" s="3"/>
      <c r="D590" s="3"/>
      <c r="E590" s="3"/>
      <c r="F590" s="4"/>
    </row>
    <row r="591" spans="2:6" ht="12" customHeight="1" x14ac:dyDescent="0.15">
      <c r="B591" s="2"/>
      <c r="C591" s="3"/>
      <c r="D591" s="3"/>
      <c r="E591" s="3"/>
      <c r="F591" s="4"/>
    </row>
    <row r="592" spans="2:6" ht="12" customHeight="1" x14ac:dyDescent="0.15">
      <c r="B592" s="2"/>
      <c r="C592" s="3"/>
      <c r="D592" s="3"/>
      <c r="E592" s="3"/>
      <c r="F592" s="4"/>
    </row>
    <row r="593" spans="2:6" ht="12" customHeight="1" x14ac:dyDescent="0.15">
      <c r="B593" s="2"/>
      <c r="C593" s="3"/>
      <c r="D593" s="3"/>
      <c r="E593" s="3"/>
      <c r="F593" s="4"/>
    </row>
    <row r="594" spans="2:6" ht="12" customHeight="1" x14ac:dyDescent="0.15">
      <c r="B594" s="2"/>
      <c r="C594" s="3"/>
      <c r="D594" s="3"/>
      <c r="E594" s="3"/>
      <c r="F594" s="4"/>
    </row>
    <row r="595" spans="2:6" ht="12" customHeight="1" x14ac:dyDescent="0.15">
      <c r="B595" s="2"/>
      <c r="C595" s="3"/>
      <c r="D595" s="3"/>
      <c r="E595" s="3"/>
      <c r="F595" s="4"/>
    </row>
    <row r="596" spans="2:6" ht="12" customHeight="1" x14ac:dyDescent="0.15">
      <c r="B596" s="2"/>
      <c r="C596" s="3"/>
      <c r="D596" s="3"/>
      <c r="E596" s="3"/>
      <c r="F596" s="4"/>
    </row>
    <row r="597" spans="2:6" ht="12" customHeight="1" x14ac:dyDescent="0.15">
      <c r="B597" s="2"/>
      <c r="C597" s="3"/>
      <c r="D597" s="3"/>
      <c r="E597" s="3"/>
      <c r="F597" s="4"/>
    </row>
    <row r="598" spans="2:6" ht="12" customHeight="1" x14ac:dyDescent="0.15">
      <c r="B598" s="2"/>
      <c r="C598" s="3"/>
      <c r="D598" s="3"/>
      <c r="E598" s="3"/>
      <c r="F598" s="4"/>
    </row>
    <row r="599" spans="2:6" ht="12" customHeight="1" x14ac:dyDescent="0.15">
      <c r="B599" s="2"/>
      <c r="C599" s="3"/>
      <c r="D599" s="3"/>
      <c r="E599" s="3"/>
      <c r="F599" s="4"/>
    </row>
    <row r="600" spans="2:6" ht="12" customHeight="1" x14ac:dyDescent="0.15">
      <c r="B600" s="2"/>
      <c r="C600" s="3"/>
      <c r="D600" s="3"/>
      <c r="E600" s="3"/>
      <c r="F600" s="4"/>
    </row>
    <row r="601" spans="2:6" ht="12" customHeight="1" x14ac:dyDescent="0.15">
      <c r="B601" s="2"/>
      <c r="C601" s="3"/>
      <c r="D601" s="3"/>
      <c r="E601" s="3"/>
      <c r="F601" s="4"/>
    </row>
    <row r="602" spans="2:6" ht="12" customHeight="1" x14ac:dyDescent="0.15">
      <c r="B602" s="2"/>
      <c r="C602" s="3"/>
      <c r="D602" s="3"/>
      <c r="E602" s="3"/>
      <c r="F602" s="4"/>
    </row>
    <row r="603" spans="2:6" ht="12" customHeight="1" x14ac:dyDescent="0.15">
      <c r="B603" s="2"/>
      <c r="C603" s="3"/>
      <c r="D603" s="3"/>
      <c r="E603" s="3"/>
      <c r="F603" s="4"/>
    </row>
    <row r="604" spans="2:6" ht="12" customHeight="1" x14ac:dyDescent="0.15">
      <c r="B604" s="2"/>
      <c r="C604" s="3"/>
      <c r="D604" s="3"/>
      <c r="E604" s="3"/>
      <c r="F604" s="4"/>
    </row>
    <row r="605" spans="2:6" ht="12" customHeight="1" x14ac:dyDescent="0.15">
      <c r="B605" s="2"/>
      <c r="C605" s="3"/>
      <c r="D605" s="3"/>
      <c r="E605" s="3"/>
      <c r="F605" s="4"/>
    </row>
    <row r="606" spans="2:6" ht="12" customHeight="1" x14ac:dyDescent="0.15">
      <c r="B606" s="2"/>
      <c r="C606" s="3"/>
      <c r="D606" s="3"/>
      <c r="E606" s="3"/>
      <c r="F606" s="4"/>
    </row>
    <row r="607" spans="2:6" ht="12" customHeight="1" x14ac:dyDescent="0.15">
      <c r="B607" s="2"/>
      <c r="C607" s="3"/>
      <c r="D607" s="3"/>
      <c r="E607" s="3"/>
      <c r="F607" s="4"/>
    </row>
    <row r="608" spans="2:6" ht="12" customHeight="1" x14ac:dyDescent="0.15">
      <c r="B608" s="2"/>
      <c r="C608" s="3"/>
      <c r="D608" s="3"/>
      <c r="E608" s="3"/>
      <c r="F608" s="4"/>
    </row>
    <row r="609" spans="2:6" ht="12" customHeight="1" x14ac:dyDescent="0.15">
      <c r="B609" s="2"/>
      <c r="C609" s="3"/>
      <c r="D609" s="3"/>
      <c r="E609" s="3"/>
      <c r="F609" s="4"/>
    </row>
    <row r="610" spans="2:6" ht="12" customHeight="1" x14ac:dyDescent="0.15">
      <c r="B610" s="2"/>
      <c r="C610" s="3"/>
      <c r="D610" s="3"/>
      <c r="E610" s="3"/>
      <c r="F610" s="4"/>
    </row>
    <row r="611" spans="2:6" ht="12" customHeight="1" x14ac:dyDescent="0.15">
      <c r="B611" s="2"/>
      <c r="C611" s="3"/>
      <c r="D611" s="3"/>
      <c r="E611" s="3"/>
      <c r="F611" s="4"/>
    </row>
    <row r="612" spans="2:6" ht="12" customHeight="1" x14ac:dyDescent="0.15">
      <c r="B612" s="2"/>
      <c r="C612" s="3"/>
      <c r="D612" s="3"/>
      <c r="E612" s="3"/>
      <c r="F612" s="4"/>
    </row>
    <row r="613" spans="2:6" ht="12" customHeight="1" x14ac:dyDescent="0.15">
      <c r="B613" s="2"/>
      <c r="C613" s="3"/>
      <c r="D613" s="3"/>
      <c r="E613" s="3"/>
      <c r="F613" s="4"/>
    </row>
    <row r="614" spans="2:6" ht="12" customHeight="1" x14ac:dyDescent="0.15">
      <c r="B614" s="2"/>
      <c r="C614" s="3"/>
      <c r="D614" s="3"/>
      <c r="E614" s="3"/>
      <c r="F614" s="4"/>
    </row>
    <row r="615" spans="2:6" ht="12" customHeight="1" x14ac:dyDescent="0.15">
      <c r="B615" s="2"/>
      <c r="C615" s="3"/>
      <c r="D615" s="3"/>
      <c r="E615" s="3"/>
      <c r="F615" s="4"/>
    </row>
    <row r="616" spans="2:6" ht="12" customHeight="1" x14ac:dyDescent="0.15">
      <c r="B616" s="2"/>
      <c r="C616" s="3"/>
      <c r="D616" s="3"/>
      <c r="E616" s="3"/>
      <c r="F616" s="4"/>
    </row>
    <row r="617" spans="2:6" ht="12" customHeight="1" x14ac:dyDescent="0.15">
      <c r="B617" s="2"/>
      <c r="C617" s="3"/>
      <c r="D617" s="3"/>
      <c r="E617" s="3"/>
      <c r="F617" s="4"/>
    </row>
    <row r="618" spans="2:6" ht="12" customHeight="1" x14ac:dyDescent="0.15">
      <c r="B618" s="2"/>
      <c r="C618" s="3"/>
      <c r="D618" s="3"/>
      <c r="E618" s="3"/>
      <c r="F618" s="4"/>
    </row>
    <row r="619" spans="2:6" ht="12" customHeight="1" x14ac:dyDescent="0.15">
      <c r="B619" s="2"/>
      <c r="C619" s="3"/>
      <c r="D619" s="3"/>
      <c r="E619" s="3"/>
      <c r="F619" s="4"/>
    </row>
    <row r="620" spans="2:6" ht="12" customHeight="1" x14ac:dyDescent="0.15">
      <c r="B620" s="2"/>
      <c r="C620" s="3"/>
      <c r="D620" s="3"/>
      <c r="E620" s="3"/>
      <c r="F620" s="4"/>
    </row>
    <row r="621" spans="2:6" ht="12" customHeight="1" x14ac:dyDescent="0.15">
      <c r="B621" s="2"/>
      <c r="C621" s="3"/>
      <c r="D621" s="3"/>
      <c r="E621" s="3"/>
      <c r="F621" s="4"/>
    </row>
    <row r="622" spans="2:6" ht="12" customHeight="1" x14ac:dyDescent="0.15">
      <c r="B622" s="2"/>
      <c r="C622" s="3"/>
      <c r="D622" s="3"/>
      <c r="E622" s="3"/>
      <c r="F622" s="4"/>
    </row>
    <row r="623" spans="2:6" ht="12" customHeight="1" x14ac:dyDescent="0.15">
      <c r="B623" s="2"/>
      <c r="C623" s="3"/>
      <c r="D623" s="3"/>
      <c r="E623" s="3"/>
      <c r="F623" s="4"/>
    </row>
    <row r="624" spans="2:6" ht="12" customHeight="1" x14ac:dyDescent="0.15">
      <c r="B624" s="2"/>
      <c r="C624" s="3"/>
      <c r="D624" s="3"/>
      <c r="E624" s="3"/>
      <c r="F624" s="4"/>
    </row>
    <row r="625" spans="2:6" ht="12" customHeight="1" x14ac:dyDescent="0.15">
      <c r="B625" s="2"/>
      <c r="C625" s="3"/>
      <c r="D625" s="3"/>
      <c r="E625" s="3"/>
      <c r="F625" s="4"/>
    </row>
    <row r="626" spans="2:6" ht="12" customHeight="1" x14ac:dyDescent="0.15">
      <c r="B626" s="2"/>
      <c r="C626" s="3"/>
      <c r="D626" s="3"/>
      <c r="E626" s="3"/>
      <c r="F626" s="4"/>
    </row>
    <row r="627" spans="2:6" ht="12" customHeight="1" x14ac:dyDescent="0.15">
      <c r="B627" s="2"/>
      <c r="C627" s="3"/>
      <c r="D627" s="3"/>
      <c r="E627" s="3"/>
      <c r="F627" s="4"/>
    </row>
    <row r="628" spans="2:6" ht="12" customHeight="1" x14ac:dyDescent="0.15">
      <c r="B628" s="2"/>
      <c r="C628" s="3"/>
      <c r="D628" s="3"/>
      <c r="E628" s="3"/>
      <c r="F628" s="4"/>
    </row>
    <row r="629" spans="2:6" ht="12" customHeight="1" x14ac:dyDescent="0.15">
      <c r="B629" s="2"/>
      <c r="C629" s="3"/>
      <c r="D629" s="3"/>
      <c r="E629" s="3"/>
      <c r="F629" s="4"/>
    </row>
    <row r="630" spans="2:6" ht="12" customHeight="1" x14ac:dyDescent="0.15">
      <c r="B630" s="2"/>
      <c r="C630" s="3"/>
      <c r="D630" s="3"/>
      <c r="E630" s="3"/>
      <c r="F630" s="4"/>
    </row>
    <row r="631" spans="2:6" ht="12" customHeight="1" x14ac:dyDescent="0.15">
      <c r="B631" s="2"/>
      <c r="C631" s="3"/>
      <c r="D631" s="3"/>
      <c r="E631" s="3"/>
      <c r="F631" s="4"/>
    </row>
    <row r="632" spans="2:6" ht="12" customHeight="1" x14ac:dyDescent="0.15">
      <c r="B632" s="2"/>
      <c r="C632" s="3"/>
      <c r="D632" s="3"/>
      <c r="E632" s="3"/>
      <c r="F632" s="4"/>
    </row>
    <row r="633" spans="2:6" ht="12" customHeight="1" x14ac:dyDescent="0.15">
      <c r="B633" s="2"/>
      <c r="C633" s="3"/>
      <c r="D633" s="3"/>
      <c r="E633" s="3"/>
      <c r="F633" s="4"/>
    </row>
    <row r="634" spans="2:6" ht="12" customHeight="1" x14ac:dyDescent="0.15">
      <c r="B634" s="2"/>
      <c r="C634" s="3"/>
      <c r="D634" s="3"/>
      <c r="E634" s="3"/>
      <c r="F634" s="4"/>
    </row>
    <row r="635" spans="2:6" ht="12" customHeight="1" x14ac:dyDescent="0.15">
      <c r="B635" s="2"/>
      <c r="C635" s="3"/>
      <c r="D635" s="3"/>
      <c r="E635" s="3"/>
      <c r="F635" s="4"/>
    </row>
    <row r="636" spans="2:6" ht="12" customHeight="1" x14ac:dyDescent="0.15">
      <c r="B636" s="2"/>
      <c r="C636" s="3"/>
      <c r="D636" s="3"/>
      <c r="E636" s="3"/>
      <c r="F636" s="4"/>
    </row>
    <row r="637" spans="2:6" ht="12" customHeight="1" x14ac:dyDescent="0.15">
      <c r="B637" s="2"/>
      <c r="C637" s="3"/>
      <c r="D637" s="3"/>
      <c r="E637" s="3"/>
      <c r="F637" s="4"/>
    </row>
    <row r="638" spans="2:6" ht="12" customHeight="1" x14ac:dyDescent="0.15">
      <c r="B638" s="2"/>
      <c r="C638" s="3"/>
      <c r="D638" s="3"/>
      <c r="E638" s="3"/>
      <c r="F638" s="4"/>
    </row>
    <row r="639" spans="2:6" ht="12" customHeight="1" x14ac:dyDescent="0.15">
      <c r="B639" s="2"/>
      <c r="C639" s="3"/>
      <c r="D639" s="3"/>
      <c r="E639" s="3"/>
      <c r="F639" s="4"/>
    </row>
    <row r="640" spans="2:6" ht="12" customHeight="1" x14ac:dyDescent="0.15">
      <c r="B640" s="2"/>
      <c r="C640" s="3"/>
      <c r="D640" s="3"/>
      <c r="E640" s="3"/>
      <c r="F640" s="4"/>
    </row>
    <row r="641" spans="2:6" ht="12" customHeight="1" x14ac:dyDescent="0.15">
      <c r="B641" s="2"/>
      <c r="C641" s="3"/>
      <c r="D641" s="3"/>
      <c r="E641" s="3"/>
      <c r="F641" s="4"/>
    </row>
    <row r="642" spans="2:6" ht="12" customHeight="1" x14ac:dyDescent="0.15">
      <c r="B642" s="2"/>
      <c r="C642" s="3"/>
      <c r="D642" s="3"/>
      <c r="E642" s="3"/>
      <c r="F642" s="4"/>
    </row>
    <row r="643" spans="2:6" ht="12" customHeight="1" x14ac:dyDescent="0.15">
      <c r="B643" s="2"/>
      <c r="C643" s="3"/>
      <c r="D643" s="3"/>
      <c r="E643" s="3"/>
      <c r="F643" s="4"/>
    </row>
    <row r="644" spans="2:6" ht="12" customHeight="1" x14ac:dyDescent="0.15">
      <c r="B644" s="2"/>
      <c r="C644" s="3"/>
      <c r="D644" s="3"/>
      <c r="E644" s="3"/>
      <c r="F644" s="4"/>
    </row>
    <row r="645" spans="2:6" ht="12" customHeight="1" x14ac:dyDescent="0.15">
      <c r="B645" s="2"/>
      <c r="C645" s="3"/>
      <c r="D645" s="3"/>
      <c r="E645" s="3"/>
      <c r="F645" s="4"/>
    </row>
    <row r="646" spans="2:6" ht="12" customHeight="1" x14ac:dyDescent="0.15">
      <c r="B646" s="2"/>
      <c r="C646" s="3"/>
      <c r="D646" s="3"/>
      <c r="E646" s="3"/>
      <c r="F646" s="4"/>
    </row>
    <row r="647" spans="2:6" ht="12" customHeight="1" x14ac:dyDescent="0.15">
      <c r="B647" s="2"/>
      <c r="C647" s="3"/>
      <c r="D647" s="3"/>
      <c r="E647" s="3"/>
      <c r="F647" s="4"/>
    </row>
    <row r="648" spans="2:6" ht="12" customHeight="1" x14ac:dyDescent="0.15">
      <c r="B648" s="2"/>
      <c r="C648" s="3"/>
      <c r="D648" s="3"/>
      <c r="E648" s="3"/>
      <c r="F648" s="4"/>
    </row>
    <row r="649" spans="2:6" ht="12" customHeight="1" x14ac:dyDescent="0.15">
      <c r="B649" s="2"/>
      <c r="C649" s="3"/>
      <c r="D649" s="3"/>
      <c r="E649" s="3"/>
      <c r="F649" s="4"/>
    </row>
    <row r="650" spans="2:6" ht="12" customHeight="1" x14ac:dyDescent="0.15">
      <c r="B650" s="2"/>
      <c r="C650" s="3"/>
      <c r="D650" s="3"/>
      <c r="E650" s="3"/>
      <c r="F650" s="4"/>
    </row>
    <row r="651" spans="2:6" ht="12" customHeight="1" x14ac:dyDescent="0.15">
      <c r="B651" s="2"/>
      <c r="C651" s="3"/>
      <c r="D651" s="3"/>
      <c r="E651" s="3"/>
      <c r="F651" s="4"/>
    </row>
    <row r="652" spans="2:6" ht="12" customHeight="1" x14ac:dyDescent="0.15">
      <c r="B652" s="2"/>
      <c r="C652" s="3"/>
      <c r="D652" s="3"/>
      <c r="E652" s="3"/>
      <c r="F652" s="4"/>
    </row>
    <row r="653" spans="2:6" ht="12" customHeight="1" x14ac:dyDescent="0.15">
      <c r="B653" s="2"/>
      <c r="C653" s="3"/>
      <c r="D653" s="3"/>
      <c r="E653" s="3"/>
      <c r="F653" s="4"/>
    </row>
    <row r="654" spans="2:6" ht="12" customHeight="1" x14ac:dyDescent="0.15">
      <c r="B654" s="2"/>
      <c r="C654" s="3"/>
      <c r="D654" s="3"/>
      <c r="E654" s="3"/>
      <c r="F654" s="4"/>
    </row>
    <row r="655" spans="2:6" ht="12" customHeight="1" x14ac:dyDescent="0.15">
      <c r="B655" s="2"/>
      <c r="C655" s="3"/>
      <c r="D655" s="3"/>
      <c r="E655" s="3"/>
      <c r="F655" s="4"/>
    </row>
    <row r="656" spans="2:6" ht="12" customHeight="1" x14ac:dyDescent="0.15">
      <c r="B656" s="2"/>
      <c r="C656" s="3"/>
      <c r="D656" s="3"/>
      <c r="E656" s="3"/>
      <c r="F656" s="4"/>
    </row>
    <row r="657" spans="2:6" ht="12" customHeight="1" x14ac:dyDescent="0.15">
      <c r="B657" s="2"/>
      <c r="C657" s="3"/>
      <c r="D657" s="3"/>
      <c r="E657" s="3"/>
      <c r="F657" s="4"/>
    </row>
    <row r="658" spans="2:6" ht="12" customHeight="1" x14ac:dyDescent="0.15">
      <c r="B658" s="2"/>
      <c r="C658" s="3"/>
      <c r="D658" s="3"/>
      <c r="E658" s="3"/>
      <c r="F658" s="4"/>
    </row>
    <row r="659" spans="2:6" ht="12" customHeight="1" x14ac:dyDescent="0.15">
      <c r="B659" s="2"/>
      <c r="C659" s="3"/>
      <c r="D659" s="3"/>
      <c r="E659" s="3"/>
      <c r="F659" s="4"/>
    </row>
    <row r="660" spans="2:6" ht="12" customHeight="1" x14ac:dyDescent="0.15">
      <c r="B660" s="2"/>
      <c r="C660" s="3"/>
      <c r="D660" s="3"/>
      <c r="E660" s="3"/>
      <c r="F660" s="4"/>
    </row>
    <row r="661" spans="2:6" ht="12" customHeight="1" x14ac:dyDescent="0.15">
      <c r="B661" s="2"/>
      <c r="C661" s="3"/>
      <c r="D661" s="3"/>
      <c r="E661" s="3"/>
      <c r="F661" s="4"/>
    </row>
    <row r="662" spans="2:6" ht="12" customHeight="1" x14ac:dyDescent="0.15">
      <c r="B662" s="2"/>
      <c r="C662" s="3"/>
      <c r="D662" s="3"/>
      <c r="E662" s="3"/>
      <c r="F662" s="4"/>
    </row>
    <row r="663" spans="2:6" ht="12" customHeight="1" x14ac:dyDescent="0.15">
      <c r="B663" s="2"/>
      <c r="C663" s="3"/>
      <c r="D663" s="3"/>
      <c r="E663" s="3"/>
      <c r="F663" s="4"/>
    </row>
    <row r="664" spans="2:6" ht="12" customHeight="1" x14ac:dyDescent="0.15">
      <c r="B664" s="2"/>
      <c r="C664" s="3"/>
      <c r="D664" s="3"/>
      <c r="E664" s="3"/>
      <c r="F664" s="4"/>
    </row>
    <row r="665" spans="2:6" ht="12" customHeight="1" x14ac:dyDescent="0.15">
      <c r="B665" s="2"/>
      <c r="C665" s="3"/>
      <c r="D665" s="3"/>
      <c r="E665" s="3"/>
      <c r="F665" s="4"/>
    </row>
    <row r="666" spans="2:6" ht="12" customHeight="1" x14ac:dyDescent="0.15">
      <c r="B666" s="2"/>
      <c r="C666" s="3"/>
      <c r="D666" s="3"/>
      <c r="E666" s="3"/>
      <c r="F666" s="4"/>
    </row>
    <row r="667" spans="2:6" ht="12" customHeight="1" x14ac:dyDescent="0.15">
      <c r="B667" s="2"/>
      <c r="C667" s="3"/>
      <c r="D667" s="3"/>
      <c r="E667" s="3"/>
      <c r="F667" s="4"/>
    </row>
    <row r="668" spans="2:6" ht="12" customHeight="1" x14ac:dyDescent="0.15">
      <c r="B668" s="2"/>
      <c r="C668" s="3"/>
      <c r="D668" s="3"/>
      <c r="E668" s="3"/>
      <c r="F668" s="4"/>
    </row>
    <row r="669" spans="2:6" ht="12" customHeight="1" x14ac:dyDescent="0.15">
      <c r="B669" s="2"/>
      <c r="C669" s="3"/>
      <c r="D669" s="3"/>
      <c r="E669" s="3"/>
      <c r="F669" s="4"/>
    </row>
    <row r="670" spans="2:6" ht="12" customHeight="1" x14ac:dyDescent="0.15">
      <c r="B670" s="2"/>
      <c r="C670" s="3"/>
      <c r="D670" s="3"/>
      <c r="E670" s="3"/>
      <c r="F670" s="4"/>
    </row>
    <row r="671" spans="2:6" ht="12" customHeight="1" x14ac:dyDescent="0.15">
      <c r="B671" s="2"/>
      <c r="C671" s="3"/>
      <c r="D671" s="3"/>
      <c r="E671" s="3"/>
      <c r="F671" s="4"/>
    </row>
    <row r="672" spans="2:6" ht="12" customHeight="1" x14ac:dyDescent="0.15">
      <c r="B672" s="2"/>
      <c r="C672" s="3"/>
      <c r="D672" s="3"/>
      <c r="E672" s="3"/>
      <c r="F672" s="4"/>
    </row>
    <row r="673" spans="2:6" ht="12" customHeight="1" x14ac:dyDescent="0.15">
      <c r="B673" s="2"/>
      <c r="C673" s="3"/>
      <c r="D673" s="3"/>
      <c r="E673" s="3"/>
      <c r="F673" s="4"/>
    </row>
    <row r="674" spans="2:6" ht="12" customHeight="1" x14ac:dyDescent="0.15">
      <c r="B674" s="2"/>
      <c r="C674" s="3"/>
      <c r="D674" s="3"/>
      <c r="E674" s="3"/>
      <c r="F674" s="4"/>
    </row>
    <row r="675" spans="2:6" ht="12" customHeight="1" x14ac:dyDescent="0.15">
      <c r="B675" s="2"/>
      <c r="C675" s="3"/>
      <c r="D675" s="3"/>
      <c r="E675" s="3"/>
      <c r="F675" s="4"/>
    </row>
    <row r="676" spans="2:6" ht="12" customHeight="1" x14ac:dyDescent="0.15">
      <c r="B676" s="2"/>
      <c r="C676" s="3"/>
      <c r="D676" s="3"/>
      <c r="E676" s="3"/>
      <c r="F676" s="4"/>
    </row>
    <row r="677" spans="2:6" ht="12" customHeight="1" x14ac:dyDescent="0.15">
      <c r="B677" s="2"/>
      <c r="C677" s="3"/>
      <c r="D677" s="3"/>
      <c r="E677" s="3"/>
      <c r="F677" s="4"/>
    </row>
    <row r="678" spans="2:6" ht="12" customHeight="1" x14ac:dyDescent="0.15">
      <c r="B678" s="2"/>
      <c r="C678" s="3"/>
      <c r="D678" s="3"/>
      <c r="E678" s="3"/>
      <c r="F678" s="4"/>
    </row>
    <row r="679" spans="2:6" ht="12" customHeight="1" x14ac:dyDescent="0.15">
      <c r="B679" s="2"/>
      <c r="C679" s="3"/>
      <c r="D679" s="3"/>
      <c r="E679" s="3"/>
      <c r="F679" s="4"/>
    </row>
    <row r="680" spans="2:6" ht="12" customHeight="1" x14ac:dyDescent="0.15">
      <c r="B680" s="2"/>
      <c r="C680" s="3"/>
      <c r="D680" s="3"/>
      <c r="E680" s="3"/>
      <c r="F680" s="4"/>
    </row>
    <row r="681" spans="2:6" ht="12" customHeight="1" x14ac:dyDescent="0.15">
      <c r="B681" s="2"/>
      <c r="C681" s="3"/>
      <c r="D681" s="3"/>
      <c r="E681" s="3"/>
      <c r="F681" s="4"/>
    </row>
    <row r="682" spans="2:6" ht="12" customHeight="1" x14ac:dyDescent="0.15">
      <c r="B682" s="2"/>
      <c r="C682" s="3"/>
      <c r="D682" s="3"/>
      <c r="E682" s="3"/>
      <c r="F682" s="4"/>
    </row>
    <row r="683" spans="2:6" ht="12" customHeight="1" x14ac:dyDescent="0.15">
      <c r="B683" s="2"/>
      <c r="C683" s="3"/>
      <c r="D683" s="3"/>
      <c r="E683" s="3"/>
      <c r="F683" s="4"/>
    </row>
    <row r="684" spans="2:6" ht="12" customHeight="1" x14ac:dyDescent="0.15">
      <c r="B684" s="2"/>
      <c r="C684" s="3"/>
      <c r="D684" s="3"/>
      <c r="E684" s="3"/>
      <c r="F684" s="4"/>
    </row>
    <row r="685" spans="2:6" ht="12" customHeight="1" x14ac:dyDescent="0.15">
      <c r="B685" s="2"/>
      <c r="C685" s="3"/>
      <c r="D685" s="3"/>
      <c r="E685" s="3"/>
      <c r="F685" s="4"/>
    </row>
    <row r="686" spans="2:6" ht="12" customHeight="1" x14ac:dyDescent="0.15">
      <c r="B686" s="2"/>
      <c r="C686" s="3"/>
      <c r="D686" s="3"/>
      <c r="E686" s="3"/>
      <c r="F686" s="4"/>
    </row>
    <row r="687" spans="2:6" ht="12" customHeight="1" x14ac:dyDescent="0.15">
      <c r="B687" s="2"/>
      <c r="C687" s="3"/>
      <c r="D687" s="3"/>
      <c r="E687" s="3"/>
      <c r="F687" s="4"/>
    </row>
    <row r="688" spans="2:6" ht="12" customHeight="1" x14ac:dyDescent="0.15">
      <c r="B688" s="2"/>
      <c r="C688" s="3"/>
      <c r="D688" s="3"/>
      <c r="E688" s="3"/>
      <c r="F688" s="4"/>
    </row>
    <row r="689" spans="2:6" ht="12" customHeight="1" x14ac:dyDescent="0.15">
      <c r="B689" s="2"/>
      <c r="C689" s="3"/>
      <c r="D689" s="3"/>
      <c r="E689" s="3"/>
      <c r="F689" s="4"/>
    </row>
    <row r="690" spans="2:6" ht="12" customHeight="1" x14ac:dyDescent="0.15">
      <c r="B690" s="2"/>
      <c r="C690" s="3"/>
      <c r="D690" s="3"/>
      <c r="E690" s="3"/>
      <c r="F690" s="4"/>
    </row>
    <row r="691" spans="2:6" ht="12" customHeight="1" x14ac:dyDescent="0.15">
      <c r="B691" s="2"/>
      <c r="C691" s="3"/>
      <c r="D691" s="3"/>
      <c r="E691" s="3"/>
      <c r="F691" s="4"/>
    </row>
    <row r="692" spans="2:6" ht="12" customHeight="1" x14ac:dyDescent="0.15">
      <c r="B692" s="2"/>
      <c r="C692" s="3"/>
      <c r="D692" s="3"/>
      <c r="E692" s="3"/>
      <c r="F692" s="4"/>
    </row>
    <row r="693" spans="2:6" ht="12" customHeight="1" x14ac:dyDescent="0.15">
      <c r="B693" s="2"/>
      <c r="C693" s="3"/>
      <c r="D693" s="3"/>
      <c r="E693" s="3"/>
      <c r="F693" s="4"/>
    </row>
    <row r="694" spans="2:6" ht="12" customHeight="1" x14ac:dyDescent="0.15">
      <c r="B694" s="2"/>
      <c r="C694" s="3"/>
      <c r="D694" s="3"/>
      <c r="E694" s="3"/>
      <c r="F694" s="4"/>
    </row>
    <row r="695" spans="2:6" ht="12" customHeight="1" x14ac:dyDescent="0.15">
      <c r="B695" s="2"/>
      <c r="C695" s="3"/>
      <c r="D695" s="3"/>
      <c r="E695" s="3"/>
      <c r="F695" s="4"/>
    </row>
    <row r="696" spans="2:6" ht="12" customHeight="1" x14ac:dyDescent="0.15">
      <c r="B696" s="2"/>
      <c r="C696" s="3"/>
      <c r="D696" s="3"/>
      <c r="E696" s="3"/>
      <c r="F696" s="4"/>
    </row>
    <row r="697" spans="2:6" ht="12" customHeight="1" x14ac:dyDescent="0.15">
      <c r="B697" s="2"/>
      <c r="C697" s="3"/>
      <c r="D697" s="3"/>
      <c r="E697" s="3"/>
      <c r="F697" s="4"/>
    </row>
    <row r="698" spans="2:6" ht="12" customHeight="1" x14ac:dyDescent="0.15">
      <c r="B698" s="2"/>
      <c r="C698" s="3"/>
      <c r="D698" s="3"/>
      <c r="E698" s="3"/>
      <c r="F698" s="4"/>
    </row>
    <row r="699" spans="2:6" ht="12" customHeight="1" x14ac:dyDescent="0.15">
      <c r="B699" s="2"/>
      <c r="C699" s="3"/>
      <c r="D699" s="3"/>
      <c r="E699" s="3"/>
      <c r="F699" s="4"/>
    </row>
    <row r="700" spans="2:6" ht="12" customHeight="1" x14ac:dyDescent="0.15">
      <c r="B700" s="2"/>
      <c r="C700" s="3"/>
      <c r="D700" s="3"/>
      <c r="E700" s="3"/>
      <c r="F700" s="4"/>
    </row>
    <row r="701" spans="2:6" ht="12" customHeight="1" x14ac:dyDescent="0.15">
      <c r="B701" s="2"/>
      <c r="C701" s="3"/>
      <c r="D701" s="3"/>
      <c r="E701" s="3"/>
      <c r="F701" s="4"/>
    </row>
    <row r="702" spans="2:6" ht="12" customHeight="1" x14ac:dyDescent="0.15">
      <c r="B702" s="2"/>
      <c r="C702" s="3"/>
      <c r="D702" s="3"/>
      <c r="E702" s="3"/>
      <c r="F702" s="4"/>
    </row>
    <row r="703" spans="2:6" ht="12" customHeight="1" x14ac:dyDescent="0.15">
      <c r="B703" s="2"/>
      <c r="C703" s="3"/>
      <c r="D703" s="3"/>
      <c r="E703" s="3"/>
      <c r="F703" s="4"/>
    </row>
    <row r="704" spans="2:6" ht="12" customHeight="1" x14ac:dyDescent="0.15">
      <c r="B704" s="2"/>
      <c r="C704" s="3"/>
      <c r="D704" s="3"/>
      <c r="E704" s="3"/>
      <c r="F704" s="4"/>
    </row>
    <row r="705" spans="2:6" ht="12" customHeight="1" x14ac:dyDescent="0.15">
      <c r="B705" s="2"/>
      <c r="C705" s="3"/>
      <c r="D705" s="3"/>
      <c r="E705" s="3"/>
      <c r="F705" s="4"/>
    </row>
    <row r="706" spans="2:6" ht="12" customHeight="1" x14ac:dyDescent="0.15">
      <c r="B706" s="2"/>
      <c r="C706" s="3"/>
      <c r="D706" s="3"/>
      <c r="E706" s="3"/>
      <c r="F706" s="4"/>
    </row>
    <row r="707" spans="2:6" ht="12" customHeight="1" x14ac:dyDescent="0.15">
      <c r="B707" s="2"/>
      <c r="C707" s="3"/>
      <c r="D707" s="3"/>
      <c r="E707" s="3"/>
      <c r="F707" s="4"/>
    </row>
    <row r="708" spans="2:6" ht="12" customHeight="1" x14ac:dyDescent="0.15">
      <c r="B708" s="2"/>
      <c r="C708" s="3"/>
      <c r="D708" s="3"/>
      <c r="E708" s="3"/>
      <c r="F708" s="4"/>
    </row>
    <row r="709" spans="2:6" ht="12" customHeight="1" x14ac:dyDescent="0.15">
      <c r="B709" s="2"/>
      <c r="C709" s="3"/>
      <c r="D709" s="3"/>
      <c r="E709" s="3"/>
      <c r="F709" s="4"/>
    </row>
    <row r="710" spans="2:6" ht="12" customHeight="1" x14ac:dyDescent="0.15">
      <c r="B710" s="2"/>
      <c r="C710" s="3"/>
      <c r="D710" s="3"/>
      <c r="E710" s="3"/>
      <c r="F710" s="4"/>
    </row>
    <row r="711" spans="2:6" ht="12" customHeight="1" x14ac:dyDescent="0.15">
      <c r="B711" s="2"/>
      <c r="C711" s="3"/>
      <c r="D711" s="3"/>
      <c r="E711" s="3"/>
      <c r="F711" s="4"/>
    </row>
    <row r="712" spans="2:6" ht="12" customHeight="1" x14ac:dyDescent="0.15">
      <c r="B712" s="2"/>
      <c r="C712" s="3"/>
      <c r="D712" s="3"/>
      <c r="E712" s="3"/>
      <c r="F712" s="4"/>
    </row>
    <row r="713" spans="2:6" ht="12" customHeight="1" x14ac:dyDescent="0.15">
      <c r="B713" s="2"/>
      <c r="C713" s="3"/>
      <c r="D713" s="3"/>
      <c r="E713" s="3"/>
      <c r="F713" s="4"/>
    </row>
    <row r="714" spans="2:6" ht="12" customHeight="1" x14ac:dyDescent="0.15">
      <c r="B714" s="2"/>
      <c r="C714" s="3"/>
      <c r="D714" s="3"/>
      <c r="E714" s="3"/>
      <c r="F714" s="4"/>
    </row>
    <row r="715" spans="2:6" ht="12" customHeight="1" x14ac:dyDescent="0.15">
      <c r="B715" s="2"/>
      <c r="C715" s="3"/>
      <c r="D715" s="3"/>
      <c r="E715" s="3"/>
      <c r="F715" s="4"/>
    </row>
    <row r="716" spans="2:6" ht="12" customHeight="1" x14ac:dyDescent="0.15">
      <c r="B716" s="2"/>
      <c r="C716" s="3"/>
      <c r="D716" s="3"/>
      <c r="E716" s="3"/>
      <c r="F716" s="4"/>
    </row>
    <row r="717" spans="2:6" ht="12" customHeight="1" x14ac:dyDescent="0.15">
      <c r="B717" s="2"/>
      <c r="C717" s="3"/>
      <c r="D717" s="3"/>
      <c r="E717" s="3"/>
      <c r="F717" s="4"/>
    </row>
    <row r="718" spans="2:6" ht="12" customHeight="1" x14ac:dyDescent="0.15">
      <c r="B718" s="2"/>
      <c r="C718" s="3"/>
      <c r="D718" s="3"/>
      <c r="E718" s="3"/>
      <c r="F718" s="4"/>
    </row>
    <row r="719" spans="2:6" ht="12" customHeight="1" x14ac:dyDescent="0.15">
      <c r="B719" s="2"/>
      <c r="C719" s="3"/>
      <c r="D719" s="3"/>
      <c r="E719" s="3"/>
      <c r="F719" s="4"/>
    </row>
    <row r="720" spans="2:6" ht="12" customHeight="1" x14ac:dyDescent="0.15">
      <c r="B720" s="2"/>
      <c r="C720" s="3"/>
      <c r="D720" s="3"/>
      <c r="E720" s="3"/>
      <c r="F720" s="4"/>
    </row>
    <row r="721" spans="2:6" ht="12" customHeight="1" x14ac:dyDescent="0.15">
      <c r="B721" s="2"/>
      <c r="C721" s="3"/>
      <c r="D721" s="3"/>
      <c r="E721" s="3"/>
      <c r="F721" s="4"/>
    </row>
    <row r="722" spans="2:6" ht="12" customHeight="1" x14ac:dyDescent="0.15">
      <c r="B722" s="2"/>
      <c r="C722" s="3"/>
      <c r="D722" s="3"/>
      <c r="E722" s="3"/>
      <c r="F722" s="4"/>
    </row>
    <row r="723" spans="2:6" ht="12" customHeight="1" x14ac:dyDescent="0.15">
      <c r="B723" s="2"/>
      <c r="C723" s="3"/>
      <c r="D723" s="3"/>
      <c r="E723" s="3"/>
      <c r="F723" s="4"/>
    </row>
    <row r="724" spans="2:6" ht="12" customHeight="1" x14ac:dyDescent="0.15">
      <c r="B724" s="2"/>
      <c r="C724" s="3"/>
      <c r="D724" s="3"/>
      <c r="E724" s="3"/>
      <c r="F724" s="4"/>
    </row>
    <row r="725" spans="2:6" ht="12" customHeight="1" x14ac:dyDescent="0.15">
      <c r="B725" s="2"/>
      <c r="C725" s="3"/>
      <c r="D725" s="3"/>
      <c r="E725" s="3"/>
      <c r="F725" s="4"/>
    </row>
    <row r="726" spans="2:6" ht="12" customHeight="1" x14ac:dyDescent="0.15">
      <c r="B726" s="2"/>
      <c r="C726" s="3"/>
      <c r="D726" s="3"/>
      <c r="E726" s="3"/>
      <c r="F726" s="4"/>
    </row>
    <row r="727" spans="2:6" ht="12" customHeight="1" x14ac:dyDescent="0.15">
      <c r="B727" s="2"/>
      <c r="C727" s="3"/>
      <c r="D727" s="3"/>
      <c r="E727" s="3"/>
      <c r="F727" s="4"/>
    </row>
    <row r="728" spans="2:6" ht="12" customHeight="1" x14ac:dyDescent="0.15">
      <c r="B728" s="2"/>
      <c r="C728" s="3"/>
      <c r="D728" s="3"/>
      <c r="E728" s="3"/>
      <c r="F728" s="4"/>
    </row>
    <row r="729" spans="2:6" ht="12" customHeight="1" x14ac:dyDescent="0.15">
      <c r="B729" s="2"/>
      <c r="C729" s="3"/>
      <c r="D729" s="3"/>
      <c r="E729" s="3"/>
      <c r="F729" s="4"/>
    </row>
    <row r="730" spans="2:6" ht="12" customHeight="1" x14ac:dyDescent="0.15">
      <c r="B730" s="2"/>
      <c r="C730" s="3"/>
      <c r="D730" s="3"/>
      <c r="E730" s="3"/>
      <c r="F730" s="4"/>
    </row>
    <row r="731" spans="2:6" ht="12" customHeight="1" x14ac:dyDescent="0.15">
      <c r="B731" s="2"/>
      <c r="C731" s="3"/>
      <c r="D731" s="3"/>
      <c r="E731" s="3"/>
      <c r="F731" s="4"/>
    </row>
    <row r="732" spans="2:6" ht="12" customHeight="1" x14ac:dyDescent="0.15">
      <c r="B732" s="2"/>
      <c r="C732" s="3"/>
      <c r="D732" s="3"/>
      <c r="E732" s="3"/>
      <c r="F732" s="4"/>
    </row>
    <row r="733" spans="2:6" ht="12" customHeight="1" x14ac:dyDescent="0.15">
      <c r="B733" s="2"/>
      <c r="C733" s="3"/>
      <c r="D733" s="3"/>
      <c r="E733" s="3"/>
      <c r="F733" s="4"/>
    </row>
    <row r="734" spans="2:6" ht="12" customHeight="1" x14ac:dyDescent="0.15">
      <c r="B734" s="2"/>
      <c r="C734" s="3"/>
      <c r="D734" s="3"/>
      <c r="E734" s="3"/>
      <c r="F734" s="4"/>
    </row>
    <row r="735" spans="2:6" ht="12" customHeight="1" x14ac:dyDescent="0.15">
      <c r="B735" s="2"/>
      <c r="C735" s="3"/>
      <c r="D735" s="3"/>
      <c r="E735" s="3"/>
      <c r="F735" s="4"/>
    </row>
    <row r="736" spans="2:6" ht="12" customHeight="1" x14ac:dyDescent="0.15">
      <c r="B736" s="2"/>
      <c r="C736" s="3"/>
      <c r="D736" s="3"/>
      <c r="E736" s="3"/>
      <c r="F736" s="4"/>
    </row>
    <row r="737" spans="2:6" ht="12" customHeight="1" x14ac:dyDescent="0.15">
      <c r="B737" s="2"/>
      <c r="C737" s="3"/>
      <c r="D737" s="3"/>
      <c r="E737" s="3"/>
      <c r="F737" s="4"/>
    </row>
    <row r="738" spans="2:6" ht="12" customHeight="1" x14ac:dyDescent="0.15">
      <c r="B738" s="2"/>
      <c r="C738" s="3"/>
      <c r="D738" s="3"/>
      <c r="E738" s="3"/>
      <c r="F738" s="4"/>
    </row>
    <row r="739" spans="2:6" ht="12" customHeight="1" x14ac:dyDescent="0.15">
      <c r="B739" s="2"/>
      <c r="C739" s="3"/>
      <c r="D739" s="3"/>
      <c r="E739" s="3"/>
      <c r="F739" s="4"/>
    </row>
    <row r="740" spans="2:6" ht="12" customHeight="1" x14ac:dyDescent="0.15">
      <c r="B740" s="2"/>
      <c r="C740" s="3"/>
      <c r="D740" s="3"/>
      <c r="E740" s="3"/>
      <c r="F740" s="4"/>
    </row>
    <row r="741" spans="2:6" ht="12" customHeight="1" x14ac:dyDescent="0.15">
      <c r="B741" s="2"/>
      <c r="C741" s="3"/>
      <c r="D741" s="3"/>
      <c r="E741" s="3"/>
      <c r="F741" s="4"/>
    </row>
    <row r="742" spans="2:6" ht="12" customHeight="1" x14ac:dyDescent="0.15">
      <c r="B742" s="2"/>
      <c r="C742" s="3"/>
      <c r="D742" s="3"/>
      <c r="E742" s="3"/>
      <c r="F742" s="4"/>
    </row>
    <row r="743" spans="2:6" ht="12" customHeight="1" x14ac:dyDescent="0.15">
      <c r="B743" s="2"/>
      <c r="C743" s="3"/>
      <c r="D743" s="3"/>
      <c r="E743" s="3"/>
      <c r="F743" s="4"/>
    </row>
    <row r="744" spans="2:6" ht="12" customHeight="1" x14ac:dyDescent="0.15">
      <c r="B744" s="2"/>
      <c r="C744" s="3"/>
      <c r="D744" s="3"/>
      <c r="E744" s="3"/>
      <c r="F744" s="4"/>
    </row>
    <row r="745" spans="2:6" ht="12" customHeight="1" x14ac:dyDescent="0.15">
      <c r="B745" s="2"/>
      <c r="C745" s="3"/>
      <c r="D745" s="3"/>
      <c r="E745" s="3"/>
      <c r="F745" s="4"/>
    </row>
    <row r="746" spans="2:6" ht="12" customHeight="1" x14ac:dyDescent="0.15">
      <c r="B746" s="2"/>
      <c r="C746" s="3"/>
      <c r="D746" s="3"/>
      <c r="E746" s="3"/>
      <c r="F746" s="4"/>
    </row>
    <row r="747" spans="2:6" ht="12" customHeight="1" x14ac:dyDescent="0.15">
      <c r="B747" s="2"/>
      <c r="C747" s="3"/>
      <c r="D747" s="3"/>
      <c r="E747" s="3"/>
      <c r="F747" s="4"/>
    </row>
    <row r="748" spans="2:6" ht="12" customHeight="1" x14ac:dyDescent="0.15">
      <c r="B748" s="2"/>
      <c r="C748" s="3"/>
      <c r="D748" s="3"/>
      <c r="E748" s="3"/>
      <c r="F748" s="4"/>
    </row>
    <row r="749" spans="2:6" ht="12" customHeight="1" x14ac:dyDescent="0.15">
      <c r="B749" s="2"/>
      <c r="C749" s="3"/>
      <c r="D749" s="3"/>
      <c r="E749" s="3"/>
      <c r="F749" s="4"/>
    </row>
    <row r="750" spans="2:6" ht="12" customHeight="1" x14ac:dyDescent="0.15">
      <c r="B750" s="2"/>
      <c r="C750" s="3"/>
      <c r="D750" s="3"/>
      <c r="E750" s="3"/>
      <c r="F750" s="4"/>
    </row>
    <row r="751" spans="2:6" ht="12" customHeight="1" x14ac:dyDescent="0.15">
      <c r="B751" s="2"/>
      <c r="C751" s="3"/>
      <c r="D751" s="3"/>
      <c r="E751" s="3"/>
      <c r="F751" s="4"/>
    </row>
    <row r="752" spans="2:6" ht="12" customHeight="1" x14ac:dyDescent="0.15">
      <c r="B752" s="2"/>
      <c r="C752" s="3"/>
      <c r="D752" s="3"/>
      <c r="E752" s="3"/>
      <c r="F752" s="4"/>
    </row>
    <row r="753" spans="2:6" ht="12" customHeight="1" x14ac:dyDescent="0.15">
      <c r="B753" s="2"/>
      <c r="C753" s="3"/>
      <c r="D753" s="3"/>
      <c r="E753" s="3"/>
      <c r="F753" s="4"/>
    </row>
    <row r="754" spans="2:6" ht="12" customHeight="1" x14ac:dyDescent="0.15">
      <c r="B754" s="2"/>
      <c r="C754" s="3"/>
      <c r="D754" s="3"/>
      <c r="E754" s="3"/>
      <c r="F754" s="4"/>
    </row>
    <row r="755" spans="2:6" ht="12" customHeight="1" x14ac:dyDescent="0.15">
      <c r="B755" s="2"/>
      <c r="C755" s="3"/>
      <c r="D755" s="3"/>
      <c r="E755" s="3"/>
      <c r="F755" s="4"/>
    </row>
    <row r="756" spans="2:6" ht="12" customHeight="1" x14ac:dyDescent="0.15">
      <c r="B756" s="2"/>
      <c r="C756" s="3"/>
      <c r="D756" s="3"/>
      <c r="E756" s="3"/>
      <c r="F756" s="4"/>
    </row>
    <row r="757" spans="2:6" ht="12" customHeight="1" x14ac:dyDescent="0.15">
      <c r="B757" s="2"/>
      <c r="C757" s="3"/>
      <c r="D757" s="3"/>
      <c r="E757" s="3"/>
      <c r="F757" s="4"/>
    </row>
    <row r="758" spans="2:6" ht="12" customHeight="1" x14ac:dyDescent="0.15">
      <c r="B758" s="2"/>
      <c r="C758" s="3"/>
      <c r="D758" s="3"/>
      <c r="E758" s="3"/>
      <c r="F758" s="4"/>
    </row>
    <row r="759" spans="2:6" ht="12" customHeight="1" x14ac:dyDescent="0.15">
      <c r="B759" s="2"/>
      <c r="C759" s="3"/>
      <c r="D759" s="3"/>
      <c r="E759" s="3"/>
      <c r="F759" s="4"/>
    </row>
    <row r="760" spans="2:6" ht="12" customHeight="1" x14ac:dyDescent="0.15">
      <c r="B760" s="2"/>
      <c r="C760" s="3"/>
      <c r="D760" s="3"/>
      <c r="E760" s="3"/>
      <c r="F760" s="4"/>
    </row>
    <row r="761" spans="2:6" ht="12" customHeight="1" x14ac:dyDescent="0.15">
      <c r="B761" s="2"/>
      <c r="C761" s="3"/>
      <c r="D761" s="3"/>
      <c r="E761" s="3"/>
      <c r="F761" s="4"/>
    </row>
    <row r="762" spans="2:6" ht="12" customHeight="1" x14ac:dyDescent="0.15">
      <c r="B762" s="2"/>
      <c r="C762" s="3"/>
      <c r="D762" s="3"/>
      <c r="E762" s="3"/>
      <c r="F762" s="4"/>
    </row>
    <row r="763" spans="2:6" ht="12" customHeight="1" x14ac:dyDescent="0.15">
      <c r="B763" s="2"/>
      <c r="C763" s="3"/>
      <c r="D763" s="3"/>
      <c r="E763" s="3"/>
      <c r="F763" s="4"/>
    </row>
    <row r="764" spans="2:6" ht="12" customHeight="1" x14ac:dyDescent="0.15">
      <c r="B764" s="2"/>
      <c r="C764" s="3"/>
      <c r="D764" s="3"/>
      <c r="E764" s="3"/>
      <c r="F764" s="4"/>
    </row>
    <row r="765" spans="2:6" ht="12" customHeight="1" x14ac:dyDescent="0.15">
      <c r="B765" s="2"/>
      <c r="C765" s="3"/>
      <c r="D765" s="3"/>
      <c r="E765" s="3"/>
      <c r="F765" s="4"/>
    </row>
    <row r="766" spans="2:6" ht="12" customHeight="1" x14ac:dyDescent="0.15">
      <c r="B766" s="2"/>
      <c r="C766" s="3"/>
      <c r="D766" s="3"/>
      <c r="E766" s="3"/>
      <c r="F766" s="4"/>
    </row>
    <row r="767" spans="2:6" ht="12" customHeight="1" x14ac:dyDescent="0.15">
      <c r="B767" s="2"/>
      <c r="C767" s="3"/>
      <c r="D767" s="3"/>
      <c r="E767" s="3"/>
      <c r="F767" s="4"/>
    </row>
    <row r="768" spans="2:6" ht="12" customHeight="1" x14ac:dyDescent="0.15">
      <c r="B768" s="2"/>
      <c r="C768" s="3"/>
      <c r="D768" s="3"/>
      <c r="E768" s="3"/>
      <c r="F768" s="4"/>
    </row>
    <row r="769" spans="2:6" ht="12" customHeight="1" x14ac:dyDescent="0.15">
      <c r="B769" s="2"/>
      <c r="C769" s="3"/>
      <c r="D769" s="3"/>
      <c r="E769" s="3"/>
      <c r="F769" s="4"/>
    </row>
    <row r="770" spans="2:6" ht="12" customHeight="1" x14ac:dyDescent="0.15">
      <c r="B770" s="2"/>
      <c r="C770" s="3"/>
      <c r="D770" s="3"/>
      <c r="E770" s="3"/>
      <c r="F770" s="4"/>
    </row>
    <row r="771" spans="2:6" ht="12" customHeight="1" x14ac:dyDescent="0.15">
      <c r="B771" s="2"/>
      <c r="C771" s="3"/>
      <c r="D771" s="3"/>
      <c r="E771" s="3"/>
      <c r="F771" s="4"/>
    </row>
    <row r="772" spans="2:6" ht="12" customHeight="1" x14ac:dyDescent="0.15">
      <c r="B772" s="2"/>
      <c r="C772" s="3"/>
      <c r="D772" s="3"/>
      <c r="E772" s="3"/>
      <c r="F772" s="4"/>
    </row>
    <row r="773" spans="2:6" ht="12" customHeight="1" x14ac:dyDescent="0.15">
      <c r="B773" s="2"/>
      <c r="C773" s="3"/>
      <c r="D773" s="3"/>
      <c r="E773" s="3"/>
      <c r="F773" s="4"/>
    </row>
    <row r="774" spans="2:6" ht="12" customHeight="1" x14ac:dyDescent="0.15">
      <c r="B774" s="2"/>
      <c r="C774" s="3"/>
      <c r="D774" s="3"/>
      <c r="E774" s="3"/>
      <c r="F774" s="4"/>
    </row>
    <row r="775" spans="2:6" ht="12" customHeight="1" x14ac:dyDescent="0.15">
      <c r="B775" s="2"/>
      <c r="C775" s="3"/>
      <c r="D775" s="3"/>
      <c r="E775" s="3"/>
      <c r="F775" s="4"/>
    </row>
    <row r="776" spans="2:6" ht="12" customHeight="1" x14ac:dyDescent="0.15">
      <c r="B776" s="2"/>
      <c r="C776" s="3"/>
      <c r="D776" s="3"/>
      <c r="E776" s="3"/>
      <c r="F776" s="4"/>
    </row>
    <row r="777" spans="2:6" ht="12" customHeight="1" x14ac:dyDescent="0.15">
      <c r="B777" s="2"/>
      <c r="C777" s="3"/>
      <c r="D777" s="3"/>
      <c r="E777" s="3"/>
      <c r="F777" s="4"/>
    </row>
    <row r="778" spans="2:6" ht="12" customHeight="1" x14ac:dyDescent="0.15">
      <c r="B778" s="2"/>
      <c r="C778" s="3"/>
      <c r="D778" s="3"/>
      <c r="E778" s="3"/>
      <c r="F778" s="4"/>
    </row>
    <row r="779" spans="2:6" ht="12" customHeight="1" x14ac:dyDescent="0.15">
      <c r="B779" s="2"/>
      <c r="C779" s="3"/>
      <c r="D779" s="3"/>
      <c r="E779" s="3"/>
      <c r="F779" s="4"/>
    </row>
    <row r="780" spans="2:6" ht="12" customHeight="1" x14ac:dyDescent="0.15">
      <c r="B780" s="2"/>
      <c r="C780" s="3"/>
      <c r="D780" s="3"/>
      <c r="E780" s="3"/>
      <c r="F780" s="4"/>
    </row>
    <row r="781" spans="2:6" ht="12" customHeight="1" x14ac:dyDescent="0.15">
      <c r="B781" s="2"/>
      <c r="C781" s="3"/>
      <c r="D781" s="3"/>
      <c r="E781" s="3"/>
      <c r="F781" s="4"/>
    </row>
    <row r="782" spans="2:6" ht="12" customHeight="1" x14ac:dyDescent="0.15">
      <c r="B782" s="2"/>
      <c r="C782" s="3"/>
      <c r="D782" s="3"/>
      <c r="E782" s="3"/>
      <c r="F782" s="4"/>
    </row>
    <row r="783" spans="2:6" ht="12" customHeight="1" x14ac:dyDescent="0.15">
      <c r="B783" s="2"/>
      <c r="C783" s="3"/>
      <c r="D783" s="3"/>
      <c r="E783" s="3"/>
      <c r="F783" s="4"/>
    </row>
    <row r="784" spans="2:6" ht="12" customHeight="1" x14ac:dyDescent="0.15">
      <c r="B784" s="2"/>
      <c r="C784" s="3"/>
      <c r="D784" s="3"/>
      <c r="E784" s="3"/>
      <c r="F784" s="4"/>
    </row>
    <row r="785" spans="2:6" ht="12" customHeight="1" x14ac:dyDescent="0.15">
      <c r="B785" s="2"/>
      <c r="C785" s="3"/>
      <c r="D785" s="3"/>
      <c r="E785" s="3"/>
      <c r="F785" s="4"/>
    </row>
    <row r="786" spans="2:6" ht="12" customHeight="1" x14ac:dyDescent="0.15">
      <c r="B786" s="2"/>
      <c r="C786" s="3"/>
      <c r="D786" s="3"/>
      <c r="E786" s="3"/>
      <c r="F786" s="4"/>
    </row>
    <row r="787" spans="2:6" ht="12" customHeight="1" x14ac:dyDescent="0.15">
      <c r="B787" s="2"/>
      <c r="C787" s="3"/>
      <c r="D787" s="3"/>
      <c r="E787" s="3"/>
      <c r="F787" s="4"/>
    </row>
    <row r="788" spans="2:6" ht="12" customHeight="1" x14ac:dyDescent="0.15">
      <c r="B788" s="2"/>
      <c r="C788" s="3"/>
      <c r="D788" s="3"/>
      <c r="E788" s="3"/>
      <c r="F788" s="4"/>
    </row>
    <row r="789" spans="2:6" ht="12" customHeight="1" x14ac:dyDescent="0.15">
      <c r="B789" s="2"/>
      <c r="C789" s="3"/>
      <c r="D789" s="3"/>
      <c r="E789" s="3"/>
      <c r="F789" s="4"/>
    </row>
    <row r="790" spans="2:6" ht="12" customHeight="1" x14ac:dyDescent="0.15">
      <c r="B790" s="2"/>
      <c r="C790" s="3"/>
      <c r="D790" s="3"/>
      <c r="E790" s="3"/>
      <c r="F790" s="4"/>
    </row>
    <row r="791" spans="2:6" ht="12" customHeight="1" x14ac:dyDescent="0.15">
      <c r="B791" s="2"/>
      <c r="C791" s="3"/>
      <c r="D791" s="3"/>
      <c r="E791" s="3"/>
      <c r="F791" s="4"/>
    </row>
    <row r="792" spans="2:6" ht="12" customHeight="1" x14ac:dyDescent="0.15">
      <c r="B792" s="2"/>
      <c r="C792" s="3"/>
      <c r="D792" s="3"/>
      <c r="E792" s="3"/>
      <c r="F792" s="4"/>
    </row>
    <row r="793" spans="2:6" ht="12" customHeight="1" x14ac:dyDescent="0.15">
      <c r="B793" s="2"/>
      <c r="C793" s="3"/>
      <c r="D793" s="3"/>
      <c r="E793" s="3"/>
      <c r="F793" s="4"/>
    </row>
    <row r="794" spans="2:6" ht="12" customHeight="1" x14ac:dyDescent="0.15">
      <c r="B794" s="2"/>
      <c r="C794" s="3"/>
      <c r="D794" s="3"/>
      <c r="E794" s="3"/>
      <c r="F794" s="4"/>
    </row>
    <row r="795" spans="2:6" ht="12" customHeight="1" x14ac:dyDescent="0.15">
      <c r="B795" s="2"/>
      <c r="C795" s="3"/>
      <c r="D795" s="3"/>
      <c r="E795" s="3"/>
      <c r="F795" s="4"/>
    </row>
    <row r="796" spans="2:6" ht="12" customHeight="1" x14ac:dyDescent="0.15">
      <c r="B796" s="2"/>
      <c r="C796" s="3"/>
      <c r="D796" s="3"/>
      <c r="E796" s="3"/>
      <c r="F796" s="4"/>
    </row>
    <row r="797" spans="2:6" ht="12" customHeight="1" x14ac:dyDescent="0.15">
      <c r="B797" s="2"/>
      <c r="C797" s="3"/>
      <c r="D797" s="3"/>
      <c r="E797" s="3"/>
      <c r="F797" s="4"/>
    </row>
    <row r="798" spans="2:6" ht="12" customHeight="1" x14ac:dyDescent="0.15">
      <c r="B798" s="2"/>
      <c r="C798" s="3"/>
      <c r="D798" s="3"/>
      <c r="E798" s="3"/>
      <c r="F798" s="4"/>
    </row>
    <row r="799" spans="2:6" ht="12" customHeight="1" x14ac:dyDescent="0.15">
      <c r="B799" s="2"/>
      <c r="C799" s="3"/>
      <c r="D799" s="3"/>
      <c r="E799" s="3"/>
      <c r="F799" s="4"/>
    </row>
    <row r="800" spans="2:6" ht="12" customHeight="1" x14ac:dyDescent="0.15">
      <c r="B800" s="2"/>
      <c r="C800" s="3"/>
      <c r="D800" s="3"/>
      <c r="E800" s="3"/>
      <c r="F800" s="4"/>
    </row>
    <row r="801" spans="2:6" ht="12" customHeight="1" x14ac:dyDescent="0.15">
      <c r="B801" s="2"/>
      <c r="C801" s="3"/>
      <c r="D801" s="3"/>
      <c r="E801" s="3"/>
      <c r="F801" s="4"/>
    </row>
    <row r="802" spans="2:6" ht="12" customHeight="1" x14ac:dyDescent="0.15">
      <c r="B802" s="2"/>
      <c r="C802" s="3"/>
      <c r="D802" s="3"/>
      <c r="E802" s="3"/>
      <c r="F802" s="4"/>
    </row>
    <row r="803" spans="2:6" ht="12" customHeight="1" x14ac:dyDescent="0.15">
      <c r="B803" s="2"/>
      <c r="C803" s="3"/>
      <c r="D803" s="3"/>
      <c r="E803" s="3"/>
      <c r="F803" s="4"/>
    </row>
    <row r="804" spans="2:6" ht="12" customHeight="1" x14ac:dyDescent="0.15">
      <c r="B804" s="2"/>
      <c r="C804" s="3"/>
      <c r="D804" s="3"/>
      <c r="E804" s="3"/>
      <c r="F804" s="4"/>
    </row>
    <row r="805" spans="2:6" ht="12" customHeight="1" x14ac:dyDescent="0.15">
      <c r="B805" s="2"/>
      <c r="C805" s="3"/>
      <c r="D805" s="3"/>
      <c r="E805" s="3"/>
      <c r="F805" s="4"/>
    </row>
    <row r="806" spans="2:6" ht="12" customHeight="1" x14ac:dyDescent="0.15">
      <c r="B806" s="2"/>
      <c r="C806" s="3"/>
      <c r="D806" s="3"/>
      <c r="E806" s="3"/>
      <c r="F806" s="4"/>
    </row>
    <row r="807" spans="2:6" ht="12" customHeight="1" x14ac:dyDescent="0.15">
      <c r="B807" s="2"/>
      <c r="C807" s="3"/>
      <c r="D807" s="3"/>
      <c r="E807" s="3"/>
      <c r="F807" s="4"/>
    </row>
    <row r="808" spans="2:6" ht="12" customHeight="1" x14ac:dyDescent="0.15">
      <c r="B808" s="2"/>
      <c r="C808" s="3"/>
      <c r="D808" s="3"/>
      <c r="E808" s="3"/>
      <c r="F808" s="4"/>
    </row>
    <row r="809" spans="2:6" ht="12" customHeight="1" x14ac:dyDescent="0.15">
      <c r="B809" s="2"/>
      <c r="C809" s="3"/>
      <c r="D809" s="3"/>
      <c r="E809" s="3"/>
      <c r="F809" s="4"/>
    </row>
    <row r="810" spans="2:6" ht="12" customHeight="1" x14ac:dyDescent="0.15">
      <c r="B810" s="2"/>
      <c r="C810" s="3"/>
      <c r="D810" s="3"/>
      <c r="E810" s="3"/>
      <c r="F810" s="4"/>
    </row>
    <row r="811" spans="2:6" ht="12" customHeight="1" x14ac:dyDescent="0.15">
      <c r="B811" s="2"/>
      <c r="C811" s="3"/>
      <c r="D811" s="3"/>
      <c r="E811" s="3"/>
      <c r="F811" s="4"/>
    </row>
    <row r="812" spans="2:6" ht="12" customHeight="1" x14ac:dyDescent="0.15">
      <c r="B812" s="2"/>
      <c r="C812" s="3"/>
      <c r="D812" s="3"/>
      <c r="E812" s="3"/>
      <c r="F812" s="4"/>
    </row>
    <row r="813" spans="2:6" ht="12" customHeight="1" x14ac:dyDescent="0.15">
      <c r="B813" s="2"/>
      <c r="C813" s="3"/>
      <c r="D813" s="3"/>
      <c r="E813" s="3"/>
      <c r="F813" s="4"/>
    </row>
    <row r="814" spans="2:6" ht="12" customHeight="1" x14ac:dyDescent="0.15">
      <c r="B814" s="2"/>
      <c r="C814" s="3"/>
      <c r="D814" s="3"/>
      <c r="E814" s="3"/>
      <c r="F814" s="4"/>
    </row>
    <row r="815" spans="2:6" ht="12" customHeight="1" x14ac:dyDescent="0.15">
      <c r="B815" s="2"/>
      <c r="C815" s="3"/>
      <c r="D815" s="3"/>
      <c r="E815" s="3"/>
      <c r="F815" s="4"/>
    </row>
    <row r="816" spans="2:6" ht="12" customHeight="1" x14ac:dyDescent="0.15">
      <c r="B816" s="2"/>
      <c r="C816" s="3"/>
      <c r="D816" s="3"/>
      <c r="E816" s="3"/>
      <c r="F816" s="4"/>
    </row>
    <row r="817" spans="2:6" ht="12" customHeight="1" x14ac:dyDescent="0.15">
      <c r="B817" s="2"/>
      <c r="C817" s="3"/>
      <c r="D817" s="3"/>
      <c r="E817" s="3"/>
      <c r="F817" s="4"/>
    </row>
    <row r="818" spans="2:6" ht="12" customHeight="1" x14ac:dyDescent="0.15">
      <c r="B818" s="2"/>
      <c r="C818" s="3"/>
      <c r="D818" s="3"/>
      <c r="E818" s="3"/>
      <c r="F818" s="4"/>
    </row>
    <row r="819" spans="2:6" ht="12" customHeight="1" x14ac:dyDescent="0.15">
      <c r="B819" s="2"/>
      <c r="C819" s="3"/>
      <c r="D819" s="3"/>
      <c r="E819" s="3"/>
      <c r="F819" s="4"/>
    </row>
    <row r="820" spans="2:6" ht="12" customHeight="1" x14ac:dyDescent="0.15">
      <c r="B820" s="2"/>
      <c r="C820" s="3"/>
      <c r="D820" s="3"/>
      <c r="E820" s="3"/>
      <c r="F820" s="4"/>
    </row>
    <row r="821" spans="2:6" ht="12" customHeight="1" x14ac:dyDescent="0.15">
      <c r="B821" s="2"/>
      <c r="C821" s="3"/>
      <c r="D821" s="3"/>
      <c r="E821" s="3"/>
      <c r="F821" s="4"/>
    </row>
    <row r="822" spans="2:6" ht="12" customHeight="1" x14ac:dyDescent="0.15">
      <c r="B822" s="2"/>
      <c r="C822" s="3"/>
      <c r="D822" s="3"/>
      <c r="E822" s="3"/>
      <c r="F822" s="4"/>
    </row>
    <row r="823" spans="2:6" ht="12" customHeight="1" x14ac:dyDescent="0.15">
      <c r="B823" s="2"/>
      <c r="C823" s="3"/>
      <c r="D823" s="3"/>
      <c r="E823" s="3"/>
      <c r="F823" s="4"/>
    </row>
    <row r="824" spans="2:6" ht="12" customHeight="1" x14ac:dyDescent="0.15">
      <c r="B824" s="2"/>
      <c r="C824" s="3"/>
      <c r="D824" s="3"/>
      <c r="E824" s="3"/>
      <c r="F824" s="4"/>
    </row>
    <row r="825" spans="2:6" ht="12" customHeight="1" x14ac:dyDescent="0.15">
      <c r="B825" s="2"/>
      <c r="C825" s="3"/>
      <c r="D825" s="3"/>
      <c r="E825" s="3"/>
      <c r="F825" s="4"/>
    </row>
    <row r="826" spans="2:6" ht="12" customHeight="1" x14ac:dyDescent="0.15">
      <c r="B826" s="2"/>
      <c r="C826" s="3"/>
      <c r="D826" s="3"/>
      <c r="E826" s="3"/>
      <c r="F826" s="4"/>
    </row>
    <row r="827" spans="2:6" ht="12" customHeight="1" x14ac:dyDescent="0.15">
      <c r="B827" s="2"/>
      <c r="C827" s="3"/>
      <c r="D827" s="3"/>
      <c r="E827" s="3"/>
      <c r="F827" s="4"/>
    </row>
    <row r="828" spans="2:6" ht="12" customHeight="1" x14ac:dyDescent="0.15">
      <c r="B828" s="2"/>
      <c r="C828" s="3"/>
      <c r="D828" s="3"/>
      <c r="E828" s="3"/>
      <c r="F828" s="4"/>
    </row>
    <row r="829" spans="2:6" ht="12" customHeight="1" x14ac:dyDescent="0.15">
      <c r="B829" s="2"/>
      <c r="C829" s="3"/>
      <c r="D829" s="3"/>
      <c r="E829" s="3"/>
      <c r="F829" s="4"/>
    </row>
    <row r="830" spans="2:6" ht="12" customHeight="1" x14ac:dyDescent="0.15">
      <c r="B830" s="2"/>
      <c r="C830" s="3"/>
      <c r="D830" s="3"/>
      <c r="E830" s="3"/>
      <c r="F830" s="4"/>
    </row>
    <row r="831" spans="2:6" ht="12" customHeight="1" x14ac:dyDescent="0.15">
      <c r="B831" s="2"/>
      <c r="C831" s="3"/>
      <c r="D831" s="3"/>
      <c r="E831" s="3"/>
      <c r="F831" s="4"/>
    </row>
    <row r="832" spans="2:6" ht="12" customHeight="1" x14ac:dyDescent="0.15">
      <c r="B832" s="2"/>
      <c r="C832" s="3"/>
      <c r="D832" s="3"/>
      <c r="E832" s="3"/>
      <c r="F832" s="4"/>
    </row>
    <row r="833" spans="2:6" ht="12" customHeight="1" x14ac:dyDescent="0.15">
      <c r="B833" s="2"/>
      <c r="C833" s="3"/>
      <c r="D833" s="3"/>
      <c r="E833" s="3"/>
      <c r="F833" s="4"/>
    </row>
    <row r="834" spans="2:6" ht="12" customHeight="1" x14ac:dyDescent="0.15">
      <c r="B834" s="2"/>
      <c r="C834" s="3"/>
      <c r="D834" s="3"/>
      <c r="E834" s="3"/>
      <c r="F834" s="4"/>
    </row>
    <row r="835" spans="2:6" ht="12" customHeight="1" x14ac:dyDescent="0.15">
      <c r="B835" s="2"/>
      <c r="C835" s="3"/>
      <c r="D835" s="3"/>
      <c r="E835" s="3"/>
      <c r="F835" s="4"/>
    </row>
    <row r="836" spans="2:6" ht="12" customHeight="1" x14ac:dyDescent="0.15">
      <c r="B836" s="2"/>
      <c r="C836" s="3"/>
      <c r="D836" s="3"/>
      <c r="E836" s="3"/>
      <c r="F836" s="4"/>
    </row>
    <row r="837" spans="2:6" ht="12" customHeight="1" x14ac:dyDescent="0.15">
      <c r="B837" s="2"/>
      <c r="C837" s="3"/>
      <c r="D837" s="3"/>
      <c r="E837" s="3"/>
      <c r="F837" s="4"/>
    </row>
    <row r="838" spans="2:6" ht="12" customHeight="1" x14ac:dyDescent="0.15">
      <c r="B838" s="2"/>
      <c r="C838" s="3"/>
      <c r="D838" s="3"/>
      <c r="E838" s="3"/>
      <c r="F838" s="4"/>
    </row>
    <row r="839" spans="2:6" ht="12" customHeight="1" x14ac:dyDescent="0.15">
      <c r="B839" s="2"/>
      <c r="C839" s="3"/>
      <c r="D839" s="3"/>
      <c r="E839" s="3"/>
      <c r="F839" s="4"/>
    </row>
    <row r="840" spans="2:6" ht="12" customHeight="1" x14ac:dyDescent="0.15">
      <c r="B840" s="2"/>
      <c r="C840" s="3"/>
      <c r="D840" s="3"/>
      <c r="E840" s="3"/>
      <c r="F840" s="4"/>
    </row>
    <row r="841" spans="2:6" ht="12" customHeight="1" x14ac:dyDescent="0.15">
      <c r="B841" s="2"/>
      <c r="C841" s="3"/>
      <c r="D841" s="3"/>
      <c r="E841" s="3"/>
      <c r="F841" s="4"/>
    </row>
    <row r="842" spans="2:6" ht="12" customHeight="1" x14ac:dyDescent="0.15">
      <c r="B842" s="2"/>
      <c r="C842" s="3"/>
      <c r="D842" s="3"/>
      <c r="E842" s="3"/>
      <c r="F842" s="4"/>
    </row>
    <row r="843" spans="2:6" ht="12" customHeight="1" x14ac:dyDescent="0.15">
      <c r="B843" s="2"/>
      <c r="C843" s="3"/>
      <c r="D843" s="3"/>
      <c r="E843" s="3"/>
      <c r="F843" s="4"/>
    </row>
    <row r="844" spans="2:6" ht="12" customHeight="1" x14ac:dyDescent="0.15">
      <c r="B844" s="2"/>
      <c r="C844" s="3"/>
      <c r="D844" s="3"/>
      <c r="E844" s="3"/>
      <c r="F844" s="4"/>
    </row>
    <row r="845" spans="2:6" ht="12" customHeight="1" x14ac:dyDescent="0.15">
      <c r="B845" s="2"/>
      <c r="C845" s="3"/>
      <c r="D845" s="3"/>
      <c r="E845" s="3"/>
      <c r="F845" s="4"/>
    </row>
    <row r="846" spans="2:6" ht="12" customHeight="1" x14ac:dyDescent="0.15">
      <c r="B846" s="2"/>
      <c r="C846" s="3"/>
      <c r="D846" s="3"/>
      <c r="E846" s="3"/>
      <c r="F846" s="4"/>
    </row>
    <row r="847" spans="2:6" ht="12" customHeight="1" x14ac:dyDescent="0.15">
      <c r="B847" s="2"/>
      <c r="C847" s="3"/>
      <c r="D847" s="3"/>
      <c r="E847" s="3"/>
      <c r="F847" s="4"/>
    </row>
    <row r="848" spans="2:6" ht="12" customHeight="1" x14ac:dyDescent="0.15">
      <c r="B848" s="2"/>
      <c r="C848" s="3"/>
      <c r="D848" s="3"/>
      <c r="E848" s="3"/>
      <c r="F848" s="4"/>
    </row>
    <row r="849" spans="2:6" ht="12" customHeight="1" x14ac:dyDescent="0.15">
      <c r="B849" s="2"/>
      <c r="C849" s="3"/>
      <c r="D849" s="3"/>
      <c r="E849" s="3"/>
      <c r="F849" s="4"/>
    </row>
    <row r="850" spans="2:6" ht="12" customHeight="1" x14ac:dyDescent="0.15">
      <c r="B850" s="2"/>
      <c r="C850" s="3"/>
      <c r="D850" s="3"/>
      <c r="E850" s="3"/>
      <c r="F850" s="4"/>
    </row>
    <row r="851" spans="2:6" ht="12" customHeight="1" x14ac:dyDescent="0.15">
      <c r="B851" s="2"/>
      <c r="C851" s="3"/>
      <c r="D851" s="3"/>
      <c r="E851" s="3"/>
      <c r="F851" s="4"/>
    </row>
    <row r="852" spans="2:6" ht="12" customHeight="1" x14ac:dyDescent="0.15">
      <c r="B852" s="2"/>
      <c r="C852" s="3"/>
      <c r="D852" s="3"/>
      <c r="E852" s="3"/>
      <c r="F852" s="4"/>
    </row>
    <row r="853" spans="2:6" ht="12" customHeight="1" x14ac:dyDescent="0.15">
      <c r="B853" s="2"/>
      <c r="C853" s="3"/>
      <c r="D853" s="3"/>
      <c r="E853" s="3"/>
      <c r="F853" s="4"/>
    </row>
    <row r="854" spans="2:6" ht="12" customHeight="1" x14ac:dyDescent="0.15">
      <c r="B854" s="2"/>
      <c r="C854" s="3"/>
      <c r="D854" s="3"/>
      <c r="E854" s="3"/>
      <c r="F854" s="4"/>
    </row>
    <row r="855" spans="2:6" ht="12" customHeight="1" x14ac:dyDescent="0.15">
      <c r="B855" s="2"/>
      <c r="C855" s="3"/>
      <c r="D855" s="3"/>
      <c r="E855" s="3"/>
      <c r="F855" s="4"/>
    </row>
    <row r="856" spans="2:6" ht="12" customHeight="1" x14ac:dyDescent="0.15">
      <c r="B856" s="2"/>
      <c r="C856" s="3"/>
      <c r="D856" s="3"/>
      <c r="E856" s="3"/>
      <c r="F856" s="4"/>
    </row>
    <row r="857" spans="2:6" ht="12" customHeight="1" x14ac:dyDescent="0.15">
      <c r="B857" s="2"/>
      <c r="C857" s="3"/>
      <c r="D857" s="3"/>
      <c r="E857" s="3"/>
      <c r="F857" s="4"/>
    </row>
    <row r="858" spans="2:6" ht="12" customHeight="1" x14ac:dyDescent="0.15">
      <c r="B858" s="2"/>
      <c r="C858" s="3"/>
      <c r="D858" s="3"/>
      <c r="E858" s="3"/>
      <c r="F858" s="4"/>
    </row>
    <row r="859" spans="2:6" ht="12" customHeight="1" x14ac:dyDescent="0.15">
      <c r="B859" s="2"/>
      <c r="C859" s="3"/>
      <c r="D859" s="3"/>
      <c r="E859" s="3"/>
      <c r="F859" s="4"/>
    </row>
    <row r="860" spans="2:6" ht="12" customHeight="1" x14ac:dyDescent="0.15">
      <c r="B860" s="2"/>
      <c r="C860" s="3"/>
      <c r="D860" s="3"/>
      <c r="E860" s="3"/>
      <c r="F860" s="4"/>
    </row>
    <row r="861" spans="2:6" ht="12" customHeight="1" x14ac:dyDescent="0.15">
      <c r="B861" s="2"/>
      <c r="C861" s="3"/>
      <c r="D861" s="3"/>
      <c r="E861" s="3"/>
      <c r="F861" s="4"/>
    </row>
    <row r="862" spans="2:6" ht="12" customHeight="1" x14ac:dyDescent="0.15">
      <c r="B862" s="2"/>
      <c r="C862" s="3"/>
      <c r="D862" s="3"/>
      <c r="E862" s="3"/>
      <c r="F862" s="4"/>
    </row>
    <row r="863" spans="2:6" ht="12" customHeight="1" x14ac:dyDescent="0.15">
      <c r="B863" s="2"/>
      <c r="C863" s="3"/>
      <c r="D863" s="3"/>
      <c r="E863" s="3"/>
      <c r="F863" s="4"/>
    </row>
    <row r="864" spans="2:6" ht="12" customHeight="1" x14ac:dyDescent="0.15">
      <c r="B864" s="2"/>
      <c r="C864" s="3"/>
      <c r="D864" s="3"/>
      <c r="E864" s="3"/>
      <c r="F864" s="4"/>
    </row>
    <row r="865" spans="2:6" ht="12" customHeight="1" x14ac:dyDescent="0.15">
      <c r="B865" s="2"/>
      <c r="C865" s="3"/>
      <c r="D865" s="3"/>
      <c r="E865" s="3"/>
      <c r="F865" s="4"/>
    </row>
    <row r="866" spans="2:6" ht="12" customHeight="1" x14ac:dyDescent="0.15">
      <c r="B866" s="2"/>
      <c r="C866" s="3"/>
      <c r="D866" s="3"/>
      <c r="E866" s="3"/>
      <c r="F866" s="4"/>
    </row>
    <row r="867" spans="2:6" ht="12" customHeight="1" x14ac:dyDescent="0.15">
      <c r="B867" s="2"/>
      <c r="C867" s="3"/>
      <c r="D867" s="3"/>
      <c r="E867" s="3"/>
      <c r="F867" s="4"/>
    </row>
    <row r="868" spans="2:6" ht="12" customHeight="1" x14ac:dyDescent="0.15">
      <c r="B868" s="2"/>
      <c r="C868" s="3"/>
      <c r="D868" s="3"/>
      <c r="E868" s="3"/>
      <c r="F868" s="4"/>
    </row>
    <row r="869" spans="2:6" ht="12" customHeight="1" x14ac:dyDescent="0.15">
      <c r="B869" s="2"/>
      <c r="C869" s="3"/>
      <c r="D869" s="3"/>
      <c r="E869" s="3"/>
      <c r="F869" s="4"/>
    </row>
    <row r="870" spans="2:6" ht="12" customHeight="1" x14ac:dyDescent="0.15">
      <c r="B870" s="2"/>
      <c r="C870" s="3"/>
      <c r="D870" s="3"/>
      <c r="E870" s="3"/>
      <c r="F870" s="4"/>
    </row>
    <row r="871" spans="2:6" ht="12" customHeight="1" x14ac:dyDescent="0.15">
      <c r="B871" s="2"/>
      <c r="C871" s="3"/>
      <c r="D871" s="3"/>
      <c r="E871" s="3"/>
      <c r="F871" s="4"/>
    </row>
    <row r="872" spans="2:6" ht="12" customHeight="1" x14ac:dyDescent="0.15">
      <c r="B872" s="2"/>
      <c r="C872" s="3"/>
      <c r="D872" s="3"/>
      <c r="E872" s="3"/>
      <c r="F872" s="4"/>
    </row>
    <row r="873" spans="2:6" ht="12" customHeight="1" x14ac:dyDescent="0.15">
      <c r="B873" s="2"/>
      <c r="C873" s="3"/>
      <c r="D873" s="3"/>
      <c r="E873" s="3"/>
      <c r="F873" s="4"/>
    </row>
    <row r="874" spans="2:6" ht="12" customHeight="1" x14ac:dyDescent="0.15">
      <c r="B874" s="2"/>
      <c r="C874" s="3"/>
      <c r="D874" s="3"/>
      <c r="E874" s="3"/>
      <c r="F874" s="4"/>
    </row>
    <row r="875" spans="2:6" ht="12" customHeight="1" x14ac:dyDescent="0.15">
      <c r="B875" s="2"/>
      <c r="C875" s="3"/>
      <c r="D875" s="3"/>
      <c r="E875" s="3"/>
      <c r="F875" s="4"/>
    </row>
    <row r="876" spans="2:6" ht="12" customHeight="1" x14ac:dyDescent="0.15">
      <c r="B876" s="2"/>
      <c r="C876" s="3"/>
      <c r="D876" s="3"/>
      <c r="E876" s="3"/>
      <c r="F876" s="4"/>
    </row>
    <row r="877" spans="2:6" ht="12" customHeight="1" x14ac:dyDescent="0.15">
      <c r="B877" s="2"/>
      <c r="C877" s="3"/>
      <c r="D877" s="3"/>
      <c r="E877" s="3"/>
      <c r="F877" s="4"/>
    </row>
    <row r="878" spans="2:6" ht="12" customHeight="1" x14ac:dyDescent="0.15">
      <c r="B878" s="2"/>
      <c r="C878" s="3"/>
      <c r="D878" s="3"/>
      <c r="E878" s="3"/>
      <c r="F878" s="4"/>
    </row>
    <row r="879" spans="2:6" ht="12" customHeight="1" x14ac:dyDescent="0.15">
      <c r="B879" s="2"/>
      <c r="C879" s="3"/>
      <c r="D879" s="3"/>
      <c r="E879" s="3"/>
      <c r="F879" s="4"/>
    </row>
    <row r="880" spans="2:6" ht="12" customHeight="1" x14ac:dyDescent="0.15">
      <c r="B880" s="2"/>
      <c r="C880" s="3"/>
      <c r="D880" s="3"/>
      <c r="E880" s="3"/>
      <c r="F880" s="4"/>
    </row>
    <row r="881" spans="2:6" ht="12" customHeight="1" x14ac:dyDescent="0.15">
      <c r="B881" s="2"/>
      <c r="C881" s="3"/>
      <c r="D881" s="3"/>
      <c r="E881" s="3"/>
      <c r="F881" s="4"/>
    </row>
    <row r="882" spans="2:6" ht="12" customHeight="1" x14ac:dyDescent="0.15">
      <c r="B882" s="2"/>
      <c r="C882" s="3"/>
      <c r="D882" s="3"/>
      <c r="E882" s="3"/>
      <c r="F882" s="4"/>
    </row>
    <row r="883" spans="2:6" ht="12" customHeight="1" x14ac:dyDescent="0.15">
      <c r="B883" s="2"/>
      <c r="C883" s="3"/>
      <c r="D883" s="3"/>
      <c r="E883" s="3"/>
      <c r="F883" s="4"/>
    </row>
    <row r="884" spans="2:6" ht="12" customHeight="1" x14ac:dyDescent="0.15">
      <c r="B884" s="2"/>
      <c r="C884" s="3"/>
      <c r="D884" s="3"/>
      <c r="E884" s="3"/>
      <c r="F884" s="4"/>
    </row>
    <row r="885" spans="2:6" ht="12" customHeight="1" x14ac:dyDescent="0.15">
      <c r="B885" s="2"/>
      <c r="C885" s="3"/>
      <c r="D885" s="3"/>
      <c r="E885" s="3"/>
      <c r="F885" s="4"/>
    </row>
    <row r="886" spans="2:6" ht="12" customHeight="1" x14ac:dyDescent="0.15">
      <c r="B886" s="2"/>
      <c r="C886" s="3"/>
      <c r="D886" s="3"/>
      <c r="E886" s="3"/>
      <c r="F886" s="4"/>
    </row>
    <row r="887" spans="2:6" ht="12" customHeight="1" x14ac:dyDescent="0.15">
      <c r="B887" s="2"/>
      <c r="C887" s="3"/>
      <c r="D887" s="3"/>
      <c r="E887" s="3"/>
      <c r="F887" s="4"/>
    </row>
    <row r="888" spans="2:6" ht="12" customHeight="1" x14ac:dyDescent="0.15">
      <c r="B888" s="2"/>
      <c r="C888" s="3"/>
      <c r="D888" s="3"/>
      <c r="E888" s="3"/>
      <c r="F888" s="4"/>
    </row>
    <row r="889" spans="2:6" ht="12" customHeight="1" x14ac:dyDescent="0.15">
      <c r="B889" s="2"/>
      <c r="C889" s="3"/>
      <c r="D889" s="3"/>
      <c r="E889" s="3"/>
      <c r="F889" s="4"/>
    </row>
    <row r="890" spans="2:6" ht="12" customHeight="1" x14ac:dyDescent="0.15">
      <c r="B890" s="2"/>
      <c r="C890" s="3"/>
      <c r="D890" s="3"/>
      <c r="E890" s="3"/>
      <c r="F890" s="4"/>
    </row>
    <row r="891" spans="2:6" ht="12" customHeight="1" x14ac:dyDescent="0.15">
      <c r="B891" s="2"/>
      <c r="C891" s="3"/>
      <c r="D891" s="3"/>
      <c r="E891" s="3"/>
      <c r="F891" s="4"/>
    </row>
    <row r="892" spans="2:6" ht="12" customHeight="1" x14ac:dyDescent="0.15">
      <c r="B892" s="2"/>
      <c r="C892" s="3"/>
      <c r="D892" s="3"/>
      <c r="E892" s="3"/>
      <c r="F892" s="4"/>
    </row>
    <row r="893" spans="2:6" ht="12" customHeight="1" x14ac:dyDescent="0.15">
      <c r="B893" s="2"/>
      <c r="C893" s="3"/>
      <c r="D893" s="3"/>
      <c r="E893" s="3"/>
      <c r="F893" s="4"/>
    </row>
    <row r="894" spans="2:6" ht="12" customHeight="1" x14ac:dyDescent="0.15">
      <c r="B894" s="2"/>
      <c r="C894" s="3"/>
      <c r="D894" s="3"/>
      <c r="E894" s="3"/>
      <c r="F894" s="4"/>
    </row>
    <row r="895" spans="2:6" ht="12" customHeight="1" x14ac:dyDescent="0.15">
      <c r="B895" s="2"/>
      <c r="C895" s="3"/>
      <c r="D895" s="3"/>
      <c r="E895" s="3"/>
      <c r="F895" s="4"/>
    </row>
    <row r="896" spans="2:6" ht="12" customHeight="1" x14ac:dyDescent="0.15">
      <c r="B896" s="2"/>
      <c r="C896" s="3"/>
      <c r="D896" s="3"/>
      <c r="E896" s="3"/>
      <c r="F896" s="4"/>
    </row>
    <row r="897" spans="2:6" ht="12" customHeight="1" x14ac:dyDescent="0.15">
      <c r="B897" s="2"/>
      <c r="C897" s="3"/>
      <c r="D897" s="3"/>
      <c r="E897" s="3"/>
      <c r="F897" s="4"/>
    </row>
    <row r="898" spans="2:6" ht="12" customHeight="1" x14ac:dyDescent="0.15">
      <c r="B898" s="2"/>
      <c r="C898" s="3"/>
      <c r="D898" s="3"/>
      <c r="E898" s="3"/>
      <c r="F898" s="4"/>
    </row>
    <row r="899" spans="2:6" ht="12" customHeight="1" x14ac:dyDescent="0.15">
      <c r="B899" s="2"/>
      <c r="C899" s="3"/>
      <c r="D899" s="3"/>
      <c r="E899" s="3"/>
      <c r="F899" s="4"/>
    </row>
    <row r="900" spans="2:6" ht="12" customHeight="1" x14ac:dyDescent="0.15">
      <c r="B900" s="2"/>
      <c r="C900" s="3"/>
      <c r="D900" s="3"/>
      <c r="E900" s="3"/>
      <c r="F900" s="4"/>
    </row>
    <row r="901" spans="2:6" ht="12" customHeight="1" x14ac:dyDescent="0.15">
      <c r="B901" s="2"/>
      <c r="C901" s="3"/>
      <c r="D901" s="3"/>
      <c r="E901" s="3"/>
      <c r="F901" s="4"/>
    </row>
    <row r="902" spans="2:6" ht="12" customHeight="1" x14ac:dyDescent="0.15">
      <c r="B902" s="2"/>
      <c r="C902" s="3"/>
      <c r="D902" s="3"/>
      <c r="E902" s="3"/>
      <c r="F902" s="4"/>
    </row>
    <row r="903" spans="2:6" ht="12" customHeight="1" x14ac:dyDescent="0.15">
      <c r="B903" s="2"/>
      <c r="C903" s="3"/>
      <c r="D903" s="3"/>
      <c r="E903" s="3"/>
      <c r="F903" s="4"/>
    </row>
    <row r="904" spans="2:6" ht="12" customHeight="1" x14ac:dyDescent="0.15">
      <c r="B904" s="2"/>
      <c r="C904" s="3"/>
      <c r="D904" s="3"/>
      <c r="E904" s="3"/>
      <c r="F904" s="4"/>
    </row>
    <row r="905" spans="2:6" ht="12" customHeight="1" x14ac:dyDescent="0.15">
      <c r="B905" s="2"/>
      <c r="C905" s="3"/>
      <c r="D905" s="3"/>
      <c r="E905" s="3"/>
      <c r="F905" s="4"/>
    </row>
    <row r="906" spans="2:6" ht="12" customHeight="1" x14ac:dyDescent="0.15">
      <c r="B906" s="2"/>
      <c r="C906" s="3"/>
      <c r="D906" s="3"/>
      <c r="E906" s="3"/>
      <c r="F906" s="4"/>
    </row>
    <row r="907" spans="2:6" ht="12" customHeight="1" x14ac:dyDescent="0.15">
      <c r="B907" s="2"/>
      <c r="C907" s="3"/>
      <c r="D907" s="3"/>
      <c r="E907" s="3"/>
      <c r="F907" s="4"/>
    </row>
    <row r="908" spans="2:6" ht="12" customHeight="1" x14ac:dyDescent="0.15">
      <c r="B908" s="2"/>
      <c r="C908" s="3"/>
      <c r="D908" s="3"/>
      <c r="E908" s="3"/>
      <c r="F908" s="4"/>
    </row>
    <row r="909" spans="2:6" ht="12" customHeight="1" x14ac:dyDescent="0.15">
      <c r="B909" s="2"/>
      <c r="C909" s="3"/>
      <c r="D909" s="3"/>
      <c r="E909" s="3"/>
      <c r="F909" s="4"/>
    </row>
    <row r="910" spans="2:6" ht="12" customHeight="1" x14ac:dyDescent="0.15">
      <c r="B910" s="2"/>
      <c r="C910" s="3"/>
      <c r="D910" s="3"/>
      <c r="E910" s="3"/>
      <c r="F910" s="4"/>
    </row>
    <row r="911" spans="2:6" ht="12" customHeight="1" x14ac:dyDescent="0.15">
      <c r="B911" s="2"/>
      <c r="C911" s="3"/>
      <c r="D911" s="3"/>
      <c r="E911" s="3"/>
      <c r="F911" s="4"/>
    </row>
    <row r="912" spans="2:6" ht="12" customHeight="1" x14ac:dyDescent="0.15">
      <c r="B912" s="2"/>
      <c r="C912" s="3"/>
      <c r="D912" s="3"/>
      <c r="E912" s="3"/>
      <c r="F912" s="4"/>
    </row>
    <row r="913" spans="2:6" ht="12" customHeight="1" x14ac:dyDescent="0.15">
      <c r="B913" s="2"/>
      <c r="C913" s="3"/>
      <c r="D913" s="3"/>
      <c r="E913" s="3"/>
      <c r="F913" s="4"/>
    </row>
    <row r="914" spans="2:6" ht="12" customHeight="1" x14ac:dyDescent="0.15">
      <c r="B914" s="2"/>
      <c r="C914" s="3"/>
      <c r="D914" s="3"/>
      <c r="E914" s="3"/>
      <c r="F914" s="4"/>
    </row>
    <row r="915" spans="2:6" ht="12" customHeight="1" x14ac:dyDescent="0.15">
      <c r="B915" s="2"/>
      <c r="C915" s="3"/>
      <c r="D915" s="3"/>
      <c r="E915" s="3"/>
      <c r="F915" s="4"/>
    </row>
    <row r="916" spans="2:6" ht="12" customHeight="1" x14ac:dyDescent="0.15">
      <c r="B916" s="2"/>
      <c r="C916" s="3"/>
      <c r="D916" s="3"/>
      <c r="E916" s="3"/>
      <c r="F916" s="4"/>
    </row>
    <row r="917" spans="2:6" ht="12" customHeight="1" x14ac:dyDescent="0.15">
      <c r="B917" s="2"/>
      <c r="C917" s="3"/>
      <c r="D917" s="3"/>
      <c r="E917" s="3"/>
      <c r="F917" s="4"/>
    </row>
    <row r="918" spans="2:6" ht="12" customHeight="1" x14ac:dyDescent="0.15">
      <c r="B918" s="2"/>
      <c r="C918" s="3"/>
      <c r="D918" s="3"/>
      <c r="E918" s="3"/>
      <c r="F918" s="4"/>
    </row>
    <row r="919" spans="2:6" ht="12" customHeight="1" x14ac:dyDescent="0.15">
      <c r="B919" s="2"/>
      <c r="C919" s="3"/>
      <c r="D919" s="3"/>
      <c r="E919" s="3"/>
      <c r="F919" s="4"/>
    </row>
    <row r="920" spans="2:6" ht="12" customHeight="1" x14ac:dyDescent="0.15">
      <c r="B920" s="2"/>
      <c r="C920" s="3"/>
      <c r="D920" s="3"/>
      <c r="E920" s="3"/>
      <c r="F920" s="4"/>
    </row>
    <row r="921" spans="2:6" ht="12" customHeight="1" x14ac:dyDescent="0.15">
      <c r="B921" s="2"/>
      <c r="C921" s="3"/>
      <c r="D921" s="3"/>
      <c r="E921" s="3"/>
      <c r="F921" s="4"/>
    </row>
    <row r="922" spans="2:6" ht="12" customHeight="1" x14ac:dyDescent="0.15">
      <c r="B922" s="2"/>
      <c r="C922" s="3"/>
      <c r="D922" s="3"/>
      <c r="E922" s="3"/>
      <c r="F922" s="4"/>
    </row>
    <row r="923" spans="2:6" ht="12" customHeight="1" x14ac:dyDescent="0.15">
      <c r="B923" s="2"/>
      <c r="C923" s="3"/>
      <c r="D923" s="3"/>
      <c r="E923" s="3"/>
      <c r="F923" s="4"/>
    </row>
    <row r="924" spans="2:6" ht="12" customHeight="1" x14ac:dyDescent="0.15">
      <c r="B924" s="2"/>
      <c r="C924" s="3"/>
      <c r="D924" s="3"/>
      <c r="E924" s="3"/>
      <c r="F924" s="4"/>
    </row>
    <row r="925" spans="2:6" ht="12" customHeight="1" x14ac:dyDescent="0.15">
      <c r="B925" s="2"/>
      <c r="C925" s="3"/>
      <c r="D925" s="3"/>
      <c r="E925" s="3"/>
      <c r="F925" s="4"/>
    </row>
    <row r="926" spans="2:6" ht="12" customHeight="1" x14ac:dyDescent="0.15">
      <c r="B926" s="2"/>
      <c r="C926" s="3"/>
      <c r="D926" s="3"/>
      <c r="E926" s="3"/>
      <c r="F926" s="4"/>
    </row>
    <row r="927" spans="2:6" ht="12" customHeight="1" x14ac:dyDescent="0.15">
      <c r="B927" s="2"/>
      <c r="C927" s="3"/>
      <c r="D927" s="3"/>
      <c r="E927" s="3"/>
      <c r="F927" s="4"/>
    </row>
    <row r="928" spans="2:6" ht="12" customHeight="1" x14ac:dyDescent="0.15">
      <c r="B928" s="2"/>
      <c r="C928" s="3"/>
      <c r="D928" s="3"/>
      <c r="E928" s="3"/>
      <c r="F928" s="4"/>
    </row>
    <row r="929" spans="2:6" ht="12" customHeight="1" x14ac:dyDescent="0.15">
      <c r="B929" s="2"/>
      <c r="C929" s="3"/>
      <c r="D929" s="3"/>
      <c r="E929" s="3"/>
      <c r="F929" s="4"/>
    </row>
    <row r="930" spans="2:6" ht="12" customHeight="1" x14ac:dyDescent="0.15">
      <c r="B930" s="2"/>
      <c r="C930" s="3"/>
      <c r="D930" s="3"/>
      <c r="E930" s="3"/>
      <c r="F930" s="4"/>
    </row>
    <row r="931" spans="2:6" ht="12" customHeight="1" x14ac:dyDescent="0.15">
      <c r="B931" s="2"/>
      <c r="C931" s="3"/>
      <c r="D931" s="3"/>
      <c r="E931" s="3"/>
      <c r="F931" s="4"/>
    </row>
    <row r="932" spans="2:6" ht="12" customHeight="1" x14ac:dyDescent="0.15">
      <c r="B932" s="2"/>
      <c r="C932" s="3"/>
      <c r="D932" s="3"/>
      <c r="E932" s="3"/>
      <c r="F932" s="4"/>
    </row>
    <row r="933" spans="2:6" ht="12" customHeight="1" x14ac:dyDescent="0.15">
      <c r="B933" s="2"/>
      <c r="C933" s="3"/>
      <c r="D933" s="3"/>
      <c r="E933" s="3"/>
      <c r="F933" s="4"/>
    </row>
    <row r="934" spans="2:6" ht="12" customHeight="1" x14ac:dyDescent="0.15">
      <c r="B934" s="2"/>
      <c r="C934" s="3"/>
      <c r="D934" s="3"/>
      <c r="E934" s="3"/>
      <c r="F934" s="4"/>
    </row>
    <row r="935" spans="2:6" ht="12" customHeight="1" x14ac:dyDescent="0.15">
      <c r="B935" s="2"/>
      <c r="C935" s="3"/>
      <c r="D935" s="3"/>
      <c r="E935" s="3"/>
      <c r="F935" s="4"/>
    </row>
    <row r="936" spans="2:6" ht="12" customHeight="1" x14ac:dyDescent="0.15">
      <c r="B936" s="2"/>
      <c r="C936" s="3"/>
      <c r="D936" s="3"/>
      <c r="E936" s="3"/>
      <c r="F936" s="4"/>
    </row>
    <row r="937" spans="2:6" ht="12" customHeight="1" x14ac:dyDescent="0.15">
      <c r="B937" s="2"/>
      <c r="C937" s="3"/>
      <c r="D937" s="3"/>
      <c r="E937" s="3"/>
      <c r="F937" s="4"/>
    </row>
    <row r="938" spans="2:6" ht="12" customHeight="1" x14ac:dyDescent="0.15">
      <c r="B938" s="2"/>
      <c r="C938" s="3"/>
      <c r="D938" s="3"/>
      <c r="E938" s="3"/>
      <c r="F938" s="4"/>
    </row>
    <row r="939" spans="2:6" ht="12" customHeight="1" x14ac:dyDescent="0.15">
      <c r="B939" s="2"/>
      <c r="C939" s="3"/>
      <c r="D939" s="3"/>
      <c r="E939" s="3"/>
      <c r="F939" s="4"/>
    </row>
    <row r="940" spans="2:6" ht="12" customHeight="1" x14ac:dyDescent="0.15">
      <c r="B940" s="2"/>
      <c r="C940" s="3"/>
      <c r="D940" s="3"/>
      <c r="E940" s="3"/>
      <c r="F940" s="4"/>
    </row>
    <row r="941" spans="2:6" ht="12" customHeight="1" x14ac:dyDescent="0.15">
      <c r="B941" s="2"/>
      <c r="C941" s="3"/>
      <c r="D941" s="3"/>
      <c r="E941" s="3"/>
      <c r="F941" s="4"/>
    </row>
    <row r="942" spans="2:6" ht="12" customHeight="1" x14ac:dyDescent="0.15">
      <c r="B942" s="2"/>
      <c r="C942" s="3"/>
      <c r="D942" s="3"/>
      <c r="E942" s="3"/>
      <c r="F942" s="4"/>
    </row>
    <row r="943" spans="2:6" ht="12" customHeight="1" x14ac:dyDescent="0.15">
      <c r="B943" s="2"/>
      <c r="C943" s="3"/>
      <c r="D943" s="3"/>
      <c r="E943" s="3"/>
      <c r="F943" s="4"/>
    </row>
    <row r="944" spans="2:6" ht="12" customHeight="1" x14ac:dyDescent="0.15">
      <c r="B944" s="2"/>
      <c r="C944" s="3"/>
      <c r="D944" s="3"/>
      <c r="E944" s="3"/>
      <c r="F944" s="4"/>
    </row>
    <row r="945" spans="2:6" ht="12" customHeight="1" x14ac:dyDescent="0.15">
      <c r="B945" s="2"/>
      <c r="C945" s="3"/>
      <c r="D945" s="3"/>
      <c r="E945" s="3"/>
      <c r="F945" s="4"/>
    </row>
    <row r="946" spans="2:6" ht="12" customHeight="1" x14ac:dyDescent="0.15">
      <c r="B946" s="2"/>
      <c r="C946" s="3"/>
      <c r="D946" s="3"/>
      <c r="E946" s="3"/>
      <c r="F946" s="4"/>
    </row>
    <row r="947" spans="2:6" ht="12" customHeight="1" x14ac:dyDescent="0.15">
      <c r="B947" s="2"/>
      <c r="C947" s="3"/>
      <c r="D947" s="3"/>
      <c r="E947" s="3"/>
      <c r="F947" s="4"/>
    </row>
    <row r="948" spans="2:6" ht="12" customHeight="1" x14ac:dyDescent="0.15">
      <c r="B948" s="2"/>
      <c r="C948" s="3"/>
      <c r="D948" s="3"/>
      <c r="E948" s="3"/>
      <c r="F948" s="4"/>
    </row>
    <row r="949" spans="2:6" ht="12" customHeight="1" x14ac:dyDescent="0.15">
      <c r="B949" s="2"/>
      <c r="C949" s="3"/>
      <c r="D949" s="3"/>
      <c r="E949" s="3"/>
      <c r="F949" s="4"/>
    </row>
    <row r="950" spans="2:6" ht="12" customHeight="1" x14ac:dyDescent="0.15">
      <c r="B950" s="2"/>
      <c r="C950" s="3"/>
      <c r="D950" s="3"/>
      <c r="E950" s="3"/>
      <c r="F950" s="4"/>
    </row>
    <row r="951" spans="2:6" ht="12" customHeight="1" x14ac:dyDescent="0.15">
      <c r="B951" s="2"/>
      <c r="C951" s="3"/>
      <c r="D951" s="3"/>
      <c r="E951" s="3"/>
      <c r="F951" s="4"/>
    </row>
    <row r="952" spans="2:6" ht="12" customHeight="1" x14ac:dyDescent="0.15">
      <c r="B952" s="2"/>
      <c r="C952" s="3"/>
      <c r="D952" s="3"/>
      <c r="E952" s="3"/>
      <c r="F952" s="4"/>
    </row>
    <row r="953" spans="2:6" ht="12" customHeight="1" x14ac:dyDescent="0.15">
      <c r="B953" s="2"/>
      <c r="C953" s="3"/>
      <c r="D953" s="3"/>
      <c r="E953" s="3"/>
      <c r="F953" s="4"/>
    </row>
    <row r="954" spans="2:6" ht="12" customHeight="1" x14ac:dyDescent="0.15">
      <c r="B954" s="2"/>
      <c r="C954" s="3"/>
      <c r="D954" s="3"/>
      <c r="E954" s="3"/>
      <c r="F954" s="4"/>
    </row>
    <row r="955" spans="2:6" ht="12" customHeight="1" x14ac:dyDescent="0.15">
      <c r="B955" s="2"/>
      <c r="C955" s="3"/>
      <c r="D955" s="3"/>
      <c r="E955" s="3"/>
      <c r="F955" s="4"/>
    </row>
    <row r="956" spans="2:6" ht="12" customHeight="1" x14ac:dyDescent="0.15">
      <c r="B956" s="2"/>
      <c r="C956" s="3"/>
      <c r="D956" s="3"/>
      <c r="E956" s="3"/>
      <c r="F956" s="4"/>
    </row>
    <row r="957" spans="2:6" ht="12" customHeight="1" x14ac:dyDescent="0.15">
      <c r="B957" s="2"/>
      <c r="C957" s="3"/>
      <c r="D957" s="3"/>
      <c r="E957" s="3"/>
      <c r="F957" s="4"/>
    </row>
    <row r="958" spans="2:6" ht="12" customHeight="1" x14ac:dyDescent="0.15">
      <c r="B958" s="2"/>
      <c r="C958" s="3"/>
      <c r="D958" s="3"/>
      <c r="E958" s="3"/>
      <c r="F958" s="4"/>
    </row>
    <row r="959" spans="2:6" ht="12" customHeight="1" x14ac:dyDescent="0.15">
      <c r="B959" s="2"/>
      <c r="C959" s="3"/>
      <c r="D959" s="3"/>
      <c r="E959" s="3"/>
      <c r="F959" s="4"/>
    </row>
    <row r="960" spans="2:6" ht="12" customHeight="1" x14ac:dyDescent="0.15">
      <c r="B960" s="2"/>
      <c r="C960" s="3"/>
      <c r="D960" s="3"/>
      <c r="E960" s="3"/>
      <c r="F960" s="4"/>
    </row>
    <row r="961" spans="2:6" ht="12" customHeight="1" x14ac:dyDescent="0.15">
      <c r="B961" s="2"/>
      <c r="C961" s="3"/>
      <c r="D961" s="3"/>
      <c r="E961" s="3"/>
      <c r="F961" s="4"/>
    </row>
    <row r="962" spans="2:6" ht="12" customHeight="1" x14ac:dyDescent="0.15">
      <c r="B962" s="2"/>
      <c r="C962" s="3"/>
      <c r="D962" s="3"/>
      <c r="E962" s="3"/>
      <c r="F962" s="4"/>
    </row>
    <row r="963" spans="2:6" ht="12" customHeight="1" x14ac:dyDescent="0.15">
      <c r="B963" s="2"/>
      <c r="C963" s="3"/>
      <c r="D963" s="3"/>
      <c r="E963" s="3"/>
      <c r="F963" s="4"/>
    </row>
    <row r="964" spans="2:6" ht="12" customHeight="1" x14ac:dyDescent="0.15">
      <c r="B964" s="2"/>
      <c r="C964" s="3"/>
      <c r="D964" s="3"/>
      <c r="E964" s="3"/>
      <c r="F964" s="4"/>
    </row>
    <row r="965" spans="2:6" ht="12" customHeight="1" x14ac:dyDescent="0.15">
      <c r="B965" s="2"/>
      <c r="C965" s="3"/>
      <c r="D965" s="3"/>
      <c r="E965" s="3"/>
      <c r="F965" s="4"/>
    </row>
    <row r="966" spans="2:6" ht="12" customHeight="1" x14ac:dyDescent="0.15">
      <c r="B966" s="2"/>
      <c r="C966" s="3"/>
      <c r="D966" s="3"/>
      <c r="E966" s="3"/>
      <c r="F966" s="4"/>
    </row>
    <row r="967" spans="2:6" ht="12" customHeight="1" x14ac:dyDescent="0.15">
      <c r="B967" s="2"/>
      <c r="C967" s="3"/>
      <c r="D967" s="3"/>
      <c r="E967" s="3"/>
      <c r="F967" s="4"/>
    </row>
    <row r="968" spans="2:6" ht="12" customHeight="1" x14ac:dyDescent="0.15">
      <c r="B968" s="2"/>
      <c r="C968" s="3"/>
      <c r="D968" s="3"/>
      <c r="E968" s="3"/>
      <c r="F968" s="4"/>
    </row>
    <row r="969" spans="2:6" ht="12" customHeight="1" x14ac:dyDescent="0.15">
      <c r="B969" s="2"/>
      <c r="C969" s="3"/>
      <c r="D969" s="3"/>
      <c r="E969" s="3"/>
      <c r="F969" s="4"/>
    </row>
    <row r="970" spans="2:6" ht="12" customHeight="1" x14ac:dyDescent="0.15">
      <c r="B970" s="2"/>
      <c r="C970" s="3"/>
      <c r="D970" s="3"/>
      <c r="E970" s="3"/>
      <c r="F970" s="4"/>
    </row>
    <row r="971" spans="2:6" ht="12" customHeight="1" x14ac:dyDescent="0.15">
      <c r="B971" s="2"/>
      <c r="C971" s="3"/>
      <c r="D971" s="3"/>
      <c r="E971" s="3"/>
      <c r="F971" s="4"/>
    </row>
    <row r="972" spans="2:6" ht="12" customHeight="1" x14ac:dyDescent="0.15">
      <c r="B972" s="2"/>
      <c r="C972" s="3"/>
      <c r="D972" s="3"/>
      <c r="E972" s="3"/>
      <c r="F972" s="4"/>
    </row>
    <row r="973" spans="2:6" ht="12" customHeight="1" x14ac:dyDescent="0.15">
      <c r="B973" s="2"/>
      <c r="C973" s="3"/>
      <c r="D973" s="3"/>
      <c r="E973" s="3"/>
      <c r="F973" s="4"/>
    </row>
    <row r="974" spans="2:6" ht="12" customHeight="1" x14ac:dyDescent="0.15">
      <c r="B974" s="2"/>
      <c r="C974" s="3"/>
      <c r="D974" s="3"/>
      <c r="E974" s="3"/>
      <c r="F974" s="4"/>
    </row>
    <row r="975" spans="2:6" ht="12" customHeight="1" x14ac:dyDescent="0.15">
      <c r="B975" s="2"/>
      <c r="C975" s="3"/>
      <c r="D975" s="3"/>
      <c r="E975" s="3"/>
      <c r="F975" s="4"/>
    </row>
    <row r="976" spans="2:6" ht="12" customHeight="1" x14ac:dyDescent="0.15">
      <c r="B976" s="2"/>
      <c r="C976" s="3"/>
      <c r="D976" s="3"/>
      <c r="E976" s="3"/>
      <c r="F976" s="4"/>
    </row>
    <row r="977" spans="2:6" ht="12" customHeight="1" x14ac:dyDescent="0.15">
      <c r="B977" s="2"/>
      <c r="C977" s="3"/>
      <c r="D977" s="3"/>
      <c r="E977" s="3"/>
      <c r="F977" s="4"/>
    </row>
    <row r="978" spans="2:6" ht="12" customHeight="1" x14ac:dyDescent="0.15">
      <c r="B978" s="2"/>
      <c r="C978" s="3"/>
      <c r="D978" s="3"/>
      <c r="E978" s="3"/>
      <c r="F978" s="4"/>
    </row>
    <row r="979" spans="2:6" ht="12" customHeight="1" x14ac:dyDescent="0.15">
      <c r="B979" s="2"/>
      <c r="C979" s="3"/>
      <c r="D979" s="3"/>
      <c r="E979" s="3"/>
      <c r="F979" s="4"/>
    </row>
    <row r="980" spans="2:6" ht="12" customHeight="1" x14ac:dyDescent="0.15">
      <c r="B980" s="2"/>
      <c r="C980" s="3"/>
      <c r="D980" s="3"/>
      <c r="E980" s="3"/>
      <c r="F980" s="4"/>
    </row>
    <row r="981" spans="2:6" ht="12" customHeight="1" x14ac:dyDescent="0.15">
      <c r="B981" s="2"/>
      <c r="C981" s="3"/>
      <c r="D981" s="3"/>
      <c r="E981" s="3"/>
      <c r="F981" s="4"/>
    </row>
    <row r="982" spans="2:6" ht="12" customHeight="1" x14ac:dyDescent="0.15">
      <c r="B982" s="2"/>
      <c r="C982" s="3"/>
      <c r="D982" s="3"/>
      <c r="E982" s="3"/>
      <c r="F982" s="4"/>
    </row>
    <row r="983" spans="2:6" ht="12" customHeight="1" x14ac:dyDescent="0.15">
      <c r="B983" s="2"/>
      <c r="C983" s="3"/>
      <c r="D983" s="3"/>
      <c r="E983" s="3"/>
      <c r="F983" s="4"/>
    </row>
    <row r="984" spans="2:6" ht="12" customHeight="1" x14ac:dyDescent="0.15">
      <c r="B984" s="2"/>
      <c r="C984" s="3"/>
      <c r="D984" s="3"/>
      <c r="E984" s="3"/>
      <c r="F984" s="4"/>
    </row>
    <row r="985" spans="2:6" ht="12" customHeight="1" x14ac:dyDescent="0.15">
      <c r="B985" s="2"/>
      <c r="C985" s="3"/>
      <c r="D985" s="3"/>
      <c r="E985" s="3"/>
      <c r="F985" s="4"/>
    </row>
    <row r="986" spans="2:6" ht="12" customHeight="1" x14ac:dyDescent="0.15">
      <c r="B986" s="2"/>
      <c r="C986" s="3"/>
      <c r="D986" s="3"/>
      <c r="E986" s="3"/>
      <c r="F986" s="4"/>
    </row>
    <row r="987" spans="2:6" ht="12" customHeight="1" x14ac:dyDescent="0.15">
      <c r="B987" s="2"/>
      <c r="C987" s="3"/>
      <c r="D987" s="3"/>
      <c r="E987" s="3"/>
      <c r="F987" s="4"/>
    </row>
    <row r="988" spans="2:6" ht="12" customHeight="1" x14ac:dyDescent="0.15">
      <c r="B988" s="2"/>
      <c r="C988" s="3"/>
      <c r="D988" s="3"/>
      <c r="E988" s="3"/>
      <c r="F988" s="4"/>
    </row>
    <row r="989" spans="2:6" ht="12" customHeight="1" x14ac:dyDescent="0.15">
      <c r="B989" s="2"/>
      <c r="C989" s="3"/>
      <c r="D989" s="3"/>
      <c r="E989" s="3"/>
      <c r="F989" s="4"/>
    </row>
    <row r="990" spans="2:6" ht="12" customHeight="1" x14ac:dyDescent="0.15">
      <c r="B990" s="2"/>
      <c r="C990" s="3"/>
      <c r="D990" s="3"/>
      <c r="E990" s="3"/>
      <c r="F990" s="4"/>
    </row>
    <row r="991" spans="2:6" ht="12" customHeight="1" x14ac:dyDescent="0.15">
      <c r="B991" s="2"/>
      <c r="C991" s="3"/>
      <c r="D991" s="3"/>
      <c r="E991" s="3"/>
      <c r="F991" s="4"/>
    </row>
    <row r="992" spans="2:6" ht="12" customHeight="1" x14ac:dyDescent="0.15">
      <c r="B992" s="2"/>
      <c r="C992" s="3"/>
      <c r="D992" s="3"/>
      <c r="E992" s="3"/>
      <c r="F992" s="4"/>
    </row>
    <row r="993" spans="2:6" ht="12" customHeight="1" x14ac:dyDescent="0.15">
      <c r="B993" s="2"/>
      <c r="C993" s="3"/>
      <c r="D993" s="3"/>
      <c r="E993" s="3"/>
      <c r="F993" s="4"/>
    </row>
    <row r="994" spans="2:6" ht="12" customHeight="1" x14ac:dyDescent="0.15">
      <c r="B994" s="2"/>
      <c r="C994" s="3"/>
      <c r="D994" s="3"/>
      <c r="E994" s="3"/>
      <c r="F994" s="4"/>
    </row>
    <row r="995" spans="2:6" ht="12" customHeight="1" x14ac:dyDescent="0.15">
      <c r="B995" s="2"/>
      <c r="C995" s="3"/>
      <c r="D995" s="3"/>
      <c r="E995" s="3"/>
      <c r="F995" s="4"/>
    </row>
    <row r="996" spans="2:6" ht="12" customHeight="1" x14ac:dyDescent="0.15">
      <c r="B996" s="2"/>
      <c r="C996" s="3"/>
      <c r="D996" s="3"/>
      <c r="E996" s="3"/>
      <c r="F996" s="4"/>
    </row>
    <row r="997" spans="2:6" ht="12" customHeight="1" x14ac:dyDescent="0.15">
      <c r="B997" s="2"/>
      <c r="C997" s="3"/>
      <c r="D997" s="3"/>
      <c r="E997" s="3"/>
      <c r="F997" s="4"/>
    </row>
    <row r="998" spans="2:6" ht="12" customHeight="1" x14ac:dyDescent="0.15">
      <c r="B998" s="2"/>
      <c r="C998" s="3"/>
      <c r="D998" s="3"/>
      <c r="E998" s="3"/>
      <c r="F998" s="4"/>
    </row>
    <row r="999" spans="2:6" ht="12" customHeight="1" x14ac:dyDescent="0.15">
      <c r="B999" s="2"/>
      <c r="C999" s="3"/>
      <c r="D999" s="3"/>
      <c r="E999" s="3"/>
      <c r="F999" s="4"/>
    </row>
    <row r="1000" spans="2:6" ht="12" customHeight="1" x14ac:dyDescent="0.15">
      <c r="B1000" s="2"/>
      <c r="C1000" s="3"/>
      <c r="D1000" s="3"/>
      <c r="E1000" s="3"/>
      <c r="F1000" s="4"/>
    </row>
    <row r="1001" spans="2:6" ht="12" customHeight="1" x14ac:dyDescent="0.15">
      <c r="B1001" s="2"/>
      <c r="C1001" s="3"/>
      <c r="D1001" s="3"/>
      <c r="E1001" s="3"/>
      <c r="F1001" s="4"/>
    </row>
    <row r="1002" spans="2:6" ht="12" customHeight="1" x14ac:dyDescent="0.15">
      <c r="B1002" s="2"/>
      <c r="C1002" s="3"/>
      <c r="D1002" s="3"/>
      <c r="E1002" s="3"/>
      <c r="F1002" s="4"/>
    </row>
    <row r="1003" spans="2:6" ht="12" customHeight="1" x14ac:dyDescent="0.15">
      <c r="B1003" s="2"/>
      <c r="C1003" s="3"/>
      <c r="D1003" s="3"/>
      <c r="E1003" s="3"/>
      <c r="F1003" s="4"/>
    </row>
  </sheetData>
  <mergeCells count="2">
    <mergeCell ref="A1:F1"/>
    <mergeCell ref="D6:E6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/>
    <pageSetUpPr fitToPage="1"/>
  </sheetPr>
  <dimension ref="A1:Z1005"/>
  <sheetViews>
    <sheetView topLeftCell="A25" workbookViewId="0">
      <selection activeCell="A40" sqref="A40:XFD40"/>
    </sheetView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3" width="14.5" customWidth="1"/>
    <col min="4" max="4" width="13" customWidth="1"/>
    <col min="5" max="5" width="14.83203125" customWidth="1"/>
    <col min="6" max="6" width="13" customWidth="1"/>
    <col min="7" max="7" width="4.5" customWidth="1"/>
  </cols>
  <sheetData>
    <row r="1" spans="1:26" ht="54" customHeight="1" x14ac:dyDescent="0.15">
      <c r="A1" s="434"/>
      <c r="B1" s="435"/>
      <c r="C1" s="435"/>
      <c r="D1" s="435"/>
      <c r="E1" s="435"/>
      <c r="F1" s="435"/>
    </row>
    <row r="2" spans="1:26" ht="12" customHeight="1" x14ac:dyDescent="0.15">
      <c r="B2" s="2"/>
      <c r="C2" s="3"/>
      <c r="D2" s="3"/>
      <c r="E2" s="3"/>
      <c r="F2" s="4"/>
    </row>
    <row r="3" spans="1:26" ht="18.75" customHeight="1" x14ac:dyDescent="0.2">
      <c r="A3" s="5" t="s">
        <v>0</v>
      </c>
      <c r="C3" s="3"/>
      <c r="D3" s="3"/>
      <c r="E3" s="3"/>
      <c r="F3" s="4"/>
    </row>
    <row r="4" spans="1:26" ht="12" customHeight="1" x14ac:dyDescent="0.15">
      <c r="A4" s="2" t="s">
        <v>1</v>
      </c>
      <c r="C4" s="3"/>
      <c r="D4" s="3"/>
      <c r="E4" s="3"/>
      <c r="F4" s="4"/>
    </row>
    <row r="5" spans="1:26" ht="12" customHeight="1" x14ac:dyDescent="0.15">
      <c r="A5" s="2"/>
      <c r="B5" s="274" t="s">
        <v>440</v>
      </c>
      <c r="C5" s="3"/>
      <c r="D5" s="3"/>
      <c r="E5" s="3"/>
      <c r="F5" s="4"/>
    </row>
    <row r="6" spans="1:26" ht="12" customHeight="1" x14ac:dyDescent="0.15">
      <c r="A6" s="2"/>
      <c r="B6" s="275" t="s">
        <v>441</v>
      </c>
      <c r="C6" s="3"/>
      <c r="D6" s="438" t="s">
        <v>510</v>
      </c>
      <c r="E6" s="435"/>
      <c r="F6" s="4"/>
    </row>
    <row r="7" spans="1:26" ht="12" customHeight="1" x14ac:dyDescent="0.15">
      <c r="A7" s="2"/>
      <c r="B7" s="115" t="s">
        <v>442</v>
      </c>
      <c r="C7" s="3"/>
      <c r="D7" s="3"/>
      <c r="E7" s="3"/>
      <c r="F7" s="4"/>
    </row>
    <row r="8" spans="1:26" ht="12" customHeight="1" x14ac:dyDescent="0.15">
      <c r="B8" s="2"/>
      <c r="C8" s="3"/>
      <c r="D8" s="3"/>
      <c r="E8" s="3"/>
      <c r="F8" s="4"/>
    </row>
    <row r="9" spans="1:26" ht="12" customHeight="1" x14ac:dyDescent="0.15">
      <c r="B9" s="6"/>
      <c r="C9" s="3"/>
      <c r="D9" s="3"/>
      <c r="E9" s="3"/>
      <c r="F9" s="4"/>
      <c r="G9" s="277" t="s">
        <v>511</v>
      </c>
    </row>
    <row r="10" spans="1:26" ht="17.25" customHeight="1" x14ac:dyDescent="0.15">
      <c r="A10" s="8"/>
      <c r="B10" s="125" t="s">
        <v>363</v>
      </c>
      <c r="C10" s="126"/>
      <c r="D10" s="126"/>
      <c r="E10" s="126"/>
      <c r="F10" s="12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" customHeight="1" x14ac:dyDescent="0.15">
      <c r="B11" s="2"/>
      <c r="C11" s="3"/>
      <c r="D11" s="3"/>
      <c r="E11" s="3"/>
      <c r="F11" s="4"/>
    </row>
    <row r="12" spans="1:26" ht="15" customHeight="1" x14ac:dyDescent="0.15">
      <c r="A12" s="8"/>
      <c r="B12" s="278" t="s">
        <v>4</v>
      </c>
      <c r="C12" s="279" t="s">
        <v>5</v>
      </c>
      <c r="D12" s="279" t="s">
        <v>364</v>
      </c>
      <c r="E12" s="280" t="s">
        <v>365</v>
      </c>
      <c r="F12" s="280" t="s">
        <v>366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" hidden="1" customHeight="1" x14ac:dyDescent="0.15">
      <c r="A13" s="8"/>
      <c r="B13" s="281" t="s">
        <v>443</v>
      </c>
      <c r="C13" s="282">
        <v>45110</v>
      </c>
      <c r="D13" s="283"/>
      <c r="E13" s="283">
        <v>11424</v>
      </c>
      <c r="F13" s="284">
        <f>E13</f>
        <v>11424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" hidden="1" customHeight="1" x14ac:dyDescent="0.15">
      <c r="A14" s="8"/>
      <c r="B14" s="281" t="s">
        <v>443</v>
      </c>
      <c r="C14" s="282">
        <v>45117</v>
      </c>
      <c r="D14" s="283"/>
      <c r="E14" s="283">
        <v>5900</v>
      </c>
      <c r="F14" s="284">
        <f t="shared" ref="F14:F17" si="0">F13-D14+E14</f>
        <v>17324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" hidden="1" customHeight="1" x14ac:dyDescent="0.15">
      <c r="A15" s="8"/>
      <c r="B15" s="281" t="s">
        <v>443</v>
      </c>
      <c r="C15" s="282">
        <v>45203</v>
      </c>
      <c r="D15" s="283"/>
      <c r="E15" s="283">
        <v>48596</v>
      </c>
      <c r="F15" s="284">
        <f t="shared" si="0"/>
        <v>65920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" hidden="1" customHeight="1" x14ac:dyDescent="0.15">
      <c r="A16" s="8"/>
      <c r="B16" s="281" t="s">
        <v>443</v>
      </c>
      <c r="C16" s="282">
        <v>45252</v>
      </c>
      <c r="D16" s="283"/>
      <c r="E16" s="283">
        <v>147723.95000000001</v>
      </c>
      <c r="F16" s="284">
        <f t="shared" si="0"/>
        <v>213643.95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" customHeight="1" x14ac:dyDescent="0.15">
      <c r="A17" s="8"/>
      <c r="B17" s="330" t="s">
        <v>369</v>
      </c>
      <c r="C17" s="331">
        <v>45291</v>
      </c>
      <c r="D17" s="290"/>
      <c r="E17" s="290"/>
      <c r="F17" s="291">
        <f t="shared" si="0"/>
        <v>213643.95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" customHeight="1" x14ac:dyDescent="0.15">
      <c r="A18" s="8"/>
      <c r="B18" s="28" t="s">
        <v>370</v>
      </c>
      <c r="C18" s="332">
        <v>45321</v>
      </c>
      <c r="D18" s="283">
        <v>38949.11</v>
      </c>
      <c r="E18" s="283"/>
      <c r="F18" s="284">
        <f>F16-D18+E18</f>
        <v>174694.84000000003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" customHeight="1" x14ac:dyDescent="0.15">
      <c r="A19" s="8"/>
      <c r="B19" s="28" t="s">
        <v>373</v>
      </c>
      <c r="C19" s="282">
        <v>45335</v>
      </c>
      <c r="D19" s="283">
        <v>201971.36</v>
      </c>
      <c r="E19" s="283"/>
      <c r="F19" s="284">
        <f t="shared" ref="F19:F39" si="1">F18-D19+E19</f>
        <v>-27276.51999999996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" customHeight="1" x14ac:dyDescent="0.15">
      <c r="A20" s="8"/>
      <c r="B20" s="28" t="s">
        <v>374</v>
      </c>
      <c r="C20" s="282">
        <v>45335</v>
      </c>
      <c r="D20" s="283">
        <v>9999.01</v>
      </c>
      <c r="E20" s="283"/>
      <c r="F20" s="284">
        <f t="shared" si="1"/>
        <v>-37275.529999999962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" customHeight="1" x14ac:dyDescent="0.15">
      <c r="A21" s="8"/>
      <c r="B21" s="28" t="s">
        <v>375</v>
      </c>
      <c r="C21" s="282">
        <v>45336</v>
      </c>
      <c r="D21" s="283">
        <v>31199.27</v>
      </c>
      <c r="E21" s="283"/>
      <c r="F21" s="284">
        <f t="shared" si="1"/>
        <v>-68474.799999999959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" customHeight="1" x14ac:dyDescent="0.15">
      <c r="A22" s="8"/>
      <c r="B22" s="28" t="s">
        <v>376</v>
      </c>
      <c r="C22" s="282">
        <v>45336</v>
      </c>
      <c r="D22" s="283">
        <v>2499.75</v>
      </c>
      <c r="E22" s="283"/>
      <c r="F22" s="284">
        <f t="shared" si="1"/>
        <v>-70974.549999999959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" customHeight="1" x14ac:dyDescent="0.15">
      <c r="A23" s="8"/>
      <c r="B23" s="28" t="s">
        <v>443</v>
      </c>
      <c r="C23" s="282">
        <v>45338</v>
      </c>
      <c r="D23" s="283"/>
      <c r="E23" s="283">
        <v>44170.7</v>
      </c>
      <c r="F23" s="284">
        <f t="shared" si="1"/>
        <v>-26803.849999999962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" customHeight="1" x14ac:dyDescent="0.15">
      <c r="A24" s="8"/>
      <c r="B24" s="28" t="s">
        <v>444</v>
      </c>
      <c r="C24" s="282">
        <v>45343</v>
      </c>
      <c r="D24" s="283"/>
      <c r="E24" s="283">
        <v>26803.85</v>
      </c>
      <c r="F24" s="284">
        <f t="shared" si="1"/>
        <v>3.637978807091713E-11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" customHeight="1" x14ac:dyDescent="0.15">
      <c r="A25" s="8"/>
      <c r="B25" s="28" t="s">
        <v>378</v>
      </c>
      <c r="C25" s="333">
        <v>45397</v>
      </c>
      <c r="D25" s="239">
        <v>31199.272499999999</v>
      </c>
      <c r="E25" s="283"/>
      <c r="F25" s="284">
        <f t="shared" si="1"/>
        <v>-31199.272499999963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" customHeight="1" x14ac:dyDescent="0.15">
      <c r="A26" s="8"/>
      <c r="B26" s="28" t="s">
        <v>379</v>
      </c>
      <c r="C26" s="333">
        <v>45397</v>
      </c>
      <c r="D26" s="239">
        <v>2499.7525000000001</v>
      </c>
      <c r="E26" s="283"/>
      <c r="F26" s="284">
        <f t="shared" si="1"/>
        <v>-33699.024999999965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" customHeight="1" x14ac:dyDescent="0.15">
      <c r="A27" s="8"/>
      <c r="B27" s="28" t="s">
        <v>380</v>
      </c>
      <c r="C27" s="59">
        <v>45397</v>
      </c>
      <c r="D27" s="239">
        <v>19526.865590660385</v>
      </c>
      <c r="E27" s="283"/>
      <c r="F27" s="284">
        <f t="shared" si="1"/>
        <v>-53225.890590660347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" customHeight="1" x14ac:dyDescent="0.15">
      <c r="A28" s="8"/>
      <c r="B28" s="28" t="s">
        <v>443</v>
      </c>
      <c r="C28" s="59">
        <v>45411</v>
      </c>
      <c r="D28" s="239"/>
      <c r="E28" s="283">
        <v>53225.89</v>
      </c>
      <c r="F28" s="284">
        <f t="shared" si="1"/>
        <v>-5.9066034737043083E-4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" customHeight="1" x14ac:dyDescent="0.15">
      <c r="A29" s="8"/>
      <c r="B29" s="28" t="s">
        <v>385</v>
      </c>
      <c r="C29" s="59">
        <v>45474</v>
      </c>
      <c r="D29" s="239">
        <f>'Presupuesto 2024 Aprobado'!C56</f>
        <v>31199.272499999999</v>
      </c>
      <c r="E29" s="283"/>
      <c r="F29" s="284">
        <f t="shared" si="1"/>
        <v>-31199.273090660346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" customHeight="1" x14ac:dyDescent="0.15">
      <c r="A30" s="8"/>
      <c r="B30" s="28" t="s">
        <v>414</v>
      </c>
      <c r="C30" s="59">
        <v>45474</v>
      </c>
      <c r="D30" s="239">
        <f>'Presupuesto 2024 Aprobado'!D56</f>
        <v>2499.7525000000001</v>
      </c>
      <c r="E30" s="283"/>
      <c r="F30" s="284">
        <f t="shared" si="1"/>
        <v>-33699.025590660349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" customHeight="1" x14ac:dyDescent="0.15">
      <c r="A31" s="8"/>
      <c r="B31" s="28" t="s">
        <v>443</v>
      </c>
      <c r="C31" s="59">
        <v>45488</v>
      </c>
      <c r="D31" s="239"/>
      <c r="E31" s="283">
        <v>33699.03</v>
      </c>
      <c r="F31" s="284">
        <f t="shared" si="1"/>
        <v>4.4093396500102244E-3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" customHeight="1" x14ac:dyDescent="0.15">
      <c r="A32" s="8"/>
      <c r="B32" s="28" t="s">
        <v>390</v>
      </c>
      <c r="C32" s="59">
        <v>45510</v>
      </c>
      <c r="D32" s="239">
        <v>17921</v>
      </c>
      <c r="E32" s="283"/>
      <c r="F32" s="284">
        <f t="shared" si="1"/>
        <v>-17920.99559066035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" customHeight="1" x14ac:dyDescent="0.15">
      <c r="A33" s="8"/>
      <c r="B33" s="28" t="s">
        <v>443</v>
      </c>
      <c r="C33" s="59">
        <v>45528</v>
      </c>
      <c r="D33" s="239"/>
      <c r="E33" s="239">
        <v>17921</v>
      </c>
      <c r="F33" s="284">
        <f t="shared" si="1"/>
        <v>4.4093396500102244E-3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" customHeight="1" x14ac:dyDescent="0.15">
      <c r="A34" s="8"/>
      <c r="B34" s="296" t="s">
        <v>392</v>
      </c>
      <c r="C34" s="59">
        <v>45566</v>
      </c>
      <c r="D34" s="239">
        <f>'Presupuesto 2024 Aprobado'!C56</f>
        <v>31199.272499999999</v>
      </c>
      <c r="E34" s="239"/>
      <c r="F34" s="284">
        <f t="shared" si="1"/>
        <v>-31199.268090660349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" customHeight="1" x14ac:dyDescent="0.15">
      <c r="A35" s="8"/>
      <c r="B35" s="296" t="s">
        <v>393</v>
      </c>
      <c r="C35" s="59">
        <v>45566</v>
      </c>
      <c r="D35" s="239">
        <f>'Presupuesto 2024 Aprobado'!D56</f>
        <v>2499.7525000000001</v>
      </c>
      <c r="E35" s="283"/>
      <c r="F35" s="284">
        <f t="shared" si="1"/>
        <v>-33699.020590660351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" customHeight="1" x14ac:dyDescent="0.15">
      <c r="A36" s="8"/>
      <c r="B36" s="28" t="s">
        <v>443</v>
      </c>
      <c r="C36" s="59">
        <v>45570</v>
      </c>
      <c r="D36" s="239"/>
      <c r="E36" s="283">
        <v>33699.019999999997</v>
      </c>
      <c r="F36" s="284">
        <f t="shared" si="1"/>
        <v>-5.9066035464638844E-4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s="429" customFormat="1" ht="32.5" customHeight="1" x14ac:dyDescent="0.15">
      <c r="A37" s="8"/>
      <c r="B37" s="296" t="s">
        <v>512</v>
      </c>
      <c r="C37" s="431">
        <v>45664</v>
      </c>
      <c r="D37" s="239">
        <f>'PedidoVotoElec-11-10'!E37</f>
        <v>11761.024498193952</v>
      </c>
      <c r="E37" s="283"/>
      <c r="F37" s="284">
        <f t="shared" si="1"/>
        <v>-11761.025088854307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s="429" customFormat="1" ht="29.5" customHeight="1" x14ac:dyDescent="0.15">
      <c r="A38" s="8"/>
      <c r="B38" s="296" t="s">
        <v>513</v>
      </c>
      <c r="C38" s="431">
        <v>45664</v>
      </c>
      <c r="D38" s="239">
        <f>'PedidoVotoElec-09-12'!E38</f>
        <v>27992.247359517161</v>
      </c>
      <c r="E38" s="283"/>
      <c r="F38" s="284">
        <f t="shared" si="1"/>
        <v>-39753.27244837147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s="429" customFormat="1" ht="18" customHeight="1" x14ac:dyDescent="0.15">
      <c r="A39" s="8"/>
      <c r="B39" s="440" t="s">
        <v>514</v>
      </c>
      <c r="C39" s="431">
        <v>45664</v>
      </c>
      <c r="D39" s="239">
        <f>'Pedido Exceptional - ENERO2025'!E31</f>
        <v>10546.613987471992</v>
      </c>
      <c r="E39" s="283"/>
      <c r="F39" s="284">
        <f t="shared" si="1"/>
        <v>-50299.886435843466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8" customHeight="1" x14ac:dyDescent="0.15">
      <c r="A40" s="8"/>
      <c r="B40" s="301"/>
      <c r="C40" s="302" t="s">
        <v>445</v>
      </c>
      <c r="D40" s="286">
        <f>SUM(D13:D39)</f>
        <v>473463.32643584348</v>
      </c>
      <c r="E40" s="286">
        <f>SUM(E13:E39)</f>
        <v>423163.44000000006</v>
      </c>
      <c r="F40" s="335">
        <f>F24-D40+E40</f>
        <v>-50299.886435843364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" customHeight="1" x14ac:dyDescent="0.15"/>
    <row r="42" spans="1:26" ht="12" customHeight="1" x14ac:dyDescent="0.15">
      <c r="A42" s="8"/>
      <c r="B42" s="306" t="s">
        <v>396</v>
      </c>
      <c r="C42" s="8"/>
      <c r="D42" s="30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32" customHeight="1" x14ac:dyDescent="0.15">
      <c r="A43" s="8"/>
      <c r="B43" s="54" t="s">
        <v>446</v>
      </c>
      <c r="C43" s="55">
        <v>45614</v>
      </c>
      <c r="D43" s="308">
        <v>-1000</v>
      </c>
      <c r="E43" s="309"/>
      <c r="F43" s="30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s="391" customFormat="1" ht="27" customHeight="1" x14ac:dyDescent="0.15">
      <c r="A44" s="8"/>
      <c r="B44" s="54" t="s">
        <v>492</v>
      </c>
      <c r="C44" s="55">
        <v>45645</v>
      </c>
      <c r="D44" s="308">
        <v>-1000</v>
      </c>
      <c r="E44" s="309"/>
      <c r="F44" s="30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s="391" customFormat="1" ht="19" customHeight="1" x14ac:dyDescent="0.15">
      <c r="A45" s="8"/>
      <c r="B45" s="54" t="s">
        <v>492</v>
      </c>
      <c r="C45" s="55">
        <v>45647</v>
      </c>
      <c r="D45" s="308">
        <v>-1000</v>
      </c>
      <c r="E45" s="309"/>
      <c r="F45" s="30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" customHeight="1" x14ac:dyDescent="0.15">
      <c r="A46" s="8"/>
      <c r="B46" s="357"/>
      <c r="C46" s="8"/>
      <c r="D46" s="358"/>
      <c r="E46" s="309"/>
      <c r="F46" s="359">
        <f>F40+D43+D4+D44+D45</f>
        <v>-53299.886435843364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" customHeight="1" x14ac:dyDescent="0.15">
      <c r="B47" s="320" t="s">
        <v>402</v>
      </c>
      <c r="C47" s="3"/>
      <c r="D47" s="3"/>
      <c r="E47" s="3"/>
      <c r="G47" s="311" t="s">
        <v>424</v>
      </c>
    </row>
    <row r="48" spans="1:26" ht="12" customHeight="1" x14ac:dyDescent="0.15">
      <c r="B48" s="2" t="s">
        <v>404</v>
      </c>
      <c r="C48" s="3"/>
      <c r="D48" s="3"/>
      <c r="E48" s="3"/>
      <c r="F48" s="4"/>
    </row>
    <row r="49" spans="2:6" ht="12" customHeight="1" x14ac:dyDescent="0.15">
      <c r="B49" s="321"/>
      <c r="C49" s="3"/>
      <c r="D49" s="3"/>
      <c r="E49" s="3"/>
      <c r="F49" s="4"/>
    </row>
    <row r="50" spans="2:6" ht="12" customHeight="1" x14ac:dyDescent="0.15">
      <c r="B50" s="322" t="s">
        <v>405</v>
      </c>
      <c r="C50" s="323"/>
      <c r="D50" s="324"/>
      <c r="E50" s="3"/>
      <c r="F50" s="4"/>
    </row>
    <row r="51" spans="2:6" ht="12" customHeight="1" x14ac:dyDescent="0.15">
      <c r="B51" s="325" t="s">
        <v>406</v>
      </c>
      <c r="C51" s="3"/>
      <c r="D51" s="48"/>
      <c r="E51" s="3"/>
      <c r="F51" s="4"/>
    </row>
    <row r="52" spans="2:6" ht="12" customHeight="1" x14ac:dyDescent="0.15">
      <c r="B52" s="325" t="s">
        <v>407</v>
      </c>
      <c r="C52" s="3"/>
      <c r="D52" s="48"/>
      <c r="E52" s="3"/>
      <c r="F52" s="4"/>
    </row>
    <row r="53" spans="2:6" ht="12" customHeight="1" x14ac:dyDescent="0.15">
      <c r="B53" s="327" t="s">
        <v>408</v>
      </c>
      <c r="C53" s="328"/>
      <c r="D53" s="329"/>
      <c r="E53" s="3"/>
      <c r="F53" s="4"/>
    </row>
    <row r="54" spans="2:6" ht="12" customHeight="1" x14ac:dyDescent="0.15">
      <c r="B54" s="318"/>
      <c r="C54" s="3"/>
      <c r="D54" s="48"/>
      <c r="E54" s="3"/>
      <c r="F54" s="4"/>
    </row>
    <row r="55" spans="2:6" ht="12" customHeight="1" x14ac:dyDescent="0.15">
      <c r="B55" s="360"/>
      <c r="C55" s="328"/>
      <c r="D55" s="329"/>
      <c r="E55" s="3"/>
      <c r="F55" s="4"/>
    </row>
    <row r="56" spans="2:6" ht="12" customHeight="1" x14ac:dyDescent="0.15">
      <c r="B56" s="2"/>
      <c r="C56" s="3"/>
      <c r="D56" s="3"/>
      <c r="E56" s="3"/>
      <c r="F56" s="4"/>
    </row>
    <row r="57" spans="2:6" ht="12" customHeight="1" x14ac:dyDescent="0.15">
      <c r="B57" s="2"/>
      <c r="C57" s="3"/>
      <c r="D57" s="3"/>
      <c r="E57" s="3"/>
      <c r="F57" s="4"/>
    </row>
    <row r="58" spans="2:6" ht="12" customHeight="1" x14ac:dyDescent="0.15">
      <c r="B58" s="2"/>
      <c r="C58" s="3"/>
      <c r="D58" s="3"/>
      <c r="E58" s="3"/>
      <c r="F58" s="4"/>
    </row>
    <row r="59" spans="2:6" ht="12" customHeight="1" x14ac:dyDescent="0.15">
      <c r="B59" s="2"/>
      <c r="C59" s="3"/>
      <c r="D59" s="3"/>
      <c r="E59" s="3"/>
      <c r="F59" s="4"/>
    </row>
    <row r="60" spans="2:6" ht="12" customHeight="1" x14ac:dyDescent="0.15">
      <c r="B60" s="2"/>
      <c r="C60" s="3"/>
      <c r="D60" s="3"/>
      <c r="E60" s="3"/>
      <c r="F60" s="4"/>
    </row>
    <row r="61" spans="2:6" ht="12" customHeight="1" x14ac:dyDescent="0.15">
      <c r="B61" s="2"/>
      <c r="C61" s="3"/>
      <c r="D61" s="3"/>
      <c r="E61" s="3"/>
      <c r="F61" s="4"/>
    </row>
    <row r="62" spans="2:6" ht="12" customHeight="1" x14ac:dyDescent="0.15">
      <c r="B62" s="2"/>
      <c r="C62" s="3"/>
      <c r="D62" s="3"/>
      <c r="E62" s="3"/>
      <c r="F62" s="4"/>
    </row>
    <row r="63" spans="2:6" ht="12" customHeight="1" x14ac:dyDescent="0.15">
      <c r="B63" s="2"/>
      <c r="C63" s="3"/>
      <c r="D63" s="3"/>
      <c r="E63" s="3"/>
      <c r="F63" s="4"/>
    </row>
    <row r="64" spans="2:6" ht="12" customHeight="1" x14ac:dyDescent="0.15">
      <c r="B64" s="2"/>
      <c r="C64" s="3"/>
      <c r="D64" s="3"/>
      <c r="E64" s="3"/>
      <c r="F64" s="4"/>
    </row>
    <row r="65" spans="2:6" ht="12" customHeight="1" x14ac:dyDescent="0.15">
      <c r="B65" s="2"/>
      <c r="C65" s="3"/>
      <c r="D65" s="3"/>
      <c r="E65" s="3"/>
      <c r="F65" s="4"/>
    </row>
    <row r="66" spans="2:6" ht="12" customHeight="1" x14ac:dyDescent="0.15">
      <c r="B66" s="2"/>
      <c r="C66" s="3"/>
      <c r="D66" s="3"/>
      <c r="E66" s="3"/>
      <c r="F66" s="4"/>
    </row>
    <row r="67" spans="2:6" ht="12" customHeight="1" x14ac:dyDescent="0.15">
      <c r="B67" s="2"/>
      <c r="C67" s="3"/>
      <c r="D67" s="3"/>
      <c r="E67" s="3"/>
      <c r="F67" s="4"/>
    </row>
    <row r="68" spans="2:6" ht="12" customHeight="1" x14ac:dyDescent="0.15">
      <c r="B68" s="2"/>
      <c r="C68" s="3"/>
      <c r="D68" s="3"/>
      <c r="E68" s="3"/>
      <c r="F68" s="4"/>
    </row>
    <row r="69" spans="2:6" ht="12" customHeight="1" x14ac:dyDescent="0.15">
      <c r="B69" s="2"/>
      <c r="C69" s="3"/>
      <c r="D69" s="3"/>
      <c r="E69" s="3"/>
      <c r="F69" s="4"/>
    </row>
    <row r="70" spans="2:6" ht="12" customHeight="1" x14ac:dyDescent="0.15">
      <c r="B70" s="2"/>
      <c r="C70" s="3"/>
      <c r="D70" s="3"/>
      <c r="E70" s="3"/>
      <c r="F70" s="4"/>
    </row>
    <row r="71" spans="2:6" ht="12" customHeight="1" x14ac:dyDescent="0.15">
      <c r="B71" s="2"/>
      <c r="C71" s="3"/>
      <c r="D71" s="3"/>
      <c r="E71" s="3"/>
      <c r="F71" s="4"/>
    </row>
    <row r="72" spans="2:6" ht="12" customHeight="1" x14ac:dyDescent="0.15">
      <c r="B72" s="2"/>
      <c r="C72" s="3"/>
      <c r="D72" s="3"/>
      <c r="E72" s="3"/>
      <c r="F72" s="4"/>
    </row>
    <row r="73" spans="2:6" ht="12" customHeight="1" x14ac:dyDescent="0.15">
      <c r="B73" s="2"/>
      <c r="C73" s="3"/>
      <c r="D73" s="3"/>
      <c r="E73" s="3"/>
      <c r="F73" s="4"/>
    </row>
    <row r="74" spans="2:6" ht="12" customHeight="1" x14ac:dyDescent="0.15">
      <c r="B74" s="2"/>
      <c r="C74" s="3"/>
      <c r="D74" s="3"/>
      <c r="E74" s="3"/>
      <c r="F74" s="4"/>
    </row>
    <row r="75" spans="2:6" ht="12" customHeight="1" x14ac:dyDescent="0.15">
      <c r="B75" s="2"/>
      <c r="C75" s="3"/>
      <c r="D75" s="3"/>
      <c r="E75" s="3"/>
      <c r="F75" s="4"/>
    </row>
    <row r="76" spans="2:6" ht="12" customHeight="1" x14ac:dyDescent="0.15">
      <c r="B76" s="2"/>
      <c r="C76" s="3"/>
      <c r="D76" s="3"/>
      <c r="E76" s="3"/>
      <c r="F76" s="4"/>
    </row>
    <row r="77" spans="2:6" ht="12" customHeight="1" x14ac:dyDescent="0.15">
      <c r="B77" s="2"/>
      <c r="C77" s="3"/>
      <c r="D77" s="3"/>
      <c r="E77" s="3"/>
      <c r="F77" s="4"/>
    </row>
    <row r="78" spans="2:6" ht="12" customHeight="1" x14ac:dyDescent="0.15">
      <c r="B78" s="2"/>
      <c r="C78" s="3"/>
      <c r="D78" s="3"/>
      <c r="E78" s="3"/>
      <c r="F78" s="4"/>
    </row>
    <row r="79" spans="2:6" ht="12" customHeight="1" x14ac:dyDescent="0.15">
      <c r="B79" s="2"/>
      <c r="C79" s="3"/>
      <c r="D79" s="3"/>
      <c r="E79" s="3"/>
      <c r="F79" s="4"/>
    </row>
    <row r="80" spans="2:6" ht="12" customHeight="1" x14ac:dyDescent="0.15">
      <c r="B80" s="2"/>
      <c r="C80" s="3"/>
      <c r="D80" s="3"/>
      <c r="E80" s="3"/>
      <c r="F80" s="4"/>
    </row>
    <row r="81" spans="2:6" ht="12" customHeight="1" x14ac:dyDescent="0.15">
      <c r="B81" s="2"/>
      <c r="C81" s="3"/>
      <c r="D81" s="3"/>
      <c r="E81" s="3"/>
      <c r="F81" s="4"/>
    </row>
    <row r="82" spans="2:6" ht="12" customHeight="1" x14ac:dyDescent="0.15">
      <c r="B82" s="2"/>
      <c r="C82" s="3"/>
      <c r="D82" s="3"/>
      <c r="E82" s="3"/>
      <c r="F82" s="4"/>
    </row>
    <row r="83" spans="2:6" ht="12" customHeight="1" x14ac:dyDescent="0.15">
      <c r="B83" s="2"/>
      <c r="C83" s="3"/>
      <c r="D83" s="3"/>
      <c r="E83" s="3"/>
      <c r="F83" s="4"/>
    </row>
    <row r="84" spans="2:6" ht="12" customHeight="1" x14ac:dyDescent="0.15">
      <c r="B84" s="2"/>
      <c r="C84" s="3"/>
      <c r="D84" s="3"/>
      <c r="E84" s="3"/>
      <c r="F84" s="4"/>
    </row>
    <row r="85" spans="2:6" ht="12" customHeight="1" x14ac:dyDescent="0.15">
      <c r="B85" s="2"/>
      <c r="C85" s="3"/>
      <c r="D85" s="3"/>
      <c r="E85" s="3"/>
      <c r="F85" s="4"/>
    </row>
    <row r="86" spans="2:6" ht="12" customHeight="1" x14ac:dyDescent="0.15">
      <c r="B86" s="2"/>
      <c r="C86" s="3"/>
      <c r="D86" s="3"/>
      <c r="E86" s="3"/>
      <c r="F86" s="4"/>
    </row>
    <row r="87" spans="2:6" ht="12" customHeight="1" x14ac:dyDescent="0.15">
      <c r="B87" s="2"/>
      <c r="C87" s="3"/>
      <c r="D87" s="3"/>
      <c r="E87" s="3"/>
      <c r="F87" s="4"/>
    </row>
    <row r="88" spans="2:6" ht="12" customHeight="1" x14ac:dyDescent="0.15">
      <c r="B88" s="2"/>
      <c r="C88" s="3"/>
      <c r="D88" s="3"/>
      <c r="E88" s="3"/>
      <c r="F88" s="4"/>
    </row>
    <row r="89" spans="2:6" ht="12" customHeight="1" x14ac:dyDescent="0.15">
      <c r="B89" s="2"/>
      <c r="C89" s="3"/>
      <c r="D89" s="3"/>
      <c r="E89" s="3"/>
      <c r="F89" s="4"/>
    </row>
    <row r="90" spans="2:6" ht="12" customHeight="1" x14ac:dyDescent="0.15">
      <c r="B90" s="2"/>
      <c r="C90" s="3"/>
      <c r="D90" s="3"/>
      <c r="E90" s="3"/>
      <c r="F90" s="4"/>
    </row>
    <row r="91" spans="2:6" ht="12" customHeight="1" x14ac:dyDescent="0.15">
      <c r="B91" s="2"/>
      <c r="C91" s="3"/>
      <c r="D91" s="3"/>
      <c r="E91" s="3"/>
      <c r="F91" s="4"/>
    </row>
    <row r="92" spans="2:6" ht="12" customHeight="1" x14ac:dyDescent="0.15">
      <c r="B92" s="2"/>
      <c r="C92" s="3"/>
      <c r="D92" s="3"/>
      <c r="E92" s="3"/>
      <c r="F92" s="4"/>
    </row>
    <row r="93" spans="2:6" ht="12" customHeight="1" x14ac:dyDescent="0.15">
      <c r="B93" s="2"/>
      <c r="C93" s="3"/>
      <c r="D93" s="3"/>
      <c r="E93" s="3"/>
      <c r="F93" s="4"/>
    </row>
    <row r="94" spans="2:6" ht="12" customHeight="1" x14ac:dyDescent="0.15">
      <c r="B94" s="2"/>
      <c r="C94" s="3"/>
      <c r="D94" s="3"/>
      <c r="E94" s="3"/>
      <c r="F94" s="4"/>
    </row>
    <row r="95" spans="2:6" ht="12" customHeight="1" x14ac:dyDescent="0.15">
      <c r="B95" s="2"/>
      <c r="C95" s="3"/>
      <c r="D95" s="3"/>
      <c r="E95" s="3"/>
      <c r="F95" s="4"/>
    </row>
    <row r="96" spans="2:6" ht="12" customHeight="1" x14ac:dyDescent="0.15">
      <c r="B96" s="2"/>
      <c r="C96" s="3"/>
      <c r="D96" s="3"/>
      <c r="E96" s="3"/>
      <c r="F96" s="4"/>
    </row>
    <row r="97" spans="2:6" ht="12" customHeight="1" x14ac:dyDescent="0.15">
      <c r="B97" s="2"/>
      <c r="C97" s="3"/>
      <c r="D97" s="3"/>
      <c r="E97" s="3"/>
      <c r="F97" s="4"/>
    </row>
    <row r="98" spans="2:6" ht="12" customHeight="1" x14ac:dyDescent="0.15">
      <c r="B98" s="2"/>
      <c r="C98" s="3"/>
      <c r="D98" s="3"/>
      <c r="E98" s="3"/>
      <c r="F98" s="4"/>
    </row>
    <row r="99" spans="2:6" ht="12" customHeight="1" x14ac:dyDescent="0.15">
      <c r="B99" s="2"/>
      <c r="C99" s="3"/>
      <c r="D99" s="3"/>
      <c r="E99" s="3"/>
      <c r="F99" s="4"/>
    </row>
    <row r="100" spans="2:6" ht="12" customHeight="1" x14ac:dyDescent="0.15">
      <c r="B100" s="2"/>
      <c r="C100" s="3"/>
      <c r="D100" s="3"/>
      <c r="E100" s="3"/>
      <c r="F100" s="4"/>
    </row>
    <row r="101" spans="2:6" ht="12" customHeight="1" x14ac:dyDescent="0.15">
      <c r="B101" s="2"/>
      <c r="C101" s="3"/>
      <c r="D101" s="3"/>
      <c r="E101" s="3"/>
      <c r="F101" s="4"/>
    </row>
    <row r="102" spans="2:6" ht="12" customHeight="1" x14ac:dyDescent="0.15">
      <c r="B102" s="2"/>
      <c r="C102" s="3"/>
      <c r="D102" s="3"/>
      <c r="E102" s="3"/>
      <c r="F102" s="4"/>
    </row>
    <row r="103" spans="2:6" ht="12" customHeight="1" x14ac:dyDescent="0.15">
      <c r="B103" s="2"/>
      <c r="C103" s="3"/>
      <c r="D103" s="3"/>
      <c r="E103" s="3"/>
      <c r="F103" s="4"/>
    </row>
    <row r="104" spans="2:6" ht="12" customHeight="1" x14ac:dyDescent="0.15">
      <c r="B104" s="2"/>
      <c r="C104" s="3"/>
      <c r="D104" s="3"/>
      <c r="E104" s="3"/>
      <c r="F104" s="4"/>
    </row>
    <row r="105" spans="2:6" ht="12" customHeight="1" x14ac:dyDescent="0.15">
      <c r="B105" s="2"/>
      <c r="C105" s="3"/>
      <c r="D105" s="3"/>
      <c r="E105" s="3"/>
      <c r="F105" s="4"/>
    </row>
    <row r="106" spans="2:6" ht="12" customHeight="1" x14ac:dyDescent="0.15">
      <c r="B106" s="2"/>
      <c r="C106" s="3"/>
      <c r="D106" s="3"/>
      <c r="E106" s="3"/>
      <c r="F106" s="4"/>
    </row>
    <row r="107" spans="2:6" ht="12" customHeight="1" x14ac:dyDescent="0.15">
      <c r="B107" s="2"/>
      <c r="C107" s="3"/>
      <c r="D107" s="3"/>
      <c r="E107" s="3"/>
      <c r="F107" s="4"/>
    </row>
    <row r="108" spans="2:6" ht="12" customHeight="1" x14ac:dyDescent="0.15">
      <c r="B108" s="2"/>
      <c r="C108" s="3"/>
      <c r="D108" s="3"/>
      <c r="E108" s="3"/>
      <c r="F108" s="4"/>
    </row>
    <row r="109" spans="2:6" ht="12" customHeight="1" x14ac:dyDescent="0.15">
      <c r="B109" s="2"/>
      <c r="C109" s="3"/>
      <c r="D109" s="3"/>
      <c r="E109" s="3"/>
      <c r="F109" s="4"/>
    </row>
    <row r="110" spans="2:6" ht="12" customHeight="1" x14ac:dyDescent="0.15">
      <c r="B110" s="2"/>
      <c r="C110" s="3"/>
      <c r="D110" s="3"/>
      <c r="E110" s="3"/>
      <c r="F110" s="4"/>
    </row>
    <row r="111" spans="2:6" ht="12" customHeight="1" x14ac:dyDescent="0.15">
      <c r="B111" s="2"/>
      <c r="C111" s="3"/>
      <c r="D111" s="3"/>
      <c r="E111" s="3"/>
      <c r="F111" s="4"/>
    </row>
    <row r="112" spans="2:6" ht="12" customHeight="1" x14ac:dyDescent="0.15">
      <c r="B112" s="2"/>
      <c r="C112" s="3"/>
      <c r="D112" s="3"/>
      <c r="E112" s="3"/>
      <c r="F112" s="4"/>
    </row>
    <row r="113" spans="2:6" ht="12" customHeight="1" x14ac:dyDescent="0.15">
      <c r="B113" s="2"/>
      <c r="C113" s="3"/>
      <c r="D113" s="3"/>
      <c r="E113" s="3"/>
      <c r="F113" s="4"/>
    </row>
    <row r="114" spans="2:6" ht="12" customHeight="1" x14ac:dyDescent="0.15">
      <c r="B114" s="2"/>
      <c r="C114" s="3"/>
      <c r="D114" s="3"/>
      <c r="E114" s="3"/>
      <c r="F114" s="4"/>
    </row>
    <row r="115" spans="2:6" ht="12" customHeight="1" x14ac:dyDescent="0.15">
      <c r="B115" s="2"/>
      <c r="C115" s="3"/>
      <c r="D115" s="3"/>
      <c r="E115" s="3"/>
      <c r="F115" s="4"/>
    </row>
    <row r="116" spans="2:6" ht="12" customHeight="1" x14ac:dyDescent="0.15">
      <c r="B116" s="2"/>
      <c r="C116" s="3"/>
      <c r="D116" s="3"/>
      <c r="E116" s="3"/>
      <c r="F116" s="4"/>
    </row>
    <row r="117" spans="2:6" ht="12" customHeight="1" x14ac:dyDescent="0.15">
      <c r="B117" s="2"/>
      <c r="C117" s="3"/>
      <c r="D117" s="3"/>
      <c r="E117" s="3"/>
      <c r="F117" s="4"/>
    </row>
    <row r="118" spans="2:6" ht="12" customHeight="1" x14ac:dyDescent="0.15">
      <c r="B118" s="2"/>
      <c r="C118" s="3"/>
      <c r="D118" s="3"/>
      <c r="E118" s="3"/>
      <c r="F118" s="4"/>
    </row>
    <row r="119" spans="2:6" ht="12" customHeight="1" x14ac:dyDescent="0.15">
      <c r="B119" s="2"/>
      <c r="C119" s="3"/>
      <c r="D119" s="3"/>
      <c r="E119" s="3"/>
      <c r="F119" s="4"/>
    </row>
    <row r="120" spans="2:6" ht="12" customHeight="1" x14ac:dyDescent="0.15">
      <c r="B120" s="2"/>
      <c r="C120" s="3"/>
      <c r="D120" s="3"/>
      <c r="E120" s="3"/>
      <c r="F120" s="4"/>
    </row>
    <row r="121" spans="2:6" ht="12" customHeight="1" x14ac:dyDescent="0.15">
      <c r="B121" s="2"/>
      <c r="C121" s="3"/>
      <c r="D121" s="3"/>
      <c r="E121" s="3"/>
      <c r="F121" s="4"/>
    </row>
    <row r="122" spans="2:6" ht="12" customHeight="1" x14ac:dyDescent="0.15">
      <c r="B122" s="2"/>
      <c r="C122" s="3"/>
      <c r="D122" s="3"/>
      <c r="E122" s="3"/>
      <c r="F122" s="4"/>
    </row>
    <row r="123" spans="2:6" ht="12" customHeight="1" x14ac:dyDescent="0.15">
      <c r="B123" s="2"/>
      <c r="C123" s="3"/>
      <c r="D123" s="3"/>
      <c r="E123" s="3"/>
      <c r="F123" s="4"/>
    </row>
    <row r="124" spans="2:6" ht="12" customHeight="1" x14ac:dyDescent="0.15">
      <c r="B124" s="2"/>
      <c r="C124" s="3"/>
      <c r="D124" s="3"/>
      <c r="E124" s="3"/>
      <c r="F124" s="4"/>
    </row>
    <row r="125" spans="2:6" ht="12" customHeight="1" x14ac:dyDescent="0.15">
      <c r="B125" s="2"/>
      <c r="C125" s="3"/>
      <c r="D125" s="3"/>
      <c r="E125" s="3"/>
      <c r="F125" s="4"/>
    </row>
    <row r="126" spans="2:6" ht="12" customHeight="1" x14ac:dyDescent="0.15">
      <c r="B126" s="2"/>
      <c r="C126" s="3"/>
      <c r="D126" s="3"/>
      <c r="E126" s="3"/>
      <c r="F126" s="4"/>
    </row>
    <row r="127" spans="2:6" ht="12" customHeight="1" x14ac:dyDescent="0.15">
      <c r="B127" s="2"/>
      <c r="C127" s="3"/>
      <c r="D127" s="3"/>
      <c r="E127" s="3"/>
      <c r="F127" s="4"/>
    </row>
    <row r="128" spans="2:6" ht="12" customHeight="1" x14ac:dyDescent="0.15">
      <c r="B128" s="2"/>
      <c r="C128" s="3"/>
      <c r="D128" s="3"/>
      <c r="E128" s="3"/>
      <c r="F128" s="4"/>
    </row>
    <row r="129" spans="2:6" ht="12" customHeight="1" x14ac:dyDescent="0.15">
      <c r="B129" s="2"/>
      <c r="C129" s="3"/>
      <c r="D129" s="3"/>
      <c r="E129" s="3"/>
      <c r="F129" s="4"/>
    </row>
    <row r="130" spans="2:6" ht="12" customHeight="1" x14ac:dyDescent="0.15">
      <c r="B130" s="2"/>
      <c r="C130" s="3"/>
      <c r="D130" s="3"/>
      <c r="E130" s="3"/>
      <c r="F130" s="4"/>
    </row>
    <row r="131" spans="2:6" ht="12" customHeight="1" x14ac:dyDescent="0.15">
      <c r="B131" s="2"/>
      <c r="C131" s="3"/>
      <c r="D131" s="3"/>
      <c r="E131" s="3"/>
      <c r="F131" s="4"/>
    </row>
    <row r="132" spans="2:6" ht="12" customHeight="1" x14ac:dyDescent="0.15">
      <c r="B132" s="2"/>
      <c r="C132" s="3"/>
      <c r="D132" s="3"/>
      <c r="E132" s="3"/>
      <c r="F132" s="4"/>
    </row>
    <row r="133" spans="2:6" ht="12" customHeight="1" x14ac:dyDescent="0.15">
      <c r="B133" s="2"/>
      <c r="C133" s="3"/>
      <c r="D133" s="3"/>
      <c r="E133" s="3"/>
      <c r="F133" s="4"/>
    </row>
    <row r="134" spans="2:6" ht="12" customHeight="1" x14ac:dyDescent="0.15">
      <c r="B134" s="2"/>
      <c r="C134" s="3"/>
      <c r="D134" s="3"/>
      <c r="E134" s="3"/>
      <c r="F134" s="4"/>
    </row>
    <row r="135" spans="2:6" ht="12" customHeight="1" x14ac:dyDescent="0.15">
      <c r="B135" s="2"/>
      <c r="C135" s="3"/>
      <c r="D135" s="3"/>
      <c r="E135" s="3"/>
      <c r="F135" s="4"/>
    </row>
    <row r="136" spans="2:6" ht="12" customHeight="1" x14ac:dyDescent="0.15">
      <c r="B136" s="2"/>
      <c r="C136" s="3"/>
      <c r="D136" s="3"/>
      <c r="E136" s="3"/>
      <c r="F136" s="4"/>
    </row>
    <row r="137" spans="2:6" ht="12" customHeight="1" x14ac:dyDescent="0.15">
      <c r="B137" s="2"/>
      <c r="C137" s="3"/>
      <c r="D137" s="3"/>
      <c r="E137" s="3"/>
      <c r="F137" s="4"/>
    </row>
    <row r="138" spans="2:6" ht="12" customHeight="1" x14ac:dyDescent="0.15">
      <c r="B138" s="2"/>
      <c r="C138" s="3"/>
      <c r="D138" s="3"/>
      <c r="E138" s="3"/>
      <c r="F138" s="4"/>
    </row>
    <row r="139" spans="2:6" ht="12" customHeight="1" x14ac:dyDescent="0.15">
      <c r="B139" s="2"/>
      <c r="C139" s="3"/>
      <c r="D139" s="3"/>
      <c r="E139" s="3"/>
      <c r="F139" s="4"/>
    </row>
    <row r="140" spans="2:6" ht="12" customHeight="1" x14ac:dyDescent="0.15">
      <c r="B140" s="2"/>
      <c r="C140" s="3"/>
      <c r="D140" s="3"/>
      <c r="E140" s="3"/>
      <c r="F140" s="4"/>
    </row>
    <row r="141" spans="2:6" ht="12" customHeight="1" x14ac:dyDescent="0.15">
      <c r="B141" s="2"/>
      <c r="C141" s="3"/>
      <c r="D141" s="3"/>
      <c r="E141" s="3"/>
      <c r="F141" s="4"/>
    </row>
    <row r="142" spans="2:6" ht="12" customHeight="1" x14ac:dyDescent="0.15">
      <c r="B142" s="2"/>
      <c r="C142" s="3"/>
      <c r="D142" s="3"/>
      <c r="E142" s="3"/>
      <c r="F142" s="4"/>
    </row>
    <row r="143" spans="2:6" ht="12" customHeight="1" x14ac:dyDescent="0.15">
      <c r="B143" s="2"/>
      <c r="C143" s="3"/>
      <c r="D143" s="3"/>
      <c r="E143" s="3"/>
      <c r="F143" s="4"/>
    </row>
    <row r="144" spans="2:6" ht="12" customHeight="1" x14ac:dyDescent="0.15">
      <c r="B144" s="2"/>
      <c r="C144" s="3"/>
      <c r="D144" s="3"/>
      <c r="E144" s="3"/>
      <c r="F144" s="4"/>
    </row>
    <row r="145" spans="2:6" ht="12" customHeight="1" x14ac:dyDescent="0.15">
      <c r="B145" s="2"/>
      <c r="C145" s="3"/>
      <c r="D145" s="3"/>
      <c r="E145" s="3"/>
      <c r="F145" s="4"/>
    </row>
    <row r="146" spans="2:6" ht="12" customHeight="1" x14ac:dyDescent="0.15">
      <c r="B146" s="2"/>
      <c r="C146" s="3"/>
      <c r="D146" s="3"/>
      <c r="E146" s="3"/>
      <c r="F146" s="4"/>
    </row>
    <row r="147" spans="2:6" ht="12" customHeight="1" x14ac:dyDescent="0.15">
      <c r="B147" s="2"/>
      <c r="C147" s="3"/>
      <c r="D147" s="3"/>
      <c r="E147" s="3"/>
      <c r="F147" s="4"/>
    </row>
    <row r="148" spans="2:6" ht="12" customHeight="1" x14ac:dyDescent="0.15">
      <c r="B148" s="2"/>
      <c r="C148" s="3"/>
      <c r="D148" s="3"/>
      <c r="E148" s="3"/>
      <c r="F148" s="4"/>
    </row>
    <row r="149" spans="2:6" ht="12" customHeight="1" x14ac:dyDescent="0.15">
      <c r="B149" s="2"/>
      <c r="C149" s="3"/>
      <c r="D149" s="3"/>
      <c r="E149" s="3"/>
      <c r="F149" s="4"/>
    </row>
    <row r="150" spans="2:6" ht="12" customHeight="1" x14ac:dyDescent="0.15">
      <c r="B150" s="2"/>
      <c r="C150" s="3"/>
      <c r="D150" s="3"/>
      <c r="E150" s="3"/>
      <c r="F150" s="4"/>
    </row>
    <row r="151" spans="2:6" ht="12" customHeight="1" x14ac:dyDescent="0.15">
      <c r="B151" s="2"/>
      <c r="C151" s="3"/>
      <c r="D151" s="3"/>
      <c r="E151" s="3"/>
      <c r="F151" s="4"/>
    </row>
    <row r="152" spans="2:6" ht="12" customHeight="1" x14ac:dyDescent="0.15">
      <c r="B152" s="2"/>
      <c r="C152" s="3"/>
      <c r="D152" s="3"/>
      <c r="E152" s="3"/>
      <c r="F152" s="4"/>
    </row>
    <row r="153" spans="2:6" ht="12" customHeight="1" x14ac:dyDescent="0.15">
      <c r="B153" s="2"/>
      <c r="C153" s="3"/>
      <c r="D153" s="3"/>
      <c r="E153" s="3"/>
      <c r="F153" s="4"/>
    </row>
    <row r="154" spans="2:6" ht="12" customHeight="1" x14ac:dyDescent="0.15">
      <c r="B154" s="2"/>
      <c r="C154" s="3"/>
      <c r="D154" s="3"/>
      <c r="E154" s="3"/>
      <c r="F154" s="4"/>
    </row>
    <row r="155" spans="2:6" ht="12" customHeight="1" x14ac:dyDescent="0.15">
      <c r="B155" s="2"/>
      <c r="C155" s="3"/>
      <c r="D155" s="3"/>
      <c r="E155" s="3"/>
      <c r="F155" s="4"/>
    </row>
    <row r="156" spans="2:6" ht="12" customHeight="1" x14ac:dyDescent="0.15">
      <c r="B156" s="2"/>
      <c r="C156" s="3"/>
      <c r="D156" s="3"/>
      <c r="E156" s="3"/>
      <c r="F156" s="4"/>
    </row>
    <row r="157" spans="2:6" ht="12" customHeight="1" x14ac:dyDescent="0.15">
      <c r="B157" s="2"/>
      <c r="C157" s="3"/>
      <c r="D157" s="3"/>
      <c r="E157" s="3"/>
      <c r="F157" s="4"/>
    </row>
    <row r="158" spans="2:6" ht="12" customHeight="1" x14ac:dyDescent="0.15">
      <c r="B158" s="2"/>
      <c r="C158" s="3"/>
      <c r="D158" s="3"/>
      <c r="E158" s="3"/>
      <c r="F158" s="4"/>
    </row>
    <row r="159" spans="2:6" ht="12" customHeight="1" x14ac:dyDescent="0.15">
      <c r="B159" s="2"/>
      <c r="C159" s="3"/>
      <c r="D159" s="3"/>
      <c r="E159" s="3"/>
      <c r="F159" s="4"/>
    </row>
    <row r="160" spans="2:6" ht="12" customHeight="1" x14ac:dyDescent="0.15">
      <c r="B160" s="2"/>
      <c r="C160" s="3"/>
      <c r="D160" s="3"/>
      <c r="E160" s="3"/>
      <c r="F160" s="4"/>
    </row>
    <row r="161" spans="2:6" ht="12" customHeight="1" x14ac:dyDescent="0.15">
      <c r="B161" s="2"/>
      <c r="C161" s="3"/>
      <c r="D161" s="3"/>
      <c r="E161" s="3"/>
      <c r="F161" s="4"/>
    </row>
    <row r="162" spans="2:6" ht="12" customHeight="1" x14ac:dyDescent="0.15">
      <c r="B162" s="2"/>
      <c r="C162" s="3"/>
      <c r="D162" s="3"/>
      <c r="E162" s="3"/>
      <c r="F162" s="4"/>
    </row>
    <row r="163" spans="2:6" ht="12" customHeight="1" x14ac:dyDescent="0.15">
      <c r="B163" s="2"/>
      <c r="C163" s="3"/>
      <c r="D163" s="3"/>
      <c r="E163" s="3"/>
      <c r="F163" s="4"/>
    </row>
    <row r="164" spans="2:6" ht="12" customHeight="1" x14ac:dyDescent="0.15">
      <c r="B164" s="2"/>
      <c r="C164" s="3"/>
      <c r="D164" s="3"/>
      <c r="E164" s="3"/>
      <c r="F164" s="4"/>
    </row>
    <row r="165" spans="2:6" ht="12" customHeight="1" x14ac:dyDescent="0.15">
      <c r="B165" s="2"/>
      <c r="C165" s="3"/>
      <c r="D165" s="3"/>
      <c r="E165" s="3"/>
      <c r="F165" s="4"/>
    </row>
    <row r="166" spans="2:6" ht="12" customHeight="1" x14ac:dyDescent="0.15">
      <c r="B166" s="2"/>
      <c r="C166" s="3"/>
      <c r="D166" s="3"/>
      <c r="E166" s="3"/>
      <c r="F166" s="4"/>
    </row>
    <row r="167" spans="2:6" ht="12" customHeight="1" x14ac:dyDescent="0.15">
      <c r="B167" s="2"/>
      <c r="C167" s="3"/>
      <c r="D167" s="3"/>
      <c r="E167" s="3"/>
      <c r="F167" s="4"/>
    </row>
    <row r="168" spans="2:6" ht="12" customHeight="1" x14ac:dyDescent="0.15">
      <c r="B168" s="2"/>
      <c r="C168" s="3"/>
      <c r="D168" s="3"/>
      <c r="E168" s="3"/>
      <c r="F168" s="4"/>
    </row>
    <row r="169" spans="2:6" ht="12" customHeight="1" x14ac:dyDescent="0.15">
      <c r="B169" s="2"/>
      <c r="C169" s="3"/>
      <c r="D169" s="3"/>
      <c r="E169" s="3"/>
      <c r="F169" s="4"/>
    </row>
    <row r="170" spans="2:6" ht="12" customHeight="1" x14ac:dyDescent="0.15">
      <c r="B170" s="2"/>
      <c r="C170" s="3"/>
      <c r="D170" s="3"/>
      <c r="E170" s="3"/>
      <c r="F170" s="4"/>
    </row>
    <row r="171" spans="2:6" ht="12" customHeight="1" x14ac:dyDescent="0.15">
      <c r="B171" s="2"/>
      <c r="C171" s="3"/>
      <c r="D171" s="3"/>
      <c r="E171" s="3"/>
      <c r="F171" s="4"/>
    </row>
    <row r="172" spans="2:6" ht="12" customHeight="1" x14ac:dyDescent="0.15">
      <c r="B172" s="2"/>
      <c r="C172" s="3"/>
      <c r="D172" s="3"/>
      <c r="E172" s="3"/>
      <c r="F172" s="4"/>
    </row>
    <row r="173" spans="2:6" ht="12" customHeight="1" x14ac:dyDescent="0.15">
      <c r="B173" s="2"/>
      <c r="C173" s="3"/>
      <c r="D173" s="3"/>
      <c r="E173" s="3"/>
      <c r="F173" s="4"/>
    </row>
    <row r="174" spans="2:6" ht="12" customHeight="1" x14ac:dyDescent="0.15">
      <c r="B174" s="2"/>
      <c r="C174" s="3"/>
      <c r="D174" s="3"/>
      <c r="E174" s="3"/>
      <c r="F174" s="4"/>
    </row>
    <row r="175" spans="2:6" ht="12" customHeight="1" x14ac:dyDescent="0.15">
      <c r="B175" s="2"/>
      <c r="C175" s="3"/>
      <c r="D175" s="3"/>
      <c r="E175" s="3"/>
      <c r="F175" s="4"/>
    </row>
    <row r="176" spans="2:6" ht="12" customHeight="1" x14ac:dyDescent="0.15">
      <c r="B176" s="2"/>
      <c r="C176" s="3"/>
      <c r="D176" s="3"/>
      <c r="E176" s="3"/>
      <c r="F176" s="4"/>
    </row>
    <row r="177" spans="2:6" ht="12" customHeight="1" x14ac:dyDescent="0.15">
      <c r="B177" s="2"/>
      <c r="C177" s="3"/>
      <c r="D177" s="3"/>
      <c r="E177" s="3"/>
      <c r="F177" s="4"/>
    </row>
    <row r="178" spans="2:6" ht="12" customHeight="1" x14ac:dyDescent="0.15">
      <c r="B178" s="2"/>
      <c r="C178" s="3"/>
      <c r="D178" s="3"/>
      <c r="E178" s="3"/>
      <c r="F178" s="4"/>
    </row>
    <row r="179" spans="2:6" ht="12" customHeight="1" x14ac:dyDescent="0.15">
      <c r="B179" s="2"/>
      <c r="C179" s="3"/>
      <c r="D179" s="3"/>
      <c r="E179" s="3"/>
      <c r="F179" s="4"/>
    </row>
    <row r="180" spans="2:6" ht="12" customHeight="1" x14ac:dyDescent="0.15">
      <c r="B180" s="2"/>
      <c r="C180" s="3"/>
      <c r="D180" s="3"/>
      <c r="E180" s="3"/>
      <c r="F180" s="4"/>
    </row>
    <row r="181" spans="2:6" ht="12" customHeight="1" x14ac:dyDescent="0.15">
      <c r="B181" s="2"/>
      <c r="C181" s="3"/>
      <c r="D181" s="3"/>
      <c r="E181" s="3"/>
      <c r="F181" s="4"/>
    </row>
    <row r="182" spans="2:6" ht="12" customHeight="1" x14ac:dyDescent="0.15">
      <c r="B182" s="2"/>
      <c r="C182" s="3"/>
      <c r="D182" s="3"/>
      <c r="E182" s="3"/>
      <c r="F182" s="4"/>
    </row>
    <row r="183" spans="2:6" ht="12" customHeight="1" x14ac:dyDescent="0.15">
      <c r="B183" s="2"/>
      <c r="C183" s="3"/>
      <c r="D183" s="3"/>
      <c r="E183" s="3"/>
      <c r="F183" s="4"/>
    </row>
    <row r="184" spans="2:6" ht="12" customHeight="1" x14ac:dyDescent="0.15">
      <c r="B184" s="2"/>
      <c r="C184" s="3"/>
      <c r="D184" s="3"/>
      <c r="E184" s="3"/>
      <c r="F184" s="4"/>
    </row>
    <row r="185" spans="2:6" ht="12" customHeight="1" x14ac:dyDescent="0.15">
      <c r="B185" s="2"/>
      <c r="C185" s="3"/>
      <c r="D185" s="3"/>
      <c r="E185" s="3"/>
      <c r="F185" s="4"/>
    </row>
    <row r="186" spans="2:6" ht="12" customHeight="1" x14ac:dyDescent="0.15">
      <c r="B186" s="2"/>
      <c r="C186" s="3"/>
      <c r="D186" s="3"/>
      <c r="E186" s="3"/>
      <c r="F186" s="4"/>
    </row>
    <row r="187" spans="2:6" ht="12" customHeight="1" x14ac:dyDescent="0.15">
      <c r="B187" s="2"/>
      <c r="C187" s="3"/>
      <c r="D187" s="3"/>
      <c r="E187" s="3"/>
      <c r="F187" s="4"/>
    </row>
    <row r="188" spans="2:6" ht="12" customHeight="1" x14ac:dyDescent="0.15">
      <c r="B188" s="2"/>
      <c r="C188" s="3"/>
      <c r="D188" s="3"/>
      <c r="E188" s="3"/>
      <c r="F188" s="4"/>
    </row>
    <row r="189" spans="2:6" ht="12" customHeight="1" x14ac:dyDescent="0.15">
      <c r="B189" s="2"/>
      <c r="C189" s="3"/>
      <c r="D189" s="3"/>
      <c r="E189" s="3"/>
      <c r="F189" s="4"/>
    </row>
    <row r="190" spans="2:6" ht="12" customHeight="1" x14ac:dyDescent="0.15">
      <c r="B190" s="2"/>
      <c r="C190" s="3"/>
      <c r="D190" s="3"/>
      <c r="E190" s="3"/>
      <c r="F190" s="4"/>
    </row>
    <row r="191" spans="2:6" ht="12" customHeight="1" x14ac:dyDescent="0.15">
      <c r="B191" s="2"/>
      <c r="C191" s="3"/>
      <c r="D191" s="3"/>
      <c r="E191" s="3"/>
      <c r="F191" s="4"/>
    </row>
    <row r="192" spans="2:6" ht="12" customHeight="1" x14ac:dyDescent="0.15">
      <c r="B192" s="2"/>
      <c r="C192" s="3"/>
      <c r="D192" s="3"/>
      <c r="E192" s="3"/>
      <c r="F192" s="4"/>
    </row>
    <row r="193" spans="2:6" ht="12" customHeight="1" x14ac:dyDescent="0.15">
      <c r="B193" s="2"/>
      <c r="C193" s="3"/>
      <c r="D193" s="3"/>
      <c r="E193" s="3"/>
      <c r="F193" s="4"/>
    </row>
    <row r="194" spans="2:6" ht="12" customHeight="1" x14ac:dyDescent="0.15">
      <c r="B194" s="2"/>
      <c r="C194" s="3"/>
      <c r="D194" s="3"/>
      <c r="E194" s="3"/>
      <c r="F194" s="4"/>
    </row>
    <row r="195" spans="2:6" ht="12" customHeight="1" x14ac:dyDescent="0.15">
      <c r="B195" s="2"/>
      <c r="C195" s="3"/>
      <c r="D195" s="3"/>
      <c r="E195" s="3"/>
      <c r="F195" s="4"/>
    </row>
    <row r="196" spans="2:6" ht="12" customHeight="1" x14ac:dyDescent="0.15">
      <c r="B196" s="2"/>
      <c r="C196" s="3"/>
      <c r="D196" s="3"/>
      <c r="E196" s="3"/>
      <c r="F196" s="4"/>
    </row>
    <row r="197" spans="2:6" ht="12" customHeight="1" x14ac:dyDescent="0.15">
      <c r="B197" s="2"/>
      <c r="C197" s="3"/>
      <c r="D197" s="3"/>
      <c r="E197" s="3"/>
      <c r="F197" s="4"/>
    </row>
    <row r="198" spans="2:6" ht="12" customHeight="1" x14ac:dyDescent="0.15">
      <c r="B198" s="2"/>
      <c r="C198" s="3"/>
      <c r="D198" s="3"/>
      <c r="E198" s="3"/>
      <c r="F198" s="4"/>
    </row>
    <row r="199" spans="2:6" ht="12" customHeight="1" x14ac:dyDescent="0.15">
      <c r="B199" s="2"/>
      <c r="C199" s="3"/>
      <c r="D199" s="3"/>
      <c r="E199" s="3"/>
      <c r="F199" s="4"/>
    </row>
    <row r="200" spans="2:6" ht="12" customHeight="1" x14ac:dyDescent="0.15">
      <c r="B200" s="2"/>
      <c r="C200" s="3"/>
      <c r="D200" s="3"/>
      <c r="E200" s="3"/>
      <c r="F200" s="4"/>
    </row>
    <row r="201" spans="2:6" ht="12" customHeight="1" x14ac:dyDescent="0.15">
      <c r="B201" s="2"/>
      <c r="C201" s="3"/>
      <c r="D201" s="3"/>
      <c r="E201" s="3"/>
      <c r="F201" s="4"/>
    </row>
    <row r="202" spans="2:6" ht="12" customHeight="1" x14ac:dyDescent="0.15">
      <c r="B202" s="2"/>
      <c r="C202" s="3"/>
      <c r="D202" s="3"/>
      <c r="E202" s="3"/>
      <c r="F202" s="4"/>
    </row>
    <row r="203" spans="2:6" ht="12" customHeight="1" x14ac:dyDescent="0.15">
      <c r="B203" s="2"/>
      <c r="C203" s="3"/>
      <c r="D203" s="3"/>
      <c r="E203" s="3"/>
      <c r="F203" s="4"/>
    </row>
    <row r="204" spans="2:6" ht="12" customHeight="1" x14ac:dyDescent="0.15">
      <c r="B204" s="2"/>
      <c r="C204" s="3"/>
      <c r="D204" s="3"/>
      <c r="E204" s="3"/>
      <c r="F204" s="4"/>
    </row>
    <row r="205" spans="2:6" ht="12" customHeight="1" x14ac:dyDescent="0.15">
      <c r="B205" s="2"/>
      <c r="C205" s="3"/>
      <c r="D205" s="3"/>
      <c r="E205" s="3"/>
      <c r="F205" s="4"/>
    </row>
    <row r="206" spans="2:6" ht="12" customHeight="1" x14ac:dyDescent="0.15">
      <c r="B206" s="2"/>
      <c r="C206" s="3"/>
      <c r="D206" s="3"/>
      <c r="E206" s="3"/>
      <c r="F206" s="4"/>
    </row>
    <row r="207" spans="2:6" ht="12" customHeight="1" x14ac:dyDescent="0.15">
      <c r="B207" s="2"/>
      <c r="C207" s="3"/>
      <c r="D207" s="3"/>
      <c r="E207" s="3"/>
      <c r="F207" s="4"/>
    </row>
    <row r="208" spans="2:6" ht="12" customHeight="1" x14ac:dyDescent="0.15">
      <c r="B208" s="2"/>
      <c r="C208" s="3"/>
      <c r="D208" s="3"/>
      <c r="E208" s="3"/>
      <c r="F208" s="4"/>
    </row>
    <row r="209" spans="2:6" ht="12" customHeight="1" x14ac:dyDescent="0.15">
      <c r="B209" s="2"/>
      <c r="C209" s="3"/>
      <c r="D209" s="3"/>
      <c r="E209" s="3"/>
      <c r="F209" s="4"/>
    </row>
    <row r="210" spans="2:6" ht="12" customHeight="1" x14ac:dyDescent="0.15">
      <c r="B210" s="2"/>
      <c r="C210" s="3"/>
      <c r="D210" s="3"/>
      <c r="E210" s="3"/>
      <c r="F210" s="4"/>
    </row>
    <row r="211" spans="2:6" ht="12" customHeight="1" x14ac:dyDescent="0.15">
      <c r="B211" s="2"/>
      <c r="C211" s="3"/>
      <c r="D211" s="3"/>
      <c r="E211" s="3"/>
      <c r="F211" s="4"/>
    </row>
    <row r="212" spans="2:6" ht="12" customHeight="1" x14ac:dyDescent="0.15">
      <c r="B212" s="2"/>
      <c r="C212" s="3"/>
      <c r="D212" s="3"/>
      <c r="E212" s="3"/>
      <c r="F212" s="4"/>
    </row>
    <row r="213" spans="2:6" ht="12" customHeight="1" x14ac:dyDescent="0.15">
      <c r="B213" s="2"/>
      <c r="C213" s="3"/>
      <c r="D213" s="3"/>
      <c r="E213" s="3"/>
      <c r="F213" s="4"/>
    </row>
    <row r="214" spans="2:6" ht="12" customHeight="1" x14ac:dyDescent="0.15">
      <c r="B214" s="2"/>
      <c r="C214" s="3"/>
      <c r="D214" s="3"/>
      <c r="E214" s="3"/>
      <c r="F214" s="4"/>
    </row>
    <row r="215" spans="2:6" ht="12" customHeight="1" x14ac:dyDescent="0.15">
      <c r="B215" s="2"/>
      <c r="C215" s="3"/>
      <c r="D215" s="3"/>
      <c r="E215" s="3"/>
      <c r="F215" s="4"/>
    </row>
    <row r="216" spans="2:6" ht="12" customHeight="1" x14ac:dyDescent="0.15">
      <c r="B216" s="2"/>
      <c r="C216" s="3"/>
      <c r="D216" s="3"/>
      <c r="E216" s="3"/>
      <c r="F216" s="4"/>
    </row>
    <row r="217" spans="2:6" ht="12" customHeight="1" x14ac:dyDescent="0.15">
      <c r="B217" s="2"/>
      <c r="C217" s="3"/>
      <c r="D217" s="3"/>
      <c r="E217" s="3"/>
      <c r="F217" s="4"/>
    </row>
    <row r="218" spans="2:6" ht="12" customHeight="1" x14ac:dyDescent="0.15">
      <c r="B218" s="2"/>
      <c r="C218" s="3"/>
      <c r="D218" s="3"/>
      <c r="E218" s="3"/>
      <c r="F218" s="4"/>
    </row>
    <row r="219" spans="2:6" ht="12" customHeight="1" x14ac:dyDescent="0.15">
      <c r="B219" s="2"/>
      <c r="C219" s="3"/>
      <c r="D219" s="3"/>
      <c r="E219" s="3"/>
      <c r="F219" s="4"/>
    </row>
    <row r="220" spans="2:6" ht="12" customHeight="1" x14ac:dyDescent="0.15">
      <c r="B220" s="2"/>
      <c r="C220" s="3"/>
      <c r="D220" s="3"/>
      <c r="E220" s="3"/>
      <c r="F220" s="4"/>
    </row>
    <row r="221" spans="2:6" ht="12" customHeight="1" x14ac:dyDescent="0.15">
      <c r="B221" s="2"/>
      <c r="C221" s="3"/>
      <c r="D221" s="3"/>
      <c r="E221" s="3"/>
      <c r="F221" s="4"/>
    </row>
    <row r="222" spans="2:6" ht="12" customHeight="1" x14ac:dyDescent="0.15">
      <c r="B222" s="2"/>
      <c r="C222" s="3"/>
      <c r="D222" s="3"/>
      <c r="E222" s="3"/>
      <c r="F222" s="4"/>
    </row>
    <row r="223" spans="2:6" ht="12" customHeight="1" x14ac:dyDescent="0.15">
      <c r="B223" s="2"/>
      <c r="C223" s="3"/>
      <c r="D223" s="3"/>
      <c r="E223" s="3"/>
      <c r="F223" s="4"/>
    </row>
    <row r="224" spans="2:6" ht="12" customHeight="1" x14ac:dyDescent="0.15">
      <c r="B224" s="2"/>
      <c r="C224" s="3"/>
      <c r="D224" s="3"/>
      <c r="E224" s="3"/>
      <c r="F224" s="4"/>
    </row>
    <row r="225" spans="2:6" ht="12" customHeight="1" x14ac:dyDescent="0.15">
      <c r="B225" s="2"/>
      <c r="C225" s="3"/>
      <c r="D225" s="3"/>
      <c r="E225" s="3"/>
      <c r="F225" s="4"/>
    </row>
    <row r="226" spans="2:6" ht="12" customHeight="1" x14ac:dyDescent="0.15">
      <c r="B226" s="2"/>
      <c r="C226" s="3"/>
      <c r="D226" s="3"/>
      <c r="E226" s="3"/>
      <c r="F226" s="4"/>
    </row>
    <row r="227" spans="2:6" ht="12" customHeight="1" x14ac:dyDescent="0.15">
      <c r="B227" s="2"/>
      <c r="C227" s="3"/>
      <c r="D227" s="3"/>
      <c r="E227" s="3"/>
      <c r="F227" s="4"/>
    </row>
    <row r="228" spans="2:6" ht="12" customHeight="1" x14ac:dyDescent="0.15">
      <c r="B228" s="2"/>
      <c r="C228" s="3"/>
      <c r="D228" s="3"/>
      <c r="E228" s="3"/>
      <c r="F228" s="4"/>
    </row>
    <row r="229" spans="2:6" ht="12" customHeight="1" x14ac:dyDescent="0.15">
      <c r="B229" s="2"/>
      <c r="C229" s="3"/>
      <c r="D229" s="3"/>
      <c r="E229" s="3"/>
      <c r="F229" s="4"/>
    </row>
    <row r="230" spans="2:6" ht="12" customHeight="1" x14ac:dyDescent="0.15">
      <c r="B230" s="2"/>
      <c r="C230" s="3"/>
      <c r="D230" s="3"/>
      <c r="E230" s="3"/>
      <c r="F230" s="4"/>
    </row>
    <row r="231" spans="2:6" ht="12" customHeight="1" x14ac:dyDescent="0.15">
      <c r="B231" s="2"/>
      <c r="C231" s="3"/>
      <c r="D231" s="3"/>
      <c r="E231" s="3"/>
      <c r="F231" s="4"/>
    </row>
    <row r="232" spans="2:6" ht="12" customHeight="1" x14ac:dyDescent="0.15">
      <c r="B232" s="2"/>
      <c r="C232" s="3"/>
      <c r="D232" s="3"/>
      <c r="E232" s="3"/>
      <c r="F232" s="4"/>
    </row>
    <row r="233" spans="2:6" ht="12" customHeight="1" x14ac:dyDescent="0.15">
      <c r="B233" s="2"/>
      <c r="C233" s="3"/>
      <c r="D233" s="3"/>
      <c r="E233" s="3"/>
      <c r="F233" s="4"/>
    </row>
    <row r="234" spans="2:6" ht="12" customHeight="1" x14ac:dyDescent="0.15">
      <c r="B234" s="2"/>
      <c r="C234" s="3"/>
      <c r="D234" s="3"/>
      <c r="E234" s="3"/>
      <c r="F234" s="4"/>
    </row>
    <row r="235" spans="2:6" ht="12" customHeight="1" x14ac:dyDescent="0.15">
      <c r="B235" s="2"/>
      <c r="C235" s="3"/>
      <c r="D235" s="3"/>
      <c r="E235" s="3"/>
      <c r="F235" s="4"/>
    </row>
    <row r="236" spans="2:6" ht="12" customHeight="1" x14ac:dyDescent="0.15">
      <c r="B236" s="2"/>
      <c r="C236" s="3"/>
      <c r="D236" s="3"/>
      <c r="E236" s="3"/>
      <c r="F236" s="4"/>
    </row>
    <row r="237" spans="2:6" ht="12" customHeight="1" x14ac:dyDescent="0.15">
      <c r="B237" s="2"/>
      <c r="C237" s="3"/>
      <c r="D237" s="3"/>
      <c r="E237" s="3"/>
      <c r="F237" s="4"/>
    </row>
    <row r="238" spans="2:6" ht="12" customHeight="1" x14ac:dyDescent="0.15">
      <c r="B238" s="2"/>
      <c r="C238" s="3"/>
      <c r="D238" s="3"/>
      <c r="E238" s="3"/>
      <c r="F238" s="4"/>
    </row>
    <row r="239" spans="2:6" ht="12" customHeight="1" x14ac:dyDescent="0.15">
      <c r="B239" s="2"/>
      <c r="C239" s="3"/>
      <c r="D239" s="3"/>
      <c r="E239" s="3"/>
      <c r="F239" s="4"/>
    </row>
    <row r="240" spans="2:6" ht="12" customHeight="1" x14ac:dyDescent="0.15">
      <c r="B240" s="2"/>
      <c r="C240" s="3"/>
      <c r="D240" s="3"/>
      <c r="E240" s="3"/>
      <c r="F240" s="4"/>
    </row>
    <row r="241" spans="2:6" ht="12" customHeight="1" x14ac:dyDescent="0.15">
      <c r="B241" s="2"/>
      <c r="C241" s="3"/>
      <c r="D241" s="3"/>
      <c r="E241" s="3"/>
      <c r="F241" s="4"/>
    </row>
    <row r="242" spans="2:6" ht="12" customHeight="1" x14ac:dyDescent="0.15">
      <c r="B242" s="2"/>
      <c r="C242" s="3"/>
      <c r="D242" s="3"/>
      <c r="E242" s="3"/>
      <c r="F242" s="4"/>
    </row>
    <row r="243" spans="2:6" ht="12" customHeight="1" x14ac:dyDescent="0.15">
      <c r="B243" s="2"/>
      <c r="C243" s="3"/>
      <c r="D243" s="3"/>
      <c r="E243" s="3"/>
      <c r="F243" s="4"/>
    </row>
    <row r="244" spans="2:6" ht="12" customHeight="1" x14ac:dyDescent="0.15">
      <c r="B244" s="2"/>
      <c r="C244" s="3"/>
      <c r="D244" s="3"/>
      <c r="E244" s="3"/>
      <c r="F244" s="4"/>
    </row>
    <row r="245" spans="2:6" ht="12" customHeight="1" x14ac:dyDescent="0.15">
      <c r="B245" s="2"/>
      <c r="C245" s="3"/>
      <c r="D245" s="3"/>
      <c r="E245" s="3"/>
      <c r="F245" s="4"/>
    </row>
    <row r="246" spans="2:6" ht="12" customHeight="1" x14ac:dyDescent="0.15">
      <c r="B246" s="2"/>
      <c r="C246" s="3"/>
      <c r="D246" s="3"/>
      <c r="E246" s="3"/>
      <c r="F246" s="4"/>
    </row>
    <row r="247" spans="2:6" ht="12" customHeight="1" x14ac:dyDescent="0.15">
      <c r="B247" s="2"/>
      <c r="C247" s="3"/>
      <c r="D247" s="3"/>
      <c r="E247" s="3"/>
      <c r="F247" s="4"/>
    </row>
    <row r="248" spans="2:6" ht="12" customHeight="1" x14ac:dyDescent="0.15">
      <c r="B248" s="2"/>
      <c r="C248" s="3"/>
      <c r="D248" s="3"/>
      <c r="E248" s="3"/>
      <c r="F248" s="4"/>
    </row>
    <row r="249" spans="2:6" ht="12" customHeight="1" x14ac:dyDescent="0.15">
      <c r="B249" s="2"/>
      <c r="C249" s="3"/>
      <c r="D249" s="3"/>
      <c r="E249" s="3"/>
      <c r="F249" s="4"/>
    </row>
    <row r="250" spans="2:6" ht="12" customHeight="1" x14ac:dyDescent="0.15">
      <c r="B250" s="2"/>
      <c r="C250" s="3"/>
      <c r="D250" s="3"/>
      <c r="E250" s="3"/>
      <c r="F250" s="4"/>
    </row>
    <row r="251" spans="2:6" ht="12" customHeight="1" x14ac:dyDescent="0.15">
      <c r="B251" s="2"/>
      <c r="C251" s="3"/>
      <c r="D251" s="3"/>
      <c r="E251" s="3"/>
      <c r="F251" s="4"/>
    </row>
    <row r="252" spans="2:6" ht="12" customHeight="1" x14ac:dyDescent="0.15">
      <c r="B252" s="2"/>
      <c r="C252" s="3"/>
      <c r="D252" s="3"/>
      <c r="E252" s="3"/>
      <c r="F252" s="4"/>
    </row>
    <row r="253" spans="2:6" ht="12" customHeight="1" x14ac:dyDescent="0.15">
      <c r="B253" s="2"/>
      <c r="C253" s="3"/>
      <c r="D253" s="3"/>
      <c r="E253" s="3"/>
      <c r="F253" s="4"/>
    </row>
    <row r="254" spans="2:6" ht="12" customHeight="1" x14ac:dyDescent="0.15">
      <c r="B254" s="2"/>
      <c r="C254" s="3"/>
      <c r="D254" s="3"/>
      <c r="E254" s="3"/>
      <c r="F254" s="4"/>
    </row>
    <row r="255" spans="2:6" ht="12" customHeight="1" x14ac:dyDescent="0.15">
      <c r="B255" s="2"/>
      <c r="C255" s="3"/>
      <c r="D255" s="3"/>
      <c r="E255" s="3"/>
      <c r="F255" s="4"/>
    </row>
    <row r="256" spans="2:6" ht="12" customHeight="1" x14ac:dyDescent="0.15">
      <c r="B256" s="2"/>
      <c r="C256" s="3"/>
      <c r="D256" s="3"/>
      <c r="E256" s="3"/>
      <c r="F256" s="4"/>
    </row>
    <row r="257" spans="2:6" ht="12" customHeight="1" x14ac:dyDescent="0.15">
      <c r="B257" s="2"/>
      <c r="C257" s="3"/>
      <c r="D257" s="3"/>
      <c r="E257" s="3"/>
      <c r="F257" s="4"/>
    </row>
    <row r="258" spans="2:6" ht="12" customHeight="1" x14ac:dyDescent="0.15">
      <c r="B258" s="2"/>
      <c r="C258" s="3"/>
      <c r="D258" s="3"/>
      <c r="E258" s="3"/>
      <c r="F258" s="4"/>
    </row>
    <row r="259" spans="2:6" ht="12" customHeight="1" x14ac:dyDescent="0.15">
      <c r="B259" s="2"/>
      <c r="C259" s="3"/>
      <c r="D259" s="3"/>
      <c r="E259" s="3"/>
      <c r="F259" s="4"/>
    </row>
    <row r="260" spans="2:6" ht="12" customHeight="1" x14ac:dyDescent="0.15">
      <c r="B260" s="2"/>
      <c r="C260" s="3"/>
      <c r="D260" s="3"/>
      <c r="E260" s="3"/>
      <c r="F260" s="4"/>
    </row>
    <row r="261" spans="2:6" ht="12" customHeight="1" x14ac:dyDescent="0.15">
      <c r="B261" s="2"/>
      <c r="C261" s="3"/>
      <c r="D261" s="3"/>
      <c r="E261" s="3"/>
      <c r="F261" s="4"/>
    </row>
    <row r="262" spans="2:6" ht="12" customHeight="1" x14ac:dyDescent="0.15">
      <c r="B262" s="2"/>
      <c r="C262" s="3"/>
      <c r="D262" s="3"/>
      <c r="E262" s="3"/>
      <c r="F262" s="4"/>
    </row>
    <row r="263" spans="2:6" ht="12" customHeight="1" x14ac:dyDescent="0.15">
      <c r="B263" s="2"/>
      <c r="C263" s="3"/>
      <c r="D263" s="3"/>
      <c r="E263" s="3"/>
      <c r="F263" s="4"/>
    </row>
    <row r="264" spans="2:6" ht="12" customHeight="1" x14ac:dyDescent="0.15">
      <c r="B264" s="2"/>
      <c r="C264" s="3"/>
      <c r="D264" s="3"/>
      <c r="E264" s="3"/>
      <c r="F264" s="4"/>
    </row>
    <row r="265" spans="2:6" ht="12" customHeight="1" x14ac:dyDescent="0.15">
      <c r="B265" s="2"/>
      <c r="C265" s="3"/>
      <c r="D265" s="3"/>
      <c r="E265" s="3"/>
      <c r="F265" s="4"/>
    </row>
    <row r="266" spans="2:6" ht="12" customHeight="1" x14ac:dyDescent="0.15">
      <c r="B266" s="2"/>
      <c r="C266" s="3"/>
      <c r="D266" s="3"/>
      <c r="E266" s="3"/>
      <c r="F266" s="4"/>
    </row>
    <row r="267" spans="2:6" ht="12" customHeight="1" x14ac:dyDescent="0.15">
      <c r="B267" s="2"/>
      <c r="C267" s="3"/>
      <c r="D267" s="3"/>
      <c r="E267" s="3"/>
      <c r="F267" s="4"/>
    </row>
    <row r="268" spans="2:6" ht="12" customHeight="1" x14ac:dyDescent="0.15">
      <c r="B268" s="2"/>
      <c r="C268" s="3"/>
      <c r="D268" s="3"/>
      <c r="E268" s="3"/>
      <c r="F268" s="4"/>
    </row>
    <row r="269" spans="2:6" ht="12" customHeight="1" x14ac:dyDescent="0.15">
      <c r="B269" s="2"/>
      <c r="C269" s="3"/>
      <c r="D269" s="3"/>
      <c r="E269" s="3"/>
      <c r="F269" s="4"/>
    </row>
    <row r="270" spans="2:6" ht="12" customHeight="1" x14ac:dyDescent="0.15">
      <c r="B270" s="2"/>
      <c r="C270" s="3"/>
      <c r="D270" s="3"/>
      <c r="E270" s="3"/>
      <c r="F270" s="4"/>
    </row>
    <row r="271" spans="2:6" ht="12" customHeight="1" x14ac:dyDescent="0.15">
      <c r="B271" s="2"/>
      <c r="C271" s="3"/>
      <c r="D271" s="3"/>
      <c r="E271" s="3"/>
      <c r="F271" s="4"/>
    </row>
    <row r="272" spans="2:6" ht="12" customHeight="1" x14ac:dyDescent="0.15">
      <c r="B272" s="2"/>
      <c r="C272" s="3"/>
      <c r="D272" s="3"/>
      <c r="E272" s="3"/>
      <c r="F272" s="4"/>
    </row>
    <row r="273" spans="2:6" ht="12" customHeight="1" x14ac:dyDescent="0.15">
      <c r="B273" s="2"/>
      <c r="C273" s="3"/>
      <c r="D273" s="3"/>
      <c r="E273" s="3"/>
      <c r="F273" s="4"/>
    </row>
    <row r="274" spans="2:6" ht="12" customHeight="1" x14ac:dyDescent="0.15">
      <c r="B274" s="2"/>
      <c r="C274" s="3"/>
      <c r="D274" s="3"/>
      <c r="E274" s="3"/>
      <c r="F274" s="4"/>
    </row>
    <row r="275" spans="2:6" ht="12" customHeight="1" x14ac:dyDescent="0.15">
      <c r="B275" s="2"/>
      <c r="C275" s="3"/>
      <c r="D275" s="3"/>
      <c r="E275" s="3"/>
      <c r="F275" s="4"/>
    </row>
    <row r="276" spans="2:6" ht="12" customHeight="1" x14ac:dyDescent="0.15">
      <c r="B276" s="2"/>
      <c r="C276" s="3"/>
      <c r="D276" s="3"/>
      <c r="E276" s="3"/>
      <c r="F276" s="4"/>
    </row>
    <row r="277" spans="2:6" ht="12" customHeight="1" x14ac:dyDescent="0.15">
      <c r="B277" s="2"/>
      <c r="C277" s="3"/>
      <c r="D277" s="3"/>
      <c r="E277" s="3"/>
      <c r="F277" s="4"/>
    </row>
    <row r="278" spans="2:6" ht="12" customHeight="1" x14ac:dyDescent="0.15">
      <c r="B278" s="2"/>
      <c r="C278" s="3"/>
      <c r="D278" s="3"/>
      <c r="E278" s="3"/>
      <c r="F278" s="4"/>
    </row>
    <row r="279" spans="2:6" ht="12" customHeight="1" x14ac:dyDescent="0.15">
      <c r="B279" s="2"/>
      <c r="C279" s="3"/>
      <c r="D279" s="3"/>
      <c r="E279" s="3"/>
      <c r="F279" s="4"/>
    </row>
    <row r="280" spans="2:6" ht="12" customHeight="1" x14ac:dyDescent="0.15">
      <c r="B280" s="2"/>
      <c r="C280" s="3"/>
      <c r="D280" s="3"/>
      <c r="E280" s="3"/>
      <c r="F280" s="4"/>
    </row>
    <row r="281" spans="2:6" ht="12" customHeight="1" x14ac:dyDescent="0.15">
      <c r="B281" s="2"/>
      <c r="C281" s="3"/>
      <c r="D281" s="3"/>
      <c r="E281" s="3"/>
      <c r="F281" s="4"/>
    </row>
    <row r="282" spans="2:6" ht="12" customHeight="1" x14ac:dyDescent="0.15">
      <c r="B282" s="2"/>
      <c r="C282" s="3"/>
      <c r="D282" s="3"/>
      <c r="E282" s="3"/>
      <c r="F282" s="4"/>
    </row>
    <row r="283" spans="2:6" ht="12" customHeight="1" x14ac:dyDescent="0.15">
      <c r="B283" s="2"/>
      <c r="C283" s="3"/>
      <c r="D283" s="3"/>
      <c r="E283" s="3"/>
      <c r="F283" s="4"/>
    </row>
    <row r="284" spans="2:6" ht="12" customHeight="1" x14ac:dyDescent="0.15">
      <c r="B284" s="2"/>
      <c r="C284" s="3"/>
      <c r="D284" s="3"/>
      <c r="E284" s="3"/>
      <c r="F284" s="4"/>
    </row>
    <row r="285" spans="2:6" ht="12" customHeight="1" x14ac:dyDescent="0.15">
      <c r="B285" s="2"/>
      <c r="C285" s="3"/>
      <c r="D285" s="3"/>
      <c r="E285" s="3"/>
      <c r="F285" s="4"/>
    </row>
    <row r="286" spans="2:6" ht="12" customHeight="1" x14ac:dyDescent="0.15">
      <c r="B286" s="2"/>
      <c r="C286" s="3"/>
      <c r="D286" s="3"/>
      <c r="E286" s="3"/>
      <c r="F286" s="4"/>
    </row>
    <row r="287" spans="2:6" ht="12" customHeight="1" x14ac:dyDescent="0.15">
      <c r="B287" s="2"/>
      <c r="C287" s="3"/>
      <c r="D287" s="3"/>
      <c r="E287" s="3"/>
      <c r="F287" s="4"/>
    </row>
    <row r="288" spans="2:6" ht="12" customHeight="1" x14ac:dyDescent="0.15">
      <c r="B288" s="2"/>
      <c r="C288" s="3"/>
      <c r="D288" s="3"/>
      <c r="E288" s="3"/>
      <c r="F288" s="4"/>
    </row>
    <row r="289" spans="2:6" ht="12" customHeight="1" x14ac:dyDescent="0.15">
      <c r="B289" s="2"/>
      <c r="C289" s="3"/>
      <c r="D289" s="3"/>
      <c r="E289" s="3"/>
      <c r="F289" s="4"/>
    </row>
    <row r="290" spans="2:6" ht="12" customHeight="1" x14ac:dyDescent="0.15">
      <c r="B290" s="2"/>
      <c r="C290" s="3"/>
      <c r="D290" s="3"/>
      <c r="E290" s="3"/>
      <c r="F290" s="4"/>
    </row>
    <row r="291" spans="2:6" ht="12" customHeight="1" x14ac:dyDescent="0.15">
      <c r="B291" s="2"/>
      <c r="C291" s="3"/>
      <c r="D291" s="3"/>
      <c r="E291" s="3"/>
      <c r="F291" s="4"/>
    </row>
    <row r="292" spans="2:6" ht="12" customHeight="1" x14ac:dyDescent="0.15">
      <c r="B292" s="2"/>
      <c r="C292" s="3"/>
      <c r="D292" s="3"/>
      <c r="E292" s="3"/>
      <c r="F292" s="4"/>
    </row>
    <row r="293" spans="2:6" ht="12" customHeight="1" x14ac:dyDescent="0.15">
      <c r="B293" s="2"/>
      <c r="C293" s="3"/>
      <c r="D293" s="3"/>
      <c r="E293" s="3"/>
      <c r="F293" s="4"/>
    </row>
    <row r="294" spans="2:6" ht="12" customHeight="1" x14ac:dyDescent="0.15">
      <c r="B294" s="2"/>
      <c r="C294" s="3"/>
      <c r="D294" s="3"/>
      <c r="E294" s="3"/>
      <c r="F294" s="4"/>
    </row>
    <row r="295" spans="2:6" ht="12" customHeight="1" x14ac:dyDescent="0.15">
      <c r="B295" s="2"/>
      <c r="C295" s="3"/>
      <c r="D295" s="3"/>
      <c r="E295" s="3"/>
      <c r="F295" s="4"/>
    </row>
    <row r="296" spans="2:6" ht="12" customHeight="1" x14ac:dyDescent="0.15">
      <c r="B296" s="2"/>
      <c r="C296" s="3"/>
      <c r="D296" s="3"/>
      <c r="E296" s="3"/>
      <c r="F296" s="4"/>
    </row>
    <row r="297" spans="2:6" ht="12" customHeight="1" x14ac:dyDescent="0.15">
      <c r="B297" s="2"/>
      <c r="C297" s="3"/>
      <c r="D297" s="3"/>
      <c r="E297" s="3"/>
      <c r="F297" s="4"/>
    </row>
    <row r="298" spans="2:6" ht="12" customHeight="1" x14ac:dyDescent="0.15">
      <c r="B298" s="2"/>
      <c r="C298" s="3"/>
      <c r="D298" s="3"/>
      <c r="E298" s="3"/>
      <c r="F298" s="4"/>
    </row>
    <row r="299" spans="2:6" ht="12" customHeight="1" x14ac:dyDescent="0.15">
      <c r="B299" s="2"/>
      <c r="C299" s="3"/>
      <c r="D299" s="3"/>
      <c r="E299" s="3"/>
      <c r="F299" s="4"/>
    </row>
    <row r="300" spans="2:6" ht="12" customHeight="1" x14ac:dyDescent="0.15">
      <c r="B300" s="2"/>
      <c r="C300" s="3"/>
      <c r="D300" s="3"/>
      <c r="E300" s="3"/>
      <c r="F300" s="4"/>
    </row>
    <row r="301" spans="2:6" ht="12" customHeight="1" x14ac:dyDescent="0.15">
      <c r="B301" s="2"/>
      <c r="C301" s="3"/>
      <c r="D301" s="3"/>
      <c r="E301" s="3"/>
      <c r="F301" s="4"/>
    </row>
    <row r="302" spans="2:6" ht="12" customHeight="1" x14ac:dyDescent="0.15">
      <c r="B302" s="2"/>
      <c r="C302" s="3"/>
      <c r="D302" s="3"/>
      <c r="E302" s="3"/>
      <c r="F302" s="4"/>
    </row>
    <row r="303" spans="2:6" ht="12" customHeight="1" x14ac:dyDescent="0.15">
      <c r="B303" s="2"/>
      <c r="C303" s="3"/>
      <c r="D303" s="3"/>
      <c r="E303" s="3"/>
      <c r="F303" s="4"/>
    </row>
    <row r="304" spans="2:6" ht="12" customHeight="1" x14ac:dyDescent="0.15">
      <c r="B304" s="2"/>
      <c r="C304" s="3"/>
      <c r="D304" s="3"/>
      <c r="E304" s="3"/>
      <c r="F304" s="4"/>
    </row>
    <row r="305" spans="2:6" ht="12" customHeight="1" x14ac:dyDescent="0.15">
      <c r="B305" s="2"/>
      <c r="C305" s="3"/>
      <c r="D305" s="3"/>
      <c r="E305" s="3"/>
      <c r="F305" s="4"/>
    </row>
    <row r="306" spans="2:6" ht="12" customHeight="1" x14ac:dyDescent="0.15">
      <c r="B306" s="2"/>
      <c r="C306" s="3"/>
      <c r="D306" s="3"/>
      <c r="E306" s="3"/>
      <c r="F306" s="4"/>
    </row>
    <row r="307" spans="2:6" ht="12" customHeight="1" x14ac:dyDescent="0.15">
      <c r="B307" s="2"/>
      <c r="C307" s="3"/>
      <c r="D307" s="3"/>
      <c r="E307" s="3"/>
      <c r="F307" s="4"/>
    </row>
    <row r="308" spans="2:6" ht="12" customHeight="1" x14ac:dyDescent="0.15">
      <c r="B308" s="2"/>
      <c r="C308" s="3"/>
      <c r="D308" s="3"/>
      <c r="E308" s="3"/>
      <c r="F308" s="4"/>
    </row>
    <row r="309" spans="2:6" ht="12" customHeight="1" x14ac:dyDescent="0.15">
      <c r="B309" s="2"/>
      <c r="C309" s="3"/>
      <c r="D309" s="3"/>
      <c r="E309" s="3"/>
      <c r="F309" s="4"/>
    </row>
    <row r="310" spans="2:6" ht="12" customHeight="1" x14ac:dyDescent="0.15">
      <c r="B310" s="2"/>
      <c r="C310" s="3"/>
      <c r="D310" s="3"/>
      <c r="E310" s="3"/>
      <c r="F310" s="4"/>
    </row>
    <row r="311" spans="2:6" ht="12" customHeight="1" x14ac:dyDescent="0.15">
      <c r="B311" s="2"/>
      <c r="C311" s="3"/>
      <c r="D311" s="3"/>
      <c r="E311" s="3"/>
      <c r="F311" s="4"/>
    </row>
    <row r="312" spans="2:6" ht="12" customHeight="1" x14ac:dyDescent="0.15">
      <c r="B312" s="2"/>
      <c r="C312" s="3"/>
      <c r="D312" s="3"/>
      <c r="E312" s="3"/>
      <c r="F312" s="4"/>
    </row>
    <row r="313" spans="2:6" ht="12" customHeight="1" x14ac:dyDescent="0.15">
      <c r="B313" s="2"/>
      <c r="C313" s="3"/>
      <c r="D313" s="3"/>
      <c r="E313" s="3"/>
      <c r="F313" s="4"/>
    </row>
    <row r="314" spans="2:6" ht="12" customHeight="1" x14ac:dyDescent="0.15">
      <c r="B314" s="2"/>
      <c r="C314" s="3"/>
      <c r="D314" s="3"/>
      <c r="E314" s="3"/>
      <c r="F314" s="4"/>
    </row>
    <row r="315" spans="2:6" ht="12" customHeight="1" x14ac:dyDescent="0.15">
      <c r="B315" s="2"/>
      <c r="C315" s="3"/>
      <c r="D315" s="3"/>
      <c r="E315" s="3"/>
      <c r="F315" s="4"/>
    </row>
    <row r="316" spans="2:6" ht="12" customHeight="1" x14ac:dyDescent="0.15">
      <c r="B316" s="2"/>
      <c r="C316" s="3"/>
      <c r="D316" s="3"/>
      <c r="E316" s="3"/>
      <c r="F316" s="4"/>
    </row>
    <row r="317" spans="2:6" ht="12" customHeight="1" x14ac:dyDescent="0.15">
      <c r="B317" s="2"/>
      <c r="C317" s="3"/>
      <c r="D317" s="3"/>
      <c r="E317" s="3"/>
      <c r="F317" s="4"/>
    </row>
    <row r="318" spans="2:6" ht="12" customHeight="1" x14ac:dyDescent="0.15">
      <c r="B318" s="2"/>
      <c r="C318" s="3"/>
      <c r="D318" s="3"/>
      <c r="E318" s="3"/>
      <c r="F318" s="4"/>
    </row>
    <row r="319" spans="2:6" ht="12" customHeight="1" x14ac:dyDescent="0.15">
      <c r="B319" s="2"/>
      <c r="C319" s="3"/>
      <c r="D319" s="3"/>
      <c r="E319" s="3"/>
      <c r="F319" s="4"/>
    </row>
    <row r="320" spans="2:6" ht="12" customHeight="1" x14ac:dyDescent="0.15">
      <c r="B320" s="2"/>
      <c r="C320" s="3"/>
      <c r="D320" s="3"/>
      <c r="E320" s="3"/>
      <c r="F320" s="4"/>
    </row>
    <row r="321" spans="2:6" ht="12" customHeight="1" x14ac:dyDescent="0.15">
      <c r="B321" s="2"/>
      <c r="C321" s="3"/>
      <c r="D321" s="3"/>
      <c r="E321" s="3"/>
      <c r="F321" s="4"/>
    </row>
    <row r="322" spans="2:6" ht="12" customHeight="1" x14ac:dyDescent="0.15">
      <c r="B322" s="2"/>
      <c r="C322" s="3"/>
      <c r="D322" s="3"/>
      <c r="E322" s="3"/>
      <c r="F322" s="4"/>
    </row>
    <row r="323" spans="2:6" ht="12" customHeight="1" x14ac:dyDescent="0.15">
      <c r="B323" s="2"/>
      <c r="C323" s="3"/>
      <c r="D323" s="3"/>
      <c r="E323" s="3"/>
      <c r="F323" s="4"/>
    </row>
    <row r="324" spans="2:6" ht="12" customHeight="1" x14ac:dyDescent="0.15">
      <c r="B324" s="2"/>
      <c r="C324" s="3"/>
      <c r="D324" s="3"/>
      <c r="E324" s="3"/>
      <c r="F324" s="4"/>
    </row>
    <row r="325" spans="2:6" ht="12" customHeight="1" x14ac:dyDescent="0.15">
      <c r="B325" s="2"/>
      <c r="C325" s="3"/>
      <c r="D325" s="3"/>
      <c r="E325" s="3"/>
      <c r="F325" s="4"/>
    </row>
    <row r="326" spans="2:6" ht="12" customHeight="1" x14ac:dyDescent="0.15">
      <c r="B326" s="2"/>
      <c r="C326" s="3"/>
      <c r="D326" s="3"/>
      <c r="E326" s="3"/>
      <c r="F326" s="4"/>
    </row>
    <row r="327" spans="2:6" ht="12" customHeight="1" x14ac:dyDescent="0.15">
      <c r="B327" s="2"/>
      <c r="C327" s="3"/>
      <c r="D327" s="3"/>
      <c r="E327" s="3"/>
      <c r="F327" s="4"/>
    </row>
    <row r="328" spans="2:6" ht="12" customHeight="1" x14ac:dyDescent="0.15">
      <c r="B328" s="2"/>
      <c r="C328" s="3"/>
      <c r="D328" s="3"/>
      <c r="E328" s="3"/>
      <c r="F328" s="4"/>
    </row>
    <row r="329" spans="2:6" ht="12" customHeight="1" x14ac:dyDescent="0.15">
      <c r="B329" s="2"/>
      <c r="C329" s="3"/>
      <c r="D329" s="3"/>
      <c r="E329" s="3"/>
      <c r="F329" s="4"/>
    </row>
    <row r="330" spans="2:6" ht="12" customHeight="1" x14ac:dyDescent="0.15">
      <c r="B330" s="2"/>
      <c r="C330" s="3"/>
      <c r="D330" s="3"/>
      <c r="E330" s="3"/>
      <c r="F330" s="4"/>
    </row>
    <row r="331" spans="2:6" ht="12" customHeight="1" x14ac:dyDescent="0.15">
      <c r="B331" s="2"/>
      <c r="C331" s="3"/>
      <c r="D331" s="3"/>
      <c r="E331" s="3"/>
      <c r="F331" s="4"/>
    </row>
    <row r="332" spans="2:6" ht="12" customHeight="1" x14ac:dyDescent="0.15">
      <c r="B332" s="2"/>
      <c r="C332" s="3"/>
      <c r="D332" s="3"/>
      <c r="E332" s="3"/>
      <c r="F332" s="4"/>
    </row>
    <row r="333" spans="2:6" ht="12" customHeight="1" x14ac:dyDescent="0.15">
      <c r="B333" s="2"/>
      <c r="C333" s="3"/>
      <c r="D333" s="3"/>
      <c r="E333" s="3"/>
      <c r="F333" s="4"/>
    </row>
    <row r="334" spans="2:6" ht="12" customHeight="1" x14ac:dyDescent="0.15">
      <c r="B334" s="2"/>
      <c r="C334" s="3"/>
      <c r="D334" s="3"/>
      <c r="E334" s="3"/>
      <c r="F334" s="4"/>
    </row>
    <row r="335" spans="2:6" ht="12" customHeight="1" x14ac:dyDescent="0.15">
      <c r="B335" s="2"/>
      <c r="C335" s="3"/>
      <c r="D335" s="3"/>
      <c r="E335" s="3"/>
      <c r="F335" s="4"/>
    </row>
    <row r="336" spans="2:6" ht="12" customHeight="1" x14ac:dyDescent="0.15">
      <c r="B336" s="2"/>
      <c r="C336" s="3"/>
      <c r="D336" s="3"/>
      <c r="E336" s="3"/>
      <c r="F336" s="4"/>
    </row>
    <row r="337" spans="2:6" ht="12" customHeight="1" x14ac:dyDescent="0.15">
      <c r="B337" s="2"/>
      <c r="C337" s="3"/>
      <c r="D337" s="3"/>
      <c r="E337" s="3"/>
      <c r="F337" s="4"/>
    </row>
    <row r="338" spans="2:6" ht="12" customHeight="1" x14ac:dyDescent="0.15">
      <c r="B338" s="2"/>
      <c r="C338" s="3"/>
      <c r="D338" s="3"/>
      <c r="E338" s="3"/>
      <c r="F338" s="4"/>
    </row>
    <row r="339" spans="2:6" ht="12" customHeight="1" x14ac:dyDescent="0.15">
      <c r="B339" s="2"/>
      <c r="C339" s="3"/>
      <c r="D339" s="3"/>
      <c r="E339" s="3"/>
      <c r="F339" s="4"/>
    </row>
    <row r="340" spans="2:6" ht="12" customHeight="1" x14ac:dyDescent="0.15">
      <c r="B340" s="2"/>
      <c r="C340" s="3"/>
      <c r="D340" s="3"/>
      <c r="E340" s="3"/>
      <c r="F340" s="4"/>
    </row>
    <row r="341" spans="2:6" ht="12" customHeight="1" x14ac:dyDescent="0.15">
      <c r="B341" s="2"/>
      <c r="C341" s="3"/>
      <c r="D341" s="3"/>
      <c r="E341" s="3"/>
      <c r="F341" s="4"/>
    </row>
    <row r="342" spans="2:6" ht="12" customHeight="1" x14ac:dyDescent="0.15">
      <c r="B342" s="2"/>
      <c r="C342" s="3"/>
      <c r="D342" s="3"/>
      <c r="E342" s="3"/>
      <c r="F342" s="4"/>
    </row>
    <row r="343" spans="2:6" ht="12" customHeight="1" x14ac:dyDescent="0.15">
      <c r="B343" s="2"/>
      <c r="C343" s="3"/>
      <c r="D343" s="3"/>
      <c r="E343" s="3"/>
      <c r="F343" s="4"/>
    </row>
    <row r="344" spans="2:6" ht="12" customHeight="1" x14ac:dyDescent="0.15">
      <c r="B344" s="2"/>
      <c r="C344" s="3"/>
      <c r="D344" s="3"/>
      <c r="E344" s="3"/>
      <c r="F344" s="4"/>
    </row>
    <row r="345" spans="2:6" ht="12" customHeight="1" x14ac:dyDescent="0.15">
      <c r="B345" s="2"/>
      <c r="C345" s="3"/>
      <c r="D345" s="3"/>
      <c r="E345" s="3"/>
      <c r="F345" s="4"/>
    </row>
    <row r="346" spans="2:6" ht="12" customHeight="1" x14ac:dyDescent="0.15">
      <c r="B346" s="2"/>
      <c r="C346" s="3"/>
      <c r="D346" s="3"/>
      <c r="E346" s="3"/>
      <c r="F346" s="4"/>
    </row>
    <row r="347" spans="2:6" ht="12" customHeight="1" x14ac:dyDescent="0.15">
      <c r="B347" s="2"/>
      <c r="C347" s="3"/>
      <c r="D347" s="3"/>
      <c r="E347" s="3"/>
      <c r="F347" s="4"/>
    </row>
    <row r="348" spans="2:6" ht="12" customHeight="1" x14ac:dyDescent="0.15">
      <c r="B348" s="2"/>
      <c r="C348" s="3"/>
      <c r="D348" s="3"/>
      <c r="E348" s="3"/>
      <c r="F348" s="4"/>
    </row>
    <row r="349" spans="2:6" ht="12" customHeight="1" x14ac:dyDescent="0.15">
      <c r="B349" s="2"/>
      <c r="C349" s="3"/>
      <c r="D349" s="3"/>
      <c r="E349" s="3"/>
      <c r="F349" s="4"/>
    </row>
    <row r="350" spans="2:6" ht="12" customHeight="1" x14ac:dyDescent="0.15">
      <c r="B350" s="2"/>
      <c r="C350" s="3"/>
      <c r="D350" s="3"/>
      <c r="E350" s="3"/>
      <c r="F350" s="4"/>
    </row>
    <row r="351" spans="2:6" ht="12" customHeight="1" x14ac:dyDescent="0.15">
      <c r="B351" s="2"/>
      <c r="C351" s="3"/>
      <c r="D351" s="3"/>
      <c r="E351" s="3"/>
      <c r="F351" s="4"/>
    </row>
    <row r="352" spans="2:6" ht="12" customHeight="1" x14ac:dyDescent="0.15">
      <c r="B352" s="2"/>
      <c r="C352" s="3"/>
      <c r="D352" s="3"/>
      <c r="E352" s="3"/>
      <c r="F352" s="4"/>
    </row>
    <row r="353" spans="2:6" ht="12" customHeight="1" x14ac:dyDescent="0.15">
      <c r="B353" s="2"/>
      <c r="C353" s="3"/>
      <c r="D353" s="3"/>
      <c r="E353" s="3"/>
      <c r="F353" s="4"/>
    </row>
    <row r="354" spans="2:6" ht="12" customHeight="1" x14ac:dyDescent="0.15">
      <c r="B354" s="2"/>
      <c r="C354" s="3"/>
      <c r="D354" s="3"/>
      <c r="E354" s="3"/>
      <c r="F354" s="4"/>
    </row>
    <row r="355" spans="2:6" ht="12" customHeight="1" x14ac:dyDescent="0.15">
      <c r="B355" s="2"/>
      <c r="C355" s="3"/>
      <c r="D355" s="3"/>
      <c r="E355" s="3"/>
      <c r="F355" s="4"/>
    </row>
    <row r="356" spans="2:6" ht="12" customHeight="1" x14ac:dyDescent="0.15">
      <c r="B356" s="2"/>
      <c r="C356" s="3"/>
      <c r="D356" s="3"/>
      <c r="E356" s="3"/>
      <c r="F356" s="4"/>
    </row>
    <row r="357" spans="2:6" ht="12" customHeight="1" x14ac:dyDescent="0.15">
      <c r="B357" s="2"/>
      <c r="C357" s="3"/>
      <c r="D357" s="3"/>
      <c r="E357" s="3"/>
      <c r="F357" s="4"/>
    </row>
    <row r="358" spans="2:6" ht="12" customHeight="1" x14ac:dyDescent="0.15">
      <c r="B358" s="2"/>
      <c r="C358" s="3"/>
      <c r="D358" s="3"/>
      <c r="E358" s="3"/>
      <c r="F358" s="4"/>
    </row>
    <row r="359" spans="2:6" ht="12" customHeight="1" x14ac:dyDescent="0.15">
      <c r="B359" s="2"/>
      <c r="C359" s="3"/>
      <c r="D359" s="3"/>
      <c r="E359" s="3"/>
      <c r="F359" s="4"/>
    </row>
    <row r="360" spans="2:6" ht="12" customHeight="1" x14ac:dyDescent="0.15">
      <c r="B360" s="2"/>
      <c r="C360" s="3"/>
      <c r="D360" s="3"/>
      <c r="E360" s="3"/>
      <c r="F360" s="4"/>
    </row>
    <row r="361" spans="2:6" ht="12" customHeight="1" x14ac:dyDescent="0.15">
      <c r="B361" s="2"/>
      <c r="C361" s="3"/>
      <c r="D361" s="3"/>
      <c r="E361" s="3"/>
      <c r="F361" s="4"/>
    </row>
    <row r="362" spans="2:6" ht="12" customHeight="1" x14ac:dyDescent="0.15">
      <c r="B362" s="2"/>
      <c r="C362" s="3"/>
      <c r="D362" s="3"/>
      <c r="E362" s="3"/>
      <c r="F362" s="4"/>
    </row>
    <row r="363" spans="2:6" ht="12" customHeight="1" x14ac:dyDescent="0.15">
      <c r="B363" s="2"/>
      <c r="C363" s="3"/>
      <c r="D363" s="3"/>
      <c r="E363" s="3"/>
      <c r="F363" s="4"/>
    </row>
    <row r="364" spans="2:6" ht="12" customHeight="1" x14ac:dyDescent="0.15">
      <c r="B364" s="2"/>
      <c r="C364" s="3"/>
      <c r="D364" s="3"/>
      <c r="E364" s="3"/>
      <c r="F364" s="4"/>
    </row>
    <row r="365" spans="2:6" ht="12" customHeight="1" x14ac:dyDescent="0.15">
      <c r="B365" s="2"/>
      <c r="C365" s="3"/>
      <c r="D365" s="3"/>
      <c r="E365" s="3"/>
      <c r="F365" s="4"/>
    </row>
    <row r="366" spans="2:6" ht="12" customHeight="1" x14ac:dyDescent="0.15">
      <c r="B366" s="2"/>
      <c r="C366" s="3"/>
      <c r="D366" s="3"/>
      <c r="E366" s="3"/>
      <c r="F366" s="4"/>
    </row>
    <row r="367" spans="2:6" ht="12" customHeight="1" x14ac:dyDescent="0.15">
      <c r="B367" s="2"/>
      <c r="C367" s="3"/>
      <c r="D367" s="3"/>
      <c r="E367" s="3"/>
      <c r="F367" s="4"/>
    </row>
    <row r="368" spans="2:6" ht="12" customHeight="1" x14ac:dyDescent="0.15">
      <c r="B368" s="2"/>
      <c r="C368" s="3"/>
      <c r="D368" s="3"/>
      <c r="E368" s="3"/>
      <c r="F368" s="4"/>
    </row>
    <row r="369" spans="2:6" ht="12" customHeight="1" x14ac:dyDescent="0.15">
      <c r="B369" s="2"/>
      <c r="C369" s="3"/>
      <c r="D369" s="3"/>
      <c r="E369" s="3"/>
      <c r="F369" s="4"/>
    </row>
    <row r="370" spans="2:6" ht="12" customHeight="1" x14ac:dyDescent="0.15">
      <c r="B370" s="2"/>
      <c r="C370" s="3"/>
      <c r="D370" s="3"/>
      <c r="E370" s="3"/>
      <c r="F370" s="4"/>
    </row>
    <row r="371" spans="2:6" ht="12" customHeight="1" x14ac:dyDescent="0.15">
      <c r="B371" s="2"/>
      <c r="C371" s="3"/>
      <c r="D371" s="3"/>
      <c r="E371" s="3"/>
      <c r="F371" s="4"/>
    </row>
    <row r="372" spans="2:6" ht="12" customHeight="1" x14ac:dyDescent="0.15">
      <c r="B372" s="2"/>
      <c r="C372" s="3"/>
      <c r="D372" s="3"/>
      <c r="E372" s="3"/>
      <c r="F372" s="4"/>
    </row>
    <row r="373" spans="2:6" ht="12" customHeight="1" x14ac:dyDescent="0.15">
      <c r="B373" s="2"/>
      <c r="C373" s="3"/>
      <c r="D373" s="3"/>
      <c r="E373" s="3"/>
      <c r="F373" s="4"/>
    </row>
    <row r="374" spans="2:6" ht="12" customHeight="1" x14ac:dyDescent="0.15">
      <c r="B374" s="2"/>
      <c r="C374" s="3"/>
      <c r="D374" s="3"/>
      <c r="E374" s="3"/>
      <c r="F374" s="4"/>
    </row>
    <row r="375" spans="2:6" ht="12" customHeight="1" x14ac:dyDescent="0.15">
      <c r="B375" s="2"/>
      <c r="C375" s="3"/>
      <c r="D375" s="3"/>
      <c r="E375" s="3"/>
      <c r="F375" s="4"/>
    </row>
    <row r="376" spans="2:6" ht="12" customHeight="1" x14ac:dyDescent="0.15">
      <c r="B376" s="2"/>
      <c r="C376" s="3"/>
      <c r="D376" s="3"/>
      <c r="E376" s="3"/>
      <c r="F376" s="4"/>
    </row>
    <row r="377" spans="2:6" ht="12" customHeight="1" x14ac:dyDescent="0.15">
      <c r="B377" s="2"/>
      <c r="C377" s="3"/>
      <c r="D377" s="3"/>
      <c r="E377" s="3"/>
      <c r="F377" s="4"/>
    </row>
    <row r="378" spans="2:6" ht="12" customHeight="1" x14ac:dyDescent="0.15">
      <c r="B378" s="2"/>
      <c r="C378" s="3"/>
      <c r="D378" s="3"/>
      <c r="E378" s="3"/>
      <c r="F378" s="4"/>
    </row>
    <row r="379" spans="2:6" ht="12" customHeight="1" x14ac:dyDescent="0.15">
      <c r="B379" s="2"/>
      <c r="C379" s="3"/>
      <c r="D379" s="3"/>
      <c r="E379" s="3"/>
      <c r="F379" s="4"/>
    </row>
    <row r="380" spans="2:6" ht="12" customHeight="1" x14ac:dyDescent="0.15">
      <c r="B380" s="2"/>
      <c r="C380" s="3"/>
      <c r="D380" s="3"/>
      <c r="E380" s="3"/>
      <c r="F380" s="4"/>
    </row>
    <row r="381" spans="2:6" ht="12" customHeight="1" x14ac:dyDescent="0.15">
      <c r="B381" s="2"/>
      <c r="C381" s="3"/>
      <c r="D381" s="3"/>
      <c r="E381" s="3"/>
      <c r="F381" s="4"/>
    </row>
    <row r="382" spans="2:6" ht="12" customHeight="1" x14ac:dyDescent="0.15">
      <c r="B382" s="2"/>
      <c r="C382" s="3"/>
      <c r="D382" s="3"/>
      <c r="E382" s="3"/>
      <c r="F382" s="4"/>
    </row>
    <row r="383" spans="2:6" ht="12" customHeight="1" x14ac:dyDescent="0.15">
      <c r="B383" s="2"/>
      <c r="C383" s="3"/>
      <c r="D383" s="3"/>
      <c r="E383" s="3"/>
      <c r="F383" s="4"/>
    </row>
    <row r="384" spans="2:6" ht="12" customHeight="1" x14ac:dyDescent="0.15">
      <c r="B384" s="2"/>
      <c r="C384" s="3"/>
      <c r="D384" s="3"/>
      <c r="E384" s="3"/>
      <c r="F384" s="4"/>
    </row>
    <row r="385" spans="2:6" ht="12" customHeight="1" x14ac:dyDescent="0.15">
      <c r="B385" s="2"/>
      <c r="C385" s="3"/>
      <c r="D385" s="3"/>
      <c r="E385" s="3"/>
      <c r="F385" s="4"/>
    </row>
    <row r="386" spans="2:6" ht="12" customHeight="1" x14ac:dyDescent="0.15">
      <c r="B386" s="2"/>
      <c r="C386" s="3"/>
      <c r="D386" s="3"/>
      <c r="E386" s="3"/>
      <c r="F386" s="4"/>
    </row>
    <row r="387" spans="2:6" ht="12" customHeight="1" x14ac:dyDescent="0.15">
      <c r="B387" s="2"/>
      <c r="C387" s="3"/>
      <c r="D387" s="3"/>
      <c r="E387" s="3"/>
      <c r="F387" s="4"/>
    </row>
    <row r="388" spans="2:6" ht="12" customHeight="1" x14ac:dyDescent="0.15">
      <c r="B388" s="2"/>
      <c r="C388" s="3"/>
      <c r="D388" s="3"/>
      <c r="E388" s="3"/>
      <c r="F388" s="4"/>
    </row>
    <row r="389" spans="2:6" ht="12" customHeight="1" x14ac:dyDescent="0.15">
      <c r="B389" s="2"/>
      <c r="C389" s="3"/>
      <c r="D389" s="3"/>
      <c r="E389" s="3"/>
      <c r="F389" s="4"/>
    </row>
    <row r="390" spans="2:6" ht="12" customHeight="1" x14ac:dyDescent="0.15">
      <c r="B390" s="2"/>
      <c r="C390" s="3"/>
      <c r="D390" s="3"/>
      <c r="E390" s="3"/>
      <c r="F390" s="4"/>
    </row>
    <row r="391" spans="2:6" ht="12" customHeight="1" x14ac:dyDescent="0.15">
      <c r="B391" s="2"/>
      <c r="C391" s="3"/>
      <c r="D391" s="3"/>
      <c r="E391" s="3"/>
      <c r="F391" s="4"/>
    </row>
    <row r="392" spans="2:6" ht="12" customHeight="1" x14ac:dyDescent="0.15">
      <c r="B392" s="2"/>
      <c r="C392" s="3"/>
      <c r="D392" s="3"/>
      <c r="E392" s="3"/>
      <c r="F392" s="4"/>
    </row>
    <row r="393" spans="2:6" ht="12" customHeight="1" x14ac:dyDescent="0.15">
      <c r="B393" s="2"/>
      <c r="C393" s="3"/>
      <c r="D393" s="3"/>
      <c r="E393" s="3"/>
      <c r="F393" s="4"/>
    </row>
    <row r="394" spans="2:6" ht="12" customHeight="1" x14ac:dyDescent="0.15">
      <c r="B394" s="2"/>
      <c r="C394" s="3"/>
      <c r="D394" s="3"/>
      <c r="E394" s="3"/>
      <c r="F394" s="4"/>
    </row>
    <row r="395" spans="2:6" ht="12" customHeight="1" x14ac:dyDescent="0.15">
      <c r="B395" s="2"/>
      <c r="C395" s="3"/>
      <c r="D395" s="3"/>
      <c r="E395" s="3"/>
      <c r="F395" s="4"/>
    </row>
    <row r="396" spans="2:6" ht="12" customHeight="1" x14ac:dyDescent="0.15">
      <c r="B396" s="2"/>
      <c r="C396" s="3"/>
      <c r="D396" s="3"/>
      <c r="E396" s="3"/>
      <c r="F396" s="4"/>
    </row>
    <row r="397" spans="2:6" ht="12" customHeight="1" x14ac:dyDescent="0.15">
      <c r="B397" s="2"/>
      <c r="C397" s="3"/>
      <c r="D397" s="3"/>
      <c r="E397" s="3"/>
      <c r="F397" s="4"/>
    </row>
    <row r="398" spans="2:6" ht="12" customHeight="1" x14ac:dyDescent="0.15">
      <c r="B398" s="2"/>
      <c r="C398" s="3"/>
      <c r="D398" s="3"/>
      <c r="E398" s="3"/>
      <c r="F398" s="4"/>
    </row>
    <row r="399" spans="2:6" ht="12" customHeight="1" x14ac:dyDescent="0.15">
      <c r="B399" s="2"/>
      <c r="C399" s="3"/>
      <c r="D399" s="3"/>
      <c r="E399" s="3"/>
      <c r="F399" s="4"/>
    </row>
    <row r="400" spans="2:6" ht="12" customHeight="1" x14ac:dyDescent="0.15">
      <c r="B400" s="2"/>
      <c r="C400" s="3"/>
      <c r="D400" s="3"/>
      <c r="E400" s="3"/>
      <c r="F400" s="4"/>
    </row>
    <row r="401" spans="2:6" ht="12" customHeight="1" x14ac:dyDescent="0.15">
      <c r="B401" s="2"/>
      <c r="C401" s="3"/>
      <c r="D401" s="3"/>
      <c r="E401" s="3"/>
      <c r="F401" s="4"/>
    </row>
    <row r="402" spans="2:6" ht="12" customHeight="1" x14ac:dyDescent="0.15">
      <c r="B402" s="2"/>
      <c r="C402" s="3"/>
      <c r="D402" s="3"/>
      <c r="E402" s="3"/>
      <c r="F402" s="4"/>
    </row>
    <row r="403" spans="2:6" ht="12" customHeight="1" x14ac:dyDescent="0.15">
      <c r="B403" s="2"/>
      <c r="C403" s="3"/>
      <c r="D403" s="3"/>
      <c r="E403" s="3"/>
      <c r="F403" s="4"/>
    </row>
    <row r="404" spans="2:6" ht="12" customHeight="1" x14ac:dyDescent="0.15">
      <c r="B404" s="2"/>
      <c r="C404" s="3"/>
      <c r="D404" s="3"/>
      <c r="E404" s="3"/>
      <c r="F404" s="4"/>
    </row>
    <row r="405" spans="2:6" ht="12" customHeight="1" x14ac:dyDescent="0.15">
      <c r="B405" s="2"/>
      <c r="C405" s="3"/>
      <c r="D405" s="3"/>
      <c r="E405" s="3"/>
      <c r="F405" s="4"/>
    </row>
    <row r="406" spans="2:6" ht="12" customHeight="1" x14ac:dyDescent="0.15">
      <c r="B406" s="2"/>
      <c r="C406" s="3"/>
      <c r="D406" s="3"/>
      <c r="E406" s="3"/>
      <c r="F406" s="4"/>
    </row>
    <row r="407" spans="2:6" ht="12" customHeight="1" x14ac:dyDescent="0.15">
      <c r="B407" s="2"/>
      <c r="C407" s="3"/>
      <c r="D407" s="3"/>
      <c r="E407" s="3"/>
      <c r="F407" s="4"/>
    </row>
    <row r="408" spans="2:6" ht="12" customHeight="1" x14ac:dyDescent="0.15">
      <c r="B408" s="2"/>
      <c r="C408" s="3"/>
      <c r="D408" s="3"/>
      <c r="E408" s="3"/>
      <c r="F408" s="4"/>
    </row>
    <row r="409" spans="2:6" ht="12" customHeight="1" x14ac:dyDescent="0.15">
      <c r="B409" s="2"/>
      <c r="C409" s="3"/>
      <c r="D409" s="3"/>
      <c r="E409" s="3"/>
      <c r="F409" s="4"/>
    </row>
    <row r="410" spans="2:6" ht="12" customHeight="1" x14ac:dyDescent="0.15">
      <c r="B410" s="2"/>
      <c r="C410" s="3"/>
      <c r="D410" s="3"/>
      <c r="E410" s="3"/>
      <c r="F410" s="4"/>
    </row>
    <row r="411" spans="2:6" ht="12" customHeight="1" x14ac:dyDescent="0.15">
      <c r="B411" s="2"/>
      <c r="C411" s="3"/>
      <c r="D411" s="3"/>
      <c r="E411" s="3"/>
      <c r="F411" s="4"/>
    </row>
    <row r="412" spans="2:6" ht="12" customHeight="1" x14ac:dyDescent="0.15">
      <c r="B412" s="2"/>
      <c r="C412" s="3"/>
      <c r="D412" s="3"/>
      <c r="E412" s="3"/>
      <c r="F412" s="4"/>
    </row>
    <row r="413" spans="2:6" ht="12" customHeight="1" x14ac:dyDescent="0.15">
      <c r="B413" s="2"/>
      <c r="C413" s="3"/>
      <c r="D413" s="3"/>
      <c r="E413" s="3"/>
      <c r="F413" s="4"/>
    </row>
    <row r="414" spans="2:6" ht="12" customHeight="1" x14ac:dyDescent="0.15">
      <c r="B414" s="2"/>
      <c r="C414" s="3"/>
      <c r="D414" s="3"/>
      <c r="E414" s="3"/>
      <c r="F414" s="4"/>
    </row>
    <row r="415" spans="2:6" ht="12" customHeight="1" x14ac:dyDescent="0.15">
      <c r="B415" s="2"/>
      <c r="C415" s="3"/>
      <c r="D415" s="3"/>
      <c r="E415" s="3"/>
      <c r="F415" s="4"/>
    </row>
    <row r="416" spans="2:6" ht="12" customHeight="1" x14ac:dyDescent="0.15">
      <c r="B416" s="2"/>
      <c r="C416" s="3"/>
      <c r="D416" s="3"/>
      <c r="E416" s="3"/>
      <c r="F416" s="4"/>
    </row>
    <row r="417" spans="2:6" ht="12" customHeight="1" x14ac:dyDescent="0.15">
      <c r="B417" s="2"/>
      <c r="C417" s="3"/>
      <c r="D417" s="3"/>
      <c r="E417" s="3"/>
      <c r="F417" s="4"/>
    </row>
    <row r="418" spans="2:6" ht="12" customHeight="1" x14ac:dyDescent="0.15">
      <c r="B418" s="2"/>
      <c r="C418" s="3"/>
      <c r="D418" s="3"/>
      <c r="E418" s="3"/>
      <c r="F418" s="4"/>
    </row>
    <row r="419" spans="2:6" ht="12" customHeight="1" x14ac:dyDescent="0.15">
      <c r="B419" s="2"/>
      <c r="C419" s="3"/>
      <c r="D419" s="3"/>
      <c r="E419" s="3"/>
      <c r="F419" s="4"/>
    </row>
    <row r="420" spans="2:6" ht="12" customHeight="1" x14ac:dyDescent="0.15">
      <c r="B420" s="2"/>
      <c r="C420" s="3"/>
      <c r="D420" s="3"/>
      <c r="E420" s="3"/>
      <c r="F420" s="4"/>
    </row>
    <row r="421" spans="2:6" ht="12" customHeight="1" x14ac:dyDescent="0.15">
      <c r="B421" s="2"/>
      <c r="C421" s="3"/>
      <c r="D421" s="3"/>
      <c r="E421" s="3"/>
      <c r="F421" s="4"/>
    </row>
    <row r="422" spans="2:6" ht="12" customHeight="1" x14ac:dyDescent="0.15">
      <c r="B422" s="2"/>
      <c r="C422" s="3"/>
      <c r="D422" s="3"/>
      <c r="E422" s="3"/>
      <c r="F422" s="4"/>
    </row>
    <row r="423" spans="2:6" ht="12" customHeight="1" x14ac:dyDescent="0.15">
      <c r="B423" s="2"/>
      <c r="C423" s="3"/>
      <c r="D423" s="3"/>
      <c r="E423" s="3"/>
      <c r="F423" s="4"/>
    </row>
    <row r="424" spans="2:6" ht="12" customHeight="1" x14ac:dyDescent="0.15">
      <c r="B424" s="2"/>
      <c r="C424" s="3"/>
      <c r="D424" s="3"/>
      <c r="E424" s="3"/>
      <c r="F424" s="4"/>
    </row>
    <row r="425" spans="2:6" ht="12" customHeight="1" x14ac:dyDescent="0.15">
      <c r="B425" s="2"/>
      <c r="C425" s="3"/>
      <c r="D425" s="3"/>
      <c r="E425" s="3"/>
      <c r="F425" s="4"/>
    </row>
    <row r="426" spans="2:6" ht="12" customHeight="1" x14ac:dyDescent="0.15">
      <c r="B426" s="2"/>
      <c r="C426" s="3"/>
      <c r="D426" s="3"/>
      <c r="E426" s="3"/>
      <c r="F426" s="4"/>
    </row>
    <row r="427" spans="2:6" ht="12" customHeight="1" x14ac:dyDescent="0.15">
      <c r="B427" s="2"/>
      <c r="C427" s="3"/>
      <c r="D427" s="3"/>
      <c r="E427" s="3"/>
      <c r="F427" s="4"/>
    </row>
    <row r="428" spans="2:6" ht="12" customHeight="1" x14ac:dyDescent="0.15">
      <c r="B428" s="2"/>
      <c r="C428" s="3"/>
      <c r="D428" s="3"/>
      <c r="E428" s="3"/>
      <c r="F428" s="4"/>
    </row>
    <row r="429" spans="2:6" ht="12" customHeight="1" x14ac:dyDescent="0.15">
      <c r="B429" s="2"/>
      <c r="C429" s="3"/>
      <c r="D429" s="3"/>
      <c r="E429" s="3"/>
      <c r="F429" s="4"/>
    </row>
    <row r="430" spans="2:6" ht="12" customHeight="1" x14ac:dyDescent="0.15">
      <c r="B430" s="2"/>
      <c r="C430" s="3"/>
      <c r="D430" s="3"/>
      <c r="E430" s="3"/>
      <c r="F430" s="4"/>
    </row>
    <row r="431" spans="2:6" ht="12" customHeight="1" x14ac:dyDescent="0.15">
      <c r="B431" s="2"/>
      <c r="C431" s="3"/>
      <c r="D431" s="3"/>
      <c r="E431" s="3"/>
      <c r="F431" s="4"/>
    </row>
    <row r="432" spans="2:6" ht="12" customHeight="1" x14ac:dyDescent="0.15">
      <c r="B432" s="2"/>
      <c r="C432" s="3"/>
      <c r="D432" s="3"/>
      <c r="E432" s="3"/>
      <c r="F432" s="4"/>
    </row>
    <row r="433" spans="2:6" ht="12" customHeight="1" x14ac:dyDescent="0.15">
      <c r="B433" s="2"/>
      <c r="C433" s="3"/>
      <c r="D433" s="3"/>
      <c r="E433" s="3"/>
      <c r="F433" s="4"/>
    </row>
    <row r="434" spans="2:6" ht="12" customHeight="1" x14ac:dyDescent="0.15">
      <c r="B434" s="2"/>
      <c r="C434" s="3"/>
      <c r="D434" s="3"/>
      <c r="E434" s="3"/>
      <c r="F434" s="4"/>
    </row>
    <row r="435" spans="2:6" ht="12" customHeight="1" x14ac:dyDescent="0.15">
      <c r="B435" s="2"/>
      <c r="C435" s="3"/>
      <c r="D435" s="3"/>
      <c r="E435" s="3"/>
      <c r="F435" s="4"/>
    </row>
    <row r="436" spans="2:6" ht="12" customHeight="1" x14ac:dyDescent="0.15">
      <c r="B436" s="2"/>
      <c r="C436" s="3"/>
      <c r="D436" s="3"/>
      <c r="E436" s="3"/>
      <c r="F436" s="4"/>
    </row>
    <row r="437" spans="2:6" ht="12" customHeight="1" x14ac:dyDescent="0.15">
      <c r="B437" s="2"/>
      <c r="C437" s="3"/>
      <c r="D437" s="3"/>
      <c r="E437" s="3"/>
      <c r="F437" s="4"/>
    </row>
    <row r="438" spans="2:6" ht="12" customHeight="1" x14ac:dyDescent="0.15">
      <c r="B438" s="2"/>
      <c r="C438" s="3"/>
      <c r="D438" s="3"/>
      <c r="E438" s="3"/>
      <c r="F438" s="4"/>
    </row>
    <row r="439" spans="2:6" ht="12" customHeight="1" x14ac:dyDescent="0.15">
      <c r="B439" s="2"/>
      <c r="C439" s="3"/>
      <c r="D439" s="3"/>
      <c r="E439" s="3"/>
      <c r="F439" s="4"/>
    </row>
    <row r="440" spans="2:6" ht="12" customHeight="1" x14ac:dyDescent="0.15">
      <c r="B440" s="2"/>
      <c r="C440" s="3"/>
      <c r="D440" s="3"/>
      <c r="E440" s="3"/>
      <c r="F440" s="4"/>
    </row>
    <row r="441" spans="2:6" ht="12" customHeight="1" x14ac:dyDescent="0.15">
      <c r="B441" s="2"/>
      <c r="C441" s="3"/>
      <c r="D441" s="3"/>
      <c r="E441" s="3"/>
      <c r="F441" s="4"/>
    </row>
    <row r="442" spans="2:6" ht="12" customHeight="1" x14ac:dyDescent="0.15">
      <c r="B442" s="2"/>
      <c r="C442" s="3"/>
      <c r="D442" s="3"/>
      <c r="E442" s="3"/>
      <c r="F442" s="4"/>
    </row>
    <row r="443" spans="2:6" ht="12" customHeight="1" x14ac:dyDescent="0.15">
      <c r="B443" s="2"/>
      <c r="C443" s="3"/>
      <c r="D443" s="3"/>
      <c r="E443" s="3"/>
      <c r="F443" s="4"/>
    </row>
    <row r="444" spans="2:6" ht="12" customHeight="1" x14ac:dyDescent="0.15">
      <c r="B444" s="2"/>
      <c r="C444" s="3"/>
      <c r="D444" s="3"/>
      <c r="E444" s="3"/>
      <c r="F444" s="4"/>
    </row>
    <row r="445" spans="2:6" ht="12" customHeight="1" x14ac:dyDescent="0.15">
      <c r="B445" s="2"/>
      <c r="C445" s="3"/>
      <c r="D445" s="3"/>
      <c r="E445" s="3"/>
      <c r="F445" s="4"/>
    </row>
    <row r="446" spans="2:6" ht="12" customHeight="1" x14ac:dyDescent="0.15">
      <c r="B446" s="2"/>
      <c r="C446" s="3"/>
      <c r="D446" s="3"/>
      <c r="E446" s="3"/>
      <c r="F446" s="4"/>
    </row>
    <row r="447" spans="2:6" ht="12" customHeight="1" x14ac:dyDescent="0.15">
      <c r="B447" s="2"/>
      <c r="C447" s="3"/>
      <c r="D447" s="3"/>
      <c r="E447" s="3"/>
      <c r="F447" s="4"/>
    </row>
    <row r="448" spans="2:6" ht="12" customHeight="1" x14ac:dyDescent="0.15">
      <c r="B448" s="2"/>
      <c r="C448" s="3"/>
      <c r="D448" s="3"/>
      <c r="E448" s="3"/>
      <c r="F448" s="4"/>
    </row>
    <row r="449" spans="2:6" ht="12" customHeight="1" x14ac:dyDescent="0.15">
      <c r="B449" s="2"/>
      <c r="C449" s="3"/>
      <c r="D449" s="3"/>
      <c r="E449" s="3"/>
      <c r="F449" s="4"/>
    </row>
    <row r="450" spans="2:6" ht="12" customHeight="1" x14ac:dyDescent="0.15">
      <c r="B450" s="2"/>
      <c r="C450" s="3"/>
      <c r="D450" s="3"/>
      <c r="E450" s="3"/>
      <c r="F450" s="4"/>
    </row>
    <row r="451" spans="2:6" ht="12" customHeight="1" x14ac:dyDescent="0.15">
      <c r="B451" s="2"/>
      <c r="C451" s="3"/>
      <c r="D451" s="3"/>
      <c r="E451" s="3"/>
      <c r="F451" s="4"/>
    </row>
    <row r="452" spans="2:6" ht="12" customHeight="1" x14ac:dyDescent="0.15">
      <c r="B452" s="2"/>
      <c r="C452" s="3"/>
      <c r="D452" s="3"/>
      <c r="E452" s="3"/>
      <c r="F452" s="4"/>
    </row>
    <row r="453" spans="2:6" ht="12" customHeight="1" x14ac:dyDescent="0.15">
      <c r="B453" s="2"/>
      <c r="C453" s="3"/>
      <c r="D453" s="3"/>
      <c r="E453" s="3"/>
      <c r="F453" s="4"/>
    </row>
    <row r="454" spans="2:6" ht="12" customHeight="1" x14ac:dyDescent="0.15">
      <c r="B454" s="2"/>
      <c r="C454" s="3"/>
      <c r="D454" s="3"/>
      <c r="E454" s="3"/>
      <c r="F454" s="4"/>
    </row>
    <row r="455" spans="2:6" ht="12" customHeight="1" x14ac:dyDescent="0.15">
      <c r="B455" s="2"/>
      <c r="C455" s="3"/>
      <c r="D455" s="3"/>
      <c r="E455" s="3"/>
      <c r="F455" s="4"/>
    </row>
    <row r="456" spans="2:6" ht="12" customHeight="1" x14ac:dyDescent="0.15">
      <c r="B456" s="2"/>
      <c r="C456" s="3"/>
      <c r="D456" s="3"/>
      <c r="E456" s="3"/>
      <c r="F456" s="4"/>
    </row>
    <row r="457" spans="2:6" ht="12" customHeight="1" x14ac:dyDescent="0.15">
      <c r="B457" s="2"/>
      <c r="C457" s="3"/>
      <c r="D457" s="3"/>
      <c r="E457" s="3"/>
      <c r="F457" s="4"/>
    </row>
    <row r="458" spans="2:6" ht="12" customHeight="1" x14ac:dyDescent="0.15">
      <c r="B458" s="2"/>
      <c r="C458" s="3"/>
      <c r="D458" s="3"/>
      <c r="E458" s="3"/>
      <c r="F458" s="4"/>
    </row>
    <row r="459" spans="2:6" ht="12" customHeight="1" x14ac:dyDescent="0.15">
      <c r="B459" s="2"/>
      <c r="C459" s="3"/>
      <c r="D459" s="3"/>
      <c r="E459" s="3"/>
      <c r="F459" s="4"/>
    </row>
    <row r="460" spans="2:6" ht="12" customHeight="1" x14ac:dyDescent="0.15">
      <c r="B460" s="2"/>
      <c r="C460" s="3"/>
      <c r="D460" s="3"/>
      <c r="E460" s="3"/>
      <c r="F460" s="4"/>
    </row>
    <row r="461" spans="2:6" ht="12" customHeight="1" x14ac:dyDescent="0.15">
      <c r="B461" s="2"/>
      <c r="C461" s="3"/>
      <c r="D461" s="3"/>
      <c r="E461" s="3"/>
      <c r="F461" s="4"/>
    </row>
    <row r="462" spans="2:6" ht="12" customHeight="1" x14ac:dyDescent="0.15">
      <c r="B462" s="2"/>
      <c r="C462" s="3"/>
      <c r="D462" s="3"/>
      <c r="E462" s="3"/>
      <c r="F462" s="4"/>
    </row>
    <row r="463" spans="2:6" ht="12" customHeight="1" x14ac:dyDescent="0.15">
      <c r="B463" s="2"/>
      <c r="C463" s="3"/>
      <c r="D463" s="3"/>
      <c r="E463" s="3"/>
      <c r="F463" s="4"/>
    </row>
    <row r="464" spans="2:6" ht="12" customHeight="1" x14ac:dyDescent="0.15">
      <c r="B464" s="2"/>
      <c r="C464" s="3"/>
      <c r="D464" s="3"/>
      <c r="E464" s="3"/>
      <c r="F464" s="4"/>
    </row>
    <row r="465" spans="2:6" ht="12" customHeight="1" x14ac:dyDescent="0.15">
      <c r="B465" s="2"/>
      <c r="C465" s="3"/>
      <c r="D465" s="3"/>
      <c r="E465" s="3"/>
      <c r="F465" s="4"/>
    </row>
    <row r="466" spans="2:6" ht="12" customHeight="1" x14ac:dyDescent="0.15">
      <c r="B466" s="2"/>
      <c r="C466" s="3"/>
      <c r="D466" s="3"/>
      <c r="E466" s="3"/>
      <c r="F466" s="4"/>
    </row>
    <row r="467" spans="2:6" ht="12" customHeight="1" x14ac:dyDescent="0.15">
      <c r="B467" s="2"/>
      <c r="C467" s="3"/>
      <c r="D467" s="3"/>
      <c r="E467" s="3"/>
      <c r="F467" s="4"/>
    </row>
    <row r="468" spans="2:6" ht="12" customHeight="1" x14ac:dyDescent="0.15">
      <c r="B468" s="2"/>
      <c r="C468" s="3"/>
      <c r="D468" s="3"/>
      <c r="E468" s="3"/>
      <c r="F468" s="4"/>
    </row>
    <row r="469" spans="2:6" ht="12" customHeight="1" x14ac:dyDescent="0.15">
      <c r="B469" s="2"/>
      <c r="C469" s="3"/>
      <c r="D469" s="3"/>
      <c r="E469" s="3"/>
      <c r="F469" s="4"/>
    </row>
    <row r="470" spans="2:6" ht="12" customHeight="1" x14ac:dyDescent="0.15">
      <c r="B470" s="2"/>
      <c r="C470" s="3"/>
      <c r="D470" s="3"/>
      <c r="E470" s="3"/>
      <c r="F470" s="4"/>
    </row>
    <row r="471" spans="2:6" ht="12" customHeight="1" x14ac:dyDescent="0.15">
      <c r="B471" s="2"/>
      <c r="C471" s="3"/>
      <c r="D471" s="3"/>
      <c r="E471" s="3"/>
      <c r="F471" s="4"/>
    </row>
    <row r="472" spans="2:6" ht="12" customHeight="1" x14ac:dyDescent="0.15">
      <c r="B472" s="2"/>
      <c r="C472" s="3"/>
      <c r="D472" s="3"/>
      <c r="E472" s="3"/>
      <c r="F472" s="4"/>
    </row>
    <row r="473" spans="2:6" ht="12" customHeight="1" x14ac:dyDescent="0.15">
      <c r="B473" s="2"/>
      <c r="C473" s="3"/>
      <c r="D473" s="3"/>
      <c r="E473" s="3"/>
      <c r="F473" s="4"/>
    </row>
    <row r="474" spans="2:6" ht="12" customHeight="1" x14ac:dyDescent="0.15">
      <c r="B474" s="2"/>
      <c r="C474" s="3"/>
      <c r="D474" s="3"/>
      <c r="E474" s="3"/>
      <c r="F474" s="4"/>
    </row>
    <row r="475" spans="2:6" ht="12" customHeight="1" x14ac:dyDescent="0.15">
      <c r="B475" s="2"/>
      <c r="C475" s="3"/>
      <c r="D475" s="3"/>
      <c r="E475" s="3"/>
      <c r="F475" s="4"/>
    </row>
    <row r="476" spans="2:6" ht="12" customHeight="1" x14ac:dyDescent="0.15">
      <c r="B476" s="2"/>
      <c r="C476" s="3"/>
      <c r="D476" s="3"/>
      <c r="E476" s="3"/>
      <c r="F476" s="4"/>
    </row>
    <row r="477" spans="2:6" ht="12" customHeight="1" x14ac:dyDescent="0.15">
      <c r="B477" s="2"/>
      <c r="C477" s="3"/>
      <c r="D477" s="3"/>
      <c r="E477" s="3"/>
      <c r="F477" s="4"/>
    </row>
    <row r="478" spans="2:6" ht="12" customHeight="1" x14ac:dyDescent="0.15">
      <c r="B478" s="2"/>
      <c r="C478" s="3"/>
      <c r="D478" s="3"/>
      <c r="E478" s="3"/>
      <c r="F478" s="4"/>
    </row>
    <row r="479" spans="2:6" ht="12" customHeight="1" x14ac:dyDescent="0.15">
      <c r="B479" s="2"/>
      <c r="C479" s="3"/>
      <c r="D479" s="3"/>
      <c r="E479" s="3"/>
      <c r="F479" s="4"/>
    </row>
    <row r="480" spans="2:6" ht="12" customHeight="1" x14ac:dyDescent="0.15">
      <c r="B480" s="2"/>
      <c r="C480" s="3"/>
      <c r="D480" s="3"/>
      <c r="E480" s="3"/>
      <c r="F480" s="4"/>
    </row>
    <row r="481" spans="2:6" ht="12" customHeight="1" x14ac:dyDescent="0.15">
      <c r="B481" s="2"/>
      <c r="C481" s="3"/>
      <c r="D481" s="3"/>
      <c r="E481" s="3"/>
      <c r="F481" s="4"/>
    </row>
    <row r="482" spans="2:6" ht="12" customHeight="1" x14ac:dyDescent="0.15">
      <c r="B482" s="2"/>
      <c r="C482" s="3"/>
      <c r="D482" s="3"/>
      <c r="E482" s="3"/>
      <c r="F482" s="4"/>
    </row>
    <row r="483" spans="2:6" ht="12" customHeight="1" x14ac:dyDescent="0.15">
      <c r="B483" s="2"/>
      <c r="C483" s="3"/>
      <c r="D483" s="3"/>
      <c r="E483" s="3"/>
      <c r="F483" s="4"/>
    </row>
    <row r="484" spans="2:6" ht="12" customHeight="1" x14ac:dyDescent="0.15">
      <c r="B484" s="2"/>
      <c r="C484" s="3"/>
      <c r="D484" s="3"/>
      <c r="E484" s="3"/>
      <c r="F484" s="4"/>
    </row>
    <row r="485" spans="2:6" ht="12" customHeight="1" x14ac:dyDescent="0.15">
      <c r="B485" s="2"/>
      <c r="C485" s="3"/>
      <c r="D485" s="3"/>
      <c r="E485" s="3"/>
      <c r="F485" s="4"/>
    </row>
    <row r="486" spans="2:6" ht="12" customHeight="1" x14ac:dyDescent="0.15">
      <c r="B486" s="2"/>
      <c r="C486" s="3"/>
      <c r="D486" s="3"/>
      <c r="E486" s="3"/>
      <c r="F486" s="4"/>
    </row>
    <row r="487" spans="2:6" ht="12" customHeight="1" x14ac:dyDescent="0.15">
      <c r="B487" s="2"/>
      <c r="C487" s="3"/>
      <c r="D487" s="3"/>
      <c r="E487" s="3"/>
      <c r="F487" s="4"/>
    </row>
    <row r="488" spans="2:6" ht="12" customHeight="1" x14ac:dyDescent="0.15">
      <c r="B488" s="2"/>
      <c r="C488" s="3"/>
      <c r="D488" s="3"/>
      <c r="E488" s="3"/>
      <c r="F488" s="4"/>
    </row>
    <row r="489" spans="2:6" ht="12" customHeight="1" x14ac:dyDescent="0.15">
      <c r="B489" s="2"/>
      <c r="C489" s="3"/>
      <c r="D489" s="3"/>
      <c r="E489" s="3"/>
      <c r="F489" s="4"/>
    </row>
    <row r="490" spans="2:6" ht="12" customHeight="1" x14ac:dyDescent="0.15">
      <c r="B490" s="2"/>
      <c r="C490" s="3"/>
      <c r="D490" s="3"/>
      <c r="E490" s="3"/>
      <c r="F490" s="4"/>
    </row>
    <row r="491" spans="2:6" ht="12" customHeight="1" x14ac:dyDescent="0.15">
      <c r="B491" s="2"/>
      <c r="C491" s="3"/>
      <c r="D491" s="3"/>
      <c r="E491" s="3"/>
      <c r="F491" s="4"/>
    </row>
    <row r="492" spans="2:6" ht="12" customHeight="1" x14ac:dyDescent="0.15">
      <c r="B492" s="2"/>
      <c r="C492" s="3"/>
      <c r="D492" s="3"/>
      <c r="E492" s="3"/>
      <c r="F492" s="4"/>
    </row>
    <row r="493" spans="2:6" ht="12" customHeight="1" x14ac:dyDescent="0.15">
      <c r="B493" s="2"/>
      <c r="C493" s="3"/>
      <c r="D493" s="3"/>
      <c r="E493" s="3"/>
      <c r="F493" s="4"/>
    </row>
    <row r="494" spans="2:6" ht="12" customHeight="1" x14ac:dyDescent="0.15">
      <c r="B494" s="2"/>
      <c r="C494" s="3"/>
      <c r="D494" s="3"/>
      <c r="E494" s="3"/>
      <c r="F494" s="4"/>
    </row>
    <row r="495" spans="2:6" ht="12" customHeight="1" x14ac:dyDescent="0.15">
      <c r="B495" s="2"/>
      <c r="C495" s="3"/>
      <c r="D495" s="3"/>
      <c r="E495" s="3"/>
      <c r="F495" s="4"/>
    </row>
    <row r="496" spans="2:6" ht="12" customHeight="1" x14ac:dyDescent="0.15">
      <c r="B496" s="2"/>
      <c r="C496" s="3"/>
      <c r="D496" s="3"/>
      <c r="E496" s="3"/>
      <c r="F496" s="4"/>
    </row>
    <row r="497" spans="2:6" ht="12" customHeight="1" x14ac:dyDescent="0.15">
      <c r="B497" s="2"/>
      <c r="C497" s="3"/>
      <c r="D497" s="3"/>
      <c r="E497" s="3"/>
      <c r="F497" s="4"/>
    </row>
    <row r="498" spans="2:6" ht="12" customHeight="1" x14ac:dyDescent="0.15">
      <c r="B498" s="2"/>
      <c r="C498" s="3"/>
      <c r="D498" s="3"/>
      <c r="E498" s="3"/>
      <c r="F498" s="4"/>
    </row>
    <row r="499" spans="2:6" ht="12" customHeight="1" x14ac:dyDescent="0.15">
      <c r="B499" s="2"/>
      <c r="C499" s="3"/>
      <c r="D499" s="3"/>
      <c r="E499" s="3"/>
      <c r="F499" s="4"/>
    </row>
    <row r="500" spans="2:6" ht="12" customHeight="1" x14ac:dyDescent="0.15">
      <c r="B500" s="2"/>
      <c r="C500" s="3"/>
      <c r="D500" s="3"/>
      <c r="E500" s="3"/>
      <c r="F500" s="4"/>
    </row>
    <row r="501" spans="2:6" ht="12" customHeight="1" x14ac:dyDescent="0.15">
      <c r="B501" s="2"/>
      <c r="C501" s="3"/>
      <c r="D501" s="3"/>
      <c r="E501" s="3"/>
      <c r="F501" s="4"/>
    </row>
    <row r="502" spans="2:6" ht="12" customHeight="1" x14ac:dyDescent="0.15">
      <c r="B502" s="2"/>
      <c r="C502" s="3"/>
      <c r="D502" s="3"/>
      <c r="E502" s="3"/>
      <c r="F502" s="4"/>
    </row>
    <row r="503" spans="2:6" ht="12" customHeight="1" x14ac:dyDescent="0.15">
      <c r="B503" s="2"/>
      <c r="C503" s="3"/>
      <c r="D503" s="3"/>
      <c r="E503" s="3"/>
      <c r="F503" s="4"/>
    </row>
    <row r="504" spans="2:6" ht="12" customHeight="1" x14ac:dyDescent="0.15">
      <c r="B504" s="2"/>
      <c r="C504" s="3"/>
      <c r="D504" s="3"/>
      <c r="E504" s="3"/>
      <c r="F504" s="4"/>
    </row>
    <row r="505" spans="2:6" ht="12" customHeight="1" x14ac:dyDescent="0.15">
      <c r="B505" s="2"/>
      <c r="C505" s="3"/>
      <c r="D505" s="3"/>
      <c r="E505" s="3"/>
      <c r="F505" s="4"/>
    </row>
    <row r="506" spans="2:6" ht="12" customHeight="1" x14ac:dyDescent="0.15">
      <c r="B506" s="2"/>
      <c r="C506" s="3"/>
      <c r="D506" s="3"/>
      <c r="E506" s="3"/>
      <c r="F506" s="4"/>
    </row>
    <row r="507" spans="2:6" ht="12" customHeight="1" x14ac:dyDescent="0.15">
      <c r="B507" s="2"/>
      <c r="C507" s="3"/>
      <c r="D507" s="3"/>
      <c r="E507" s="3"/>
      <c r="F507" s="4"/>
    </row>
    <row r="508" spans="2:6" ht="12" customHeight="1" x14ac:dyDescent="0.15">
      <c r="B508" s="2"/>
      <c r="C508" s="3"/>
      <c r="D508" s="3"/>
      <c r="E508" s="3"/>
      <c r="F508" s="4"/>
    </row>
    <row r="509" spans="2:6" ht="12" customHeight="1" x14ac:dyDescent="0.15">
      <c r="B509" s="2"/>
      <c r="C509" s="3"/>
      <c r="D509" s="3"/>
      <c r="E509" s="3"/>
      <c r="F509" s="4"/>
    </row>
    <row r="510" spans="2:6" ht="12" customHeight="1" x14ac:dyDescent="0.15">
      <c r="B510" s="2"/>
      <c r="C510" s="3"/>
      <c r="D510" s="3"/>
      <c r="E510" s="3"/>
      <c r="F510" s="4"/>
    </row>
    <row r="511" spans="2:6" ht="12" customHeight="1" x14ac:dyDescent="0.15">
      <c r="B511" s="2"/>
      <c r="C511" s="3"/>
      <c r="D511" s="3"/>
      <c r="E511" s="3"/>
      <c r="F511" s="4"/>
    </row>
    <row r="512" spans="2:6" ht="12" customHeight="1" x14ac:dyDescent="0.15">
      <c r="B512" s="2"/>
      <c r="C512" s="3"/>
      <c r="D512" s="3"/>
      <c r="E512" s="3"/>
      <c r="F512" s="4"/>
    </row>
    <row r="513" spans="2:6" ht="12" customHeight="1" x14ac:dyDescent="0.15">
      <c r="B513" s="2"/>
      <c r="C513" s="3"/>
      <c r="D513" s="3"/>
      <c r="E513" s="3"/>
      <c r="F513" s="4"/>
    </row>
    <row r="514" spans="2:6" ht="12" customHeight="1" x14ac:dyDescent="0.15">
      <c r="B514" s="2"/>
      <c r="C514" s="3"/>
      <c r="D514" s="3"/>
      <c r="E514" s="3"/>
      <c r="F514" s="4"/>
    </row>
    <row r="515" spans="2:6" ht="12" customHeight="1" x14ac:dyDescent="0.15">
      <c r="B515" s="2"/>
      <c r="C515" s="3"/>
      <c r="D515" s="3"/>
      <c r="E515" s="3"/>
      <c r="F515" s="4"/>
    </row>
    <row r="516" spans="2:6" ht="12" customHeight="1" x14ac:dyDescent="0.15">
      <c r="B516" s="2"/>
      <c r="C516" s="3"/>
      <c r="D516" s="3"/>
      <c r="E516" s="3"/>
      <c r="F516" s="4"/>
    </row>
    <row r="517" spans="2:6" ht="12" customHeight="1" x14ac:dyDescent="0.15">
      <c r="B517" s="2"/>
      <c r="C517" s="3"/>
      <c r="D517" s="3"/>
      <c r="E517" s="3"/>
      <c r="F517" s="4"/>
    </row>
    <row r="518" spans="2:6" ht="12" customHeight="1" x14ac:dyDescent="0.15">
      <c r="B518" s="2"/>
      <c r="C518" s="3"/>
      <c r="D518" s="3"/>
      <c r="E518" s="3"/>
      <c r="F518" s="4"/>
    </row>
    <row r="519" spans="2:6" ht="12" customHeight="1" x14ac:dyDescent="0.15">
      <c r="B519" s="2"/>
      <c r="C519" s="3"/>
      <c r="D519" s="3"/>
      <c r="E519" s="3"/>
      <c r="F519" s="4"/>
    </row>
    <row r="520" spans="2:6" ht="12" customHeight="1" x14ac:dyDescent="0.15">
      <c r="B520" s="2"/>
      <c r="C520" s="3"/>
      <c r="D520" s="3"/>
      <c r="E520" s="3"/>
      <c r="F520" s="4"/>
    </row>
    <row r="521" spans="2:6" ht="12" customHeight="1" x14ac:dyDescent="0.15">
      <c r="B521" s="2"/>
      <c r="C521" s="3"/>
      <c r="D521" s="3"/>
      <c r="E521" s="3"/>
      <c r="F521" s="4"/>
    </row>
    <row r="522" spans="2:6" ht="12" customHeight="1" x14ac:dyDescent="0.15">
      <c r="B522" s="2"/>
      <c r="C522" s="3"/>
      <c r="D522" s="3"/>
      <c r="E522" s="3"/>
      <c r="F522" s="4"/>
    </row>
    <row r="523" spans="2:6" ht="12" customHeight="1" x14ac:dyDescent="0.15">
      <c r="B523" s="2"/>
      <c r="C523" s="3"/>
      <c r="D523" s="3"/>
      <c r="E523" s="3"/>
      <c r="F523" s="4"/>
    </row>
    <row r="524" spans="2:6" ht="12" customHeight="1" x14ac:dyDescent="0.15">
      <c r="B524" s="2"/>
      <c r="C524" s="3"/>
      <c r="D524" s="3"/>
      <c r="E524" s="3"/>
      <c r="F524" s="4"/>
    </row>
    <row r="525" spans="2:6" ht="12" customHeight="1" x14ac:dyDescent="0.15">
      <c r="B525" s="2"/>
      <c r="C525" s="3"/>
      <c r="D525" s="3"/>
      <c r="E525" s="3"/>
      <c r="F525" s="4"/>
    </row>
    <row r="526" spans="2:6" ht="12" customHeight="1" x14ac:dyDescent="0.15">
      <c r="B526" s="2"/>
      <c r="C526" s="3"/>
      <c r="D526" s="3"/>
      <c r="E526" s="3"/>
      <c r="F526" s="4"/>
    </row>
    <row r="527" spans="2:6" ht="12" customHeight="1" x14ac:dyDescent="0.15">
      <c r="B527" s="2"/>
      <c r="C527" s="3"/>
      <c r="D527" s="3"/>
      <c r="E527" s="3"/>
      <c r="F527" s="4"/>
    </row>
    <row r="528" spans="2:6" ht="12" customHeight="1" x14ac:dyDescent="0.15">
      <c r="B528" s="2"/>
      <c r="C528" s="3"/>
      <c r="D528" s="3"/>
      <c r="E528" s="3"/>
      <c r="F528" s="4"/>
    </row>
    <row r="529" spans="2:6" ht="12" customHeight="1" x14ac:dyDescent="0.15">
      <c r="B529" s="2"/>
      <c r="C529" s="3"/>
      <c r="D529" s="3"/>
      <c r="E529" s="3"/>
      <c r="F529" s="4"/>
    </row>
    <row r="530" spans="2:6" ht="12" customHeight="1" x14ac:dyDescent="0.15">
      <c r="B530" s="2"/>
      <c r="C530" s="3"/>
      <c r="D530" s="3"/>
      <c r="E530" s="3"/>
      <c r="F530" s="4"/>
    </row>
    <row r="531" spans="2:6" ht="12" customHeight="1" x14ac:dyDescent="0.15">
      <c r="B531" s="2"/>
      <c r="C531" s="3"/>
      <c r="D531" s="3"/>
      <c r="E531" s="3"/>
      <c r="F531" s="4"/>
    </row>
    <row r="532" spans="2:6" ht="12" customHeight="1" x14ac:dyDescent="0.15">
      <c r="B532" s="2"/>
      <c r="C532" s="3"/>
      <c r="D532" s="3"/>
      <c r="E532" s="3"/>
      <c r="F532" s="4"/>
    </row>
    <row r="533" spans="2:6" ht="12" customHeight="1" x14ac:dyDescent="0.15">
      <c r="B533" s="2"/>
      <c r="C533" s="3"/>
      <c r="D533" s="3"/>
      <c r="E533" s="3"/>
      <c r="F533" s="4"/>
    </row>
    <row r="534" spans="2:6" ht="12" customHeight="1" x14ac:dyDescent="0.15">
      <c r="B534" s="2"/>
      <c r="C534" s="3"/>
      <c r="D534" s="3"/>
      <c r="E534" s="3"/>
      <c r="F534" s="4"/>
    </row>
    <row r="535" spans="2:6" ht="12" customHeight="1" x14ac:dyDescent="0.15">
      <c r="B535" s="2"/>
      <c r="C535" s="3"/>
      <c r="D535" s="3"/>
      <c r="E535" s="3"/>
      <c r="F535" s="4"/>
    </row>
    <row r="536" spans="2:6" ht="12" customHeight="1" x14ac:dyDescent="0.15">
      <c r="B536" s="2"/>
      <c r="C536" s="3"/>
      <c r="D536" s="3"/>
      <c r="E536" s="3"/>
      <c r="F536" s="4"/>
    </row>
    <row r="537" spans="2:6" ht="12" customHeight="1" x14ac:dyDescent="0.15">
      <c r="B537" s="2"/>
      <c r="C537" s="3"/>
      <c r="D537" s="3"/>
      <c r="E537" s="3"/>
      <c r="F537" s="4"/>
    </row>
    <row r="538" spans="2:6" ht="12" customHeight="1" x14ac:dyDescent="0.15">
      <c r="B538" s="2"/>
      <c r="C538" s="3"/>
      <c r="D538" s="3"/>
      <c r="E538" s="3"/>
      <c r="F538" s="4"/>
    </row>
    <row r="539" spans="2:6" ht="12" customHeight="1" x14ac:dyDescent="0.15">
      <c r="B539" s="2"/>
      <c r="C539" s="3"/>
      <c r="D539" s="3"/>
      <c r="E539" s="3"/>
      <c r="F539" s="4"/>
    </row>
    <row r="540" spans="2:6" ht="12" customHeight="1" x14ac:dyDescent="0.15">
      <c r="B540" s="2"/>
      <c r="C540" s="3"/>
      <c r="D540" s="3"/>
      <c r="E540" s="3"/>
      <c r="F540" s="4"/>
    </row>
    <row r="541" spans="2:6" ht="12" customHeight="1" x14ac:dyDescent="0.15">
      <c r="B541" s="2"/>
      <c r="C541" s="3"/>
      <c r="D541" s="3"/>
      <c r="E541" s="3"/>
      <c r="F541" s="4"/>
    </row>
    <row r="542" spans="2:6" ht="12" customHeight="1" x14ac:dyDescent="0.15">
      <c r="B542" s="2"/>
      <c r="C542" s="3"/>
      <c r="D542" s="3"/>
      <c r="E542" s="3"/>
      <c r="F542" s="4"/>
    </row>
    <row r="543" spans="2:6" ht="12" customHeight="1" x14ac:dyDescent="0.15">
      <c r="B543" s="2"/>
      <c r="C543" s="3"/>
      <c r="D543" s="3"/>
      <c r="E543" s="3"/>
      <c r="F543" s="4"/>
    </row>
    <row r="544" spans="2:6" ht="12" customHeight="1" x14ac:dyDescent="0.15">
      <c r="B544" s="2"/>
      <c r="C544" s="3"/>
      <c r="D544" s="3"/>
      <c r="E544" s="3"/>
      <c r="F544" s="4"/>
    </row>
    <row r="545" spans="2:6" ht="12" customHeight="1" x14ac:dyDescent="0.15">
      <c r="B545" s="2"/>
      <c r="C545" s="3"/>
      <c r="D545" s="3"/>
      <c r="E545" s="3"/>
      <c r="F545" s="4"/>
    </row>
    <row r="546" spans="2:6" ht="12" customHeight="1" x14ac:dyDescent="0.15">
      <c r="B546" s="2"/>
      <c r="C546" s="3"/>
      <c r="D546" s="3"/>
      <c r="E546" s="3"/>
      <c r="F546" s="4"/>
    </row>
    <row r="547" spans="2:6" ht="12" customHeight="1" x14ac:dyDescent="0.15">
      <c r="B547" s="2"/>
      <c r="C547" s="3"/>
      <c r="D547" s="3"/>
      <c r="E547" s="3"/>
      <c r="F547" s="4"/>
    </row>
    <row r="548" spans="2:6" ht="12" customHeight="1" x14ac:dyDescent="0.15">
      <c r="B548" s="2"/>
      <c r="C548" s="3"/>
      <c r="D548" s="3"/>
      <c r="E548" s="3"/>
      <c r="F548" s="4"/>
    </row>
    <row r="549" spans="2:6" ht="12" customHeight="1" x14ac:dyDescent="0.15">
      <c r="B549" s="2"/>
      <c r="C549" s="3"/>
      <c r="D549" s="3"/>
      <c r="E549" s="3"/>
      <c r="F549" s="4"/>
    </row>
    <row r="550" spans="2:6" ht="12" customHeight="1" x14ac:dyDescent="0.15">
      <c r="B550" s="2"/>
      <c r="C550" s="3"/>
      <c r="D550" s="3"/>
      <c r="E550" s="3"/>
      <c r="F550" s="4"/>
    </row>
    <row r="551" spans="2:6" ht="12" customHeight="1" x14ac:dyDescent="0.15">
      <c r="B551" s="2"/>
      <c r="C551" s="3"/>
      <c r="D551" s="3"/>
      <c r="E551" s="3"/>
      <c r="F551" s="4"/>
    </row>
    <row r="552" spans="2:6" ht="12" customHeight="1" x14ac:dyDescent="0.15">
      <c r="B552" s="2"/>
      <c r="C552" s="3"/>
      <c r="D552" s="3"/>
      <c r="E552" s="3"/>
      <c r="F552" s="4"/>
    </row>
    <row r="553" spans="2:6" ht="12" customHeight="1" x14ac:dyDescent="0.15">
      <c r="B553" s="2"/>
      <c r="C553" s="3"/>
      <c r="D553" s="3"/>
      <c r="E553" s="3"/>
      <c r="F553" s="4"/>
    </row>
    <row r="554" spans="2:6" ht="12" customHeight="1" x14ac:dyDescent="0.15">
      <c r="B554" s="2"/>
      <c r="C554" s="3"/>
      <c r="D554" s="3"/>
      <c r="E554" s="3"/>
      <c r="F554" s="4"/>
    </row>
    <row r="555" spans="2:6" ht="12" customHeight="1" x14ac:dyDescent="0.15">
      <c r="B555" s="2"/>
      <c r="C555" s="3"/>
      <c r="D555" s="3"/>
      <c r="E555" s="3"/>
      <c r="F555" s="4"/>
    </row>
    <row r="556" spans="2:6" ht="12" customHeight="1" x14ac:dyDescent="0.15">
      <c r="B556" s="2"/>
      <c r="C556" s="3"/>
      <c r="D556" s="3"/>
      <c r="E556" s="3"/>
      <c r="F556" s="4"/>
    </row>
    <row r="557" spans="2:6" ht="12" customHeight="1" x14ac:dyDescent="0.15">
      <c r="B557" s="2"/>
      <c r="C557" s="3"/>
      <c r="D557" s="3"/>
      <c r="E557" s="3"/>
      <c r="F557" s="4"/>
    </row>
    <row r="558" spans="2:6" ht="12" customHeight="1" x14ac:dyDescent="0.15">
      <c r="B558" s="2"/>
      <c r="C558" s="3"/>
      <c r="D558" s="3"/>
      <c r="E558" s="3"/>
      <c r="F558" s="4"/>
    </row>
    <row r="559" spans="2:6" ht="12" customHeight="1" x14ac:dyDescent="0.15">
      <c r="B559" s="2"/>
      <c r="C559" s="3"/>
      <c r="D559" s="3"/>
      <c r="E559" s="3"/>
      <c r="F559" s="4"/>
    </row>
    <row r="560" spans="2:6" ht="12" customHeight="1" x14ac:dyDescent="0.15">
      <c r="B560" s="2"/>
      <c r="C560" s="3"/>
      <c r="D560" s="3"/>
      <c r="E560" s="3"/>
      <c r="F560" s="4"/>
    </row>
    <row r="561" spans="2:6" ht="12" customHeight="1" x14ac:dyDescent="0.15">
      <c r="B561" s="2"/>
      <c r="C561" s="3"/>
      <c r="D561" s="3"/>
      <c r="E561" s="3"/>
      <c r="F561" s="4"/>
    </row>
    <row r="562" spans="2:6" ht="12" customHeight="1" x14ac:dyDescent="0.15">
      <c r="B562" s="2"/>
      <c r="C562" s="3"/>
      <c r="D562" s="3"/>
      <c r="E562" s="3"/>
      <c r="F562" s="4"/>
    </row>
    <row r="563" spans="2:6" ht="12" customHeight="1" x14ac:dyDescent="0.15">
      <c r="B563" s="2"/>
      <c r="C563" s="3"/>
      <c r="D563" s="3"/>
      <c r="E563" s="3"/>
      <c r="F563" s="4"/>
    </row>
    <row r="564" spans="2:6" ht="12" customHeight="1" x14ac:dyDescent="0.15">
      <c r="B564" s="2"/>
      <c r="C564" s="3"/>
      <c r="D564" s="3"/>
      <c r="E564" s="3"/>
      <c r="F564" s="4"/>
    </row>
    <row r="565" spans="2:6" ht="12" customHeight="1" x14ac:dyDescent="0.15">
      <c r="B565" s="2"/>
      <c r="C565" s="3"/>
      <c r="D565" s="3"/>
      <c r="E565" s="3"/>
      <c r="F565" s="4"/>
    </row>
    <row r="566" spans="2:6" ht="12" customHeight="1" x14ac:dyDescent="0.15">
      <c r="B566" s="2"/>
      <c r="C566" s="3"/>
      <c r="D566" s="3"/>
      <c r="E566" s="3"/>
      <c r="F566" s="4"/>
    </row>
    <row r="567" spans="2:6" ht="12" customHeight="1" x14ac:dyDescent="0.15">
      <c r="B567" s="2"/>
      <c r="C567" s="3"/>
      <c r="D567" s="3"/>
      <c r="E567" s="3"/>
      <c r="F567" s="4"/>
    </row>
    <row r="568" spans="2:6" ht="12" customHeight="1" x14ac:dyDescent="0.15">
      <c r="B568" s="2"/>
      <c r="C568" s="3"/>
      <c r="D568" s="3"/>
      <c r="E568" s="3"/>
      <c r="F568" s="4"/>
    </row>
    <row r="569" spans="2:6" ht="12" customHeight="1" x14ac:dyDescent="0.15">
      <c r="B569" s="2"/>
      <c r="C569" s="3"/>
      <c r="D569" s="3"/>
      <c r="E569" s="3"/>
      <c r="F569" s="4"/>
    </row>
    <row r="570" spans="2:6" ht="12" customHeight="1" x14ac:dyDescent="0.15">
      <c r="B570" s="2"/>
      <c r="C570" s="3"/>
      <c r="D570" s="3"/>
      <c r="E570" s="3"/>
      <c r="F570" s="4"/>
    </row>
    <row r="571" spans="2:6" ht="12" customHeight="1" x14ac:dyDescent="0.15">
      <c r="B571" s="2"/>
      <c r="C571" s="3"/>
      <c r="D571" s="3"/>
      <c r="E571" s="3"/>
      <c r="F571" s="4"/>
    </row>
    <row r="572" spans="2:6" ht="12" customHeight="1" x14ac:dyDescent="0.15">
      <c r="B572" s="2"/>
      <c r="C572" s="3"/>
      <c r="D572" s="3"/>
      <c r="E572" s="3"/>
      <c r="F572" s="4"/>
    </row>
    <row r="573" spans="2:6" ht="12" customHeight="1" x14ac:dyDescent="0.15">
      <c r="B573" s="2"/>
      <c r="C573" s="3"/>
      <c r="D573" s="3"/>
      <c r="E573" s="3"/>
      <c r="F573" s="4"/>
    </row>
    <row r="574" spans="2:6" ht="12" customHeight="1" x14ac:dyDescent="0.15">
      <c r="B574" s="2"/>
      <c r="C574" s="3"/>
      <c r="D574" s="3"/>
      <c r="E574" s="3"/>
      <c r="F574" s="4"/>
    </row>
    <row r="575" spans="2:6" ht="12" customHeight="1" x14ac:dyDescent="0.15">
      <c r="B575" s="2"/>
      <c r="C575" s="3"/>
      <c r="D575" s="3"/>
      <c r="E575" s="3"/>
      <c r="F575" s="4"/>
    </row>
    <row r="576" spans="2:6" ht="12" customHeight="1" x14ac:dyDescent="0.15">
      <c r="B576" s="2"/>
      <c r="C576" s="3"/>
      <c r="D576" s="3"/>
      <c r="E576" s="3"/>
      <c r="F576" s="4"/>
    </row>
    <row r="577" spans="2:6" ht="12" customHeight="1" x14ac:dyDescent="0.15">
      <c r="B577" s="2"/>
      <c r="C577" s="3"/>
      <c r="D577" s="3"/>
      <c r="E577" s="3"/>
      <c r="F577" s="4"/>
    </row>
    <row r="578" spans="2:6" ht="12" customHeight="1" x14ac:dyDescent="0.15">
      <c r="B578" s="2"/>
      <c r="C578" s="3"/>
      <c r="D578" s="3"/>
      <c r="E578" s="3"/>
      <c r="F578" s="4"/>
    </row>
    <row r="579" spans="2:6" ht="12" customHeight="1" x14ac:dyDescent="0.15">
      <c r="B579" s="2"/>
      <c r="C579" s="3"/>
      <c r="D579" s="3"/>
      <c r="E579" s="3"/>
      <c r="F579" s="4"/>
    </row>
    <row r="580" spans="2:6" ht="12" customHeight="1" x14ac:dyDescent="0.15">
      <c r="B580" s="2"/>
      <c r="C580" s="3"/>
      <c r="D580" s="3"/>
      <c r="E580" s="3"/>
      <c r="F580" s="4"/>
    </row>
    <row r="581" spans="2:6" ht="12" customHeight="1" x14ac:dyDescent="0.15">
      <c r="B581" s="2"/>
      <c r="C581" s="3"/>
      <c r="D581" s="3"/>
      <c r="E581" s="3"/>
      <c r="F581" s="4"/>
    </row>
    <row r="582" spans="2:6" ht="12" customHeight="1" x14ac:dyDescent="0.15">
      <c r="B582" s="2"/>
      <c r="C582" s="3"/>
      <c r="D582" s="3"/>
      <c r="E582" s="3"/>
      <c r="F582" s="4"/>
    </row>
    <row r="583" spans="2:6" ht="12" customHeight="1" x14ac:dyDescent="0.15">
      <c r="B583" s="2"/>
      <c r="C583" s="3"/>
      <c r="D583" s="3"/>
      <c r="E583" s="3"/>
      <c r="F583" s="4"/>
    </row>
    <row r="584" spans="2:6" ht="12" customHeight="1" x14ac:dyDescent="0.15">
      <c r="B584" s="2"/>
      <c r="C584" s="3"/>
      <c r="D584" s="3"/>
      <c r="E584" s="3"/>
      <c r="F584" s="4"/>
    </row>
    <row r="585" spans="2:6" ht="12" customHeight="1" x14ac:dyDescent="0.15">
      <c r="B585" s="2"/>
      <c r="C585" s="3"/>
      <c r="D585" s="3"/>
      <c r="E585" s="3"/>
      <c r="F585" s="4"/>
    </row>
    <row r="586" spans="2:6" ht="12" customHeight="1" x14ac:dyDescent="0.15">
      <c r="B586" s="2"/>
      <c r="C586" s="3"/>
      <c r="D586" s="3"/>
      <c r="E586" s="3"/>
      <c r="F586" s="4"/>
    </row>
    <row r="587" spans="2:6" ht="12" customHeight="1" x14ac:dyDescent="0.15">
      <c r="B587" s="2"/>
      <c r="C587" s="3"/>
      <c r="D587" s="3"/>
      <c r="E587" s="3"/>
      <c r="F587" s="4"/>
    </row>
    <row r="588" spans="2:6" ht="12" customHeight="1" x14ac:dyDescent="0.15">
      <c r="B588" s="2"/>
      <c r="C588" s="3"/>
      <c r="D588" s="3"/>
      <c r="E588" s="3"/>
      <c r="F588" s="4"/>
    </row>
    <row r="589" spans="2:6" ht="12" customHeight="1" x14ac:dyDescent="0.15">
      <c r="B589" s="2"/>
      <c r="C589" s="3"/>
      <c r="D589" s="3"/>
      <c r="E589" s="3"/>
      <c r="F589" s="4"/>
    </row>
    <row r="590" spans="2:6" ht="12" customHeight="1" x14ac:dyDescent="0.15">
      <c r="B590" s="2"/>
      <c r="C590" s="3"/>
      <c r="D590" s="3"/>
      <c r="E590" s="3"/>
      <c r="F590" s="4"/>
    </row>
    <row r="591" spans="2:6" ht="12" customHeight="1" x14ac:dyDescent="0.15">
      <c r="B591" s="2"/>
      <c r="C591" s="3"/>
      <c r="D591" s="3"/>
      <c r="E591" s="3"/>
      <c r="F591" s="4"/>
    </row>
    <row r="592" spans="2:6" ht="12" customHeight="1" x14ac:dyDescent="0.15">
      <c r="B592" s="2"/>
      <c r="C592" s="3"/>
      <c r="D592" s="3"/>
      <c r="E592" s="3"/>
      <c r="F592" s="4"/>
    </row>
    <row r="593" spans="2:6" ht="12" customHeight="1" x14ac:dyDescent="0.15">
      <c r="B593" s="2"/>
      <c r="C593" s="3"/>
      <c r="D593" s="3"/>
      <c r="E593" s="3"/>
      <c r="F593" s="4"/>
    </row>
    <row r="594" spans="2:6" ht="12" customHeight="1" x14ac:dyDescent="0.15">
      <c r="B594" s="2"/>
      <c r="C594" s="3"/>
      <c r="D594" s="3"/>
      <c r="E594" s="3"/>
      <c r="F594" s="4"/>
    </row>
    <row r="595" spans="2:6" ht="12" customHeight="1" x14ac:dyDescent="0.15">
      <c r="B595" s="2"/>
      <c r="C595" s="3"/>
      <c r="D595" s="3"/>
      <c r="E595" s="3"/>
      <c r="F595" s="4"/>
    </row>
    <row r="596" spans="2:6" ht="12" customHeight="1" x14ac:dyDescent="0.15">
      <c r="B596" s="2"/>
      <c r="C596" s="3"/>
      <c r="D596" s="3"/>
      <c r="E596" s="3"/>
      <c r="F596" s="4"/>
    </row>
    <row r="597" spans="2:6" ht="12" customHeight="1" x14ac:dyDescent="0.15">
      <c r="B597" s="2"/>
      <c r="C597" s="3"/>
      <c r="D597" s="3"/>
      <c r="E597" s="3"/>
      <c r="F597" s="4"/>
    </row>
    <row r="598" spans="2:6" ht="12" customHeight="1" x14ac:dyDescent="0.15">
      <c r="B598" s="2"/>
      <c r="C598" s="3"/>
      <c r="D598" s="3"/>
      <c r="E598" s="3"/>
      <c r="F598" s="4"/>
    </row>
    <row r="599" spans="2:6" ht="12" customHeight="1" x14ac:dyDescent="0.15">
      <c r="B599" s="2"/>
      <c r="C599" s="3"/>
      <c r="D599" s="3"/>
      <c r="E599" s="3"/>
      <c r="F599" s="4"/>
    </row>
    <row r="600" spans="2:6" ht="12" customHeight="1" x14ac:dyDescent="0.15">
      <c r="B600" s="2"/>
      <c r="C600" s="3"/>
      <c r="D600" s="3"/>
      <c r="E600" s="3"/>
      <c r="F600" s="4"/>
    </row>
    <row r="601" spans="2:6" ht="12" customHeight="1" x14ac:dyDescent="0.15">
      <c r="B601" s="2"/>
      <c r="C601" s="3"/>
      <c r="D601" s="3"/>
      <c r="E601" s="3"/>
      <c r="F601" s="4"/>
    </row>
    <row r="602" spans="2:6" ht="12" customHeight="1" x14ac:dyDescent="0.15">
      <c r="B602" s="2"/>
      <c r="C602" s="3"/>
      <c r="D602" s="3"/>
      <c r="E602" s="3"/>
      <c r="F602" s="4"/>
    </row>
    <row r="603" spans="2:6" ht="12" customHeight="1" x14ac:dyDescent="0.15">
      <c r="B603" s="2"/>
      <c r="C603" s="3"/>
      <c r="D603" s="3"/>
      <c r="E603" s="3"/>
      <c r="F603" s="4"/>
    </row>
    <row r="604" spans="2:6" ht="12" customHeight="1" x14ac:dyDescent="0.15">
      <c r="B604" s="2"/>
      <c r="C604" s="3"/>
      <c r="D604" s="3"/>
      <c r="E604" s="3"/>
      <c r="F604" s="4"/>
    </row>
    <row r="605" spans="2:6" ht="12" customHeight="1" x14ac:dyDescent="0.15">
      <c r="B605" s="2"/>
      <c r="C605" s="3"/>
      <c r="D605" s="3"/>
      <c r="E605" s="3"/>
      <c r="F605" s="4"/>
    </row>
    <row r="606" spans="2:6" ht="12" customHeight="1" x14ac:dyDescent="0.15">
      <c r="B606" s="2"/>
      <c r="C606" s="3"/>
      <c r="D606" s="3"/>
      <c r="E606" s="3"/>
      <c r="F606" s="4"/>
    </row>
    <row r="607" spans="2:6" ht="12" customHeight="1" x14ac:dyDescent="0.15">
      <c r="B607" s="2"/>
      <c r="C607" s="3"/>
      <c r="D607" s="3"/>
      <c r="E607" s="3"/>
      <c r="F607" s="4"/>
    </row>
    <row r="608" spans="2:6" ht="12" customHeight="1" x14ac:dyDescent="0.15">
      <c r="B608" s="2"/>
      <c r="C608" s="3"/>
      <c r="D608" s="3"/>
      <c r="E608" s="3"/>
      <c r="F608" s="4"/>
    </row>
    <row r="609" spans="2:6" ht="12" customHeight="1" x14ac:dyDescent="0.15">
      <c r="B609" s="2"/>
      <c r="C609" s="3"/>
      <c r="D609" s="3"/>
      <c r="E609" s="3"/>
      <c r="F609" s="4"/>
    </row>
    <row r="610" spans="2:6" ht="12" customHeight="1" x14ac:dyDescent="0.15">
      <c r="B610" s="2"/>
      <c r="C610" s="3"/>
      <c r="D610" s="3"/>
      <c r="E610" s="3"/>
      <c r="F610" s="4"/>
    </row>
    <row r="611" spans="2:6" ht="12" customHeight="1" x14ac:dyDescent="0.15">
      <c r="B611" s="2"/>
      <c r="C611" s="3"/>
      <c r="D611" s="3"/>
      <c r="E611" s="3"/>
      <c r="F611" s="4"/>
    </row>
    <row r="612" spans="2:6" ht="12" customHeight="1" x14ac:dyDescent="0.15">
      <c r="B612" s="2"/>
      <c r="C612" s="3"/>
      <c r="D612" s="3"/>
      <c r="E612" s="3"/>
      <c r="F612" s="4"/>
    </row>
    <row r="613" spans="2:6" ht="12" customHeight="1" x14ac:dyDescent="0.15">
      <c r="B613" s="2"/>
      <c r="C613" s="3"/>
      <c r="D613" s="3"/>
      <c r="E613" s="3"/>
      <c r="F613" s="4"/>
    </row>
    <row r="614" spans="2:6" ht="12" customHeight="1" x14ac:dyDescent="0.15">
      <c r="B614" s="2"/>
      <c r="C614" s="3"/>
      <c r="D614" s="3"/>
      <c r="E614" s="3"/>
      <c r="F614" s="4"/>
    </row>
    <row r="615" spans="2:6" ht="12" customHeight="1" x14ac:dyDescent="0.15">
      <c r="B615" s="2"/>
      <c r="C615" s="3"/>
      <c r="D615" s="3"/>
      <c r="E615" s="3"/>
      <c r="F615" s="4"/>
    </row>
    <row r="616" spans="2:6" ht="12" customHeight="1" x14ac:dyDescent="0.15">
      <c r="B616" s="2"/>
      <c r="C616" s="3"/>
      <c r="D616" s="3"/>
      <c r="E616" s="3"/>
      <c r="F616" s="4"/>
    </row>
    <row r="617" spans="2:6" ht="12" customHeight="1" x14ac:dyDescent="0.15">
      <c r="B617" s="2"/>
      <c r="C617" s="3"/>
      <c r="D617" s="3"/>
      <c r="E617" s="3"/>
      <c r="F617" s="4"/>
    </row>
    <row r="618" spans="2:6" ht="12" customHeight="1" x14ac:dyDescent="0.15">
      <c r="B618" s="2"/>
      <c r="C618" s="3"/>
      <c r="D618" s="3"/>
      <c r="E618" s="3"/>
      <c r="F618" s="4"/>
    </row>
    <row r="619" spans="2:6" ht="12" customHeight="1" x14ac:dyDescent="0.15">
      <c r="B619" s="2"/>
      <c r="C619" s="3"/>
      <c r="D619" s="3"/>
      <c r="E619" s="3"/>
      <c r="F619" s="4"/>
    </row>
    <row r="620" spans="2:6" ht="12" customHeight="1" x14ac:dyDescent="0.15">
      <c r="B620" s="2"/>
      <c r="C620" s="3"/>
      <c r="D620" s="3"/>
      <c r="E620" s="3"/>
      <c r="F620" s="4"/>
    </row>
    <row r="621" spans="2:6" ht="12" customHeight="1" x14ac:dyDescent="0.15">
      <c r="B621" s="2"/>
      <c r="C621" s="3"/>
      <c r="D621" s="3"/>
      <c r="E621" s="3"/>
      <c r="F621" s="4"/>
    </row>
    <row r="622" spans="2:6" ht="12" customHeight="1" x14ac:dyDescent="0.15">
      <c r="B622" s="2"/>
      <c r="C622" s="3"/>
      <c r="D622" s="3"/>
      <c r="E622" s="3"/>
      <c r="F622" s="4"/>
    </row>
    <row r="623" spans="2:6" ht="12" customHeight="1" x14ac:dyDescent="0.15">
      <c r="B623" s="2"/>
      <c r="C623" s="3"/>
      <c r="D623" s="3"/>
      <c r="E623" s="3"/>
      <c r="F623" s="4"/>
    </row>
    <row r="624" spans="2:6" ht="12" customHeight="1" x14ac:dyDescent="0.15">
      <c r="B624" s="2"/>
      <c r="C624" s="3"/>
      <c r="D624" s="3"/>
      <c r="E624" s="3"/>
      <c r="F624" s="4"/>
    </row>
    <row r="625" spans="2:6" ht="12" customHeight="1" x14ac:dyDescent="0.15">
      <c r="B625" s="2"/>
      <c r="C625" s="3"/>
      <c r="D625" s="3"/>
      <c r="E625" s="3"/>
      <c r="F625" s="4"/>
    </row>
    <row r="626" spans="2:6" ht="12" customHeight="1" x14ac:dyDescent="0.15">
      <c r="B626" s="2"/>
      <c r="C626" s="3"/>
      <c r="D626" s="3"/>
      <c r="E626" s="3"/>
      <c r="F626" s="4"/>
    </row>
    <row r="627" spans="2:6" ht="12" customHeight="1" x14ac:dyDescent="0.15">
      <c r="B627" s="2"/>
      <c r="C627" s="3"/>
      <c r="D627" s="3"/>
      <c r="E627" s="3"/>
      <c r="F627" s="4"/>
    </row>
    <row r="628" spans="2:6" ht="12" customHeight="1" x14ac:dyDescent="0.15">
      <c r="B628" s="2"/>
      <c r="C628" s="3"/>
      <c r="D628" s="3"/>
      <c r="E628" s="3"/>
      <c r="F628" s="4"/>
    </row>
    <row r="629" spans="2:6" ht="12" customHeight="1" x14ac:dyDescent="0.15">
      <c r="B629" s="2"/>
      <c r="C629" s="3"/>
      <c r="D629" s="3"/>
      <c r="E629" s="3"/>
      <c r="F629" s="4"/>
    </row>
    <row r="630" spans="2:6" ht="12" customHeight="1" x14ac:dyDescent="0.15">
      <c r="B630" s="2"/>
      <c r="C630" s="3"/>
      <c r="D630" s="3"/>
      <c r="E630" s="3"/>
      <c r="F630" s="4"/>
    </row>
    <row r="631" spans="2:6" ht="12" customHeight="1" x14ac:dyDescent="0.15">
      <c r="B631" s="2"/>
      <c r="C631" s="3"/>
      <c r="D631" s="3"/>
      <c r="E631" s="3"/>
      <c r="F631" s="4"/>
    </row>
    <row r="632" spans="2:6" ht="12" customHeight="1" x14ac:dyDescent="0.15">
      <c r="B632" s="2"/>
      <c r="C632" s="3"/>
      <c r="D632" s="3"/>
      <c r="E632" s="3"/>
      <c r="F632" s="4"/>
    </row>
    <row r="633" spans="2:6" ht="12" customHeight="1" x14ac:dyDescent="0.15">
      <c r="B633" s="2"/>
      <c r="C633" s="3"/>
      <c r="D633" s="3"/>
      <c r="E633" s="3"/>
      <c r="F633" s="4"/>
    </row>
    <row r="634" spans="2:6" ht="12" customHeight="1" x14ac:dyDescent="0.15">
      <c r="B634" s="2"/>
      <c r="C634" s="3"/>
      <c r="D634" s="3"/>
      <c r="E634" s="3"/>
      <c r="F634" s="4"/>
    </row>
    <row r="635" spans="2:6" ht="12" customHeight="1" x14ac:dyDescent="0.15">
      <c r="B635" s="2"/>
      <c r="C635" s="3"/>
      <c r="D635" s="3"/>
      <c r="E635" s="3"/>
      <c r="F635" s="4"/>
    </row>
    <row r="636" spans="2:6" ht="12" customHeight="1" x14ac:dyDescent="0.15">
      <c r="B636" s="2"/>
      <c r="C636" s="3"/>
      <c r="D636" s="3"/>
      <c r="E636" s="3"/>
      <c r="F636" s="4"/>
    </row>
    <row r="637" spans="2:6" ht="12" customHeight="1" x14ac:dyDescent="0.15">
      <c r="B637" s="2"/>
      <c r="C637" s="3"/>
      <c r="D637" s="3"/>
      <c r="E637" s="3"/>
      <c r="F637" s="4"/>
    </row>
    <row r="638" spans="2:6" ht="12" customHeight="1" x14ac:dyDescent="0.15">
      <c r="B638" s="2"/>
      <c r="C638" s="3"/>
      <c r="D638" s="3"/>
      <c r="E638" s="3"/>
      <c r="F638" s="4"/>
    </row>
    <row r="639" spans="2:6" ht="12" customHeight="1" x14ac:dyDescent="0.15">
      <c r="B639" s="2"/>
      <c r="C639" s="3"/>
      <c r="D639" s="3"/>
      <c r="E639" s="3"/>
      <c r="F639" s="4"/>
    </row>
    <row r="640" spans="2:6" ht="12" customHeight="1" x14ac:dyDescent="0.15">
      <c r="B640" s="2"/>
      <c r="C640" s="3"/>
      <c r="D640" s="3"/>
      <c r="E640" s="3"/>
      <c r="F640" s="4"/>
    </row>
    <row r="641" spans="2:6" ht="12" customHeight="1" x14ac:dyDescent="0.15">
      <c r="B641" s="2"/>
      <c r="C641" s="3"/>
      <c r="D641" s="3"/>
      <c r="E641" s="3"/>
      <c r="F641" s="4"/>
    </row>
    <row r="642" spans="2:6" ht="12" customHeight="1" x14ac:dyDescent="0.15">
      <c r="B642" s="2"/>
      <c r="C642" s="3"/>
      <c r="D642" s="3"/>
      <c r="E642" s="3"/>
      <c r="F642" s="4"/>
    </row>
    <row r="643" spans="2:6" ht="12" customHeight="1" x14ac:dyDescent="0.15">
      <c r="B643" s="2"/>
      <c r="C643" s="3"/>
      <c r="D643" s="3"/>
      <c r="E643" s="3"/>
      <c r="F643" s="4"/>
    </row>
    <row r="644" spans="2:6" ht="12" customHeight="1" x14ac:dyDescent="0.15">
      <c r="B644" s="2"/>
      <c r="C644" s="3"/>
      <c r="D644" s="3"/>
      <c r="E644" s="3"/>
      <c r="F644" s="4"/>
    </row>
    <row r="645" spans="2:6" ht="12" customHeight="1" x14ac:dyDescent="0.15">
      <c r="B645" s="2"/>
      <c r="C645" s="3"/>
      <c r="D645" s="3"/>
      <c r="E645" s="3"/>
      <c r="F645" s="4"/>
    </row>
    <row r="646" spans="2:6" ht="12" customHeight="1" x14ac:dyDescent="0.15">
      <c r="B646" s="2"/>
      <c r="C646" s="3"/>
      <c r="D646" s="3"/>
      <c r="E646" s="3"/>
      <c r="F646" s="4"/>
    </row>
    <row r="647" spans="2:6" ht="12" customHeight="1" x14ac:dyDescent="0.15">
      <c r="B647" s="2"/>
      <c r="C647" s="3"/>
      <c r="D647" s="3"/>
      <c r="E647" s="3"/>
      <c r="F647" s="4"/>
    </row>
    <row r="648" spans="2:6" ht="12" customHeight="1" x14ac:dyDescent="0.15">
      <c r="B648" s="2"/>
      <c r="C648" s="3"/>
      <c r="D648" s="3"/>
      <c r="E648" s="3"/>
      <c r="F648" s="4"/>
    </row>
    <row r="649" spans="2:6" ht="12" customHeight="1" x14ac:dyDescent="0.15">
      <c r="B649" s="2"/>
      <c r="C649" s="3"/>
      <c r="D649" s="3"/>
      <c r="E649" s="3"/>
      <c r="F649" s="4"/>
    </row>
    <row r="650" spans="2:6" ht="12" customHeight="1" x14ac:dyDescent="0.15">
      <c r="B650" s="2"/>
      <c r="C650" s="3"/>
      <c r="D650" s="3"/>
      <c r="E650" s="3"/>
      <c r="F650" s="4"/>
    </row>
    <row r="651" spans="2:6" ht="12" customHeight="1" x14ac:dyDescent="0.15">
      <c r="B651" s="2"/>
      <c r="C651" s="3"/>
      <c r="D651" s="3"/>
      <c r="E651" s="3"/>
      <c r="F651" s="4"/>
    </row>
    <row r="652" spans="2:6" ht="12" customHeight="1" x14ac:dyDescent="0.15">
      <c r="B652" s="2"/>
      <c r="C652" s="3"/>
      <c r="D652" s="3"/>
      <c r="E652" s="3"/>
      <c r="F652" s="4"/>
    </row>
    <row r="653" spans="2:6" ht="12" customHeight="1" x14ac:dyDescent="0.15">
      <c r="B653" s="2"/>
      <c r="C653" s="3"/>
      <c r="D653" s="3"/>
      <c r="E653" s="3"/>
      <c r="F653" s="4"/>
    </row>
    <row r="654" spans="2:6" ht="12" customHeight="1" x14ac:dyDescent="0.15">
      <c r="B654" s="2"/>
      <c r="C654" s="3"/>
      <c r="D654" s="3"/>
      <c r="E654" s="3"/>
      <c r="F654" s="4"/>
    </row>
    <row r="655" spans="2:6" ht="12" customHeight="1" x14ac:dyDescent="0.15">
      <c r="B655" s="2"/>
      <c r="C655" s="3"/>
      <c r="D655" s="3"/>
      <c r="E655" s="3"/>
      <c r="F655" s="4"/>
    </row>
    <row r="656" spans="2:6" ht="12" customHeight="1" x14ac:dyDescent="0.15">
      <c r="B656" s="2"/>
      <c r="C656" s="3"/>
      <c r="D656" s="3"/>
      <c r="E656" s="3"/>
      <c r="F656" s="4"/>
    </row>
    <row r="657" spans="2:6" ht="12" customHeight="1" x14ac:dyDescent="0.15">
      <c r="B657" s="2"/>
      <c r="C657" s="3"/>
      <c r="D657" s="3"/>
      <c r="E657" s="3"/>
      <c r="F657" s="4"/>
    </row>
    <row r="658" spans="2:6" ht="12" customHeight="1" x14ac:dyDescent="0.15">
      <c r="B658" s="2"/>
      <c r="C658" s="3"/>
      <c r="D658" s="3"/>
      <c r="E658" s="3"/>
      <c r="F658" s="4"/>
    </row>
    <row r="659" spans="2:6" ht="12" customHeight="1" x14ac:dyDescent="0.15">
      <c r="B659" s="2"/>
      <c r="C659" s="3"/>
      <c r="D659" s="3"/>
      <c r="E659" s="3"/>
      <c r="F659" s="4"/>
    </row>
    <row r="660" spans="2:6" ht="12" customHeight="1" x14ac:dyDescent="0.15">
      <c r="B660" s="2"/>
      <c r="C660" s="3"/>
      <c r="D660" s="3"/>
      <c r="E660" s="3"/>
      <c r="F660" s="4"/>
    </row>
    <row r="661" spans="2:6" ht="12" customHeight="1" x14ac:dyDescent="0.15">
      <c r="B661" s="2"/>
      <c r="C661" s="3"/>
      <c r="D661" s="3"/>
      <c r="E661" s="3"/>
      <c r="F661" s="4"/>
    </row>
    <row r="662" spans="2:6" ht="12" customHeight="1" x14ac:dyDescent="0.15">
      <c r="B662" s="2"/>
      <c r="C662" s="3"/>
      <c r="D662" s="3"/>
      <c r="E662" s="3"/>
      <c r="F662" s="4"/>
    </row>
    <row r="663" spans="2:6" ht="12" customHeight="1" x14ac:dyDescent="0.15">
      <c r="B663" s="2"/>
      <c r="C663" s="3"/>
      <c r="D663" s="3"/>
      <c r="E663" s="3"/>
      <c r="F663" s="4"/>
    </row>
    <row r="664" spans="2:6" ht="12" customHeight="1" x14ac:dyDescent="0.15">
      <c r="B664" s="2"/>
      <c r="C664" s="3"/>
      <c r="D664" s="3"/>
      <c r="E664" s="3"/>
      <c r="F664" s="4"/>
    </row>
    <row r="665" spans="2:6" ht="12" customHeight="1" x14ac:dyDescent="0.15">
      <c r="B665" s="2"/>
      <c r="C665" s="3"/>
      <c r="D665" s="3"/>
      <c r="E665" s="3"/>
      <c r="F665" s="4"/>
    </row>
    <row r="666" spans="2:6" ht="12" customHeight="1" x14ac:dyDescent="0.15">
      <c r="B666" s="2"/>
      <c r="C666" s="3"/>
      <c r="D666" s="3"/>
      <c r="E666" s="3"/>
      <c r="F666" s="4"/>
    </row>
    <row r="667" spans="2:6" ht="12" customHeight="1" x14ac:dyDescent="0.15">
      <c r="B667" s="2"/>
      <c r="C667" s="3"/>
      <c r="D667" s="3"/>
      <c r="E667" s="3"/>
      <c r="F667" s="4"/>
    </row>
    <row r="668" spans="2:6" ht="12" customHeight="1" x14ac:dyDescent="0.15">
      <c r="B668" s="2"/>
      <c r="C668" s="3"/>
      <c r="D668" s="3"/>
      <c r="E668" s="3"/>
      <c r="F668" s="4"/>
    </row>
    <row r="669" spans="2:6" ht="12" customHeight="1" x14ac:dyDescent="0.15">
      <c r="B669" s="2"/>
      <c r="C669" s="3"/>
      <c r="D669" s="3"/>
      <c r="E669" s="3"/>
      <c r="F669" s="4"/>
    </row>
    <row r="670" spans="2:6" ht="12" customHeight="1" x14ac:dyDescent="0.15">
      <c r="B670" s="2"/>
      <c r="C670" s="3"/>
      <c r="D670" s="3"/>
      <c r="E670" s="3"/>
      <c r="F670" s="4"/>
    </row>
    <row r="671" spans="2:6" ht="12" customHeight="1" x14ac:dyDescent="0.15">
      <c r="B671" s="2"/>
      <c r="C671" s="3"/>
      <c r="D671" s="3"/>
      <c r="E671" s="3"/>
      <c r="F671" s="4"/>
    </row>
    <row r="672" spans="2:6" ht="12" customHeight="1" x14ac:dyDescent="0.15">
      <c r="B672" s="2"/>
      <c r="C672" s="3"/>
      <c r="D672" s="3"/>
      <c r="E672" s="3"/>
      <c r="F672" s="4"/>
    </row>
    <row r="673" spans="2:6" ht="12" customHeight="1" x14ac:dyDescent="0.15">
      <c r="B673" s="2"/>
      <c r="C673" s="3"/>
      <c r="D673" s="3"/>
      <c r="E673" s="3"/>
      <c r="F673" s="4"/>
    </row>
    <row r="674" spans="2:6" ht="12" customHeight="1" x14ac:dyDescent="0.15">
      <c r="B674" s="2"/>
      <c r="C674" s="3"/>
      <c r="D674" s="3"/>
      <c r="E674" s="3"/>
      <c r="F674" s="4"/>
    </row>
    <row r="675" spans="2:6" ht="12" customHeight="1" x14ac:dyDescent="0.15">
      <c r="B675" s="2"/>
      <c r="C675" s="3"/>
      <c r="D675" s="3"/>
      <c r="E675" s="3"/>
      <c r="F675" s="4"/>
    </row>
    <row r="676" spans="2:6" ht="12" customHeight="1" x14ac:dyDescent="0.15">
      <c r="B676" s="2"/>
      <c r="C676" s="3"/>
      <c r="D676" s="3"/>
      <c r="E676" s="3"/>
      <c r="F676" s="4"/>
    </row>
    <row r="677" spans="2:6" ht="12" customHeight="1" x14ac:dyDescent="0.15">
      <c r="B677" s="2"/>
      <c r="C677" s="3"/>
      <c r="D677" s="3"/>
      <c r="E677" s="3"/>
      <c r="F677" s="4"/>
    </row>
    <row r="678" spans="2:6" ht="12" customHeight="1" x14ac:dyDescent="0.15">
      <c r="B678" s="2"/>
      <c r="C678" s="3"/>
      <c r="D678" s="3"/>
      <c r="E678" s="3"/>
      <c r="F678" s="4"/>
    </row>
    <row r="679" spans="2:6" ht="12" customHeight="1" x14ac:dyDescent="0.15">
      <c r="B679" s="2"/>
      <c r="C679" s="3"/>
      <c r="D679" s="3"/>
      <c r="E679" s="3"/>
      <c r="F679" s="4"/>
    </row>
    <row r="680" spans="2:6" ht="12" customHeight="1" x14ac:dyDescent="0.15">
      <c r="B680" s="2"/>
      <c r="C680" s="3"/>
      <c r="D680" s="3"/>
      <c r="E680" s="3"/>
      <c r="F680" s="4"/>
    </row>
    <row r="681" spans="2:6" ht="12" customHeight="1" x14ac:dyDescent="0.15">
      <c r="B681" s="2"/>
      <c r="C681" s="3"/>
      <c r="D681" s="3"/>
      <c r="E681" s="3"/>
      <c r="F681" s="4"/>
    </row>
    <row r="682" spans="2:6" ht="12" customHeight="1" x14ac:dyDescent="0.15">
      <c r="B682" s="2"/>
      <c r="C682" s="3"/>
      <c r="D682" s="3"/>
      <c r="E682" s="3"/>
      <c r="F682" s="4"/>
    </row>
    <row r="683" spans="2:6" ht="12" customHeight="1" x14ac:dyDescent="0.15">
      <c r="B683" s="2"/>
      <c r="C683" s="3"/>
      <c r="D683" s="3"/>
      <c r="E683" s="3"/>
      <c r="F683" s="4"/>
    </row>
    <row r="684" spans="2:6" ht="12" customHeight="1" x14ac:dyDescent="0.15">
      <c r="B684" s="2"/>
      <c r="C684" s="3"/>
      <c r="D684" s="3"/>
      <c r="E684" s="3"/>
      <c r="F684" s="4"/>
    </row>
    <row r="685" spans="2:6" ht="12" customHeight="1" x14ac:dyDescent="0.15">
      <c r="B685" s="2"/>
      <c r="C685" s="3"/>
      <c r="D685" s="3"/>
      <c r="E685" s="3"/>
      <c r="F685" s="4"/>
    </row>
    <row r="686" spans="2:6" ht="12" customHeight="1" x14ac:dyDescent="0.15">
      <c r="B686" s="2"/>
      <c r="C686" s="3"/>
      <c r="D686" s="3"/>
      <c r="E686" s="3"/>
      <c r="F686" s="4"/>
    </row>
    <row r="687" spans="2:6" ht="12" customHeight="1" x14ac:dyDescent="0.15">
      <c r="B687" s="2"/>
      <c r="C687" s="3"/>
      <c r="D687" s="3"/>
      <c r="E687" s="3"/>
      <c r="F687" s="4"/>
    </row>
    <row r="688" spans="2:6" ht="12" customHeight="1" x14ac:dyDescent="0.15">
      <c r="B688" s="2"/>
      <c r="C688" s="3"/>
      <c r="D688" s="3"/>
      <c r="E688" s="3"/>
      <c r="F688" s="4"/>
    </row>
    <row r="689" spans="2:6" ht="12" customHeight="1" x14ac:dyDescent="0.15">
      <c r="B689" s="2"/>
      <c r="C689" s="3"/>
      <c r="D689" s="3"/>
      <c r="E689" s="3"/>
      <c r="F689" s="4"/>
    </row>
    <row r="690" spans="2:6" ht="12" customHeight="1" x14ac:dyDescent="0.15">
      <c r="B690" s="2"/>
      <c r="C690" s="3"/>
      <c r="D690" s="3"/>
      <c r="E690" s="3"/>
      <c r="F690" s="4"/>
    </row>
    <row r="691" spans="2:6" ht="12" customHeight="1" x14ac:dyDescent="0.15">
      <c r="B691" s="2"/>
      <c r="C691" s="3"/>
      <c r="D691" s="3"/>
      <c r="E691" s="3"/>
      <c r="F691" s="4"/>
    </row>
    <row r="692" spans="2:6" ht="12" customHeight="1" x14ac:dyDescent="0.15">
      <c r="B692" s="2"/>
      <c r="C692" s="3"/>
      <c r="D692" s="3"/>
      <c r="E692" s="3"/>
      <c r="F692" s="4"/>
    </row>
    <row r="693" spans="2:6" ht="12" customHeight="1" x14ac:dyDescent="0.15">
      <c r="B693" s="2"/>
      <c r="C693" s="3"/>
      <c r="D693" s="3"/>
      <c r="E693" s="3"/>
      <c r="F693" s="4"/>
    </row>
    <row r="694" spans="2:6" ht="12" customHeight="1" x14ac:dyDescent="0.15">
      <c r="B694" s="2"/>
      <c r="C694" s="3"/>
      <c r="D694" s="3"/>
      <c r="E694" s="3"/>
      <c r="F694" s="4"/>
    </row>
    <row r="695" spans="2:6" ht="12" customHeight="1" x14ac:dyDescent="0.15">
      <c r="B695" s="2"/>
      <c r="C695" s="3"/>
      <c r="D695" s="3"/>
      <c r="E695" s="3"/>
      <c r="F695" s="4"/>
    </row>
    <row r="696" spans="2:6" ht="12" customHeight="1" x14ac:dyDescent="0.15">
      <c r="B696" s="2"/>
      <c r="C696" s="3"/>
      <c r="D696" s="3"/>
      <c r="E696" s="3"/>
      <c r="F696" s="4"/>
    </row>
    <row r="697" spans="2:6" ht="12" customHeight="1" x14ac:dyDescent="0.15">
      <c r="B697" s="2"/>
      <c r="C697" s="3"/>
      <c r="D697" s="3"/>
      <c r="E697" s="3"/>
      <c r="F697" s="4"/>
    </row>
    <row r="698" spans="2:6" ht="12" customHeight="1" x14ac:dyDescent="0.15">
      <c r="B698" s="2"/>
      <c r="C698" s="3"/>
      <c r="D698" s="3"/>
      <c r="E698" s="3"/>
      <c r="F698" s="4"/>
    </row>
    <row r="699" spans="2:6" ht="12" customHeight="1" x14ac:dyDescent="0.15">
      <c r="B699" s="2"/>
      <c r="C699" s="3"/>
      <c r="D699" s="3"/>
      <c r="E699" s="3"/>
      <c r="F699" s="4"/>
    </row>
    <row r="700" spans="2:6" ht="12" customHeight="1" x14ac:dyDescent="0.15">
      <c r="B700" s="2"/>
      <c r="C700" s="3"/>
      <c r="D700" s="3"/>
      <c r="E700" s="3"/>
      <c r="F700" s="4"/>
    </row>
    <row r="701" spans="2:6" ht="12" customHeight="1" x14ac:dyDescent="0.15">
      <c r="B701" s="2"/>
      <c r="C701" s="3"/>
      <c r="D701" s="3"/>
      <c r="E701" s="3"/>
      <c r="F701" s="4"/>
    </row>
    <row r="702" spans="2:6" ht="12" customHeight="1" x14ac:dyDescent="0.15">
      <c r="B702" s="2"/>
      <c r="C702" s="3"/>
      <c r="D702" s="3"/>
      <c r="E702" s="3"/>
      <c r="F702" s="4"/>
    </row>
    <row r="703" spans="2:6" ht="12" customHeight="1" x14ac:dyDescent="0.15">
      <c r="B703" s="2"/>
      <c r="C703" s="3"/>
      <c r="D703" s="3"/>
      <c r="E703" s="3"/>
      <c r="F703" s="4"/>
    </row>
    <row r="704" spans="2:6" ht="12" customHeight="1" x14ac:dyDescent="0.15">
      <c r="B704" s="2"/>
      <c r="C704" s="3"/>
      <c r="D704" s="3"/>
      <c r="E704" s="3"/>
      <c r="F704" s="4"/>
    </row>
    <row r="705" spans="2:6" ht="12" customHeight="1" x14ac:dyDescent="0.15">
      <c r="B705" s="2"/>
      <c r="C705" s="3"/>
      <c r="D705" s="3"/>
      <c r="E705" s="3"/>
      <c r="F705" s="4"/>
    </row>
    <row r="706" spans="2:6" ht="12" customHeight="1" x14ac:dyDescent="0.15">
      <c r="B706" s="2"/>
      <c r="C706" s="3"/>
      <c r="D706" s="3"/>
      <c r="E706" s="3"/>
      <c r="F706" s="4"/>
    </row>
    <row r="707" spans="2:6" ht="12" customHeight="1" x14ac:dyDescent="0.15">
      <c r="B707" s="2"/>
      <c r="C707" s="3"/>
      <c r="D707" s="3"/>
      <c r="E707" s="3"/>
      <c r="F707" s="4"/>
    </row>
    <row r="708" spans="2:6" ht="12" customHeight="1" x14ac:dyDescent="0.15">
      <c r="B708" s="2"/>
      <c r="C708" s="3"/>
      <c r="D708" s="3"/>
      <c r="E708" s="3"/>
      <c r="F708" s="4"/>
    </row>
    <row r="709" spans="2:6" ht="12" customHeight="1" x14ac:dyDescent="0.15">
      <c r="B709" s="2"/>
      <c r="C709" s="3"/>
      <c r="D709" s="3"/>
      <c r="E709" s="3"/>
      <c r="F709" s="4"/>
    </row>
    <row r="710" spans="2:6" ht="12" customHeight="1" x14ac:dyDescent="0.15">
      <c r="B710" s="2"/>
      <c r="C710" s="3"/>
      <c r="D710" s="3"/>
      <c r="E710" s="3"/>
      <c r="F710" s="4"/>
    </row>
    <row r="711" spans="2:6" ht="12" customHeight="1" x14ac:dyDescent="0.15">
      <c r="B711" s="2"/>
      <c r="C711" s="3"/>
      <c r="D711" s="3"/>
      <c r="E711" s="3"/>
      <c r="F711" s="4"/>
    </row>
    <row r="712" spans="2:6" ht="12" customHeight="1" x14ac:dyDescent="0.15">
      <c r="B712" s="2"/>
      <c r="C712" s="3"/>
      <c r="D712" s="3"/>
      <c r="E712" s="3"/>
      <c r="F712" s="4"/>
    </row>
    <row r="713" spans="2:6" ht="12" customHeight="1" x14ac:dyDescent="0.15">
      <c r="B713" s="2"/>
      <c r="C713" s="3"/>
      <c r="D713" s="3"/>
      <c r="E713" s="3"/>
      <c r="F713" s="4"/>
    </row>
    <row r="714" spans="2:6" ht="12" customHeight="1" x14ac:dyDescent="0.15">
      <c r="B714" s="2"/>
      <c r="C714" s="3"/>
      <c r="D714" s="3"/>
      <c r="E714" s="3"/>
      <c r="F714" s="4"/>
    </row>
    <row r="715" spans="2:6" ht="12" customHeight="1" x14ac:dyDescent="0.15">
      <c r="B715" s="2"/>
      <c r="C715" s="3"/>
      <c r="D715" s="3"/>
      <c r="E715" s="3"/>
      <c r="F715" s="4"/>
    </row>
    <row r="716" spans="2:6" ht="12" customHeight="1" x14ac:dyDescent="0.15">
      <c r="B716" s="2"/>
      <c r="C716" s="3"/>
      <c r="D716" s="3"/>
      <c r="E716" s="3"/>
      <c r="F716" s="4"/>
    </row>
    <row r="717" spans="2:6" ht="12" customHeight="1" x14ac:dyDescent="0.15">
      <c r="B717" s="2"/>
      <c r="C717" s="3"/>
      <c r="D717" s="3"/>
      <c r="E717" s="3"/>
      <c r="F717" s="4"/>
    </row>
    <row r="718" spans="2:6" ht="12" customHeight="1" x14ac:dyDescent="0.15">
      <c r="B718" s="2"/>
      <c r="C718" s="3"/>
      <c r="D718" s="3"/>
      <c r="E718" s="3"/>
      <c r="F718" s="4"/>
    </row>
    <row r="719" spans="2:6" ht="12" customHeight="1" x14ac:dyDescent="0.15">
      <c r="B719" s="2"/>
      <c r="C719" s="3"/>
      <c r="D719" s="3"/>
      <c r="E719" s="3"/>
      <c r="F719" s="4"/>
    </row>
    <row r="720" spans="2:6" ht="12" customHeight="1" x14ac:dyDescent="0.15">
      <c r="B720" s="2"/>
      <c r="C720" s="3"/>
      <c r="D720" s="3"/>
      <c r="E720" s="3"/>
      <c r="F720" s="4"/>
    </row>
    <row r="721" spans="2:6" ht="12" customHeight="1" x14ac:dyDescent="0.15">
      <c r="B721" s="2"/>
      <c r="C721" s="3"/>
      <c r="D721" s="3"/>
      <c r="E721" s="3"/>
      <c r="F721" s="4"/>
    </row>
    <row r="722" spans="2:6" ht="12" customHeight="1" x14ac:dyDescent="0.15">
      <c r="B722" s="2"/>
      <c r="C722" s="3"/>
      <c r="D722" s="3"/>
      <c r="E722" s="3"/>
      <c r="F722" s="4"/>
    </row>
    <row r="723" spans="2:6" ht="12" customHeight="1" x14ac:dyDescent="0.15">
      <c r="B723" s="2"/>
      <c r="C723" s="3"/>
      <c r="D723" s="3"/>
      <c r="E723" s="3"/>
      <c r="F723" s="4"/>
    </row>
    <row r="724" spans="2:6" ht="12" customHeight="1" x14ac:dyDescent="0.15">
      <c r="B724" s="2"/>
      <c r="C724" s="3"/>
      <c r="D724" s="3"/>
      <c r="E724" s="3"/>
      <c r="F724" s="4"/>
    </row>
    <row r="725" spans="2:6" ht="12" customHeight="1" x14ac:dyDescent="0.15">
      <c r="B725" s="2"/>
      <c r="C725" s="3"/>
      <c r="D725" s="3"/>
      <c r="E725" s="3"/>
      <c r="F725" s="4"/>
    </row>
    <row r="726" spans="2:6" ht="12" customHeight="1" x14ac:dyDescent="0.15">
      <c r="B726" s="2"/>
      <c r="C726" s="3"/>
      <c r="D726" s="3"/>
      <c r="E726" s="3"/>
      <c r="F726" s="4"/>
    </row>
    <row r="727" spans="2:6" ht="12" customHeight="1" x14ac:dyDescent="0.15">
      <c r="B727" s="2"/>
      <c r="C727" s="3"/>
      <c r="D727" s="3"/>
      <c r="E727" s="3"/>
      <c r="F727" s="4"/>
    </row>
    <row r="728" spans="2:6" ht="12" customHeight="1" x14ac:dyDescent="0.15">
      <c r="B728" s="2"/>
      <c r="C728" s="3"/>
      <c r="D728" s="3"/>
      <c r="E728" s="3"/>
      <c r="F728" s="4"/>
    </row>
    <row r="729" spans="2:6" ht="12" customHeight="1" x14ac:dyDescent="0.15">
      <c r="B729" s="2"/>
      <c r="C729" s="3"/>
      <c r="D729" s="3"/>
      <c r="E729" s="3"/>
      <c r="F729" s="4"/>
    </row>
    <row r="730" spans="2:6" ht="12" customHeight="1" x14ac:dyDescent="0.15">
      <c r="B730" s="2"/>
      <c r="C730" s="3"/>
      <c r="D730" s="3"/>
      <c r="E730" s="3"/>
      <c r="F730" s="4"/>
    </row>
    <row r="731" spans="2:6" ht="12" customHeight="1" x14ac:dyDescent="0.15">
      <c r="B731" s="2"/>
      <c r="C731" s="3"/>
      <c r="D731" s="3"/>
      <c r="E731" s="3"/>
      <c r="F731" s="4"/>
    </row>
    <row r="732" spans="2:6" ht="12" customHeight="1" x14ac:dyDescent="0.15">
      <c r="B732" s="2"/>
      <c r="C732" s="3"/>
      <c r="D732" s="3"/>
      <c r="E732" s="3"/>
      <c r="F732" s="4"/>
    </row>
    <row r="733" spans="2:6" ht="12" customHeight="1" x14ac:dyDescent="0.15">
      <c r="B733" s="2"/>
      <c r="C733" s="3"/>
      <c r="D733" s="3"/>
      <c r="E733" s="3"/>
      <c r="F733" s="4"/>
    </row>
    <row r="734" spans="2:6" ht="12" customHeight="1" x14ac:dyDescent="0.15">
      <c r="B734" s="2"/>
      <c r="C734" s="3"/>
      <c r="D734" s="3"/>
      <c r="E734" s="3"/>
      <c r="F734" s="4"/>
    </row>
    <row r="735" spans="2:6" ht="12" customHeight="1" x14ac:dyDescent="0.15">
      <c r="B735" s="2"/>
      <c r="C735" s="3"/>
      <c r="D735" s="3"/>
      <c r="E735" s="3"/>
      <c r="F735" s="4"/>
    </row>
    <row r="736" spans="2:6" ht="12" customHeight="1" x14ac:dyDescent="0.15">
      <c r="B736" s="2"/>
      <c r="C736" s="3"/>
      <c r="D736" s="3"/>
      <c r="E736" s="3"/>
      <c r="F736" s="4"/>
    </row>
    <row r="737" spans="2:6" ht="12" customHeight="1" x14ac:dyDescent="0.15">
      <c r="B737" s="2"/>
      <c r="C737" s="3"/>
      <c r="D737" s="3"/>
      <c r="E737" s="3"/>
      <c r="F737" s="4"/>
    </row>
    <row r="738" spans="2:6" ht="12" customHeight="1" x14ac:dyDescent="0.15">
      <c r="B738" s="2"/>
      <c r="C738" s="3"/>
      <c r="D738" s="3"/>
      <c r="E738" s="3"/>
      <c r="F738" s="4"/>
    </row>
    <row r="739" spans="2:6" ht="12" customHeight="1" x14ac:dyDescent="0.15">
      <c r="B739" s="2"/>
      <c r="C739" s="3"/>
      <c r="D739" s="3"/>
      <c r="E739" s="3"/>
      <c r="F739" s="4"/>
    </row>
    <row r="740" spans="2:6" ht="12" customHeight="1" x14ac:dyDescent="0.15">
      <c r="B740" s="2"/>
      <c r="C740" s="3"/>
      <c r="D740" s="3"/>
      <c r="E740" s="3"/>
      <c r="F740" s="4"/>
    </row>
    <row r="741" spans="2:6" ht="12" customHeight="1" x14ac:dyDescent="0.15">
      <c r="B741" s="2"/>
      <c r="C741" s="3"/>
      <c r="D741" s="3"/>
      <c r="E741" s="3"/>
      <c r="F741" s="4"/>
    </row>
    <row r="742" spans="2:6" ht="12" customHeight="1" x14ac:dyDescent="0.15">
      <c r="B742" s="2"/>
      <c r="C742" s="3"/>
      <c r="D742" s="3"/>
      <c r="E742" s="3"/>
      <c r="F742" s="4"/>
    </row>
    <row r="743" spans="2:6" ht="12" customHeight="1" x14ac:dyDescent="0.15">
      <c r="B743" s="2"/>
      <c r="C743" s="3"/>
      <c r="D743" s="3"/>
      <c r="E743" s="3"/>
      <c r="F743" s="4"/>
    </row>
    <row r="744" spans="2:6" ht="12" customHeight="1" x14ac:dyDescent="0.15">
      <c r="B744" s="2"/>
      <c r="C744" s="3"/>
      <c r="D744" s="3"/>
      <c r="E744" s="3"/>
      <c r="F744" s="4"/>
    </row>
    <row r="745" spans="2:6" ht="12" customHeight="1" x14ac:dyDescent="0.15">
      <c r="B745" s="2"/>
      <c r="C745" s="3"/>
      <c r="D745" s="3"/>
      <c r="E745" s="3"/>
      <c r="F745" s="4"/>
    </row>
    <row r="746" spans="2:6" ht="12" customHeight="1" x14ac:dyDescent="0.15">
      <c r="B746" s="2"/>
      <c r="C746" s="3"/>
      <c r="D746" s="3"/>
      <c r="E746" s="3"/>
      <c r="F746" s="4"/>
    </row>
    <row r="747" spans="2:6" ht="12" customHeight="1" x14ac:dyDescent="0.15">
      <c r="B747" s="2"/>
      <c r="C747" s="3"/>
      <c r="D747" s="3"/>
      <c r="E747" s="3"/>
      <c r="F747" s="4"/>
    </row>
    <row r="748" spans="2:6" ht="12" customHeight="1" x14ac:dyDescent="0.15">
      <c r="B748" s="2"/>
      <c r="C748" s="3"/>
      <c r="D748" s="3"/>
      <c r="E748" s="3"/>
      <c r="F748" s="4"/>
    </row>
    <row r="749" spans="2:6" ht="12" customHeight="1" x14ac:dyDescent="0.15">
      <c r="B749" s="2"/>
      <c r="C749" s="3"/>
      <c r="D749" s="3"/>
      <c r="E749" s="3"/>
      <c r="F749" s="4"/>
    </row>
    <row r="750" spans="2:6" ht="12" customHeight="1" x14ac:dyDescent="0.15">
      <c r="B750" s="2"/>
      <c r="C750" s="3"/>
      <c r="D750" s="3"/>
      <c r="E750" s="3"/>
      <c r="F750" s="4"/>
    </row>
    <row r="751" spans="2:6" ht="12" customHeight="1" x14ac:dyDescent="0.15">
      <c r="B751" s="2"/>
      <c r="C751" s="3"/>
      <c r="D751" s="3"/>
      <c r="E751" s="3"/>
      <c r="F751" s="4"/>
    </row>
    <row r="752" spans="2:6" ht="12" customHeight="1" x14ac:dyDescent="0.15">
      <c r="B752" s="2"/>
      <c r="C752" s="3"/>
      <c r="D752" s="3"/>
      <c r="E752" s="3"/>
      <c r="F752" s="4"/>
    </row>
    <row r="753" spans="2:6" ht="12" customHeight="1" x14ac:dyDescent="0.15">
      <c r="B753" s="2"/>
      <c r="C753" s="3"/>
      <c r="D753" s="3"/>
      <c r="E753" s="3"/>
      <c r="F753" s="4"/>
    </row>
    <row r="754" spans="2:6" ht="12" customHeight="1" x14ac:dyDescent="0.15">
      <c r="B754" s="2"/>
      <c r="C754" s="3"/>
      <c r="D754" s="3"/>
      <c r="E754" s="3"/>
      <c r="F754" s="4"/>
    </row>
    <row r="755" spans="2:6" ht="12" customHeight="1" x14ac:dyDescent="0.15">
      <c r="B755" s="2"/>
      <c r="C755" s="3"/>
      <c r="D755" s="3"/>
      <c r="E755" s="3"/>
      <c r="F755" s="4"/>
    </row>
    <row r="756" spans="2:6" ht="12" customHeight="1" x14ac:dyDescent="0.15">
      <c r="B756" s="2"/>
      <c r="C756" s="3"/>
      <c r="D756" s="3"/>
      <c r="E756" s="3"/>
      <c r="F756" s="4"/>
    </row>
    <row r="757" spans="2:6" ht="12" customHeight="1" x14ac:dyDescent="0.15">
      <c r="B757" s="2"/>
      <c r="C757" s="3"/>
      <c r="D757" s="3"/>
      <c r="E757" s="3"/>
      <c r="F757" s="4"/>
    </row>
    <row r="758" spans="2:6" ht="12" customHeight="1" x14ac:dyDescent="0.15">
      <c r="B758" s="2"/>
      <c r="C758" s="3"/>
      <c r="D758" s="3"/>
      <c r="E758" s="3"/>
      <c r="F758" s="4"/>
    </row>
    <row r="759" spans="2:6" ht="12" customHeight="1" x14ac:dyDescent="0.15">
      <c r="B759" s="2"/>
      <c r="C759" s="3"/>
      <c r="D759" s="3"/>
      <c r="E759" s="3"/>
      <c r="F759" s="4"/>
    </row>
    <row r="760" spans="2:6" ht="12" customHeight="1" x14ac:dyDescent="0.15">
      <c r="B760" s="2"/>
      <c r="C760" s="3"/>
      <c r="D760" s="3"/>
      <c r="E760" s="3"/>
      <c r="F760" s="4"/>
    </row>
    <row r="761" spans="2:6" ht="12" customHeight="1" x14ac:dyDescent="0.15">
      <c r="B761" s="2"/>
      <c r="C761" s="3"/>
      <c r="D761" s="3"/>
      <c r="E761" s="3"/>
      <c r="F761" s="4"/>
    </row>
    <row r="762" spans="2:6" ht="12" customHeight="1" x14ac:dyDescent="0.15">
      <c r="B762" s="2"/>
      <c r="C762" s="3"/>
      <c r="D762" s="3"/>
      <c r="E762" s="3"/>
      <c r="F762" s="4"/>
    </row>
    <row r="763" spans="2:6" ht="12" customHeight="1" x14ac:dyDescent="0.15">
      <c r="B763" s="2"/>
      <c r="C763" s="3"/>
      <c r="D763" s="3"/>
      <c r="E763" s="3"/>
      <c r="F763" s="4"/>
    </row>
    <row r="764" spans="2:6" ht="12" customHeight="1" x14ac:dyDescent="0.15">
      <c r="B764" s="2"/>
      <c r="C764" s="3"/>
      <c r="D764" s="3"/>
      <c r="E764" s="3"/>
      <c r="F764" s="4"/>
    </row>
    <row r="765" spans="2:6" ht="12" customHeight="1" x14ac:dyDescent="0.15">
      <c r="B765" s="2"/>
      <c r="C765" s="3"/>
      <c r="D765" s="3"/>
      <c r="E765" s="3"/>
      <c r="F765" s="4"/>
    </row>
    <row r="766" spans="2:6" ht="12" customHeight="1" x14ac:dyDescent="0.15">
      <c r="B766" s="2"/>
      <c r="C766" s="3"/>
      <c r="D766" s="3"/>
      <c r="E766" s="3"/>
      <c r="F766" s="4"/>
    </row>
    <row r="767" spans="2:6" ht="12" customHeight="1" x14ac:dyDescent="0.15">
      <c r="B767" s="2"/>
      <c r="C767" s="3"/>
      <c r="D767" s="3"/>
      <c r="E767" s="3"/>
      <c r="F767" s="4"/>
    </row>
    <row r="768" spans="2:6" ht="12" customHeight="1" x14ac:dyDescent="0.15">
      <c r="B768" s="2"/>
      <c r="C768" s="3"/>
      <c r="D768" s="3"/>
      <c r="E768" s="3"/>
      <c r="F768" s="4"/>
    </row>
    <row r="769" spans="2:6" ht="12" customHeight="1" x14ac:dyDescent="0.15">
      <c r="B769" s="2"/>
      <c r="C769" s="3"/>
      <c r="D769" s="3"/>
      <c r="E769" s="3"/>
      <c r="F769" s="4"/>
    </row>
    <row r="770" spans="2:6" ht="12" customHeight="1" x14ac:dyDescent="0.15">
      <c r="B770" s="2"/>
      <c r="C770" s="3"/>
      <c r="D770" s="3"/>
      <c r="E770" s="3"/>
      <c r="F770" s="4"/>
    </row>
    <row r="771" spans="2:6" ht="12" customHeight="1" x14ac:dyDescent="0.15">
      <c r="B771" s="2"/>
      <c r="C771" s="3"/>
      <c r="D771" s="3"/>
      <c r="E771" s="3"/>
      <c r="F771" s="4"/>
    </row>
    <row r="772" spans="2:6" ht="12" customHeight="1" x14ac:dyDescent="0.15">
      <c r="B772" s="2"/>
      <c r="C772" s="3"/>
      <c r="D772" s="3"/>
      <c r="E772" s="3"/>
      <c r="F772" s="4"/>
    </row>
    <row r="773" spans="2:6" ht="12" customHeight="1" x14ac:dyDescent="0.15">
      <c r="B773" s="2"/>
      <c r="C773" s="3"/>
      <c r="D773" s="3"/>
      <c r="E773" s="3"/>
      <c r="F773" s="4"/>
    </row>
    <row r="774" spans="2:6" ht="12" customHeight="1" x14ac:dyDescent="0.15">
      <c r="B774" s="2"/>
      <c r="C774" s="3"/>
      <c r="D774" s="3"/>
      <c r="E774" s="3"/>
      <c r="F774" s="4"/>
    </row>
    <row r="775" spans="2:6" ht="12" customHeight="1" x14ac:dyDescent="0.15">
      <c r="B775" s="2"/>
      <c r="C775" s="3"/>
      <c r="D775" s="3"/>
      <c r="E775" s="3"/>
      <c r="F775" s="4"/>
    </row>
    <row r="776" spans="2:6" ht="12" customHeight="1" x14ac:dyDescent="0.15">
      <c r="B776" s="2"/>
      <c r="C776" s="3"/>
      <c r="D776" s="3"/>
      <c r="E776" s="3"/>
      <c r="F776" s="4"/>
    </row>
    <row r="777" spans="2:6" ht="12" customHeight="1" x14ac:dyDescent="0.15">
      <c r="B777" s="2"/>
      <c r="C777" s="3"/>
      <c r="D777" s="3"/>
      <c r="E777" s="3"/>
      <c r="F777" s="4"/>
    </row>
    <row r="778" spans="2:6" ht="12" customHeight="1" x14ac:dyDescent="0.15">
      <c r="B778" s="2"/>
      <c r="C778" s="3"/>
      <c r="D778" s="3"/>
      <c r="E778" s="3"/>
      <c r="F778" s="4"/>
    </row>
    <row r="779" spans="2:6" ht="12" customHeight="1" x14ac:dyDescent="0.15">
      <c r="B779" s="2"/>
      <c r="C779" s="3"/>
      <c r="D779" s="3"/>
      <c r="E779" s="3"/>
      <c r="F779" s="4"/>
    </row>
    <row r="780" spans="2:6" ht="12" customHeight="1" x14ac:dyDescent="0.15">
      <c r="B780" s="2"/>
      <c r="C780" s="3"/>
      <c r="D780" s="3"/>
      <c r="E780" s="3"/>
      <c r="F780" s="4"/>
    </row>
    <row r="781" spans="2:6" ht="12" customHeight="1" x14ac:dyDescent="0.15">
      <c r="B781" s="2"/>
      <c r="C781" s="3"/>
      <c r="D781" s="3"/>
      <c r="E781" s="3"/>
      <c r="F781" s="4"/>
    </row>
    <row r="782" spans="2:6" ht="12" customHeight="1" x14ac:dyDescent="0.15">
      <c r="B782" s="2"/>
      <c r="C782" s="3"/>
      <c r="D782" s="3"/>
      <c r="E782" s="3"/>
      <c r="F782" s="4"/>
    </row>
    <row r="783" spans="2:6" ht="12" customHeight="1" x14ac:dyDescent="0.15">
      <c r="B783" s="2"/>
      <c r="C783" s="3"/>
      <c r="D783" s="3"/>
      <c r="E783" s="3"/>
      <c r="F783" s="4"/>
    </row>
    <row r="784" spans="2:6" ht="12" customHeight="1" x14ac:dyDescent="0.15">
      <c r="B784" s="2"/>
      <c r="C784" s="3"/>
      <c r="D784" s="3"/>
      <c r="E784" s="3"/>
      <c r="F784" s="4"/>
    </row>
    <row r="785" spans="2:6" ht="12" customHeight="1" x14ac:dyDescent="0.15">
      <c r="B785" s="2"/>
      <c r="C785" s="3"/>
      <c r="D785" s="3"/>
      <c r="E785" s="3"/>
      <c r="F785" s="4"/>
    </row>
    <row r="786" spans="2:6" ht="12" customHeight="1" x14ac:dyDescent="0.15">
      <c r="B786" s="2"/>
      <c r="C786" s="3"/>
      <c r="D786" s="3"/>
      <c r="E786" s="3"/>
      <c r="F786" s="4"/>
    </row>
    <row r="787" spans="2:6" ht="12" customHeight="1" x14ac:dyDescent="0.15">
      <c r="B787" s="2"/>
      <c r="C787" s="3"/>
      <c r="D787" s="3"/>
      <c r="E787" s="3"/>
      <c r="F787" s="4"/>
    </row>
    <row r="788" spans="2:6" ht="12" customHeight="1" x14ac:dyDescent="0.15">
      <c r="B788" s="2"/>
      <c r="C788" s="3"/>
      <c r="D788" s="3"/>
      <c r="E788" s="3"/>
      <c r="F788" s="4"/>
    </row>
    <row r="789" spans="2:6" ht="12" customHeight="1" x14ac:dyDescent="0.15">
      <c r="B789" s="2"/>
      <c r="C789" s="3"/>
      <c r="D789" s="3"/>
      <c r="E789" s="3"/>
      <c r="F789" s="4"/>
    </row>
    <row r="790" spans="2:6" ht="12" customHeight="1" x14ac:dyDescent="0.15">
      <c r="B790" s="2"/>
      <c r="C790" s="3"/>
      <c r="D790" s="3"/>
      <c r="E790" s="3"/>
      <c r="F790" s="4"/>
    </row>
    <row r="791" spans="2:6" ht="12" customHeight="1" x14ac:dyDescent="0.15">
      <c r="B791" s="2"/>
      <c r="C791" s="3"/>
      <c r="D791" s="3"/>
      <c r="E791" s="3"/>
      <c r="F791" s="4"/>
    </row>
    <row r="792" spans="2:6" ht="12" customHeight="1" x14ac:dyDescent="0.15">
      <c r="B792" s="2"/>
      <c r="C792" s="3"/>
      <c r="D792" s="3"/>
      <c r="E792" s="3"/>
      <c r="F792" s="4"/>
    </row>
    <row r="793" spans="2:6" ht="12" customHeight="1" x14ac:dyDescent="0.15">
      <c r="B793" s="2"/>
      <c r="C793" s="3"/>
      <c r="D793" s="3"/>
      <c r="E793" s="3"/>
      <c r="F793" s="4"/>
    </row>
    <row r="794" spans="2:6" ht="12" customHeight="1" x14ac:dyDescent="0.15">
      <c r="B794" s="2"/>
      <c r="C794" s="3"/>
      <c r="D794" s="3"/>
      <c r="E794" s="3"/>
      <c r="F794" s="4"/>
    </row>
    <row r="795" spans="2:6" ht="12" customHeight="1" x14ac:dyDescent="0.15">
      <c r="B795" s="2"/>
      <c r="C795" s="3"/>
      <c r="D795" s="3"/>
      <c r="E795" s="3"/>
      <c r="F795" s="4"/>
    </row>
    <row r="796" spans="2:6" ht="12" customHeight="1" x14ac:dyDescent="0.15">
      <c r="B796" s="2"/>
      <c r="C796" s="3"/>
      <c r="D796" s="3"/>
      <c r="E796" s="3"/>
      <c r="F796" s="4"/>
    </row>
    <row r="797" spans="2:6" ht="12" customHeight="1" x14ac:dyDescent="0.15">
      <c r="B797" s="2"/>
      <c r="C797" s="3"/>
      <c r="D797" s="3"/>
      <c r="E797" s="3"/>
      <c r="F797" s="4"/>
    </row>
    <row r="798" spans="2:6" ht="12" customHeight="1" x14ac:dyDescent="0.15">
      <c r="B798" s="2"/>
      <c r="C798" s="3"/>
      <c r="D798" s="3"/>
      <c r="E798" s="3"/>
      <c r="F798" s="4"/>
    </row>
    <row r="799" spans="2:6" ht="12" customHeight="1" x14ac:dyDescent="0.15">
      <c r="B799" s="2"/>
      <c r="C799" s="3"/>
      <c r="D799" s="3"/>
      <c r="E799" s="3"/>
      <c r="F799" s="4"/>
    </row>
    <row r="800" spans="2:6" ht="12" customHeight="1" x14ac:dyDescent="0.15">
      <c r="B800" s="2"/>
      <c r="C800" s="3"/>
      <c r="D800" s="3"/>
      <c r="E800" s="3"/>
      <c r="F800" s="4"/>
    </row>
    <row r="801" spans="2:6" ht="12" customHeight="1" x14ac:dyDescent="0.15">
      <c r="B801" s="2"/>
      <c r="C801" s="3"/>
      <c r="D801" s="3"/>
      <c r="E801" s="3"/>
      <c r="F801" s="4"/>
    </row>
    <row r="802" spans="2:6" ht="12" customHeight="1" x14ac:dyDescent="0.15">
      <c r="B802" s="2"/>
      <c r="C802" s="3"/>
      <c r="D802" s="3"/>
      <c r="E802" s="3"/>
      <c r="F802" s="4"/>
    </row>
    <row r="803" spans="2:6" ht="12" customHeight="1" x14ac:dyDescent="0.15">
      <c r="B803" s="2"/>
      <c r="C803" s="3"/>
      <c r="D803" s="3"/>
      <c r="E803" s="3"/>
      <c r="F803" s="4"/>
    </row>
    <row r="804" spans="2:6" ht="12" customHeight="1" x14ac:dyDescent="0.15">
      <c r="B804" s="2"/>
      <c r="C804" s="3"/>
      <c r="D804" s="3"/>
      <c r="E804" s="3"/>
      <c r="F804" s="4"/>
    </row>
    <row r="805" spans="2:6" ht="12" customHeight="1" x14ac:dyDescent="0.15">
      <c r="B805" s="2"/>
      <c r="C805" s="3"/>
      <c r="D805" s="3"/>
      <c r="E805" s="3"/>
      <c r="F805" s="4"/>
    </row>
    <row r="806" spans="2:6" ht="12" customHeight="1" x14ac:dyDescent="0.15">
      <c r="B806" s="2"/>
      <c r="C806" s="3"/>
      <c r="D806" s="3"/>
      <c r="E806" s="3"/>
      <c r="F806" s="4"/>
    </row>
    <row r="807" spans="2:6" ht="12" customHeight="1" x14ac:dyDescent="0.15">
      <c r="B807" s="2"/>
      <c r="C807" s="3"/>
      <c r="D807" s="3"/>
      <c r="E807" s="3"/>
      <c r="F807" s="4"/>
    </row>
    <row r="808" spans="2:6" ht="12" customHeight="1" x14ac:dyDescent="0.15">
      <c r="B808" s="2"/>
      <c r="C808" s="3"/>
      <c r="D808" s="3"/>
      <c r="E808" s="3"/>
      <c r="F808" s="4"/>
    </row>
    <row r="809" spans="2:6" ht="12" customHeight="1" x14ac:dyDescent="0.15">
      <c r="B809" s="2"/>
      <c r="C809" s="3"/>
      <c r="D809" s="3"/>
      <c r="E809" s="3"/>
      <c r="F809" s="4"/>
    </row>
    <row r="810" spans="2:6" ht="12" customHeight="1" x14ac:dyDescent="0.15">
      <c r="B810" s="2"/>
      <c r="C810" s="3"/>
      <c r="D810" s="3"/>
      <c r="E810" s="3"/>
      <c r="F810" s="4"/>
    </row>
    <row r="811" spans="2:6" ht="12" customHeight="1" x14ac:dyDescent="0.15">
      <c r="B811" s="2"/>
      <c r="C811" s="3"/>
      <c r="D811" s="3"/>
      <c r="E811" s="3"/>
      <c r="F811" s="4"/>
    </row>
    <row r="812" spans="2:6" ht="12" customHeight="1" x14ac:dyDescent="0.15">
      <c r="B812" s="2"/>
      <c r="C812" s="3"/>
      <c r="D812" s="3"/>
      <c r="E812" s="3"/>
      <c r="F812" s="4"/>
    </row>
    <row r="813" spans="2:6" ht="12" customHeight="1" x14ac:dyDescent="0.15">
      <c r="B813" s="2"/>
      <c r="C813" s="3"/>
      <c r="D813" s="3"/>
      <c r="E813" s="3"/>
      <c r="F813" s="4"/>
    </row>
    <row r="814" spans="2:6" ht="12" customHeight="1" x14ac:dyDescent="0.15">
      <c r="B814" s="2"/>
      <c r="C814" s="3"/>
      <c r="D814" s="3"/>
      <c r="E814" s="3"/>
      <c r="F814" s="4"/>
    </row>
    <row r="815" spans="2:6" ht="12" customHeight="1" x14ac:dyDescent="0.15">
      <c r="B815" s="2"/>
      <c r="C815" s="3"/>
      <c r="D815" s="3"/>
      <c r="E815" s="3"/>
      <c r="F815" s="4"/>
    </row>
    <row r="816" spans="2:6" ht="12" customHeight="1" x14ac:dyDescent="0.15">
      <c r="B816" s="2"/>
      <c r="C816" s="3"/>
      <c r="D816" s="3"/>
      <c r="E816" s="3"/>
      <c r="F816" s="4"/>
    </row>
    <row r="817" spans="2:6" ht="12" customHeight="1" x14ac:dyDescent="0.15">
      <c r="B817" s="2"/>
      <c r="C817" s="3"/>
      <c r="D817" s="3"/>
      <c r="E817" s="3"/>
      <c r="F817" s="4"/>
    </row>
    <row r="818" spans="2:6" ht="12" customHeight="1" x14ac:dyDescent="0.15">
      <c r="B818" s="2"/>
      <c r="C818" s="3"/>
      <c r="D818" s="3"/>
      <c r="E818" s="3"/>
      <c r="F818" s="4"/>
    </row>
    <row r="819" spans="2:6" ht="12" customHeight="1" x14ac:dyDescent="0.15">
      <c r="B819" s="2"/>
      <c r="C819" s="3"/>
      <c r="D819" s="3"/>
      <c r="E819" s="3"/>
      <c r="F819" s="4"/>
    </row>
    <row r="820" spans="2:6" ht="12" customHeight="1" x14ac:dyDescent="0.15">
      <c r="B820" s="2"/>
      <c r="C820" s="3"/>
      <c r="D820" s="3"/>
      <c r="E820" s="3"/>
      <c r="F820" s="4"/>
    </row>
    <row r="821" spans="2:6" ht="12" customHeight="1" x14ac:dyDescent="0.15">
      <c r="B821" s="2"/>
      <c r="C821" s="3"/>
      <c r="D821" s="3"/>
      <c r="E821" s="3"/>
      <c r="F821" s="4"/>
    </row>
    <row r="822" spans="2:6" ht="12" customHeight="1" x14ac:dyDescent="0.15">
      <c r="B822" s="2"/>
      <c r="C822" s="3"/>
      <c r="D822" s="3"/>
      <c r="E822" s="3"/>
      <c r="F822" s="4"/>
    </row>
    <row r="823" spans="2:6" ht="12" customHeight="1" x14ac:dyDescent="0.15">
      <c r="B823" s="2"/>
      <c r="C823" s="3"/>
      <c r="D823" s="3"/>
      <c r="E823" s="3"/>
      <c r="F823" s="4"/>
    </row>
    <row r="824" spans="2:6" ht="12" customHeight="1" x14ac:dyDescent="0.15">
      <c r="B824" s="2"/>
      <c r="C824" s="3"/>
      <c r="D824" s="3"/>
      <c r="E824" s="3"/>
      <c r="F824" s="4"/>
    </row>
    <row r="825" spans="2:6" ht="12" customHeight="1" x14ac:dyDescent="0.15">
      <c r="B825" s="2"/>
      <c r="C825" s="3"/>
      <c r="D825" s="3"/>
      <c r="E825" s="3"/>
      <c r="F825" s="4"/>
    </row>
    <row r="826" spans="2:6" ht="12" customHeight="1" x14ac:dyDescent="0.15">
      <c r="B826" s="2"/>
      <c r="C826" s="3"/>
      <c r="D826" s="3"/>
      <c r="E826" s="3"/>
      <c r="F826" s="4"/>
    </row>
    <row r="827" spans="2:6" ht="12" customHeight="1" x14ac:dyDescent="0.15">
      <c r="B827" s="2"/>
      <c r="C827" s="3"/>
      <c r="D827" s="3"/>
      <c r="E827" s="3"/>
      <c r="F827" s="4"/>
    </row>
    <row r="828" spans="2:6" ht="12" customHeight="1" x14ac:dyDescent="0.15">
      <c r="B828" s="2"/>
      <c r="C828" s="3"/>
      <c r="D828" s="3"/>
      <c r="E828" s="3"/>
      <c r="F828" s="4"/>
    </row>
    <row r="829" spans="2:6" ht="12" customHeight="1" x14ac:dyDescent="0.15">
      <c r="B829" s="2"/>
      <c r="C829" s="3"/>
      <c r="D829" s="3"/>
      <c r="E829" s="3"/>
      <c r="F829" s="4"/>
    </row>
    <row r="830" spans="2:6" ht="12" customHeight="1" x14ac:dyDescent="0.15">
      <c r="B830" s="2"/>
      <c r="C830" s="3"/>
      <c r="D830" s="3"/>
      <c r="E830" s="3"/>
      <c r="F830" s="4"/>
    </row>
    <row r="831" spans="2:6" ht="12" customHeight="1" x14ac:dyDescent="0.15">
      <c r="B831" s="2"/>
      <c r="C831" s="3"/>
      <c r="D831" s="3"/>
      <c r="E831" s="3"/>
      <c r="F831" s="4"/>
    </row>
    <row r="832" spans="2:6" ht="12" customHeight="1" x14ac:dyDescent="0.15">
      <c r="B832" s="2"/>
      <c r="C832" s="3"/>
      <c r="D832" s="3"/>
      <c r="E832" s="3"/>
      <c r="F832" s="4"/>
    </row>
    <row r="833" spans="2:6" ht="12" customHeight="1" x14ac:dyDescent="0.15">
      <c r="B833" s="2"/>
      <c r="C833" s="3"/>
      <c r="D833" s="3"/>
      <c r="E833" s="3"/>
      <c r="F833" s="4"/>
    </row>
    <row r="834" spans="2:6" ht="12" customHeight="1" x14ac:dyDescent="0.15">
      <c r="B834" s="2"/>
      <c r="C834" s="3"/>
      <c r="D834" s="3"/>
      <c r="E834" s="3"/>
      <c r="F834" s="4"/>
    </row>
    <row r="835" spans="2:6" ht="12" customHeight="1" x14ac:dyDescent="0.15">
      <c r="B835" s="2"/>
      <c r="C835" s="3"/>
      <c r="D835" s="3"/>
      <c r="E835" s="3"/>
      <c r="F835" s="4"/>
    </row>
    <row r="836" spans="2:6" ht="12" customHeight="1" x14ac:dyDescent="0.15">
      <c r="B836" s="2"/>
      <c r="C836" s="3"/>
      <c r="D836" s="3"/>
      <c r="E836" s="3"/>
      <c r="F836" s="4"/>
    </row>
    <row r="837" spans="2:6" ht="12" customHeight="1" x14ac:dyDescent="0.15">
      <c r="B837" s="2"/>
      <c r="C837" s="3"/>
      <c r="D837" s="3"/>
      <c r="E837" s="3"/>
      <c r="F837" s="4"/>
    </row>
    <row r="838" spans="2:6" ht="12" customHeight="1" x14ac:dyDescent="0.15">
      <c r="B838" s="2"/>
      <c r="C838" s="3"/>
      <c r="D838" s="3"/>
      <c r="E838" s="3"/>
      <c r="F838" s="4"/>
    </row>
    <row r="839" spans="2:6" ht="12" customHeight="1" x14ac:dyDescent="0.15">
      <c r="B839" s="2"/>
      <c r="C839" s="3"/>
      <c r="D839" s="3"/>
      <c r="E839" s="3"/>
      <c r="F839" s="4"/>
    </row>
    <row r="840" spans="2:6" ht="12" customHeight="1" x14ac:dyDescent="0.15">
      <c r="B840" s="2"/>
      <c r="C840" s="3"/>
      <c r="D840" s="3"/>
      <c r="E840" s="3"/>
      <c r="F840" s="4"/>
    </row>
    <row r="841" spans="2:6" ht="12" customHeight="1" x14ac:dyDescent="0.15">
      <c r="B841" s="2"/>
      <c r="C841" s="3"/>
      <c r="D841" s="3"/>
      <c r="E841" s="3"/>
      <c r="F841" s="4"/>
    </row>
    <row r="842" spans="2:6" ht="12" customHeight="1" x14ac:dyDescent="0.15">
      <c r="B842" s="2"/>
      <c r="C842" s="3"/>
      <c r="D842" s="3"/>
      <c r="E842" s="3"/>
      <c r="F842" s="4"/>
    </row>
    <row r="843" spans="2:6" ht="12" customHeight="1" x14ac:dyDescent="0.15">
      <c r="B843" s="2"/>
      <c r="C843" s="3"/>
      <c r="D843" s="3"/>
      <c r="E843" s="3"/>
      <c r="F843" s="4"/>
    </row>
    <row r="844" spans="2:6" ht="12" customHeight="1" x14ac:dyDescent="0.15">
      <c r="B844" s="2"/>
      <c r="C844" s="3"/>
      <c r="D844" s="3"/>
      <c r="E844" s="3"/>
      <c r="F844" s="4"/>
    </row>
    <row r="845" spans="2:6" ht="12" customHeight="1" x14ac:dyDescent="0.15">
      <c r="B845" s="2"/>
      <c r="C845" s="3"/>
      <c r="D845" s="3"/>
      <c r="E845" s="3"/>
      <c r="F845" s="4"/>
    </row>
    <row r="846" spans="2:6" ht="12" customHeight="1" x14ac:dyDescent="0.15">
      <c r="B846" s="2"/>
      <c r="C846" s="3"/>
      <c r="D846" s="3"/>
      <c r="E846" s="3"/>
      <c r="F846" s="4"/>
    </row>
    <row r="847" spans="2:6" ht="12" customHeight="1" x14ac:dyDescent="0.15">
      <c r="B847" s="2"/>
      <c r="C847" s="3"/>
      <c r="D847" s="3"/>
      <c r="E847" s="3"/>
      <c r="F847" s="4"/>
    </row>
    <row r="848" spans="2:6" ht="12" customHeight="1" x14ac:dyDescent="0.15">
      <c r="B848" s="2"/>
      <c r="C848" s="3"/>
      <c r="D848" s="3"/>
      <c r="E848" s="3"/>
      <c r="F848" s="4"/>
    </row>
    <row r="849" spans="2:6" ht="12" customHeight="1" x14ac:dyDescent="0.15">
      <c r="B849" s="2"/>
      <c r="C849" s="3"/>
      <c r="D849" s="3"/>
      <c r="E849" s="3"/>
      <c r="F849" s="4"/>
    </row>
    <row r="850" spans="2:6" ht="12" customHeight="1" x14ac:dyDescent="0.15">
      <c r="B850" s="2"/>
      <c r="C850" s="3"/>
      <c r="D850" s="3"/>
      <c r="E850" s="3"/>
      <c r="F850" s="4"/>
    </row>
    <row r="851" spans="2:6" ht="12" customHeight="1" x14ac:dyDescent="0.15">
      <c r="B851" s="2"/>
      <c r="C851" s="3"/>
      <c r="D851" s="3"/>
      <c r="E851" s="3"/>
      <c r="F851" s="4"/>
    </row>
    <row r="852" spans="2:6" ht="12" customHeight="1" x14ac:dyDescent="0.15">
      <c r="B852" s="2"/>
      <c r="C852" s="3"/>
      <c r="D852" s="3"/>
      <c r="E852" s="3"/>
      <c r="F852" s="4"/>
    </row>
    <row r="853" spans="2:6" ht="12" customHeight="1" x14ac:dyDescent="0.15">
      <c r="B853" s="2"/>
      <c r="C853" s="3"/>
      <c r="D853" s="3"/>
      <c r="E853" s="3"/>
      <c r="F853" s="4"/>
    </row>
    <row r="854" spans="2:6" ht="12" customHeight="1" x14ac:dyDescent="0.15">
      <c r="B854" s="2"/>
      <c r="C854" s="3"/>
      <c r="D854" s="3"/>
      <c r="E854" s="3"/>
      <c r="F854" s="4"/>
    </row>
    <row r="855" spans="2:6" ht="12" customHeight="1" x14ac:dyDescent="0.15">
      <c r="B855" s="2"/>
      <c r="C855" s="3"/>
      <c r="D855" s="3"/>
      <c r="E855" s="3"/>
      <c r="F855" s="4"/>
    </row>
    <row r="856" spans="2:6" ht="12" customHeight="1" x14ac:dyDescent="0.15">
      <c r="B856" s="2"/>
      <c r="C856" s="3"/>
      <c r="D856" s="3"/>
      <c r="E856" s="3"/>
      <c r="F856" s="4"/>
    </row>
    <row r="857" spans="2:6" ht="12" customHeight="1" x14ac:dyDescent="0.15">
      <c r="B857" s="2"/>
      <c r="C857" s="3"/>
      <c r="D857" s="3"/>
      <c r="E857" s="3"/>
      <c r="F857" s="4"/>
    </row>
    <row r="858" spans="2:6" ht="12" customHeight="1" x14ac:dyDescent="0.15">
      <c r="B858" s="2"/>
      <c r="C858" s="3"/>
      <c r="D858" s="3"/>
      <c r="E858" s="3"/>
      <c r="F858" s="4"/>
    </row>
    <row r="859" spans="2:6" ht="12" customHeight="1" x14ac:dyDescent="0.15">
      <c r="B859" s="2"/>
      <c r="C859" s="3"/>
      <c r="D859" s="3"/>
      <c r="E859" s="3"/>
      <c r="F859" s="4"/>
    </row>
    <row r="860" spans="2:6" ht="12" customHeight="1" x14ac:dyDescent="0.15">
      <c r="B860" s="2"/>
      <c r="C860" s="3"/>
      <c r="D860" s="3"/>
      <c r="E860" s="3"/>
      <c r="F860" s="4"/>
    </row>
    <row r="861" spans="2:6" ht="12" customHeight="1" x14ac:dyDescent="0.15">
      <c r="B861" s="2"/>
      <c r="C861" s="3"/>
      <c r="D861" s="3"/>
      <c r="E861" s="3"/>
      <c r="F861" s="4"/>
    </row>
    <row r="862" spans="2:6" ht="12" customHeight="1" x14ac:dyDescent="0.15">
      <c r="B862" s="2"/>
      <c r="C862" s="3"/>
      <c r="D862" s="3"/>
      <c r="E862" s="3"/>
      <c r="F862" s="4"/>
    </row>
    <row r="863" spans="2:6" ht="12" customHeight="1" x14ac:dyDescent="0.15">
      <c r="B863" s="2"/>
      <c r="C863" s="3"/>
      <c r="D863" s="3"/>
      <c r="E863" s="3"/>
      <c r="F863" s="4"/>
    </row>
    <row r="864" spans="2:6" ht="12" customHeight="1" x14ac:dyDescent="0.15">
      <c r="B864" s="2"/>
      <c r="C864" s="3"/>
      <c r="D864" s="3"/>
      <c r="E864" s="3"/>
      <c r="F864" s="4"/>
    </row>
    <row r="865" spans="2:6" ht="12" customHeight="1" x14ac:dyDescent="0.15">
      <c r="B865" s="2"/>
      <c r="C865" s="3"/>
      <c r="D865" s="3"/>
      <c r="E865" s="3"/>
      <c r="F865" s="4"/>
    </row>
    <row r="866" spans="2:6" ht="12" customHeight="1" x14ac:dyDescent="0.15">
      <c r="B866" s="2"/>
      <c r="C866" s="3"/>
      <c r="D866" s="3"/>
      <c r="E866" s="3"/>
      <c r="F866" s="4"/>
    </row>
    <row r="867" spans="2:6" ht="12" customHeight="1" x14ac:dyDescent="0.15">
      <c r="B867" s="2"/>
      <c r="C867" s="3"/>
      <c r="D867" s="3"/>
      <c r="E867" s="3"/>
      <c r="F867" s="4"/>
    </row>
    <row r="868" spans="2:6" ht="12" customHeight="1" x14ac:dyDescent="0.15">
      <c r="B868" s="2"/>
      <c r="C868" s="3"/>
      <c r="D868" s="3"/>
      <c r="E868" s="3"/>
      <c r="F868" s="4"/>
    </row>
    <row r="869" spans="2:6" ht="12" customHeight="1" x14ac:dyDescent="0.15">
      <c r="B869" s="2"/>
      <c r="C869" s="3"/>
      <c r="D869" s="3"/>
      <c r="E869" s="3"/>
      <c r="F869" s="4"/>
    </row>
    <row r="870" spans="2:6" ht="12" customHeight="1" x14ac:dyDescent="0.15">
      <c r="B870" s="2"/>
      <c r="C870" s="3"/>
      <c r="D870" s="3"/>
      <c r="E870" s="3"/>
      <c r="F870" s="4"/>
    </row>
    <row r="871" spans="2:6" ht="12" customHeight="1" x14ac:dyDescent="0.15">
      <c r="B871" s="2"/>
      <c r="C871" s="3"/>
      <c r="D871" s="3"/>
      <c r="E871" s="3"/>
      <c r="F871" s="4"/>
    </row>
    <row r="872" spans="2:6" ht="12" customHeight="1" x14ac:dyDescent="0.15">
      <c r="B872" s="2"/>
      <c r="C872" s="3"/>
      <c r="D872" s="3"/>
      <c r="E872" s="3"/>
      <c r="F872" s="4"/>
    </row>
    <row r="873" spans="2:6" ht="12" customHeight="1" x14ac:dyDescent="0.15">
      <c r="B873" s="2"/>
      <c r="C873" s="3"/>
      <c r="D873" s="3"/>
      <c r="E873" s="3"/>
      <c r="F873" s="4"/>
    </row>
    <row r="874" spans="2:6" ht="12" customHeight="1" x14ac:dyDescent="0.15">
      <c r="B874" s="2"/>
      <c r="C874" s="3"/>
      <c r="D874" s="3"/>
      <c r="E874" s="3"/>
      <c r="F874" s="4"/>
    </row>
    <row r="875" spans="2:6" ht="12" customHeight="1" x14ac:dyDescent="0.15">
      <c r="B875" s="2"/>
      <c r="C875" s="3"/>
      <c r="D875" s="3"/>
      <c r="E875" s="3"/>
      <c r="F875" s="4"/>
    </row>
    <row r="876" spans="2:6" ht="12" customHeight="1" x14ac:dyDescent="0.15">
      <c r="B876" s="2"/>
      <c r="C876" s="3"/>
      <c r="D876" s="3"/>
      <c r="E876" s="3"/>
      <c r="F876" s="4"/>
    </row>
    <row r="877" spans="2:6" ht="12" customHeight="1" x14ac:dyDescent="0.15">
      <c r="B877" s="2"/>
      <c r="C877" s="3"/>
      <c r="D877" s="3"/>
      <c r="E877" s="3"/>
      <c r="F877" s="4"/>
    </row>
    <row r="878" spans="2:6" ht="12" customHeight="1" x14ac:dyDescent="0.15">
      <c r="B878" s="2"/>
      <c r="C878" s="3"/>
      <c r="D878" s="3"/>
      <c r="E878" s="3"/>
      <c r="F878" s="4"/>
    </row>
    <row r="879" spans="2:6" ht="12" customHeight="1" x14ac:dyDescent="0.15">
      <c r="B879" s="2"/>
      <c r="C879" s="3"/>
      <c r="D879" s="3"/>
      <c r="E879" s="3"/>
      <c r="F879" s="4"/>
    </row>
    <row r="880" spans="2:6" ht="12" customHeight="1" x14ac:dyDescent="0.15">
      <c r="B880" s="2"/>
      <c r="C880" s="3"/>
      <c r="D880" s="3"/>
      <c r="E880" s="3"/>
      <c r="F880" s="4"/>
    </row>
    <row r="881" spans="2:6" ht="12" customHeight="1" x14ac:dyDescent="0.15">
      <c r="B881" s="2"/>
      <c r="C881" s="3"/>
      <c r="D881" s="3"/>
      <c r="E881" s="3"/>
      <c r="F881" s="4"/>
    </row>
    <row r="882" spans="2:6" ht="12" customHeight="1" x14ac:dyDescent="0.15">
      <c r="B882" s="2"/>
      <c r="C882" s="3"/>
      <c r="D882" s="3"/>
      <c r="E882" s="3"/>
      <c r="F882" s="4"/>
    </row>
    <row r="883" spans="2:6" ht="12" customHeight="1" x14ac:dyDescent="0.15">
      <c r="B883" s="2"/>
      <c r="C883" s="3"/>
      <c r="D883" s="3"/>
      <c r="E883" s="3"/>
      <c r="F883" s="4"/>
    </row>
    <row r="884" spans="2:6" ht="12" customHeight="1" x14ac:dyDescent="0.15">
      <c r="B884" s="2"/>
      <c r="C884" s="3"/>
      <c r="D884" s="3"/>
      <c r="E884" s="3"/>
      <c r="F884" s="4"/>
    </row>
    <row r="885" spans="2:6" ht="12" customHeight="1" x14ac:dyDescent="0.15">
      <c r="B885" s="2"/>
      <c r="C885" s="3"/>
      <c r="D885" s="3"/>
      <c r="E885" s="3"/>
      <c r="F885" s="4"/>
    </row>
    <row r="886" spans="2:6" ht="12" customHeight="1" x14ac:dyDescent="0.15">
      <c r="B886" s="2"/>
      <c r="C886" s="3"/>
      <c r="D886" s="3"/>
      <c r="E886" s="3"/>
      <c r="F886" s="4"/>
    </row>
    <row r="887" spans="2:6" ht="12" customHeight="1" x14ac:dyDescent="0.15">
      <c r="B887" s="2"/>
      <c r="C887" s="3"/>
      <c r="D887" s="3"/>
      <c r="E887" s="3"/>
      <c r="F887" s="4"/>
    </row>
    <row r="888" spans="2:6" ht="12" customHeight="1" x14ac:dyDescent="0.15">
      <c r="B888" s="2"/>
      <c r="C888" s="3"/>
      <c r="D888" s="3"/>
      <c r="E888" s="3"/>
      <c r="F888" s="4"/>
    </row>
    <row r="889" spans="2:6" ht="12" customHeight="1" x14ac:dyDescent="0.15">
      <c r="B889" s="2"/>
      <c r="C889" s="3"/>
      <c r="D889" s="3"/>
      <c r="E889" s="3"/>
      <c r="F889" s="4"/>
    </row>
    <row r="890" spans="2:6" ht="12" customHeight="1" x14ac:dyDescent="0.15">
      <c r="B890" s="2"/>
      <c r="C890" s="3"/>
      <c r="D890" s="3"/>
      <c r="E890" s="3"/>
      <c r="F890" s="4"/>
    </row>
    <row r="891" spans="2:6" ht="12" customHeight="1" x14ac:dyDescent="0.15">
      <c r="B891" s="2"/>
      <c r="C891" s="3"/>
      <c r="D891" s="3"/>
      <c r="E891" s="3"/>
      <c r="F891" s="4"/>
    </row>
    <row r="892" spans="2:6" ht="12" customHeight="1" x14ac:dyDescent="0.15">
      <c r="B892" s="2"/>
      <c r="C892" s="3"/>
      <c r="D892" s="3"/>
      <c r="E892" s="3"/>
      <c r="F892" s="4"/>
    </row>
    <row r="893" spans="2:6" ht="12" customHeight="1" x14ac:dyDescent="0.15">
      <c r="B893" s="2"/>
      <c r="C893" s="3"/>
      <c r="D893" s="3"/>
      <c r="E893" s="3"/>
      <c r="F893" s="4"/>
    </row>
    <row r="894" spans="2:6" ht="12" customHeight="1" x14ac:dyDescent="0.15">
      <c r="B894" s="2"/>
      <c r="C894" s="3"/>
      <c r="D894" s="3"/>
      <c r="E894" s="3"/>
      <c r="F894" s="4"/>
    </row>
    <row r="895" spans="2:6" ht="12" customHeight="1" x14ac:dyDescent="0.15">
      <c r="B895" s="2"/>
      <c r="C895" s="3"/>
      <c r="D895" s="3"/>
      <c r="E895" s="3"/>
      <c r="F895" s="4"/>
    </row>
    <row r="896" spans="2:6" ht="12" customHeight="1" x14ac:dyDescent="0.15">
      <c r="B896" s="2"/>
      <c r="C896" s="3"/>
      <c r="D896" s="3"/>
      <c r="E896" s="3"/>
      <c r="F896" s="4"/>
    </row>
    <row r="897" spans="2:6" ht="12" customHeight="1" x14ac:dyDescent="0.15">
      <c r="B897" s="2"/>
      <c r="C897" s="3"/>
      <c r="D897" s="3"/>
      <c r="E897" s="3"/>
      <c r="F897" s="4"/>
    </row>
    <row r="898" spans="2:6" ht="12" customHeight="1" x14ac:dyDescent="0.15">
      <c r="B898" s="2"/>
      <c r="C898" s="3"/>
      <c r="D898" s="3"/>
      <c r="E898" s="3"/>
      <c r="F898" s="4"/>
    </row>
    <row r="899" spans="2:6" ht="12" customHeight="1" x14ac:dyDescent="0.15">
      <c r="B899" s="2"/>
      <c r="C899" s="3"/>
      <c r="D899" s="3"/>
      <c r="E899" s="3"/>
      <c r="F899" s="4"/>
    </row>
    <row r="900" spans="2:6" ht="12" customHeight="1" x14ac:dyDescent="0.15">
      <c r="B900" s="2"/>
      <c r="C900" s="3"/>
      <c r="D900" s="3"/>
      <c r="E900" s="3"/>
      <c r="F900" s="4"/>
    </row>
    <row r="901" spans="2:6" ht="12" customHeight="1" x14ac:dyDescent="0.15">
      <c r="B901" s="2"/>
      <c r="C901" s="3"/>
      <c r="D901" s="3"/>
      <c r="E901" s="3"/>
      <c r="F901" s="4"/>
    </row>
    <row r="902" spans="2:6" ht="12" customHeight="1" x14ac:dyDescent="0.15">
      <c r="B902" s="2"/>
      <c r="C902" s="3"/>
      <c r="D902" s="3"/>
      <c r="E902" s="3"/>
      <c r="F902" s="4"/>
    </row>
    <row r="903" spans="2:6" ht="12" customHeight="1" x14ac:dyDescent="0.15">
      <c r="B903" s="2"/>
      <c r="C903" s="3"/>
      <c r="D903" s="3"/>
      <c r="E903" s="3"/>
      <c r="F903" s="4"/>
    </row>
    <row r="904" spans="2:6" ht="12" customHeight="1" x14ac:dyDescent="0.15">
      <c r="B904" s="2"/>
      <c r="C904" s="3"/>
      <c r="D904" s="3"/>
      <c r="E904" s="3"/>
      <c r="F904" s="4"/>
    </row>
    <row r="905" spans="2:6" ht="12" customHeight="1" x14ac:dyDescent="0.15">
      <c r="B905" s="2"/>
      <c r="C905" s="3"/>
      <c r="D905" s="3"/>
      <c r="E905" s="3"/>
      <c r="F905" s="4"/>
    </row>
    <row r="906" spans="2:6" ht="12" customHeight="1" x14ac:dyDescent="0.15">
      <c r="B906" s="2"/>
      <c r="C906" s="3"/>
      <c r="D906" s="3"/>
      <c r="E906" s="3"/>
      <c r="F906" s="4"/>
    </row>
    <row r="907" spans="2:6" ht="12" customHeight="1" x14ac:dyDescent="0.15">
      <c r="B907" s="2"/>
      <c r="C907" s="3"/>
      <c r="D907" s="3"/>
      <c r="E907" s="3"/>
      <c r="F907" s="4"/>
    </row>
    <row r="908" spans="2:6" ht="12" customHeight="1" x14ac:dyDescent="0.15">
      <c r="B908" s="2"/>
      <c r="C908" s="3"/>
      <c r="D908" s="3"/>
      <c r="E908" s="3"/>
      <c r="F908" s="4"/>
    </row>
    <row r="909" spans="2:6" ht="12" customHeight="1" x14ac:dyDescent="0.15">
      <c r="B909" s="2"/>
      <c r="C909" s="3"/>
      <c r="D909" s="3"/>
      <c r="E909" s="3"/>
      <c r="F909" s="4"/>
    </row>
    <row r="910" spans="2:6" ht="12" customHeight="1" x14ac:dyDescent="0.15">
      <c r="B910" s="2"/>
      <c r="C910" s="3"/>
      <c r="D910" s="3"/>
      <c r="E910" s="3"/>
      <c r="F910" s="4"/>
    </row>
    <row r="911" spans="2:6" ht="12" customHeight="1" x14ac:dyDescent="0.15">
      <c r="B911" s="2"/>
      <c r="C911" s="3"/>
      <c r="D911" s="3"/>
      <c r="E911" s="3"/>
      <c r="F911" s="4"/>
    </row>
    <row r="912" spans="2:6" ht="12" customHeight="1" x14ac:dyDescent="0.15">
      <c r="B912" s="2"/>
      <c r="C912" s="3"/>
      <c r="D912" s="3"/>
      <c r="E912" s="3"/>
      <c r="F912" s="4"/>
    </row>
    <row r="913" spans="2:6" ht="12" customHeight="1" x14ac:dyDescent="0.15">
      <c r="B913" s="2"/>
      <c r="C913" s="3"/>
      <c r="D913" s="3"/>
      <c r="E913" s="3"/>
      <c r="F913" s="4"/>
    </row>
    <row r="914" spans="2:6" ht="12" customHeight="1" x14ac:dyDescent="0.15">
      <c r="B914" s="2"/>
      <c r="C914" s="3"/>
      <c r="D914" s="3"/>
      <c r="E914" s="3"/>
      <c r="F914" s="4"/>
    </row>
    <row r="915" spans="2:6" ht="12" customHeight="1" x14ac:dyDescent="0.15">
      <c r="B915" s="2"/>
      <c r="C915" s="3"/>
      <c r="D915" s="3"/>
      <c r="E915" s="3"/>
      <c r="F915" s="4"/>
    </row>
    <row r="916" spans="2:6" ht="12" customHeight="1" x14ac:dyDescent="0.15">
      <c r="B916" s="2"/>
      <c r="C916" s="3"/>
      <c r="D916" s="3"/>
      <c r="E916" s="3"/>
      <c r="F916" s="4"/>
    </row>
    <row r="917" spans="2:6" ht="12" customHeight="1" x14ac:dyDescent="0.15">
      <c r="B917" s="2"/>
      <c r="C917" s="3"/>
      <c r="D917" s="3"/>
      <c r="E917" s="3"/>
      <c r="F917" s="4"/>
    </row>
    <row r="918" spans="2:6" ht="12" customHeight="1" x14ac:dyDescent="0.15">
      <c r="B918" s="2"/>
      <c r="C918" s="3"/>
      <c r="D918" s="3"/>
      <c r="E918" s="3"/>
      <c r="F918" s="4"/>
    </row>
    <row r="919" spans="2:6" ht="12" customHeight="1" x14ac:dyDescent="0.15">
      <c r="B919" s="2"/>
      <c r="C919" s="3"/>
      <c r="D919" s="3"/>
      <c r="E919" s="3"/>
      <c r="F919" s="4"/>
    </row>
    <row r="920" spans="2:6" ht="12" customHeight="1" x14ac:dyDescent="0.15">
      <c r="B920" s="2"/>
      <c r="C920" s="3"/>
      <c r="D920" s="3"/>
      <c r="E920" s="3"/>
      <c r="F920" s="4"/>
    </row>
    <row r="921" spans="2:6" ht="12" customHeight="1" x14ac:dyDescent="0.15">
      <c r="B921" s="2"/>
      <c r="C921" s="3"/>
      <c r="D921" s="3"/>
      <c r="E921" s="3"/>
      <c r="F921" s="4"/>
    </row>
    <row r="922" spans="2:6" ht="12" customHeight="1" x14ac:dyDescent="0.15">
      <c r="B922" s="2"/>
      <c r="C922" s="3"/>
      <c r="D922" s="3"/>
      <c r="E922" s="3"/>
      <c r="F922" s="4"/>
    </row>
    <row r="923" spans="2:6" ht="12" customHeight="1" x14ac:dyDescent="0.15">
      <c r="B923" s="2"/>
      <c r="C923" s="3"/>
      <c r="D923" s="3"/>
      <c r="E923" s="3"/>
      <c r="F923" s="4"/>
    </row>
    <row r="924" spans="2:6" ht="12" customHeight="1" x14ac:dyDescent="0.15">
      <c r="B924" s="2"/>
      <c r="C924" s="3"/>
      <c r="D924" s="3"/>
      <c r="E924" s="3"/>
      <c r="F924" s="4"/>
    </row>
    <row r="925" spans="2:6" ht="12" customHeight="1" x14ac:dyDescent="0.15">
      <c r="B925" s="2"/>
      <c r="C925" s="3"/>
      <c r="D925" s="3"/>
      <c r="E925" s="3"/>
      <c r="F925" s="4"/>
    </row>
    <row r="926" spans="2:6" ht="12" customHeight="1" x14ac:dyDescent="0.15">
      <c r="B926" s="2"/>
      <c r="C926" s="3"/>
      <c r="D926" s="3"/>
      <c r="E926" s="3"/>
      <c r="F926" s="4"/>
    </row>
    <row r="927" spans="2:6" ht="12" customHeight="1" x14ac:dyDescent="0.15">
      <c r="B927" s="2"/>
      <c r="C927" s="3"/>
      <c r="D927" s="3"/>
      <c r="E927" s="3"/>
      <c r="F927" s="4"/>
    </row>
    <row r="928" spans="2:6" ht="12" customHeight="1" x14ac:dyDescent="0.15">
      <c r="B928" s="2"/>
      <c r="C928" s="3"/>
      <c r="D928" s="3"/>
      <c r="E928" s="3"/>
      <c r="F928" s="4"/>
    </row>
    <row r="929" spans="2:6" ht="12" customHeight="1" x14ac:dyDescent="0.15">
      <c r="B929" s="2"/>
      <c r="C929" s="3"/>
      <c r="D929" s="3"/>
      <c r="E929" s="3"/>
      <c r="F929" s="4"/>
    </row>
    <row r="930" spans="2:6" ht="12" customHeight="1" x14ac:dyDescent="0.15">
      <c r="B930" s="2"/>
      <c r="C930" s="3"/>
      <c r="D930" s="3"/>
      <c r="E930" s="3"/>
      <c r="F930" s="4"/>
    </row>
    <row r="931" spans="2:6" ht="12" customHeight="1" x14ac:dyDescent="0.15">
      <c r="B931" s="2"/>
      <c r="C931" s="3"/>
      <c r="D931" s="3"/>
      <c r="E931" s="3"/>
      <c r="F931" s="4"/>
    </row>
    <row r="932" spans="2:6" ht="12" customHeight="1" x14ac:dyDescent="0.15">
      <c r="B932" s="2"/>
      <c r="C932" s="3"/>
      <c r="D932" s="3"/>
      <c r="E932" s="3"/>
      <c r="F932" s="4"/>
    </row>
    <row r="933" spans="2:6" ht="12" customHeight="1" x14ac:dyDescent="0.15">
      <c r="B933" s="2"/>
      <c r="C933" s="3"/>
      <c r="D933" s="3"/>
      <c r="E933" s="3"/>
      <c r="F933" s="4"/>
    </row>
    <row r="934" spans="2:6" ht="12" customHeight="1" x14ac:dyDescent="0.15">
      <c r="B934" s="2"/>
      <c r="C934" s="3"/>
      <c r="D934" s="3"/>
      <c r="E934" s="3"/>
      <c r="F934" s="4"/>
    </row>
    <row r="935" spans="2:6" ht="12" customHeight="1" x14ac:dyDescent="0.15">
      <c r="B935" s="2"/>
      <c r="C935" s="3"/>
      <c r="D935" s="3"/>
      <c r="E935" s="3"/>
      <c r="F935" s="4"/>
    </row>
    <row r="936" spans="2:6" ht="12" customHeight="1" x14ac:dyDescent="0.15">
      <c r="B936" s="2"/>
      <c r="C936" s="3"/>
      <c r="D936" s="3"/>
      <c r="E936" s="3"/>
      <c r="F936" s="4"/>
    </row>
    <row r="937" spans="2:6" ht="12" customHeight="1" x14ac:dyDescent="0.15">
      <c r="B937" s="2"/>
      <c r="C937" s="3"/>
      <c r="D937" s="3"/>
      <c r="E937" s="3"/>
      <c r="F937" s="4"/>
    </row>
    <row r="938" spans="2:6" ht="12" customHeight="1" x14ac:dyDescent="0.15">
      <c r="B938" s="2"/>
      <c r="C938" s="3"/>
      <c r="D938" s="3"/>
      <c r="E938" s="3"/>
      <c r="F938" s="4"/>
    </row>
    <row r="939" spans="2:6" ht="12" customHeight="1" x14ac:dyDescent="0.15">
      <c r="B939" s="2"/>
      <c r="C939" s="3"/>
      <c r="D939" s="3"/>
      <c r="E939" s="3"/>
      <c r="F939" s="4"/>
    </row>
    <row r="940" spans="2:6" ht="12" customHeight="1" x14ac:dyDescent="0.15">
      <c r="B940" s="2"/>
      <c r="C940" s="3"/>
      <c r="D940" s="3"/>
      <c r="E940" s="3"/>
      <c r="F940" s="4"/>
    </row>
    <row r="941" spans="2:6" ht="12" customHeight="1" x14ac:dyDescent="0.15">
      <c r="B941" s="2"/>
      <c r="C941" s="3"/>
      <c r="D941" s="3"/>
      <c r="E941" s="3"/>
      <c r="F941" s="4"/>
    </row>
    <row r="942" spans="2:6" ht="12" customHeight="1" x14ac:dyDescent="0.15">
      <c r="B942" s="2"/>
      <c r="C942" s="3"/>
      <c r="D942" s="3"/>
      <c r="E942" s="3"/>
      <c r="F942" s="4"/>
    </row>
    <row r="943" spans="2:6" ht="12" customHeight="1" x14ac:dyDescent="0.15">
      <c r="B943" s="2"/>
      <c r="C943" s="3"/>
      <c r="D943" s="3"/>
      <c r="E943" s="3"/>
      <c r="F943" s="4"/>
    </row>
    <row r="944" spans="2:6" ht="12" customHeight="1" x14ac:dyDescent="0.15">
      <c r="B944" s="2"/>
      <c r="C944" s="3"/>
      <c r="D944" s="3"/>
      <c r="E944" s="3"/>
      <c r="F944" s="4"/>
    </row>
    <row r="945" spans="2:6" ht="12" customHeight="1" x14ac:dyDescent="0.15">
      <c r="B945" s="2"/>
      <c r="C945" s="3"/>
      <c r="D945" s="3"/>
      <c r="E945" s="3"/>
      <c r="F945" s="4"/>
    </row>
    <row r="946" spans="2:6" ht="12" customHeight="1" x14ac:dyDescent="0.15">
      <c r="B946" s="2"/>
      <c r="C946" s="3"/>
      <c r="D946" s="3"/>
      <c r="E946" s="3"/>
      <c r="F946" s="4"/>
    </row>
    <row r="947" spans="2:6" ht="12" customHeight="1" x14ac:dyDescent="0.15">
      <c r="B947" s="2"/>
      <c r="C947" s="3"/>
      <c r="D947" s="3"/>
      <c r="E947" s="3"/>
      <c r="F947" s="4"/>
    </row>
    <row r="948" spans="2:6" ht="12" customHeight="1" x14ac:dyDescent="0.15">
      <c r="B948" s="2"/>
      <c r="C948" s="3"/>
      <c r="D948" s="3"/>
      <c r="E948" s="3"/>
      <c r="F948" s="4"/>
    </row>
    <row r="949" spans="2:6" ht="12" customHeight="1" x14ac:dyDescent="0.15">
      <c r="B949" s="2"/>
      <c r="C949" s="3"/>
      <c r="D949" s="3"/>
      <c r="E949" s="3"/>
      <c r="F949" s="4"/>
    </row>
    <row r="950" spans="2:6" ht="12" customHeight="1" x14ac:dyDescent="0.15">
      <c r="B950" s="2"/>
      <c r="C950" s="3"/>
      <c r="D950" s="3"/>
      <c r="E950" s="3"/>
      <c r="F950" s="4"/>
    </row>
    <row r="951" spans="2:6" ht="12" customHeight="1" x14ac:dyDescent="0.15">
      <c r="B951" s="2"/>
      <c r="C951" s="3"/>
      <c r="D951" s="3"/>
      <c r="E951" s="3"/>
      <c r="F951" s="4"/>
    </row>
    <row r="952" spans="2:6" ht="12" customHeight="1" x14ac:dyDescent="0.15">
      <c r="B952" s="2"/>
      <c r="C952" s="3"/>
      <c r="D952" s="3"/>
      <c r="E952" s="3"/>
      <c r="F952" s="4"/>
    </row>
    <row r="953" spans="2:6" ht="12" customHeight="1" x14ac:dyDescent="0.15">
      <c r="B953" s="2"/>
      <c r="C953" s="3"/>
      <c r="D953" s="3"/>
      <c r="E953" s="3"/>
      <c r="F953" s="4"/>
    </row>
    <row r="954" spans="2:6" ht="12" customHeight="1" x14ac:dyDescent="0.15">
      <c r="B954" s="2"/>
      <c r="C954" s="3"/>
      <c r="D954" s="3"/>
      <c r="E954" s="3"/>
      <c r="F954" s="4"/>
    </row>
    <row r="955" spans="2:6" ht="12" customHeight="1" x14ac:dyDescent="0.15">
      <c r="B955" s="2"/>
      <c r="C955" s="3"/>
      <c r="D955" s="3"/>
      <c r="E955" s="3"/>
      <c r="F955" s="4"/>
    </row>
    <row r="956" spans="2:6" ht="12" customHeight="1" x14ac:dyDescent="0.15">
      <c r="B956" s="2"/>
      <c r="C956" s="3"/>
      <c r="D956" s="3"/>
      <c r="E956" s="3"/>
      <c r="F956" s="4"/>
    </row>
    <row r="957" spans="2:6" ht="12" customHeight="1" x14ac:dyDescent="0.15">
      <c r="B957" s="2"/>
      <c r="C957" s="3"/>
      <c r="D957" s="3"/>
      <c r="E957" s="3"/>
      <c r="F957" s="4"/>
    </row>
    <row r="958" spans="2:6" ht="12" customHeight="1" x14ac:dyDescent="0.15">
      <c r="B958" s="2"/>
      <c r="C958" s="3"/>
      <c r="D958" s="3"/>
      <c r="E958" s="3"/>
      <c r="F958" s="4"/>
    </row>
    <row r="959" spans="2:6" ht="12" customHeight="1" x14ac:dyDescent="0.15">
      <c r="B959" s="2"/>
      <c r="C959" s="3"/>
      <c r="D959" s="3"/>
      <c r="E959" s="3"/>
      <c r="F959" s="4"/>
    </row>
    <row r="960" spans="2:6" ht="12" customHeight="1" x14ac:dyDescent="0.15">
      <c r="B960" s="2"/>
      <c r="C960" s="3"/>
      <c r="D960" s="3"/>
      <c r="E960" s="3"/>
      <c r="F960" s="4"/>
    </row>
    <row r="961" spans="2:6" ht="12" customHeight="1" x14ac:dyDescent="0.15">
      <c r="B961" s="2"/>
      <c r="C961" s="3"/>
      <c r="D961" s="3"/>
      <c r="E961" s="3"/>
      <c r="F961" s="4"/>
    </row>
    <row r="962" spans="2:6" ht="12" customHeight="1" x14ac:dyDescent="0.15">
      <c r="B962" s="2"/>
      <c r="C962" s="3"/>
      <c r="D962" s="3"/>
      <c r="E962" s="3"/>
      <c r="F962" s="4"/>
    </row>
    <row r="963" spans="2:6" ht="12" customHeight="1" x14ac:dyDescent="0.15">
      <c r="B963" s="2"/>
      <c r="C963" s="3"/>
      <c r="D963" s="3"/>
      <c r="E963" s="3"/>
      <c r="F963" s="4"/>
    </row>
    <row r="964" spans="2:6" ht="12" customHeight="1" x14ac:dyDescent="0.15">
      <c r="B964" s="2"/>
      <c r="C964" s="3"/>
      <c r="D964" s="3"/>
      <c r="E964" s="3"/>
      <c r="F964" s="4"/>
    </row>
    <row r="965" spans="2:6" ht="12" customHeight="1" x14ac:dyDescent="0.15">
      <c r="B965" s="2"/>
      <c r="C965" s="3"/>
      <c r="D965" s="3"/>
      <c r="E965" s="3"/>
      <c r="F965" s="4"/>
    </row>
    <row r="966" spans="2:6" ht="12" customHeight="1" x14ac:dyDescent="0.15">
      <c r="B966" s="2"/>
      <c r="C966" s="3"/>
      <c r="D966" s="3"/>
      <c r="E966" s="3"/>
      <c r="F966" s="4"/>
    </row>
    <row r="967" spans="2:6" ht="12" customHeight="1" x14ac:dyDescent="0.15">
      <c r="B967" s="2"/>
      <c r="C967" s="3"/>
      <c r="D967" s="3"/>
      <c r="E967" s="3"/>
      <c r="F967" s="4"/>
    </row>
    <row r="968" spans="2:6" ht="12" customHeight="1" x14ac:dyDescent="0.15">
      <c r="B968" s="2"/>
      <c r="C968" s="3"/>
      <c r="D968" s="3"/>
      <c r="E968" s="3"/>
      <c r="F968" s="4"/>
    </row>
    <row r="969" spans="2:6" ht="12" customHeight="1" x14ac:dyDescent="0.15">
      <c r="B969" s="2"/>
      <c r="C969" s="3"/>
      <c r="D969" s="3"/>
      <c r="E969" s="3"/>
      <c r="F969" s="4"/>
    </row>
    <row r="970" spans="2:6" ht="12" customHeight="1" x14ac:dyDescent="0.15">
      <c r="B970" s="2"/>
      <c r="C970" s="3"/>
      <c r="D970" s="3"/>
      <c r="E970" s="3"/>
      <c r="F970" s="4"/>
    </row>
    <row r="971" spans="2:6" ht="12" customHeight="1" x14ac:dyDescent="0.15">
      <c r="B971" s="2"/>
      <c r="C971" s="3"/>
      <c r="D971" s="3"/>
      <c r="E971" s="3"/>
      <c r="F971" s="4"/>
    </row>
    <row r="972" spans="2:6" ht="12" customHeight="1" x14ac:dyDescent="0.15">
      <c r="B972" s="2"/>
      <c r="C972" s="3"/>
      <c r="D972" s="3"/>
      <c r="E972" s="3"/>
      <c r="F972" s="4"/>
    </row>
    <row r="973" spans="2:6" ht="12" customHeight="1" x14ac:dyDescent="0.15">
      <c r="B973" s="2"/>
      <c r="C973" s="3"/>
      <c r="D973" s="3"/>
      <c r="E973" s="3"/>
      <c r="F973" s="4"/>
    </row>
    <row r="974" spans="2:6" ht="12" customHeight="1" x14ac:dyDescent="0.15">
      <c r="B974" s="2"/>
      <c r="C974" s="3"/>
      <c r="D974" s="3"/>
      <c r="E974" s="3"/>
      <c r="F974" s="4"/>
    </row>
    <row r="975" spans="2:6" ht="12" customHeight="1" x14ac:dyDescent="0.15">
      <c r="B975" s="2"/>
      <c r="C975" s="3"/>
      <c r="D975" s="3"/>
      <c r="E975" s="3"/>
      <c r="F975" s="4"/>
    </row>
    <row r="976" spans="2:6" ht="12" customHeight="1" x14ac:dyDescent="0.15">
      <c r="B976" s="2"/>
      <c r="C976" s="3"/>
      <c r="D976" s="3"/>
      <c r="E976" s="3"/>
      <c r="F976" s="4"/>
    </row>
    <row r="977" spans="2:6" ht="12" customHeight="1" x14ac:dyDescent="0.15">
      <c r="B977" s="2"/>
      <c r="C977" s="3"/>
      <c r="D977" s="3"/>
      <c r="E977" s="3"/>
      <c r="F977" s="4"/>
    </row>
    <row r="978" spans="2:6" ht="12" customHeight="1" x14ac:dyDescent="0.15">
      <c r="B978" s="2"/>
      <c r="C978" s="3"/>
      <c r="D978" s="3"/>
      <c r="E978" s="3"/>
      <c r="F978" s="4"/>
    </row>
    <row r="979" spans="2:6" ht="12" customHeight="1" x14ac:dyDescent="0.15">
      <c r="B979" s="2"/>
      <c r="C979" s="3"/>
      <c r="D979" s="3"/>
      <c r="E979" s="3"/>
      <c r="F979" s="4"/>
    </row>
    <row r="980" spans="2:6" ht="12" customHeight="1" x14ac:dyDescent="0.15">
      <c r="B980" s="2"/>
      <c r="C980" s="3"/>
      <c r="D980" s="3"/>
      <c r="E980" s="3"/>
      <c r="F980" s="4"/>
    </row>
    <row r="981" spans="2:6" ht="12" customHeight="1" x14ac:dyDescent="0.15">
      <c r="B981" s="2"/>
      <c r="C981" s="3"/>
      <c r="D981" s="3"/>
      <c r="E981" s="3"/>
      <c r="F981" s="4"/>
    </row>
    <row r="982" spans="2:6" ht="12" customHeight="1" x14ac:dyDescent="0.15">
      <c r="B982" s="2"/>
      <c r="C982" s="3"/>
      <c r="D982" s="3"/>
      <c r="E982" s="3"/>
      <c r="F982" s="4"/>
    </row>
    <row r="983" spans="2:6" ht="12" customHeight="1" x14ac:dyDescent="0.15">
      <c r="B983" s="2"/>
      <c r="C983" s="3"/>
      <c r="D983" s="3"/>
      <c r="E983" s="3"/>
      <c r="F983" s="4"/>
    </row>
    <row r="984" spans="2:6" ht="12" customHeight="1" x14ac:dyDescent="0.15">
      <c r="B984" s="2"/>
      <c r="C984" s="3"/>
      <c r="D984" s="3"/>
      <c r="E984" s="3"/>
      <c r="F984" s="4"/>
    </row>
    <row r="985" spans="2:6" ht="12" customHeight="1" x14ac:dyDescent="0.15">
      <c r="B985" s="2"/>
      <c r="C985" s="3"/>
      <c r="D985" s="3"/>
      <c r="E985" s="3"/>
      <c r="F985" s="4"/>
    </row>
    <row r="986" spans="2:6" ht="12" customHeight="1" x14ac:dyDescent="0.15">
      <c r="B986" s="2"/>
      <c r="C986" s="3"/>
      <c r="D986" s="3"/>
      <c r="E986" s="3"/>
      <c r="F986" s="4"/>
    </row>
    <row r="987" spans="2:6" ht="12" customHeight="1" x14ac:dyDescent="0.15">
      <c r="B987" s="2"/>
      <c r="C987" s="3"/>
      <c r="D987" s="3"/>
      <c r="E987" s="3"/>
      <c r="F987" s="4"/>
    </row>
    <row r="988" spans="2:6" ht="12" customHeight="1" x14ac:dyDescent="0.15">
      <c r="B988" s="2"/>
      <c r="C988" s="3"/>
      <c r="D988" s="3"/>
      <c r="E988" s="3"/>
      <c r="F988" s="4"/>
    </row>
    <row r="989" spans="2:6" ht="12" customHeight="1" x14ac:dyDescent="0.15">
      <c r="B989" s="2"/>
      <c r="C989" s="3"/>
      <c r="D989" s="3"/>
      <c r="E989" s="3"/>
      <c r="F989" s="4"/>
    </row>
    <row r="990" spans="2:6" ht="12" customHeight="1" x14ac:dyDescent="0.15">
      <c r="B990" s="2"/>
      <c r="C990" s="3"/>
      <c r="D990" s="3"/>
      <c r="E990" s="3"/>
      <c r="F990" s="4"/>
    </row>
    <row r="991" spans="2:6" ht="12" customHeight="1" x14ac:dyDescent="0.15">
      <c r="B991" s="2"/>
      <c r="C991" s="3"/>
      <c r="D991" s="3"/>
      <c r="E991" s="3"/>
      <c r="F991" s="4"/>
    </row>
    <row r="992" spans="2:6" ht="12" customHeight="1" x14ac:dyDescent="0.15">
      <c r="B992" s="2"/>
      <c r="C992" s="3"/>
      <c r="D992" s="3"/>
      <c r="E992" s="3"/>
      <c r="F992" s="4"/>
    </row>
    <row r="993" spans="2:6" ht="12" customHeight="1" x14ac:dyDescent="0.15">
      <c r="B993" s="2"/>
      <c r="C993" s="3"/>
      <c r="D993" s="3"/>
      <c r="E993" s="3"/>
      <c r="F993" s="4"/>
    </row>
    <row r="994" spans="2:6" ht="12" customHeight="1" x14ac:dyDescent="0.15">
      <c r="B994" s="2"/>
      <c r="C994" s="3"/>
      <c r="D994" s="3"/>
      <c r="E994" s="3"/>
      <c r="F994" s="4"/>
    </row>
    <row r="995" spans="2:6" ht="12" customHeight="1" x14ac:dyDescent="0.15">
      <c r="B995" s="2"/>
      <c r="C995" s="3"/>
      <c r="D995" s="3"/>
      <c r="E995" s="3"/>
      <c r="F995" s="4"/>
    </row>
    <row r="996" spans="2:6" ht="12" customHeight="1" x14ac:dyDescent="0.15">
      <c r="B996" s="2"/>
      <c r="C996" s="3"/>
      <c r="D996" s="3"/>
      <c r="E996" s="3"/>
      <c r="F996" s="4"/>
    </row>
    <row r="997" spans="2:6" ht="12" customHeight="1" x14ac:dyDescent="0.15">
      <c r="B997" s="2"/>
      <c r="C997" s="3"/>
      <c r="D997" s="3"/>
      <c r="E997" s="3"/>
      <c r="F997" s="4"/>
    </row>
    <row r="998" spans="2:6" ht="12" customHeight="1" x14ac:dyDescent="0.15">
      <c r="B998" s="2"/>
      <c r="C998" s="3"/>
      <c r="D998" s="3"/>
      <c r="E998" s="3"/>
      <c r="F998" s="4"/>
    </row>
    <row r="999" spans="2:6" ht="12" customHeight="1" x14ac:dyDescent="0.15">
      <c r="B999" s="2"/>
      <c r="C999" s="3"/>
      <c r="D999" s="3"/>
      <c r="E999" s="3"/>
      <c r="F999" s="4"/>
    </row>
    <row r="1000" spans="2:6" ht="12" customHeight="1" x14ac:dyDescent="0.15">
      <c r="B1000" s="2"/>
      <c r="C1000" s="3"/>
      <c r="D1000" s="3"/>
      <c r="E1000" s="3"/>
      <c r="F1000" s="4"/>
    </row>
    <row r="1001" spans="2:6" ht="12" customHeight="1" x14ac:dyDescent="0.15">
      <c r="B1001" s="2"/>
      <c r="C1001" s="3"/>
      <c r="D1001" s="3"/>
      <c r="E1001" s="3"/>
      <c r="F1001" s="4"/>
    </row>
    <row r="1002" spans="2:6" ht="12" customHeight="1" x14ac:dyDescent="0.15">
      <c r="B1002" s="2"/>
      <c r="C1002" s="3"/>
      <c r="D1002" s="3"/>
      <c r="E1002" s="3"/>
      <c r="F1002" s="4"/>
    </row>
    <row r="1003" spans="2:6" ht="12" customHeight="1" x14ac:dyDescent="0.15">
      <c r="B1003" s="2"/>
      <c r="C1003" s="3"/>
      <c r="D1003" s="3"/>
      <c r="E1003" s="3"/>
      <c r="F1003" s="4"/>
    </row>
    <row r="1004" spans="2:6" ht="12" customHeight="1" x14ac:dyDescent="0.15">
      <c r="B1004" s="2"/>
      <c r="C1004" s="3"/>
      <c r="D1004" s="3"/>
      <c r="E1004" s="3"/>
      <c r="F1004" s="4"/>
    </row>
    <row r="1005" spans="2:6" ht="12" customHeight="1" x14ac:dyDescent="0.15">
      <c r="B1005" s="2"/>
      <c r="C1005" s="3"/>
      <c r="D1005" s="3"/>
      <c r="E1005" s="3"/>
      <c r="F1005" s="4"/>
    </row>
  </sheetData>
  <mergeCells count="2">
    <mergeCell ref="A1:F1"/>
    <mergeCell ref="D6:E6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N1000"/>
  <sheetViews>
    <sheetView workbookViewId="0"/>
  </sheetViews>
  <sheetFormatPr baseColWidth="10" defaultColWidth="12.6640625" defaultRowHeight="15" customHeight="1" x14ac:dyDescent="0.15"/>
  <cols>
    <col min="1" max="1" width="5.33203125" customWidth="1"/>
    <col min="2" max="2" width="36.83203125" customWidth="1"/>
    <col min="3" max="3" width="12.5" customWidth="1"/>
    <col min="4" max="4" width="14.6640625" customWidth="1"/>
    <col min="5" max="7" width="11.5" customWidth="1"/>
    <col min="8" max="10" width="12.1640625" customWidth="1"/>
    <col min="11" max="11" width="17.83203125" customWidth="1"/>
    <col min="12" max="26" width="12.1640625" customWidth="1"/>
  </cols>
  <sheetData>
    <row r="1" spans="2:14" ht="12" customHeight="1" x14ac:dyDescent="0.15">
      <c r="D1" s="226"/>
      <c r="E1" s="135"/>
      <c r="F1" s="198"/>
      <c r="G1" s="198"/>
      <c r="K1" s="361">
        <v>26236200</v>
      </c>
    </row>
    <row r="2" spans="2:14" ht="12" customHeight="1" x14ac:dyDescent="0.15">
      <c r="B2" s="362" t="s">
        <v>306</v>
      </c>
      <c r="C2" s="363" t="s">
        <v>300</v>
      </c>
      <c r="D2" s="363"/>
      <c r="E2" s="364" t="s">
        <v>447</v>
      </c>
      <c r="F2" s="365" t="s">
        <v>448</v>
      </c>
      <c r="G2" s="198"/>
      <c r="J2" s="257" t="s">
        <v>300</v>
      </c>
      <c r="K2" s="255" t="s">
        <v>302</v>
      </c>
      <c r="L2" s="256" t="s">
        <v>304</v>
      </c>
      <c r="M2" s="366" t="s">
        <v>304</v>
      </c>
      <c r="N2" s="367" t="s">
        <v>449</v>
      </c>
    </row>
    <row r="3" spans="2:14" ht="12" customHeight="1" x14ac:dyDescent="0.15">
      <c r="B3" s="35" t="s">
        <v>184</v>
      </c>
      <c r="C3" s="363" t="s">
        <v>185</v>
      </c>
      <c r="D3" s="368"/>
      <c r="E3" s="135"/>
      <c r="F3" s="198"/>
      <c r="G3" s="198"/>
      <c r="J3" s="257">
        <v>1</v>
      </c>
      <c r="K3" s="135">
        <f>K1/J20*J13</f>
        <v>3385038.8048100215</v>
      </c>
      <c r="L3" s="135">
        <v>12.9</v>
      </c>
      <c r="M3" s="369">
        <v>12.9</v>
      </c>
      <c r="N3" s="370">
        <f t="shared" ref="N3:N9" si="0">M3*10000</f>
        <v>129000</v>
      </c>
    </row>
    <row r="4" spans="2:14" ht="12" customHeight="1" x14ac:dyDescent="0.15">
      <c r="B4" s="35"/>
      <c r="C4" s="371" t="s">
        <v>450</v>
      </c>
      <c r="D4" s="372" t="s">
        <v>451</v>
      </c>
      <c r="E4" s="226">
        <v>79.09</v>
      </c>
      <c r="F4" s="198"/>
      <c r="G4" s="198"/>
      <c r="J4" s="257">
        <v>2</v>
      </c>
      <c r="K4" s="135">
        <f>K1/J20*J14</f>
        <v>3452215.7605962222</v>
      </c>
      <c r="L4" s="135">
        <v>13.16</v>
      </c>
      <c r="M4" s="369">
        <v>13.16</v>
      </c>
      <c r="N4" s="370">
        <f t="shared" si="0"/>
        <v>131600</v>
      </c>
    </row>
    <row r="5" spans="2:14" ht="12" customHeight="1" x14ac:dyDescent="0.15">
      <c r="B5" s="35"/>
      <c r="C5" s="373" t="s">
        <v>452</v>
      </c>
      <c r="D5" s="372" t="s">
        <v>453</v>
      </c>
      <c r="E5" s="135">
        <v>18.91</v>
      </c>
      <c r="F5" s="198"/>
      <c r="G5" s="198"/>
      <c r="J5" s="257">
        <v>3</v>
      </c>
      <c r="K5" s="135">
        <f>K1/J20*J15</f>
        <v>4062206.5109048504</v>
      </c>
      <c r="L5" s="135">
        <v>15.48</v>
      </c>
      <c r="M5" s="369">
        <v>15.48</v>
      </c>
      <c r="N5" s="370">
        <f t="shared" si="0"/>
        <v>154800</v>
      </c>
    </row>
    <row r="6" spans="2:14" ht="12" customHeight="1" x14ac:dyDescent="0.15">
      <c r="B6" s="35"/>
      <c r="C6" s="373" t="s">
        <v>454</v>
      </c>
      <c r="D6" s="372" t="s">
        <v>455</v>
      </c>
      <c r="E6" s="135">
        <v>71.31</v>
      </c>
      <c r="F6" s="198"/>
      <c r="G6" s="198"/>
      <c r="J6" s="257">
        <v>4</v>
      </c>
      <c r="K6" s="135">
        <f>K1/J20*J16</f>
        <v>2069290.155914224</v>
      </c>
      <c r="L6" s="135">
        <v>7.89</v>
      </c>
      <c r="M6" s="369">
        <v>7.89</v>
      </c>
      <c r="N6" s="370">
        <f t="shared" si="0"/>
        <v>78900</v>
      </c>
    </row>
    <row r="7" spans="2:14" ht="12" customHeight="1" x14ac:dyDescent="0.15">
      <c r="B7" s="35"/>
      <c r="C7" s="374"/>
      <c r="D7" s="368"/>
      <c r="E7" s="375">
        <f>SUM(E4:E6)</f>
        <v>169.31</v>
      </c>
      <c r="F7" s="376">
        <f>E7/E44</f>
        <v>0.12902168777528844</v>
      </c>
      <c r="G7" s="198">
        <v>0.129</v>
      </c>
      <c r="J7" s="257">
        <v>5</v>
      </c>
      <c r="K7" s="135">
        <f>K1/J20*J17</f>
        <v>2539128.9835855695</v>
      </c>
      <c r="L7" s="135">
        <v>9.68</v>
      </c>
      <c r="M7" s="369">
        <v>9.68</v>
      </c>
      <c r="N7" s="370">
        <f t="shared" si="0"/>
        <v>96800</v>
      </c>
    </row>
    <row r="8" spans="2:14" ht="12" customHeight="1" x14ac:dyDescent="0.15">
      <c r="B8" s="35" t="s">
        <v>351</v>
      </c>
      <c r="C8" s="363" t="s">
        <v>188</v>
      </c>
      <c r="D8" s="368"/>
      <c r="E8" s="135"/>
      <c r="F8" s="198"/>
      <c r="G8" s="198"/>
      <c r="J8" s="257">
        <v>6</v>
      </c>
      <c r="K8" s="135">
        <f>K1/J20*J18</f>
        <v>4172168.7897215486</v>
      </c>
      <c r="L8" s="135">
        <v>15.9</v>
      </c>
      <c r="M8" s="369">
        <v>15.9</v>
      </c>
      <c r="N8" s="370">
        <f t="shared" si="0"/>
        <v>159000</v>
      </c>
    </row>
    <row r="9" spans="2:14" ht="12" customHeight="1" x14ac:dyDescent="0.15">
      <c r="B9" s="35"/>
      <c r="C9" s="371" t="s">
        <v>450</v>
      </c>
      <c r="D9" s="372" t="s">
        <v>456</v>
      </c>
      <c r="E9" s="135">
        <v>90.48</v>
      </c>
      <c r="F9" s="198"/>
      <c r="G9" s="198"/>
      <c r="J9" s="257">
        <v>7</v>
      </c>
      <c r="K9" s="135">
        <f>K1/J20*J19</f>
        <v>6556150.9944675583</v>
      </c>
      <c r="L9" s="135">
        <v>24.99</v>
      </c>
      <c r="M9" s="369">
        <v>24.99</v>
      </c>
      <c r="N9" s="370">
        <f t="shared" si="0"/>
        <v>249899.99999999997</v>
      </c>
    </row>
    <row r="10" spans="2:14" ht="12" customHeight="1" x14ac:dyDescent="0.15">
      <c r="B10" s="35"/>
      <c r="C10" s="373" t="s">
        <v>452</v>
      </c>
      <c r="D10" s="372" t="s">
        <v>457</v>
      </c>
      <c r="E10" s="135">
        <v>24.52</v>
      </c>
      <c r="F10" s="198"/>
      <c r="G10" s="198"/>
      <c r="J10" s="135"/>
      <c r="K10" s="263">
        <f t="shared" ref="K10:N10" si="1">SUM(K3:K9)</f>
        <v>26236199.999999993</v>
      </c>
      <c r="L10" s="263">
        <f t="shared" si="1"/>
        <v>100</v>
      </c>
      <c r="M10" s="377">
        <f t="shared" si="1"/>
        <v>100</v>
      </c>
      <c r="N10" s="378">
        <f t="shared" si="1"/>
        <v>1000000</v>
      </c>
    </row>
    <row r="11" spans="2:14" ht="12" customHeight="1" x14ac:dyDescent="0.15">
      <c r="B11" s="35"/>
      <c r="C11" s="373" t="s">
        <v>454</v>
      </c>
      <c r="D11" s="372" t="s">
        <v>458</v>
      </c>
      <c r="E11" s="135">
        <v>57.67</v>
      </c>
      <c r="F11" s="198"/>
      <c r="G11" s="198"/>
      <c r="I11" s="135"/>
      <c r="J11" s="135"/>
      <c r="K11" s="135"/>
      <c r="L11" s="135"/>
    </row>
    <row r="12" spans="2:14" ht="12" customHeight="1" x14ac:dyDescent="0.15">
      <c r="B12" s="35"/>
      <c r="C12" s="374"/>
      <c r="D12" s="368"/>
      <c r="E12" s="375">
        <f>SUM(E9:E11)</f>
        <v>172.67000000000002</v>
      </c>
      <c r="F12" s="376">
        <f>E12/E44</f>
        <v>0.13158215597518785</v>
      </c>
      <c r="G12" s="198">
        <v>0.13159999999999999</v>
      </c>
      <c r="I12" s="1" t="s">
        <v>300</v>
      </c>
      <c r="J12" s="1" t="s">
        <v>459</v>
      </c>
      <c r="K12" s="379" t="s">
        <v>460</v>
      </c>
      <c r="L12" s="380" t="s">
        <v>461</v>
      </c>
      <c r="M12" s="381" t="s">
        <v>461</v>
      </c>
      <c r="N12" s="367" t="s">
        <v>461</v>
      </c>
    </row>
    <row r="13" spans="2:14" ht="12" customHeight="1" x14ac:dyDescent="0.15">
      <c r="B13" s="35" t="s">
        <v>189</v>
      </c>
      <c r="C13" s="363" t="s">
        <v>190</v>
      </c>
      <c r="D13" s="368"/>
      <c r="E13" s="135"/>
      <c r="F13" s="198"/>
      <c r="G13" s="198"/>
      <c r="I13" s="257">
        <v>1</v>
      </c>
      <c r="J13" s="382">
        <v>169.31</v>
      </c>
      <c r="K13" s="135">
        <v>1</v>
      </c>
      <c r="L13" s="135">
        <v>0.90310000000000001</v>
      </c>
      <c r="M13" s="250">
        <v>0.90310000000000001</v>
      </c>
      <c r="N13" s="370">
        <f t="shared" ref="N13:N19" si="2">M13*10000</f>
        <v>9031</v>
      </c>
    </row>
    <row r="14" spans="2:14" ht="12" customHeight="1" x14ac:dyDescent="0.15">
      <c r="B14" s="35"/>
      <c r="C14" s="371" t="s">
        <v>450</v>
      </c>
      <c r="D14" s="372" t="s">
        <v>462</v>
      </c>
      <c r="E14" s="135">
        <v>82.55</v>
      </c>
      <c r="F14" s="198"/>
      <c r="G14" s="198"/>
      <c r="I14" s="257">
        <v>2</v>
      </c>
      <c r="J14" s="382">
        <v>172.67</v>
      </c>
      <c r="K14" s="135">
        <v>1</v>
      </c>
      <c r="L14" s="135">
        <v>0.92110000000000003</v>
      </c>
      <c r="M14" s="250">
        <v>0.92110000000000003</v>
      </c>
      <c r="N14" s="370">
        <f t="shared" si="2"/>
        <v>9211</v>
      </c>
    </row>
    <row r="15" spans="2:14" ht="12" customHeight="1" x14ac:dyDescent="0.15">
      <c r="B15" s="35"/>
      <c r="C15" s="373" t="s">
        <v>452</v>
      </c>
      <c r="D15" s="372" t="s">
        <v>463</v>
      </c>
      <c r="E15" s="135">
        <v>25.38</v>
      </c>
      <c r="F15" s="198"/>
      <c r="G15" s="198"/>
      <c r="I15" s="257">
        <v>3</v>
      </c>
      <c r="J15" s="382">
        <v>203.18</v>
      </c>
      <c r="K15" s="135">
        <v>1</v>
      </c>
      <c r="L15" s="135">
        <v>1.0838000000000001</v>
      </c>
      <c r="M15" s="250">
        <v>1.0838000000000001</v>
      </c>
      <c r="N15" s="370">
        <f t="shared" si="2"/>
        <v>10838.000000000002</v>
      </c>
    </row>
    <row r="16" spans="2:14" ht="12" customHeight="1" x14ac:dyDescent="0.15">
      <c r="B16" s="35"/>
      <c r="C16" s="373" t="s">
        <v>452</v>
      </c>
      <c r="D16" s="372" t="s">
        <v>464</v>
      </c>
      <c r="E16" s="135">
        <v>4.57</v>
      </c>
      <c r="F16" s="198"/>
      <c r="G16" s="198"/>
      <c r="I16" s="257">
        <v>4</v>
      </c>
      <c r="J16" s="382">
        <v>103.5</v>
      </c>
      <c r="K16" s="135">
        <v>1</v>
      </c>
      <c r="L16" s="135">
        <v>0.55210000000000004</v>
      </c>
      <c r="M16" s="250">
        <v>0.55210000000000004</v>
      </c>
      <c r="N16" s="370">
        <f t="shared" si="2"/>
        <v>5521</v>
      </c>
    </row>
    <row r="17" spans="2:14" ht="12" customHeight="1" x14ac:dyDescent="0.15">
      <c r="B17" s="35"/>
      <c r="C17" s="373" t="s">
        <v>454</v>
      </c>
      <c r="D17" s="372" t="s">
        <v>465</v>
      </c>
      <c r="E17" s="135">
        <v>90.68</v>
      </c>
      <c r="F17" s="198"/>
      <c r="G17" s="198"/>
      <c r="I17" s="257">
        <v>5</v>
      </c>
      <c r="J17" s="382">
        <v>127</v>
      </c>
      <c r="K17" s="135">
        <v>1</v>
      </c>
      <c r="L17" s="135">
        <v>0.67749999999999999</v>
      </c>
      <c r="M17" s="250">
        <v>0.67749999999999999</v>
      </c>
      <c r="N17" s="370">
        <f t="shared" si="2"/>
        <v>6775</v>
      </c>
    </row>
    <row r="18" spans="2:14" ht="12" customHeight="1" x14ac:dyDescent="0.15">
      <c r="B18" s="35"/>
      <c r="C18" s="374"/>
      <c r="D18" s="368"/>
      <c r="E18" s="375">
        <f>SUM(E14:E17)</f>
        <v>203.18</v>
      </c>
      <c r="F18" s="376">
        <f>E18/E44</f>
        <v>0.15483212168320304</v>
      </c>
      <c r="G18" s="198">
        <v>0.15479999999999999</v>
      </c>
      <c r="I18" s="257">
        <v>6</v>
      </c>
      <c r="J18" s="382">
        <v>208.68</v>
      </c>
      <c r="K18" s="135">
        <v>1</v>
      </c>
      <c r="L18" s="135">
        <v>1.1132</v>
      </c>
      <c r="M18" s="250">
        <v>1.1132</v>
      </c>
      <c r="N18" s="370">
        <f t="shared" si="2"/>
        <v>11132</v>
      </c>
    </row>
    <row r="19" spans="2:14" ht="12" customHeight="1" x14ac:dyDescent="0.15">
      <c r="B19" s="35" t="s">
        <v>191</v>
      </c>
      <c r="C19" s="363" t="s">
        <v>192</v>
      </c>
      <c r="D19" s="368"/>
      <c r="E19" s="135"/>
      <c r="F19" s="198"/>
      <c r="G19" s="198"/>
      <c r="I19" s="257">
        <v>7</v>
      </c>
      <c r="J19" s="382">
        <v>327.92</v>
      </c>
      <c r="K19" s="135">
        <v>1</v>
      </c>
      <c r="L19" s="135">
        <v>1.7492000000000001</v>
      </c>
      <c r="M19" s="250">
        <v>1.7492000000000001</v>
      </c>
      <c r="N19" s="370">
        <f t="shared" si="2"/>
        <v>17492</v>
      </c>
    </row>
    <row r="20" spans="2:14" ht="12" customHeight="1" x14ac:dyDescent="0.15">
      <c r="B20" s="35"/>
      <c r="C20" s="371" t="s">
        <v>450</v>
      </c>
      <c r="D20" s="372" t="s">
        <v>466</v>
      </c>
      <c r="E20" s="135">
        <v>72.59</v>
      </c>
      <c r="F20" s="198"/>
      <c r="G20" s="198"/>
      <c r="I20" s="135"/>
      <c r="J20" s="383">
        <f>J13+J14+J15+J16+J17+J18+J19</f>
        <v>1312.2600000000002</v>
      </c>
      <c r="K20" s="384">
        <f t="shared" ref="K20:N20" si="3">SUM(K13:K19)</f>
        <v>7</v>
      </c>
      <c r="L20" s="385">
        <f t="shared" si="3"/>
        <v>7.0000000000000009</v>
      </c>
      <c r="M20" s="386">
        <f t="shared" si="3"/>
        <v>7.0000000000000009</v>
      </c>
      <c r="N20" s="378">
        <f t="shared" si="3"/>
        <v>70000</v>
      </c>
    </row>
    <row r="21" spans="2:14" ht="12" customHeight="1" x14ac:dyDescent="0.15">
      <c r="B21" s="35"/>
      <c r="C21" s="373" t="s">
        <v>452</v>
      </c>
      <c r="D21" s="372" t="s">
        <v>467</v>
      </c>
      <c r="E21" s="135">
        <v>18.91</v>
      </c>
      <c r="F21" s="198"/>
      <c r="G21" s="198"/>
      <c r="I21" s="135"/>
      <c r="J21" s="135"/>
      <c r="K21" s="135"/>
      <c r="L21" s="259"/>
    </row>
    <row r="22" spans="2:14" ht="12" customHeight="1" x14ac:dyDescent="0.15">
      <c r="B22" s="35"/>
      <c r="C22" s="374" t="s">
        <v>468</v>
      </c>
      <c r="D22" s="372" t="s">
        <v>469</v>
      </c>
      <c r="E22" s="135">
        <v>12</v>
      </c>
      <c r="F22" s="198"/>
      <c r="G22" s="198"/>
      <c r="I22" s="135"/>
      <c r="J22" s="135"/>
      <c r="K22" s="135"/>
      <c r="L22" s="259"/>
    </row>
    <row r="23" spans="2:14" ht="12" customHeight="1" x14ac:dyDescent="0.15">
      <c r="B23" s="35"/>
      <c r="C23" s="374"/>
      <c r="D23" s="368"/>
      <c r="E23" s="387">
        <f>SUM(E20:E22)</f>
        <v>103.5</v>
      </c>
      <c r="F23" s="376">
        <f>E23/E44</f>
        <v>7.8871565086187187E-2</v>
      </c>
      <c r="G23" s="198">
        <v>7.8899999999999998E-2</v>
      </c>
      <c r="I23" s="257">
        <v>1</v>
      </c>
      <c r="J23" s="382">
        <v>169.31</v>
      </c>
      <c r="K23" s="135">
        <v>1312.26</v>
      </c>
      <c r="L23" s="388">
        <v>0.129021</v>
      </c>
      <c r="M23" s="115">
        <v>7</v>
      </c>
      <c r="N23" s="389">
        <f t="shared" ref="N23:N29" si="4">L23*M23</f>
        <v>0.90314699999999992</v>
      </c>
    </row>
    <row r="24" spans="2:14" ht="12" customHeight="1" x14ac:dyDescent="0.15">
      <c r="B24" s="35" t="s">
        <v>310</v>
      </c>
      <c r="C24" s="363" t="s">
        <v>194</v>
      </c>
      <c r="D24" s="368"/>
      <c r="E24" s="135"/>
      <c r="F24" s="198"/>
      <c r="G24" s="198"/>
      <c r="I24" s="257">
        <v>2</v>
      </c>
      <c r="J24" s="382">
        <v>172.67</v>
      </c>
      <c r="K24" s="135">
        <v>1312.26</v>
      </c>
      <c r="L24" s="388">
        <v>0.131582</v>
      </c>
      <c r="M24" s="115">
        <v>7</v>
      </c>
      <c r="N24" s="389">
        <f t="shared" si="4"/>
        <v>0.92107400000000006</v>
      </c>
    </row>
    <row r="25" spans="2:14" ht="12" customHeight="1" x14ac:dyDescent="0.15">
      <c r="B25" s="35"/>
      <c r="C25" s="371" t="s">
        <v>450</v>
      </c>
      <c r="D25" s="372" t="s">
        <v>470</v>
      </c>
      <c r="E25" s="135">
        <v>90.48</v>
      </c>
      <c r="F25" s="198"/>
      <c r="G25" s="198"/>
      <c r="I25" s="257">
        <v>3</v>
      </c>
      <c r="J25" s="382">
        <v>203.18</v>
      </c>
      <c r="K25" s="135">
        <v>1312.26</v>
      </c>
      <c r="L25" s="388">
        <f t="shared" ref="L25:L29" si="5">J25/K25</f>
        <v>0.15483212168320304</v>
      </c>
      <c r="M25" s="115">
        <v>7</v>
      </c>
      <c r="N25" s="389">
        <f t="shared" si="4"/>
        <v>1.0838248517824214</v>
      </c>
    </row>
    <row r="26" spans="2:14" ht="12" customHeight="1" x14ac:dyDescent="0.15">
      <c r="B26" s="35"/>
      <c r="C26" s="373" t="s">
        <v>452</v>
      </c>
      <c r="D26" s="372" t="s">
        <v>471</v>
      </c>
      <c r="E26" s="135">
        <v>24.52</v>
      </c>
      <c r="F26" s="198"/>
      <c r="G26" s="198"/>
      <c r="I26" s="257">
        <v>4</v>
      </c>
      <c r="J26" s="382">
        <v>103.5</v>
      </c>
      <c r="K26" s="135">
        <v>1312.26</v>
      </c>
      <c r="L26" s="388">
        <f t="shared" si="5"/>
        <v>7.8871565086187187E-2</v>
      </c>
      <c r="M26" s="115">
        <v>7</v>
      </c>
      <c r="N26" s="389">
        <f t="shared" si="4"/>
        <v>0.55210095560331029</v>
      </c>
    </row>
    <row r="27" spans="2:14" ht="12" customHeight="1" x14ac:dyDescent="0.15">
      <c r="B27" s="35"/>
      <c r="C27" s="374" t="s">
        <v>468</v>
      </c>
      <c r="D27" s="372" t="s">
        <v>472</v>
      </c>
      <c r="E27" s="135">
        <v>12</v>
      </c>
      <c r="F27" s="198"/>
      <c r="G27" s="198"/>
      <c r="I27" s="257">
        <v>5</v>
      </c>
      <c r="J27" s="382">
        <v>127</v>
      </c>
      <c r="K27" s="135">
        <v>1312.26</v>
      </c>
      <c r="L27" s="388">
        <f t="shared" si="5"/>
        <v>9.6779601603340801E-2</v>
      </c>
      <c r="M27" s="115">
        <v>7</v>
      </c>
      <c r="N27" s="389">
        <f t="shared" si="4"/>
        <v>0.67745721122338565</v>
      </c>
    </row>
    <row r="28" spans="2:14" ht="12" customHeight="1" x14ac:dyDescent="0.15">
      <c r="B28" s="35"/>
      <c r="C28" s="374"/>
      <c r="D28" s="368"/>
      <c r="E28" s="375">
        <f>SUM(E25:E27)</f>
        <v>127</v>
      </c>
      <c r="F28" s="376">
        <f>E28/E44</f>
        <v>9.6779601603340801E-2</v>
      </c>
      <c r="G28" s="198">
        <v>9.6799999999999997E-2</v>
      </c>
      <c r="I28" s="257">
        <v>6</v>
      </c>
      <c r="J28" s="382">
        <v>208.68</v>
      </c>
      <c r="K28" s="135">
        <v>1312.26</v>
      </c>
      <c r="L28" s="388">
        <f t="shared" si="5"/>
        <v>0.15902336427232408</v>
      </c>
      <c r="M28" s="115">
        <v>7</v>
      </c>
      <c r="N28" s="389">
        <f t="shared" si="4"/>
        <v>1.1131635499062686</v>
      </c>
    </row>
    <row r="29" spans="2:14" ht="12" customHeight="1" x14ac:dyDescent="0.15">
      <c r="B29" s="35" t="s">
        <v>473</v>
      </c>
      <c r="C29" s="363" t="s">
        <v>196</v>
      </c>
      <c r="D29" s="368"/>
      <c r="E29" s="135"/>
      <c r="F29" s="198"/>
      <c r="G29" s="198"/>
      <c r="I29" s="257">
        <v>7</v>
      </c>
      <c r="J29" s="382">
        <v>327.92</v>
      </c>
      <c r="K29" s="135">
        <v>1312.26</v>
      </c>
      <c r="L29" s="388">
        <f t="shared" si="5"/>
        <v>0.24988950360446863</v>
      </c>
      <c r="M29" s="115">
        <v>7</v>
      </c>
      <c r="N29" s="389">
        <f t="shared" si="4"/>
        <v>1.7492265252312804</v>
      </c>
    </row>
    <row r="30" spans="2:14" ht="12" customHeight="1" x14ac:dyDescent="0.15">
      <c r="B30" s="35"/>
      <c r="C30" s="371" t="s">
        <v>450</v>
      </c>
      <c r="D30" s="372" t="s">
        <v>474</v>
      </c>
      <c r="E30" s="135">
        <v>82.55</v>
      </c>
      <c r="F30" s="198"/>
      <c r="G30" s="198"/>
      <c r="I30" s="135"/>
      <c r="J30" s="383">
        <f>SUM(J23:J29)</f>
        <v>1312.2600000000002</v>
      </c>
      <c r="K30" s="135"/>
      <c r="L30" s="135">
        <f>SUM(L23:L29)</f>
        <v>0.99999915624952374</v>
      </c>
      <c r="M30" s="388"/>
      <c r="N30" s="389">
        <f>SUM(N23:N29)</f>
        <v>6.9999940937466665</v>
      </c>
    </row>
    <row r="31" spans="2:14" ht="12" customHeight="1" x14ac:dyDescent="0.15">
      <c r="B31" s="35"/>
      <c r="C31" s="373" t="s">
        <v>452</v>
      </c>
      <c r="D31" s="368" t="s">
        <v>475</v>
      </c>
      <c r="E31" s="135">
        <v>25.38</v>
      </c>
      <c r="F31" s="198"/>
      <c r="G31" s="198"/>
    </row>
    <row r="32" spans="2:14" ht="12" customHeight="1" x14ac:dyDescent="0.15">
      <c r="B32" s="35"/>
      <c r="C32" s="373" t="s">
        <v>452</v>
      </c>
      <c r="D32" s="368" t="s">
        <v>476</v>
      </c>
      <c r="E32" s="135">
        <v>4.57</v>
      </c>
      <c r="F32" s="198"/>
      <c r="G32" s="198"/>
    </row>
    <row r="33" spans="2:7" ht="12" customHeight="1" x14ac:dyDescent="0.15">
      <c r="B33" s="35"/>
      <c r="C33" s="374" t="s">
        <v>468</v>
      </c>
      <c r="D33" s="372" t="s">
        <v>477</v>
      </c>
      <c r="E33" s="135">
        <v>12</v>
      </c>
      <c r="F33" s="198"/>
      <c r="G33" s="198"/>
    </row>
    <row r="34" spans="2:7" ht="12" customHeight="1" x14ac:dyDescent="0.15">
      <c r="B34" s="35"/>
      <c r="C34" s="373" t="s">
        <v>454</v>
      </c>
      <c r="D34" s="372" t="s">
        <v>478</v>
      </c>
      <c r="E34" s="135">
        <v>72.459999999999994</v>
      </c>
      <c r="F34" s="198"/>
      <c r="G34" s="198"/>
    </row>
    <row r="35" spans="2:7" ht="12" customHeight="1" x14ac:dyDescent="0.15">
      <c r="B35" s="35"/>
      <c r="C35" s="373" t="s">
        <v>479</v>
      </c>
      <c r="D35" s="372" t="s">
        <v>480</v>
      </c>
      <c r="E35" s="135">
        <v>6.37</v>
      </c>
      <c r="F35" s="198"/>
      <c r="G35" s="198"/>
    </row>
    <row r="36" spans="2:7" ht="12" customHeight="1" x14ac:dyDescent="0.15">
      <c r="B36" s="35"/>
      <c r="C36" s="373" t="s">
        <v>479</v>
      </c>
      <c r="D36" s="372" t="s">
        <v>481</v>
      </c>
      <c r="E36" s="135">
        <v>5.35</v>
      </c>
      <c r="F36" s="198"/>
      <c r="G36" s="198"/>
    </row>
    <row r="37" spans="2:7" ht="12" customHeight="1" x14ac:dyDescent="0.15">
      <c r="B37" s="35"/>
      <c r="C37" s="373"/>
      <c r="D37" s="372"/>
      <c r="E37" s="375">
        <f>SUM(E30:E36)</f>
        <v>208.67999999999998</v>
      </c>
      <c r="F37" s="376">
        <f>E37/E44</f>
        <v>0.15902336427232408</v>
      </c>
      <c r="G37" s="198">
        <v>0.159</v>
      </c>
    </row>
    <row r="38" spans="2:7" ht="12" customHeight="1" x14ac:dyDescent="0.15">
      <c r="B38" s="35" t="s">
        <v>197</v>
      </c>
      <c r="C38" s="363" t="s">
        <v>198</v>
      </c>
      <c r="D38" s="368"/>
      <c r="E38" s="135"/>
      <c r="F38" s="198"/>
      <c r="G38" s="198"/>
    </row>
    <row r="39" spans="2:7" ht="12" customHeight="1" x14ac:dyDescent="0.15">
      <c r="C39" s="371" t="s">
        <v>450</v>
      </c>
      <c r="D39" s="372" t="s">
        <v>482</v>
      </c>
      <c r="E39" s="135">
        <v>123.26</v>
      </c>
      <c r="F39" s="198"/>
      <c r="G39" s="198"/>
    </row>
    <row r="40" spans="2:7" ht="12" customHeight="1" x14ac:dyDescent="0.15">
      <c r="C40" s="373" t="s">
        <v>452</v>
      </c>
      <c r="D40" s="372" t="s">
        <v>483</v>
      </c>
      <c r="E40" s="135">
        <v>176.74</v>
      </c>
      <c r="F40" s="198"/>
      <c r="G40" s="198"/>
    </row>
    <row r="41" spans="2:7" ht="12" customHeight="1" x14ac:dyDescent="0.15">
      <c r="C41" s="374" t="s">
        <v>468</v>
      </c>
      <c r="D41" s="372" t="s">
        <v>484</v>
      </c>
      <c r="E41" s="135">
        <v>27.92</v>
      </c>
      <c r="F41" s="198"/>
      <c r="G41" s="198"/>
    </row>
    <row r="42" spans="2:7" ht="12" customHeight="1" x14ac:dyDescent="0.15">
      <c r="D42" s="226"/>
      <c r="E42" s="375">
        <f>SUM(E39:E41)</f>
        <v>327.92</v>
      </c>
      <c r="F42" s="376">
        <f>E42/E44</f>
        <v>0.24988950360446863</v>
      </c>
      <c r="G42" s="198">
        <v>0.24990000000000001</v>
      </c>
    </row>
    <row r="43" spans="2:7" ht="12" customHeight="1" x14ac:dyDescent="0.15">
      <c r="D43" s="226"/>
      <c r="E43" s="135"/>
      <c r="F43" s="198"/>
      <c r="G43" s="198"/>
    </row>
    <row r="44" spans="2:7" ht="12" customHeight="1" x14ac:dyDescent="0.15">
      <c r="D44" s="311" t="s">
        <v>485</v>
      </c>
      <c r="E44" s="364">
        <f>E7+E12+E18+E23+E28+E37+E42</f>
        <v>1312.26</v>
      </c>
      <c r="F44" s="198">
        <f t="shared" ref="F44:G44" si="6">SUM(F7:F42)</f>
        <v>1</v>
      </c>
      <c r="G44" s="198">
        <f t="shared" si="6"/>
        <v>1</v>
      </c>
    </row>
    <row r="45" spans="2:7" ht="12" customHeight="1" x14ac:dyDescent="0.15">
      <c r="D45" s="226"/>
      <c r="E45" s="135"/>
      <c r="F45" s="198"/>
      <c r="G45" s="198"/>
    </row>
    <row r="46" spans="2:7" ht="12" customHeight="1" x14ac:dyDescent="0.15">
      <c r="D46" s="226"/>
      <c r="E46" s="135"/>
      <c r="F46" s="198"/>
      <c r="G46" s="198"/>
    </row>
    <row r="47" spans="2:7" ht="12" customHeight="1" x14ac:dyDescent="0.15">
      <c r="D47" s="226"/>
      <c r="E47" s="135"/>
      <c r="F47" s="198"/>
      <c r="G47" s="198"/>
    </row>
    <row r="48" spans="2:7" ht="12" customHeight="1" x14ac:dyDescent="0.15">
      <c r="D48" s="226"/>
      <c r="E48" s="135"/>
      <c r="F48" s="198"/>
      <c r="G48" s="198"/>
    </row>
    <row r="49" spans="4:7" ht="12" customHeight="1" x14ac:dyDescent="0.15">
      <c r="D49" s="226"/>
      <c r="E49" s="135"/>
      <c r="F49" s="198"/>
      <c r="G49" s="198"/>
    </row>
    <row r="50" spans="4:7" ht="12" customHeight="1" x14ac:dyDescent="0.15">
      <c r="D50" s="226"/>
      <c r="E50" s="135"/>
      <c r="F50" s="198"/>
      <c r="G50" s="198"/>
    </row>
    <row r="51" spans="4:7" ht="12" customHeight="1" x14ac:dyDescent="0.15">
      <c r="D51" s="226"/>
      <c r="E51" s="135"/>
      <c r="F51" s="198"/>
      <c r="G51" s="198"/>
    </row>
    <row r="52" spans="4:7" ht="12" customHeight="1" x14ac:dyDescent="0.15">
      <c r="D52" s="226"/>
      <c r="E52" s="135"/>
      <c r="F52" s="198"/>
      <c r="G52" s="198"/>
    </row>
    <row r="53" spans="4:7" ht="12" customHeight="1" x14ac:dyDescent="0.15">
      <c r="D53" s="226"/>
      <c r="E53" s="135"/>
      <c r="F53" s="198"/>
      <c r="G53" s="198"/>
    </row>
    <row r="54" spans="4:7" ht="12" customHeight="1" x14ac:dyDescent="0.15">
      <c r="D54" s="226"/>
      <c r="E54" s="135"/>
      <c r="F54" s="198"/>
      <c r="G54" s="198"/>
    </row>
    <row r="55" spans="4:7" ht="12" customHeight="1" x14ac:dyDescent="0.15">
      <c r="D55" s="226"/>
      <c r="E55" s="135"/>
      <c r="F55" s="198"/>
      <c r="G55" s="198"/>
    </row>
    <row r="56" spans="4:7" ht="12" customHeight="1" x14ac:dyDescent="0.15">
      <c r="D56" s="226"/>
      <c r="E56" s="135"/>
      <c r="F56" s="198"/>
      <c r="G56" s="198"/>
    </row>
    <row r="57" spans="4:7" ht="12" customHeight="1" x14ac:dyDescent="0.15">
      <c r="D57" s="226"/>
      <c r="E57" s="135"/>
      <c r="F57" s="198"/>
      <c r="G57" s="198"/>
    </row>
    <row r="58" spans="4:7" ht="12" customHeight="1" x14ac:dyDescent="0.15">
      <c r="D58" s="226"/>
      <c r="E58" s="135"/>
      <c r="F58" s="198"/>
      <c r="G58" s="198"/>
    </row>
    <row r="59" spans="4:7" ht="12" customHeight="1" x14ac:dyDescent="0.15">
      <c r="D59" s="226"/>
      <c r="E59" s="135"/>
      <c r="F59" s="198"/>
      <c r="G59" s="198"/>
    </row>
    <row r="60" spans="4:7" ht="12" customHeight="1" x14ac:dyDescent="0.15">
      <c r="D60" s="226"/>
      <c r="E60" s="135"/>
      <c r="F60" s="198"/>
      <c r="G60" s="198"/>
    </row>
    <row r="61" spans="4:7" ht="12" customHeight="1" x14ac:dyDescent="0.15">
      <c r="D61" s="226"/>
      <c r="E61" s="135"/>
      <c r="F61" s="198"/>
      <c r="G61" s="198"/>
    </row>
    <row r="62" spans="4:7" ht="12" customHeight="1" x14ac:dyDescent="0.15">
      <c r="D62" s="226"/>
      <c r="E62" s="135"/>
      <c r="F62" s="198"/>
      <c r="G62" s="198"/>
    </row>
    <row r="63" spans="4:7" ht="12" customHeight="1" x14ac:dyDescent="0.15">
      <c r="D63" s="226"/>
      <c r="E63" s="135"/>
      <c r="F63" s="198"/>
      <c r="G63" s="198"/>
    </row>
    <row r="64" spans="4:7" ht="12" customHeight="1" x14ac:dyDescent="0.15">
      <c r="D64" s="226"/>
      <c r="E64" s="135"/>
      <c r="F64" s="198"/>
      <c r="G64" s="198"/>
    </row>
    <row r="65" spans="4:7" ht="12" customHeight="1" x14ac:dyDescent="0.15">
      <c r="D65" s="226"/>
      <c r="E65" s="135"/>
      <c r="F65" s="198"/>
      <c r="G65" s="198"/>
    </row>
    <row r="66" spans="4:7" ht="12" customHeight="1" x14ac:dyDescent="0.15">
      <c r="D66" s="226"/>
      <c r="E66" s="135"/>
      <c r="F66" s="198"/>
      <c r="G66" s="198"/>
    </row>
    <row r="67" spans="4:7" ht="12" customHeight="1" x14ac:dyDescent="0.15">
      <c r="D67" s="226"/>
      <c r="E67" s="135"/>
      <c r="F67" s="198"/>
      <c r="G67" s="198"/>
    </row>
    <row r="68" spans="4:7" ht="12" customHeight="1" x14ac:dyDescent="0.15">
      <c r="D68" s="226"/>
      <c r="E68" s="135"/>
      <c r="F68" s="198"/>
      <c r="G68" s="198"/>
    </row>
    <row r="69" spans="4:7" ht="12" customHeight="1" x14ac:dyDescent="0.15">
      <c r="D69" s="226"/>
      <c r="E69" s="135"/>
      <c r="F69" s="198"/>
      <c r="G69" s="198"/>
    </row>
    <row r="70" spans="4:7" ht="12" customHeight="1" x14ac:dyDescent="0.15">
      <c r="D70" s="226"/>
      <c r="E70" s="135"/>
      <c r="F70" s="198"/>
      <c r="G70" s="198"/>
    </row>
    <row r="71" spans="4:7" ht="12" customHeight="1" x14ac:dyDescent="0.15">
      <c r="D71" s="226"/>
      <c r="E71" s="135"/>
      <c r="F71" s="198"/>
      <c r="G71" s="198"/>
    </row>
    <row r="72" spans="4:7" ht="12" customHeight="1" x14ac:dyDescent="0.15">
      <c r="D72" s="226"/>
      <c r="E72" s="135"/>
      <c r="F72" s="198"/>
      <c r="G72" s="198"/>
    </row>
    <row r="73" spans="4:7" ht="12" customHeight="1" x14ac:dyDescent="0.15">
      <c r="D73" s="226"/>
      <c r="E73" s="135"/>
      <c r="F73" s="198"/>
      <c r="G73" s="198"/>
    </row>
    <row r="74" spans="4:7" ht="12" customHeight="1" x14ac:dyDescent="0.15">
      <c r="D74" s="226"/>
      <c r="E74" s="135"/>
      <c r="F74" s="198"/>
      <c r="G74" s="198"/>
    </row>
    <row r="75" spans="4:7" ht="12" customHeight="1" x14ac:dyDescent="0.15">
      <c r="D75" s="226"/>
      <c r="E75" s="135"/>
      <c r="F75" s="198"/>
      <c r="G75" s="198"/>
    </row>
    <row r="76" spans="4:7" ht="12" customHeight="1" x14ac:dyDescent="0.15">
      <c r="D76" s="226"/>
      <c r="E76" s="135"/>
      <c r="F76" s="198"/>
      <c r="G76" s="198"/>
    </row>
    <row r="77" spans="4:7" ht="12" customHeight="1" x14ac:dyDescent="0.15">
      <c r="D77" s="226"/>
      <c r="E77" s="135"/>
      <c r="F77" s="198"/>
      <c r="G77" s="198"/>
    </row>
    <row r="78" spans="4:7" ht="12" customHeight="1" x14ac:dyDescent="0.15">
      <c r="D78" s="226"/>
      <c r="E78" s="135"/>
      <c r="F78" s="198"/>
      <c r="G78" s="198"/>
    </row>
    <row r="79" spans="4:7" ht="12" customHeight="1" x14ac:dyDescent="0.15">
      <c r="D79" s="226"/>
      <c r="E79" s="135"/>
      <c r="F79" s="198"/>
      <c r="G79" s="198"/>
    </row>
    <row r="80" spans="4:7" ht="12" customHeight="1" x14ac:dyDescent="0.15">
      <c r="D80" s="226"/>
      <c r="E80" s="135"/>
      <c r="F80" s="198"/>
      <c r="G80" s="198"/>
    </row>
    <row r="81" spans="4:7" ht="12" customHeight="1" x14ac:dyDescent="0.15">
      <c r="D81" s="226"/>
      <c r="E81" s="135"/>
      <c r="F81" s="198"/>
      <c r="G81" s="198"/>
    </row>
    <row r="82" spans="4:7" ht="12" customHeight="1" x14ac:dyDescent="0.15">
      <c r="D82" s="226"/>
      <c r="E82" s="135"/>
      <c r="F82" s="198"/>
      <c r="G82" s="198"/>
    </row>
    <row r="83" spans="4:7" ht="12" customHeight="1" x14ac:dyDescent="0.15">
      <c r="D83" s="226"/>
      <c r="E83" s="135"/>
      <c r="F83" s="198"/>
      <c r="G83" s="198"/>
    </row>
    <row r="84" spans="4:7" ht="12" customHeight="1" x14ac:dyDescent="0.15">
      <c r="D84" s="226"/>
      <c r="E84" s="135"/>
      <c r="F84" s="198"/>
      <c r="G84" s="198"/>
    </row>
    <row r="85" spans="4:7" ht="12" customHeight="1" x14ac:dyDescent="0.15">
      <c r="D85" s="226"/>
      <c r="E85" s="135"/>
      <c r="F85" s="198"/>
      <c r="G85" s="198"/>
    </row>
    <row r="86" spans="4:7" ht="12" customHeight="1" x14ac:dyDescent="0.15">
      <c r="D86" s="226"/>
      <c r="E86" s="135"/>
      <c r="F86" s="198"/>
      <c r="G86" s="198"/>
    </row>
    <row r="87" spans="4:7" ht="12" customHeight="1" x14ac:dyDescent="0.15">
      <c r="D87" s="226"/>
      <c r="E87" s="135"/>
      <c r="F87" s="198"/>
      <c r="G87" s="198"/>
    </row>
    <row r="88" spans="4:7" ht="12" customHeight="1" x14ac:dyDescent="0.15">
      <c r="D88" s="226"/>
      <c r="E88" s="135"/>
      <c r="F88" s="198"/>
      <c r="G88" s="198"/>
    </row>
    <row r="89" spans="4:7" ht="12" customHeight="1" x14ac:dyDescent="0.15">
      <c r="D89" s="226"/>
      <c r="E89" s="135"/>
      <c r="F89" s="198"/>
      <c r="G89" s="198"/>
    </row>
    <row r="90" spans="4:7" ht="12" customHeight="1" x14ac:dyDescent="0.15">
      <c r="D90" s="226"/>
      <c r="E90" s="135"/>
      <c r="F90" s="198"/>
      <c r="G90" s="198"/>
    </row>
    <row r="91" spans="4:7" ht="12" customHeight="1" x14ac:dyDescent="0.15">
      <c r="D91" s="226"/>
      <c r="E91" s="135"/>
      <c r="F91" s="198"/>
      <c r="G91" s="198"/>
    </row>
    <row r="92" spans="4:7" ht="12" customHeight="1" x14ac:dyDescent="0.15">
      <c r="D92" s="226"/>
      <c r="E92" s="135"/>
      <c r="F92" s="198"/>
      <c r="G92" s="198"/>
    </row>
    <row r="93" spans="4:7" ht="12" customHeight="1" x14ac:dyDescent="0.15">
      <c r="D93" s="226"/>
      <c r="E93" s="135"/>
      <c r="F93" s="198"/>
      <c r="G93" s="198"/>
    </row>
    <row r="94" spans="4:7" ht="12" customHeight="1" x14ac:dyDescent="0.15">
      <c r="D94" s="226"/>
      <c r="E94" s="135"/>
      <c r="F94" s="198"/>
      <c r="G94" s="198"/>
    </row>
    <row r="95" spans="4:7" ht="12" customHeight="1" x14ac:dyDescent="0.15">
      <c r="D95" s="226"/>
      <c r="E95" s="135"/>
      <c r="F95" s="198"/>
      <c r="G95" s="198"/>
    </row>
    <row r="96" spans="4:7" ht="12" customHeight="1" x14ac:dyDescent="0.15">
      <c r="D96" s="226"/>
      <c r="E96" s="135"/>
      <c r="F96" s="198"/>
      <c r="G96" s="198"/>
    </row>
    <row r="97" spans="4:7" ht="12" customHeight="1" x14ac:dyDescent="0.15">
      <c r="D97" s="226"/>
      <c r="E97" s="135"/>
      <c r="F97" s="198"/>
      <c r="G97" s="198"/>
    </row>
    <row r="98" spans="4:7" ht="12" customHeight="1" x14ac:dyDescent="0.15">
      <c r="D98" s="226"/>
      <c r="E98" s="135"/>
      <c r="F98" s="198"/>
      <c r="G98" s="198"/>
    </row>
    <row r="99" spans="4:7" ht="12" customHeight="1" x14ac:dyDescent="0.15">
      <c r="D99" s="226"/>
      <c r="E99" s="135"/>
      <c r="F99" s="198"/>
      <c r="G99" s="198"/>
    </row>
    <row r="100" spans="4:7" ht="12" customHeight="1" x14ac:dyDescent="0.15">
      <c r="D100" s="226"/>
      <c r="E100" s="135"/>
      <c r="F100" s="198"/>
      <c r="G100" s="198"/>
    </row>
    <row r="101" spans="4:7" ht="12" customHeight="1" x14ac:dyDescent="0.15">
      <c r="D101" s="226"/>
      <c r="E101" s="135"/>
      <c r="F101" s="198"/>
      <c r="G101" s="198"/>
    </row>
    <row r="102" spans="4:7" ht="12" customHeight="1" x14ac:dyDescent="0.15">
      <c r="D102" s="226"/>
      <c r="E102" s="135"/>
      <c r="F102" s="198"/>
      <c r="G102" s="198"/>
    </row>
    <row r="103" spans="4:7" ht="12" customHeight="1" x14ac:dyDescent="0.15">
      <c r="D103" s="226"/>
      <c r="E103" s="135"/>
      <c r="F103" s="198"/>
      <c r="G103" s="198"/>
    </row>
    <row r="104" spans="4:7" ht="12" customHeight="1" x14ac:dyDescent="0.15">
      <c r="D104" s="226"/>
      <c r="E104" s="135"/>
      <c r="F104" s="198"/>
      <c r="G104" s="198"/>
    </row>
    <row r="105" spans="4:7" ht="12" customHeight="1" x14ac:dyDescent="0.15">
      <c r="D105" s="226"/>
      <c r="E105" s="135"/>
      <c r="F105" s="198"/>
      <c r="G105" s="198"/>
    </row>
    <row r="106" spans="4:7" ht="12" customHeight="1" x14ac:dyDescent="0.15">
      <c r="D106" s="226"/>
      <c r="E106" s="135"/>
      <c r="F106" s="198"/>
      <c r="G106" s="198"/>
    </row>
    <row r="107" spans="4:7" ht="12" customHeight="1" x14ac:dyDescent="0.15">
      <c r="D107" s="226"/>
      <c r="E107" s="135"/>
      <c r="F107" s="198"/>
      <c r="G107" s="198"/>
    </row>
    <row r="108" spans="4:7" ht="12" customHeight="1" x14ac:dyDescent="0.15">
      <c r="D108" s="226"/>
      <c r="E108" s="135"/>
      <c r="F108" s="198"/>
      <c r="G108" s="198"/>
    </row>
    <row r="109" spans="4:7" ht="12" customHeight="1" x14ac:dyDescent="0.15">
      <c r="D109" s="226"/>
      <c r="E109" s="135"/>
      <c r="F109" s="198"/>
      <c r="G109" s="198"/>
    </row>
    <row r="110" spans="4:7" ht="12" customHeight="1" x14ac:dyDescent="0.15">
      <c r="D110" s="226"/>
      <c r="E110" s="135"/>
      <c r="F110" s="198"/>
      <c r="G110" s="198"/>
    </row>
    <row r="111" spans="4:7" ht="12" customHeight="1" x14ac:dyDescent="0.15">
      <c r="D111" s="226"/>
      <c r="E111" s="135"/>
      <c r="F111" s="198"/>
      <c r="G111" s="198"/>
    </row>
    <row r="112" spans="4:7" ht="12" customHeight="1" x14ac:dyDescent="0.15">
      <c r="D112" s="226"/>
      <c r="E112" s="135"/>
      <c r="F112" s="198"/>
      <c r="G112" s="198"/>
    </row>
    <row r="113" spans="4:7" ht="12" customHeight="1" x14ac:dyDescent="0.15">
      <c r="D113" s="226"/>
      <c r="E113" s="135"/>
      <c r="F113" s="198"/>
      <c r="G113" s="198"/>
    </row>
    <row r="114" spans="4:7" ht="12" customHeight="1" x14ac:dyDescent="0.15">
      <c r="D114" s="226"/>
      <c r="E114" s="135"/>
      <c r="F114" s="198"/>
      <c r="G114" s="198"/>
    </row>
    <row r="115" spans="4:7" ht="12" customHeight="1" x14ac:dyDescent="0.15">
      <c r="D115" s="226"/>
      <c r="E115" s="135"/>
      <c r="F115" s="198"/>
      <c r="G115" s="198"/>
    </row>
    <row r="116" spans="4:7" ht="12" customHeight="1" x14ac:dyDescent="0.15">
      <c r="D116" s="226"/>
      <c r="E116" s="135"/>
      <c r="F116" s="198"/>
      <c r="G116" s="198"/>
    </row>
    <row r="117" spans="4:7" ht="12" customHeight="1" x14ac:dyDescent="0.15">
      <c r="D117" s="226"/>
      <c r="E117" s="135"/>
      <c r="F117" s="198"/>
      <c r="G117" s="198"/>
    </row>
    <row r="118" spans="4:7" ht="12" customHeight="1" x14ac:dyDescent="0.15">
      <c r="D118" s="226"/>
      <c r="E118" s="135"/>
      <c r="F118" s="198"/>
      <c r="G118" s="198"/>
    </row>
    <row r="119" spans="4:7" ht="12" customHeight="1" x14ac:dyDescent="0.15">
      <c r="D119" s="226"/>
      <c r="E119" s="135"/>
      <c r="F119" s="198"/>
      <c r="G119" s="198"/>
    </row>
    <row r="120" spans="4:7" ht="12" customHeight="1" x14ac:dyDescent="0.15">
      <c r="D120" s="226"/>
      <c r="E120" s="135"/>
      <c r="F120" s="198"/>
      <c r="G120" s="198"/>
    </row>
    <row r="121" spans="4:7" ht="12" customHeight="1" x14ac:dyDescent="0.15">
      <c r="D121" s="226"/>
      <c r="E121" s="135"/>
      <c r="F121" s="198"/>
      <c r="G121" s="198"/>
    </row>
    <row r="122" spans="4:7" ht="12" customHeight="1" x14ac:dyDescent="0.15">
      <c r="D122" s="226"/>
      <c r="E122" s="135"/>
      <c r="F122" s="198"/>
      <c r="G122" s="198"/>
    </row>
    <row r="123" spans="4:7" ht="12" customHeight="1" x14ac:dyDescent="0.15">
      <c r="D123" s="226"/>
      <c r="E123" s="135"/>
      <c r="F123" s="198"/>
      <c r="G123" s="198"/>
    </row>
    <row r="124" spans="4:7" ht="12" customHeight="1" x14ac:dyDescent="0.15">
      <c r="D124" s="226"/>
      <c r="E124" s="135"/>
      <c r="F124" s="198"/>
      <c r="G124" s="198"/>
    </row>
    <row r="125" spans="4:7" ht="12" customHeight="1" x14ac:dyDescent="0.15">
      <c r="D125" s="226"/>
      <c r="E125" s="135"/>
      <c r="F125" s="198"/>
      <c r="G125" s="198"/>
    </row>
    <row r="126" spans="4:7" ht="12" customHeight="1" x14ac:dyDescent="0.15">
      <c r="D126" s="226"/>
      <c r="E126" s="135"/>
      <c r="F126" s="198"/>
      <c r="G126" s="198"/>
    </row>
    <row r="127" spans="4:7" ht="12" customHeight="1" x14ac:dyDescent="0.15">
      <c r="D127" s="226"/>
      <c r="E127" s="135"/>
      <c r="F127" s="198"/>
      <c r="G127" s="198"/>
    </row>
    <row r="128" spans="4:7" ht="12" customHeight="1" x14ac:dyDescent="0.15">
      <c r="D128" s="226"/>
      <c r="E128" s="135"/>
      <c r="F128" s="198"/>
      <c r="G128" s="198"/>
    </row>
    <row r="129" spans="4:7" ht="12" customHeight="1" x14ac:dyDescent="0.15">
      <c r="D129" s="226"/>
      <c r="E129" s="135"/>
      <c r="F129" s="198"/>
      <c r="G129" s="198"/>
    </row>
    <row r="130" spans="4:7" ht="12" customHeight="1" x14ac:dyDescent="0.15">
      <c r="D130" s="226"/>
      <c r="E130" s="135"/>
      <c r="F130" s="198"/>
      <c r="G130" s="198"/>
    </row>
    <row r="131" spans="4:7" ht="12" customHeight="1" x14ac:dyDescent="0.15">
      <c r="D131" s="226"/>
      <c r="E131" s="135"/>
      <c r="F131" s="198"/>
      <c r="G131" s="198"/>
    </row>
    <row r="132" spans="4:7" ht="12" customHeight="1" x14ac:dyDescent="0.15">
      <c r="D132" s="226"/>
      <c r="E132" s="135"/>
      <c r="F132" s="198"/>
      <c r="G132" s="198"/>
    </row>
    <row r="133" spans="4:7" ht="12" customHeight="1" x14ac:dyDescent="0.15">
      <c r="D133" s="226"/>
      <c r="E133" s="135"/>
      <c r="F133" s="198"/>
      <c r="G133" s="198"/>
    </row>
    <row r="134" spans="4:7" ht="12" customHeight="1" x14ac:dyDescent="0.15">
      <c r="D134" s="226"/>
      <c r="E134" s="135"/>
      <c r="F134" s="198"/>
      <c r="G134" s="198"/>
    </row>
    <row r="135" spans="4:7" ht="12" customHeight="1" x14ac:dyDescent="0.15">
      <c r="D135" s="226"/>
      <c r="E135" s="135"/>
      <c r="F135" s="198"/>
      <c r="G135" s="198"/>
    </row>
    <row r="136" spans="4:7" ht="12" customHeight="1" x14ac:dyDescent="0.15">
      <c r="D136" s="226"/>
      <c r="E136" s="135"/>
      <c r="F136" s="198"/>
      <c r="G136" s="198"/>
    </row>
    <row r="137" spans="4:7" ht="12" customHeight="1" x14ac:dyDescent="0.15">
      <c r="D137" s="226"/>
      <c r="E137" s="135"/>
      <c r="F137" s="198"/>
      <c r="G137" s="198"/>
    </row>
    <row r="138" spans="4:7" ht="12" customHeight="1" x14ac:dyDescent="0.15">
      <c r="D138" s="226"/>
      <c r="E138" s="135"/>
      <c r="F138" s="198"/>
      <c r="G138" s="198"/>
    </row>
    <row r="139" spans="4:7" ht="12" customHeight="1" x14ac:dyDescent="0.15">
      <c r="D139" s="226"/>
      <c r="E139" s="135"/>
      <c r="F139" s="198"/>
      <c r="G139" s="198"/>
    </row>
    <row r="140" spans="4:7" ht="12" customHeight="1" x14ac:dyDescent="0.15">
      <c r="D140" s="226"/>
      <c r="E140" s="135"/>
      <c r="F140" s="198"/>
      <c r="G140" s="198"/>
    </row>
    <row r="141" spans="4:7" ht="12" customHeight="1" x14ac:dyDescent="0.15">
      <c r="D141" s="226"/>
      <c r="E141" s="135"/>
      <c r="F141" s="198"/>
      <c r="G141" s="198"/>
    </row>
    <row r="142" spans="4:7" ht="12" customHeight="1" x14ac:dyDescent="0.15">
      <c r="D142" s="226"/>
      <c r="E142" s="135"/>
      <c r="F142" s="198"/>
      <c r="G142" s="198"/>
    </row>
    <row r="143" spans="4:7" ht="12" customHeight="1" x14ac:dyDescent="0.15">
      <c r="D143" s="226"/>
      <c r="E143" s="135"/>
      <c r="F143" s="198"/>
      <c r="G143" s="198"/>
    </row>
    <row r="144" spans="4:7" ht="12" customHeight="1" x14ac:dyDescent="0.15">
      <c r="D144" s="226"/>
      <c r="E144" s="135"/>
      <c r="F144" s="198"/>
      <c r="G144" s="198"/>
    </row>
    <row r="145" spans="4:7" ht="12" customHeight="1" x14ac:dyDescent="0.15">
      <c r="D145" s="226"/>
      <c r="E145" s="135"/>
      <c r="F145" s="198"/>
      <c r="G145" s="198"/>
    </row>
    <row r="146" spans="4:7" ht="12" customHeight="1" x14ac:dyDescent="0.15">
      <c r="D146" s="226"/>
      <c r="E146" s="135"/>
      <c r="F146" s="198"/>
      <c r="G146" s="198"/>
    </row>
    <row r="147" spans="4:7" ht="12" customHeight="1" x14ac:dyDescent="0.15">
      <c r="D147" s="226"/>
      <c r="E147" s="135"/>
      <c r="F147" s="198"/>
      <c r="G147" s="198"/>
    </row>
    <row r="148" spans="4:7" ht="12" customHeight="1" x14ac:dyDescent="0.15">
      <c r="D148" s="226"/>
      <c r="E148" s="135"/>
      <c r="F148" s="198"/>
      <c r="G148" s="198"/>
    </row>
    <row r="149" spans="4:7" ht="12" customHeight="1" x14ac:dyDescent="0.15">
      <c r="D149" s="226"/>
      <c r="E149" s="135"/>
      <c r="F149" s="198"/>
      <c r="G149" s="198"/>
    </row>
    <row r="150" spans="4:7" ht="12" customHeight="1" x14ac:dyDescent="0.15">
      <c r="D150" s="226"/>
      <c r="E150" s="135"/>
      <c r="F150" s="198"/>
      <c r="G150" s="198"/>
    </row>
    <row r="151" spans="4:7" ht="12" customHeight="1" x14ac:dyDescent="0.15">
      <c r="D151" s="226"/>
      <c r="E151" s="135"/>
      <c r="F151" s="198"/>
      <c r="G151" s="198"/>
    </row>
    <row r="152" spans="4:7" ht="12" customHeight="1" x14ac:dyDescent="0.15">
      <c r="D152" s="226"/>
      <c r="E152" s="135"/>
      <c r="F152" s="198"/>
      <c r="G152" s="198"/>
    </row>
    <row r="153" spans="4:7" ht="12" customHeight="1" x14ac:dyDescent="0.15">
      <c r="D153" s="226"/>
      <c r="E153" s="135"/>
      <c r="F153" s="198"/>
      <c r="G153" s="198"/>
    </row>
    <row r="154" spans="4:7" ht="12" customHeight="1" x14ac:dyDescent="0.15">
      <c r="D154" s="226"/>
      <c r="E154" s="135"/>
      <c r="F154" s="198"/>
      <c r="G154" s="198"/>
    </row>
    <row r="155" spans="4:7" ht="12" customHeight="1" x14ac:dyDescent="0.15">
      <c r="D155" s="226"/>
      <c r="E155" s="135"/>
      <c r="F155" s="198"/>
      <c r="G155" s="198"/>
    </row>
    <row r="156" spans="4:7" ht="12" customHeight="1" x14ac:dyDescent="0.15">
      <c r="D156" s="226"/>
      <c r="E156" s="135"/>
      <c r="F156" s="198"/>
      <c r="G156" s="198"/>
    </row>
    <row r="157" spans="4:7" ht="12" customHeight="1" x14ac:dyDescent="0.15">
      <c r="D157" s="226"/>
      <c r="E157" s="135"/>
      <c r="F157" s="198"/>
      <c r="G157" s="198"/>
    </row>
    <row r="158" spans="4:7" ht="12" customHeight="1" x14ac:dyDescent="0.15">
      <c r="D158" s="226"/>
      <c r="E158" s="135"/>
      <c r="F158" s="198"/>
      <c r="G158" s="198"/>
    </row>
    <row r="159" spans="4:7" ht="12" customHeight="1" x14ac:dyDescent="0.15">
      <c r="D159" s="226"/>
      <c r="E159" s="135"/>
      <c r="F159" s="198"/>
      <c r="G159" s="198"/>
    </row>
    <row r="160" spans="4:7" ht="12" customHeight="1" x14ac:dyDescent="0.15">
      <c r="D160" s="226"/>
      <c r="E160" s="135"/>
      <c r="F160" s="198"/>
      <c r="G160" s="198"/>
    </row>
    <row r="161" spans="4:7" ht="12" customHeight="1" x14ac:dyDescent="0.15">
      <c r="D161" s="226"/>
      <c r="E161" s="135"/>
      <c r="F161" s="198"/>
      <c r="G161" s="198"/>
    </row>
    <row r="162" spans="4:7" ht="12" customHeight="1" x14ac:dyDescent="0.15">
      <c r="D162" s="226"/>
      <c r="E162" s="135"/>
      <c r="F162" s="198"/>
      <c r="G162" s="198"/>
    </row>
    <row r="163" spans="4:7" ht="12" customHeight="1" x14ac:dyDescent="0.15">
      <c r="D163" s="226"/>
      <c r="E163" s="135"/>
      <c r="F163" s="198"/>
      <c r="G163" s="198"/>
    </row>
    <row r="164" spans="4:7" ht="12" customHeight="1" x14ac:dyDescent="0.15">
      <c r="D164" s="226"/>
      <c r="E164" s="135"/>
      <c r="F164" s="198"/>
      <c r="G164" s="198"/>
    </row>
    <row r="165" spans="4:7" ht="12" customHeight="1" x14ac:dyDescent="0.15">
      <c r="D165" s="226"/>
      <c r="E165" s="135"/>
      <c r="F165" s="198"/>
      <c r="G165" s="198"/>
    </row>
    <row r="166" spans="4:7" ht="12" customHeight="1" x14ac:dyDescent="0.15">
      <c r="D166" s="226"/>
      <c r="E166" s="135"/>
      <c r="F166" s="198"/>
      <c r="G166" s="198"/>
    </row>
    <row r="167" spans="4:7" ht="12" customHeight="1" x14ac:dyDescent="0.15">
      <c r="D167" s="226"/>
      <c r="E167" s="135"/>
      <c r="F167" s="198"/>
      <c r="G167" s="198"/>
    </row>
    <row r="168" spans="4:7" ht="12" customHeight="1" x14ac:dyDescent="0.15">
      <c r="D168" s="226"/>
      <c r="E168" s="135"/>
      <c r="F168" s="198"/>
      <c r="G168" s="198"/>
    </row>
    <row r="169" spans="4:7" ht="12" customHeight="1" x14ac:dyDescent="0.15">
      <c r="D169" s="226"/>
      <c r="E169" s="135"/>
      <c r="F169" s="198"/>
      <c r="G169" s="198"/>
    </row>
    <row r="170" spans="4:7" ht="12" customHeight="1" x14ac:dyDescent="0.15">
      <c r="D170" s="226"/>
      <c r="E170" s="135"/>
      <c r="F170" s="198"/>
      <c r="G170" s="198"/>
    </row>
    <row r="171" spans="4:7" ht="12" customHeight="1" x14ac:dyDescent="0.15">
      <c r="D171" s="226"/>
      <c r="E171" s="135"/>
      <c r="F171" s="198"/>
      <c r="G171" s="198"/>
    </row>
    <row r="172" spans="4:7" ht="12" customHeight="1" x14ac:dyDescent="0.15">
      <c r="D172" s="226"/>
      <c r="E172" s="135"/>
      <c r="F172" s="198"/>
      <c r="G172" s="198"/>
    </row>
    <row r="173" spans="4:7" ht="12" customHeight="1" x14ac:dyDescent="0.15">
      <c r="D173" s="226"/>
      <c r="E173" s="135"/>
      <c r="F173" s="198"/>
      <c r="G173" s="198"/>
    </row>
    <row r="174" spans="4:7" ht="12" customHeight="1" x14ac:dyDescent="0.15">
      <c r="D174" s="226"/>
      <c r="E174" s="135"/>
      <c r="F174" s="198"/>
      <c r="G174" s="198"/>
    </row>
    <row r="175" spans="4:7" ht="12" customHeight="1" x14ac:dyDescent="0.15">
      <c r="D175" s="226"/>
      <c r="E175" s="135"/>
      <c r="F175" s="198"/>
      <c r="G175" s="198"/>
    </row>
    <row r="176" spans="4:7" ht="12" customHeight="1" x14ac:dyDescent="0.15">
      <c r="D176" s="226"/>
      <c r="E176" s="135"/>
      <c r="F176" s="198"/>
      <c r="G176" s="198"/>
    </row>
    <row r="177" spans="4:7" ht="12" customHeight="1" x14ac:dyDescent="0.15">
      <c r="D177" s="226"/>
      <c r="E177" s="135"/>
      <c r="F177" s="198"/>
      <c r="G177" s="198"/>
    </row>
    <row r="178" spans="4:7" ht="12" customHeight="1" x14ac:dyDescent="0.15">
      <c r="D178" s="226"/>
      <c r="E178" s="135"/>
      <c r="F178" s="198"/>
      <c r="G178" s="198"/>
    </row>
    <row r="179" spans="4:7" ht="12" customHeight="1" x14ac:dyDescent="0.15">
      <c r="D179" s="226"/>
      <c r="E179" s="135"/>
      <c r="F179" s="198"/>
      <c r="G179" s="198"/>
    </row>
    <row r="180" spans="4:7" ht="12" customHeight="1" x14ac:dyDescent="0.15">
      <c r="D180" s="226"/>
      <c r="E180" s="135"/>
      <c r="F180" s="198"/>
      <c r="G180" s="198"/>
    </row>
    <row r="181" spans="4:7" ht="12" customHeight="1" x14ac:dyDescent="0.15">
      <c r="D181" s="226"/>
      <c r="E181" s="135"/>
      <c r="F181" s="198"/>
      <c r="G181" s="198"/>
    </row>
    <row r="182" spans="4:7" ht="12" customHeight="1" x14ac:dyDescent="0.15">
      <c r="D182" s="226"/>
      <c r="E182" s="135"/>
      <c r="F182" s="198"/>
      <c r="G182" s="198"/>
    </row>
    <row r="183" spans="4:7" ht="12" customHeight="1" x14ac:dyDescent="0.15">
      <c r="D183" s="226"/>
      <c r="E183" s="135"/>
      <c r="F183" s="198"/>
      <c r="G183" s="198"/>
    </row>
    <row r="184" spans="4:7" ht="12" customHeight="1" x14ac:dyDescent="0.15">
      <c r="D184" s="226"/>
      <c r="E184" s="135"/>
      <c r="F184" s="198"/>
      <c r="G184" s="198"/>
    </row>
    <row r="185" spans="4:7" ht="12" customHeight="1" x14ac:dyDescent="0.15">
      <c r="D185" s="226"/>
      <c r="E185" s="135"/>
      <c r="F185" s="198"/>
      <c r="G185" s="198"/>
    </row>
    <row r="186" spans="4:7" ht="12" customHeight="1" x14ac:dyDescent="0.15">
      <c r="D186" s="226"/>
      <c r="E186" s="135"/>
      <c r="F186" s="198"/>
      <c r="G186" s="198"/>
    </row>
    <row r="187" spans="4:7" ht="12" customHeight="1" x14ac:dyDescent="0.15">
      <c r="D187" s="226"/>
      <c r="E187" s="135"/>
      <c r="F187" s="198"/>
      <c r="G187" s="198"/>
    </row>
    <row r="188" spans="4:7" ht="12" customHeight="1" x14ac:dyDescent="0.15">
      <c r="D188" s="226"/>
      <c r="E188" s="135"/>
      <c r="F188" s="198"/>
      <c r="G188" s="198"/>
    </row>
    <row r="189" spans="4:7" ht="12" customHeight="1" x14ac:dyDescent="0.15">
      <c r="D189" s="226"/>
      <c r="E189" s="135"/>
      <c r="F189" s="198"/>
      <c r="G189" s="198"/>
    </row>
    <row r="190" spans="4:7" ht="12" customHeight="1" x14ac:dyDescent="0.15">
      <c r="D190" s="226"/>
      <c r="E190" s="135"/>
      <c r="F190" s="198"/>
      <c r="G190" s="198"/>
    </row>
    <row r="191" spans="4:7" ht="12" customHeight="1" x14ac:dyDescent="0.15">
      <c r="D191" s="226"/>
      <c r="E191" s="135"/>
      <c r="F191" s="198"/>
      <c r="G191" s="198"/>
    </row>
    <row r="192" spans="4:7" ht="12" customHeight="1" x14ac:dyDescent="0.15">
      <c r="D192" s="226"/>
      <c r="E192" s="135"/>
      <c r="F192" s="198"/>
      <c r="G192" s="198"/>
    </row>
    <row r="193" spans="4:7" ht="12" customHeight="1" x14ac:dyDescent="0.15">
      <c r="D193" s="226"/>
      <c r="E193" s="135"/>
      <c r="F193" s="198"/>
      <c r="G193" s="198"/>
    </row>
    <row r="194" spans="4:7" ht="12" customHeight="1" x14ac:dyDescent="0.15">
      <c r="D194" s="226"/>
      <c r="E194" s="135"/>
      <c r="F194" s="198"/>
      <c r="G194" s="198"/>
    </row>
    <row r="195" spans="4:7" ht="12" customHeight="1" x14ac:dyDescent="0.15">
      <c r="D195" s="226"/>
      <c r="E195" s="135"/>
      <c r="F195" s="198"/>
      <c r="G195" s="198"/>
    </row>
    <row r="196" spans="4:7" ht="12" customHeight="1" x14ac:dyDescent="0.15">
      <c r="D196" s="226"/>
      <c r="E196" s="135"/>
      <c r="F196" s="198"/>
      <c r="G196" s="198"/>
    </row>
    <row r="197" spans="4:7" ht="12" customHeight="1" x14ac:dyDescent="0.15">
      <c r="D197" s="226"/>
      <c r="E197" s="135"/>
      <c r="F197" s="198"/>
      <c r="G197" s="198"/>
    </row>
    <row r="198" spans="4:7" ht="12" customHeight="1" x14ac:dyDescent="0.15">
      <c r="D198" s="226"/>
      <c r="E198" s="135"/>
      <c r="F198" s="198"/>
      <c r="G198" s="198"/>
    </row>
    <row r="199" spans="4:7" ht="12" customHeight="1" x14ac:dyDescent="0.15">
      <c r="D199" s="226"/>
      <c r="E199" s="135"/>
      <c r="F199" s="198"/>
      <c r="G199" s="198"/>
    </row>
    <row r="200" spans="4:7" ht="12" customHeight="1" x14ac:dyDescent="0.15">
      <c r="D200" s="226"/>
      <c r="E200" s="135"/>
      <c r="F200" s="198"/>
      <c r="G200" s="198"/>
    </row>
    <row r="201" spans="4:7" ht="12" customHeight="1" x14ac:dyDescent="0.15">
      <c r="D201" s="226"/>
      <c r="E201" s="135"/>
      <c r="F201" s="198"/>
      <c r="G201" s="198"/>
    </row>
    <row r="202" spans="4:7" ht="12" customHeight="1" x14ac:dyDescent="0.15">
      <c r="D202" s="226"/>
      <c r="E202" s="135"/>
      <c r="F202" s="198"/>
      <c r="G202" s="198"/>
    </row>
    <row r="203" spans="4:7" ht="12" customHeight="1" x14ac:dyDescent="0.15">
      <c r="D203" s="226"/>
      <c r="E203" s="135"/>
      <c r="F203" s="198"/>
      <c r="G203" s="198"/>
    </row>
    <row r="204" spans="4:7" ht="12" customHeight="1" x14ac:dyDescent="0.15">
      <c r="D204" s="226"/>
      <c r="E204" s="135"/>
      <c r="F204" s="198"/>
      <c r="G204" s="198"/>
    </row>
    <row r="205" spans="4:7" ht="12" customHeight="1" x14ac:dyDescent="0.15">
      <c r="D205" s="226"/>
      <c r="E205" s="135"/>
      <c r="F205" s="198"/>
      <c r="G205" s="198"/>
    </row>
    <row r="206" spans="4:7" ht="12" customHeight="1" x14ac:dyDescent="0.15">
      <c r="D206" s="226"/>
      <c r="E206" s="135"/>
      <c r="F206" s="198"/>
      <c r="G206" s="198"/>
    </row>
    <row r="207" spans="4:7" ht="12" customHeight="1" x14ac:dyDescent="0.15">
      <c r="D207" s="226"/>
      <c r="E207" s="135"/>
      <c r="F207" s="198"/>
      <c r="G207" s="198"/>
    </row>
    <row r="208" spans="4:7" ht="12" customHeight="1" x14ac:dyDescent="0.15">
      <c r="D208" s="226"/>
      <c r="E208" s="135"/>
      <c r="F208" s="198"/>
      <c r="G208" s="198"/>
    </row>
    <row r="209" spans="4:7" ht="12" customHeight="1" x14ac:dyDescent="0.15">
      <c r="D209" s="226"/>
      <c r="E209" s="135"/>
      <c r="F209" s="198"/>
      <c r="G209" s="198"/>
    </row>
    <row r="210" spans="4:7" ht="12" customHeight="1" x14ac:dyDescent="0.15">
      <c r="D210" s="226"/>
      <c r="E210" s="135"/>
      <c r="F210" s="198"/>
      <c r="G210" s="198"/>
    </row>
    <row r="211" spans="4:7" ht="12" customHeight="1" x14ac:dyDescent="0.15">
      <c r="D211" s="226"/>
      <c r="E211" s="135"/>
      <c r="F211" s="198"/>
      <c r="G211" s="198"/>
    </row>
    <row r="212" spans="4:7" ht="12" customHeight="1" x14ac:dyDescent="0.15">
      <c r="D212" s="226"/>
      <c r="E212" s="135"/>
      <c r="F212" s="198"/>
      <c r="G212" s="198"/>
    </row>
    <row r="213" spans="4:7" ht="12" customHeight="1" x14ac:dyDescent="0.15">
      <c r="D213" s="226"/>
      <c r="E213" s="135"/>
      <c r="F213" s="198"/>
      <c r="G213" s="198"/>
    </row>
    <row r="214" spans="4:7" ht="12" customHeight="1" x14ac:dyDescent="0.15">
      <c r="D214" s="226"/>
      <c r="E214" s="135"/>
      <c r="F214" s="198"/>
      <c r="G214" s="198"/>
    </row>
    <row r="215" spans="4:7" ht="12" customHeight="1" x14ac:dyDescent="0.15">
      <c r="D215" s="226"/>
      <c r="E215" s="135"/>
      <c r="F215" s="198"/>
      <c r="G215" s="198"/>
    </row>
    <row r="216" spans="4:7" ht="12" customHeight="1" x14ac:dyDescent="0.15">
      <c r="D216" s="226"/>
      <c r="E216" s="135"/>
      <c r="F216" s="198"/>
      <c r="G216" s="198"/>
    </row>
    <row r="217" spans="4:7" ht="12" customHeight="1" x14ac:dyDescent="0.15">
      <c r="D217" s="226"/>
      <c r="E217" s="135"/>
      <c r="F217" s="198"/>
      <c r="G217" s="198"/>
    </row>
    <row r="218" spans="4:7" ht="12" customHeight="1" x14ac:dyDescent="0.15">
      <c r="D218" s="226"/>
      <c r="E218" s="135"/>
      <c r="F218" s="198"/>
      <c r="G218" s="198"/>
    </row>
    <row r="219" spans="4:7" ht="12" customHeight="1" x14ac:dyDescent="0.15">
      <c r="D219" s="226"/>
      <c r="E219" s="135"/>
      <c r="F219" s="198"/>
      <c r="G219" s="198"/>
    </row>
    <row r="220" spans="4:7" ht="12" customHeight="1" x14ac:dyDescent="0.15">
      <c r="D220" s="226"/>
      <c r="E220" s="135"/>
      <c r="F220" s="198"/>
      <c r="G220" s="198"/>
    </row>
    <row r="221" spans="4:7" ht="12" customHeight="1" x14ac:dyDescent="0.15">
      <c r="D221" s="226"/>
      <c r="E221" s="135"/>
      <c r="F221" s="198"/>
      <c r="G221" s="198"/>
    </row>
    <row r="222" spans="4:7" ht="12" customHeight="1" x14ac:dyDescent="0.15">
      <c r="D222" s="226"/>
      <c r="E222" s="135"/>
      <c r="F222" s="198"/>
      <c r="G222" s="198"/>
    </row>
    <row r="223" spans="4:7" ht="12" customHeight="1" x14ac:dyDescent="0.15">
      <c r="D223" s="226"/>
      <c r="E223" s="135"/>
      <c r="F223" s="198"/>
      <c r="G223" s="198"/>
    </row>
    <row r="224" spans="4:7" ht="12" customHeight="1" x14ac:dyDescent="0.15">
      <c r="D224" s="226"/>
      <c r="E224" s="135"/>
      <c r="F224" s="198"/>
      <c r="G224" s="198"/>
    </row>
    <row r="225" spans="4:7" ht="12" customHeight="1" x14ac:dyDescent="0.15">
      <c r="D225" s="226"/>
      <c r="E225" s="135"/>
      <c r="F225" s="198"/>
      <c r="G225" s="198"/>
    </row>
    <row r="226" spans="4:7" ht="12" customHeight="1" x14ac:dyDescent="0.15">
      <c r="D226" s="226"/>
      <c r="E226" s="135"/>
      <c r="F226" s="198"/>
      <c r="G226" s="198"/>
    </row>
    <row r="227" spans="4:7" ht="12" customHeight="1" x14ac:dyDescent="0.15">
      <c r="D227" s="226"/>
      <c r="E227" s="135"/>
      <c r="F227" s="198"/>
      <c r="G227" s="198"/>
    </row>
    <row r="228" spans="4:7" ht="12" customHeight="1" x14ac:dyDescent="0.15">
      <c r="D228" s="226"/>
      <c r="E228" s="135"/>
      <c r="F228" s="198"/>
      <c r="G228" s="198"/>
    </row>
    <row r="229" spans="4:7" ht="12" customHeight="1" x14ac:dyDescent="0.15">
      <c r="D229" s="226"/>
      <c r="E229" s="135"/>
      <c r="F229" s="198"/>
      <c r="G229" s="198"/>
    </row>
    <row r="230" spans="4:7" ht="12" customHeight="1" x14ac:dyDescent="0.15">
      <c r="D230" s="226"/>
      <c r="E230" s="135"/>
      <c r="F230" s="198"/>
      <c r="G230" s="198"/>
    </row>
    <row r="231" spans="4:7" ht="12" customHeight="1" x14ac:dyDescent="0.15">
      <c r="D231" s="226"/>
      <c r="E231" s="135"/>
      <c r="F231" s="198"/>
      <c r="G231" s="198"/>
    </row>
    <row r="232" spans="4:7" ht="12" customHeight="1" x14ac:dyDescent="0.15">
      <c r="D232" s="226"/>
      <c r="E232" s="135"/>
      <c r="F232" s="198"/>
      <c r="G232" s="198"/>
    </row>
    <row r="233" spans="4:7" ht="12" customHeight="1" x14ac:dyDescent="0.15">
      <c r="D233" s="226"/>
      <c r="E233" s="135"/>
      <c r="F233" s="198"/>
      <c r="G233" s="198"/>
    </row>
    <row r="234" spans="4:7" ht="12" customHeight="1" x14ac:dyDescent="0.15">
      <c r="D234" s="226"/>
      <c r="E234" s="135"/>
      <c r="F234" s="198"/>
      <c r="G234" s="198"/>
    </row>
    <row r="235" spans="4:7" ht="12" customHeight="1" x14ac:dyDescent="0.15">
      <c r="D235" s="226"/>
      <c r="E235" s="135"/>
      <c r="F235" s="198"/>
      <c r="G235" s="198"/>
    </row>
    <row r="236" spans="4:7" ht="12" customHeight="1" x14ac:dyDescent="0.15">
      <c r="D236" s="226"/>
      <c r="E236" s="135"/>
      <c r="F236" s="198"/>
      <c r="G236" s="198"/>
    </row>
    <row r="237" spans="4:7" ht="12" customHeight="1" x14ac:dyDescent="0.15">
      <c r="D237" s="226"/>
      <c r="E237" s="135"/>
      <c r="F237" s="198"/>
      <c r="G237" s="198"/>
    </row>
    <row r="238" spans="4:7" ht="12" customHeight="1" x14ac:dyDescent="0.15">
      <c r="D238" s="226"/>
      <c r="E238" s="135"/>
      <c r="F238" s="198"/>
      <c r="G238" s="198"/>
    </row>
    <row r="239" spans="4:7" ht="12" customHeight="1" x14ac:dyDescent="0.15">
      <c r="D239" s="226"/>
      <c r="E239" s="135"/>
      <c r="F239" s="198"/>
      <c r="G239" s="198"/>
    </row>
    <row r="240" spans="4:7" ht="12" customHeight="1" x14ac:dyDescent="0.15">
      <c r="D240" s="226"/>
      <c r="E240" s="135"/>
      <c r="F240" s="198"/>
      <c r="G240" s="198"/>
    </row>
    <row r="241" spans="4:7" ht="12" customHeight="1" x14ac:dyDescent="0.15">
      <c r="D241" s="226"/>
      <c r="E241" s="135"/>
      <c r="F241" s="198"/>
      <c r="G241" s="198"/>
    </row>
    <row r="242" spans="4:7" ht="12" customHeight="1" x14ac:dyDescent="0.15">
      <c r="D242" s="226"/>
      <c r="E242" s="135"/>
      <c r="F242" s="198"/>
      <c r="G242" s="198"/>
    </row>
    <row r="243" spans="4:7" ht="12" customHeight="1" x14ac:dyDescent="0.15">
      <c r="D243" s="226"/>
      <c r="E243" s="135"/>
      <c r="F243" s="198"/>
      <c r="G243" s="198"/>
    </row>
    <row r="244" spans="4:7" ht="12" customHeight="1" x14ac:dyDescent="0.15">
      <c r="D244" s="226"/>
      <c r="E244" s="135"/>
      <c r="F244" s="198"/>
      <c r="G244" s="198"/>
    </row>
    <row r="245" spans="4:7" ht="12" customHeight="1" x14ac:dyDescent="0.15">
      <c r="D245" s="226"/>
      <c r="E245" s="135"/>
      <c r="F245" s="198"/>
      <c r="G245" s="198"/>
    </row>
    <row r="246" spans="4:7" ht="12" customHeight="1" x14ac:dyDescent="0.15">
      <c r="D246" s="226"/>
      <c r="E246" s="135"/>
      <c r="F246" s="198"/>
      <c r="G246" s="198"/>
    </row>
    <row r="247" spans="4:7" ht="12" customHeight="1" x14ac:dyDescent="0.15">
      <c r="D247" s="226"/>
      <c r="E247" s="135"/>
      <c r="F247" s="198"/>
      <c r="G247" s="198"/>
    </row>
    <row r="248" spans="4:7" ht="12" customHeight="1" x14ac:dyDescent="0.15">
      <c r="D248" s="226"/>
      <c r="E248" s="135"/>
      <c r="F248" s="198"/>
      <c r="G248" s="198"/>
    </row>
    <row r="249" spans="4:7" ht="12" customHeight="1" x14ac:dyDescent="0.15">
      <c r="D249" s="226"/>
      <c r="E249" s="135"/>
      <c r="F249" s="198"/>
      <c r="G249" s="198"/>
    </row>
    <row r="250" spans="4:7" ht="12" customHeight="1" x14ac:dyDescent="0.15">
      <c r="D250" s="226"/>
      <c r="E250" s="135"/>
      <c r="F250" s="198"/>
      <c r="G250" s="198"/>
    </row>
    <row r="251" spans="4:7" ht="12" customHeight="1" x14ac:dyDescent="0.15">
      <c r="D251" s="226"/>
      <c r="E251" s="135"/>
      <c r="F251" s="198"/>
      <c r="G251" s="198"/>
    </row>
    <row r="252" spans="4:7" ht="12" customHeight="1" x14ac:dyDescent="0.15">
      <c r="D252" s="226"/>
      <c r="E252" s="135"/>
      <c r="F252" s="198"/>
      <c r="G252" s="198"/>
    </row>
    <row r="253" spans="4:7" ht="12" customHeight="1" x14ac:dyDescent="0.15">
      <c r="D253" s="226"/>
      <c r="E253" s="135"/>
      <c r="F253" s="198"/>
      <c r="G253" s="198"/>
    </row>
    <row r="254" spans="4:7" ht="12" customHeight="1" x14ac:dyDescent="0.15">
      <c r="D254" s="226"/>
      <c r="E254" s="135"/>
      <c r="F254" s="198"/>
      <c r="G254" s="198"/>
    </row>
    <row r="255" spans="4:7" ht="12" customHeight="1" x14ac:dyDescent="0.15">
      <c r="D255" s="226"/>
      <c r="E255" s="135"/>
      <c r="F255" s="198"/>
      <c r="G255" s="198"/>
    </row>
    <row r="256" spans="4:7" ht="12" customHeight="1" x14ac:dyDescent="0.15">
      <c r="D256" s="226"/>
      <c r="E256" s="135"/>
      <c r="F256" s="198"/>
      <c r="G256" s="198"/>
    </row>
    <row r="257" spans="4:7" ht="12" customHeight="1" x14ac:dyDescent="0.15">
      <c r="D257" s="226"/>
      <c r="E257" s="135"/>
      <c r="F257" s="198"/>
      <c r="G257" s="198"/>
    </row>
    <row r="258" spans="4:7" ht="12" customHeight="1" x14ac:dyDescent="0.15">
      <c r="D258" s="226"/>
      <c r="E258" s="135"/>
      <c r="F258" s="198"/>
      <c r="G258" s="198"/>
    </row>
    <row r="259" spans="4:7" ht="12" customHeight="1" x14ac:dyDescent="0.15">
      <c r="D259" s="226"/>
      <c r="E259" s="135"/>
      <c r="F259" s="198"/>
      <c r="G259" s="198"/>
    </row>
    <row r="260" spans="4:7" ht="12" customHeight="1" x14ac:dyDescent="0.15">
      <c r="D260" s="226"/>
      <c r="E260" s="135"/>
      <c r="F260" s="198"/>
      <c r="G260" s="198"/>
    </row>
    <row r="261" spans="4:7" ht="12" customHeight="1" x14ac:dyDescent="0.15">
      <c r="D261" s="226"/>
      <c r="E261" s="135"/>
      <c r="F261" s="198"/>
      <c r="G261" s="198"/>
    </row>
    <row r="262" spans="4:7" ht="12" customHeight="1" x14ac:dyDescent="0.15">
      <c r="D262" s="226"/>
      <c r="E262" s="135"/>
      <c r="F262" s="198"/>
      <c r="G262" s="198"/>
    </row>
    <row r="263" spans="4:7" ht="12" customHeight="1" x14ac:dyDescent="0.15">
      <c r="D263" s="226"/>
      <c r="E263" s="135"/>
      <c r="F263" s="198"/>
      <c r="G263" s="198"/>
    </row>
    <row r="264" spans="4:7" ht="12" customHeight="1" x14ac:dyDescent="0.15">
      <c r="D264" s="226"/>
      <c r="E264" s="135"/>
      <c r="F264" s="198"/>
      <c r="G264" s="198"/>
    </row>
    <row r="265" spans="4:7" ht="12" customHeight="1" x14ac:dyDescent="0.15">
      <c r="D265" s="226"/>
      <c r="E265" s="135"/>
      <c r="F265" s="198"/>
      <c r="G265" s="198"/>
    </row>
    <row r="266" spans="4:7" ht="12" customHeight="1" x14ac:dyDescent="0.15">
      <c r="D266" s="226"/>
      <c r="E266" s="135"/>
      <c r="F266" s="198"/>
      <c r="G266" s="198"/>
    </row>
    <row r="267" spans="4:7" ht="12" customHeight="1" x14ac:dyDescent="0.15">
      <c r="D267" s="226"/>
      <c r="E267" s="135"/>
      <c r="F267" s="198"/>
      <c r="G267" s="198"/>
    </row>
    <row r="268" spans="4:7" ht="12" customHeight="1" x14ac:dyDescent="0.15">
      <c r="D268" s="226"/>
      <c r="E268" s="135"/>
      <c r="F268" s="198"/>
      <c r="G268" s="198"/>
    </row>
    <row r="269" spans="4:7" ht="12" customHeight="1" x14ac:dyDescent="0.15">
      <c r="D269" s="226"/>
      <c r="E269" s="135"/>
      <c r="F269" s="198"/>
      <c r="G269" s="198"/>
    </row>
    <row r="270" spans="4:7" ht="12" customHeight="1" x14ac:dyDescent="0.15">
      <c r="D270" s="226"/>
      <c r="E270" s="135"/>
      <c r="F270" s="198"/>
      <c r="G270" s="198"/>
    </row>
    <row r="271" spans="4:7" ht="12" customHeight="1" x14ac:dyDescent="0.15">
      <c r="D271" s="226"/>
      <c r="E271" s="135"/>
      <c r="F271" s="198"/>
      <c r="G271" s="198"/>
    </row>
    <row r="272" spans="4:7" ht="12" customHeight="1" x14ac:dyDescent="0.15">
      <c r="D272" s="226"/>
      <c r="E272" s="135"/>
      <c r="F272" s="198"/>
      <c r="G272" s="198"/>
    </row>
    <row r="273" spans="4:7" ht="12" customHeight="1" x14ac:dyDescent="0.15">
      <c r="D273" s="226"/>
      <c r="E273" s="135"/>
      <c r="F273" s="198"/>
      <c r="G273" s="198"/>
    </row>
    <row r="274" spans="4:7" ht="12" customHeight="1" x14ac:dyDescent="0.15">
      <c r="D274" s="226"/>
      <c r="E274" s="135"/>
      <c r="F274" s="198"/>
      <c r="G274" s="198"/>
    </row>
    <row r="275" spans="4:7" ht="12" customHeight="1" x14ac:dyDescent="0.15">
      <c r="D275" s="226"/>
      <c r="E275" s="135"/>
      <c r="F275" s="198"/>
      <c r="G275" s="198"/>
    </row>
    <row r="276" spans="4:7" ht="12" customHeight="1" x14ac:dyDescent="0.15">
      <c r="D276" s="226"/>
      <c r="E276" s="135"/>
      <c r="F276" s="198"/>
      <c r="G276" s="198"/>
    </row>
    <row r="277" spans="4:7" ht="12" customHeight="1" x14ac:dyDescent="0.15">
      <c r="D277" s="226"/>
      <c r="E277" s="135"/>
      <c r="F277" s="198"/>
      <c r="G277" s="198"/>
    </row>
    <row r="278" spans="4:7" ht="12" customHeight="1" x14ac:dyDescent="0.15">
      <c r="D278" s="226"/>
      <c r="E278" s="135"/>
      <c r="F278" s="198"/>
      <c r="G278" s="198"/>
    </row>
    <row r="279" spans="4:7" ht="12" customHeight="1" x14ac:dyDescent="0.15">
      <c r="D279" s="226"/>
      <c r="E279" s="135"/>
      <c r="F279" s="198"/>
      <c r="G279" s="198"/>
    </row>
    <row r="280" spans="4:7" ht="12" customHeight="1" x14ac:dyDescent="0.15">
      <c r="D280" s="226"/>
      <c r="E280" s="135"/>
      <c r="F280" s="198"/>
      <c r="G280" s="198"/>
    </row>
    <row r="281" spans="4:7" ht="12" customHeight="1" x14ac:dyDescent="0.15">
      <c r="D281" s="226"/>
      <c r="E281" s="135"/>
      <c r="F281" s="198"/>
      <c r="G281" s="198"/>
    </row>
    <row r="282" spans="4:7" ht="12" customHeight="1" x14ac:dyDescent="0.15">
      <c r="D282" s="226"/>
      <c r="E282" s="135"/>
      <c r="F282" s="198"/>
      <c r="G282" s="198"/>
    </row>
    <row r="283" spans="4:7" ht="12" customHeight="1" x14ac:dyDescent="0.15">
      <c r="D283" s="226"/>
      <c r="E283" s="135"/>
      <c r="F283" s="198"/>
      <c r="G283" s="198"/>
    </row>
    <row r="284" spans="4:7" ht="12" customHeight="1" x14ac:dyDescent="0.15">
      <c r="D284" s="226"/>
      <c r="E284" s="135"/>
      <c r="F284" s="198"/>
      <c r="G284" s="198"/>
    </row>
    <row r="285" spans="4:7" ht="12" customHeight="1" x14ac:dyDescent="0.15">
      <c r="D285" s="226"/>
      <c r="E285" s="135"/>
      <c r="F285" s="198"/>
      <c r="G285" s="198"/>
    </row>
    <row r="286" spans="4:7" ht="12" customHeight="1" x14ac:dyDescent="0.15">
      <c r="D286" s="226"/>
      <c r="E286" s="135"/>
      <c r="F286" s="198"/>
      <c r="G286" s="198"/>
    </row>
    <row r="287" spans="4:7" ht="12" customHeight="1" x14ac:dyDescent="0.15">
      <c r="D287" s="226"/>
      <c r="E287" s="135"/>
      <c r="F287" s="198"/>
      <c r="G287" s="198"/>
    </row>
    <row r="288" spans="4:7" ht="12" customHeight="1" x14ac:dyDescent="0.15">
      <c r="D288" s="226"/>
      <c r="E288" s="135"/>
      <c r="F288" s="198"/>
      <c r="G288" s="198"/>
    </row>
    <row r="289" spans="4:7" ht="12" customHeight="1" x14ac:dyDescent="0.15">
      <c r="D289" s="226"/>
      <c r="E289" s="135"/>
      <c r="F289" s="198"/>
      <c r="G289" s="198"/>
    </row>
    <row r="290" spans="4:7" ht="12" customHeight="1" x14ac:dyDescent="0.15">
      <c r="D290" s="226"/>
      <c r="E290" s="135"/>
      <c r="F290" s="198"/>
      <c r="G290" s="198"/>
    </row>
    <row r="291" spans="4:7" ht="12" customHeight="1" x14ac:dyDescent="0.15">
      <c r="D291" s="226"/>
      <c r="E291" s="135"/>
      <c r="F291" s="198"/>
      <c r="G291" s="198"/>
    </row>
    <row r="292" spans="4:7" ht="12" customHeight="1" x14ac:dyDescent="0.15">
      <c r="D292" s="226"/>
      <c r="E292" s="135"/>
      <c r="F292" s="198"/>
      <c r="G292" s="198"/>
    </row>
    <row r="293" spans="4:7" ht="12" customHeight="1" x14ac:dyDescent="0.15">
      <c r="D293" s="226"/>
      <c r="E293" s="135"/>
      <c r="F293" s="198"/>
      <c r="G293" s="198"/>
    </row>
    <row r="294" spans="4:7" ht="12" customHeight="1" x14ac:dyDescent="0.15">
      <c r="D294" s="226"/>
      <c r="E294" s="135"/>
      <c r="F294" s="198"/>
      <c r="G294" s="198"/>
    </row>
    <row r="295" spans="4:7" ht="12" customHeight="1" x14ac:dyDescent="0.15">
      <c r="D295" s="226"/>
      <c r="E295" s="135"/>
      <c r="F295" s="198"/>
      <c r="G295" s="198"/>
    </row>
    <row r="296" spans="4:7" ht="12" customHeight="1" x14ac:dyDescent="0.15">
      <c r="D296" s="226"/>
      <c r="E296" s="135"/>
      <c r="F296" s="198"/>
      <c r="G296" s="198"/>
    </row>
    <row r="297" spans="4:7" ht="12" customHeight="1" x14ac:dyDescent="0.15">
      <c r="D297" s="226"/>
      <c r="E297" s="135"/>
      <c r="F297" s="198"/>
      <c r="G297" s="198"/>
    </row>
    <row r="298" spans="4:7" ht="12" customHeight="1" x14ac:dyDescent="0.15">
      <c r="D298" s="226"/>
      <c r="E298" s="135"/>
      <c r="F298" s="198"/>
      <c r="G298" s="198"/>
    </row>
    <row r="299" spans="4:7" ht="12" customHeight="1" x14ac:dyDescent="0.15">
      <c r="D299" s="226"/>
      <c r="E299" s="135"/>
      <c r="F299" s="198"/>
      <c r="G299" s="198"/>
    </row>
    <row r="300" spans="4:7" ht="12" customHeight="1" x14ac:dyDescent="0.15">
      <c r="D300" s="226"/>
      <c r="E300" s="135"/>
      <c r="F300" s="198"/>
      <c r="G300" s="198"/>
    </row>
    <row r="301" spans="4:7" ht="12" customHeight="1" x14ac:dyDescent="0.15">
      <c r="D301" s="226"/>
      <c r="E301" s="135"/>
      <c r="F301" s="198"/>
      <c r="G301" s="198"/>
    </row>
    <row r="302" spans="4:7" ht="12" customHeight="1" x14ac:dyDescent="0.15">
      <c r="D302" s="226"/>
      <c r="E302" s="135"/>
      <c r="F302" s="198"/>
      <c r="G302" s="198"/>
    </row>
    <row r="303" spans="4:7" ht="12" customHeight="1" x14ac:dyDescent="0.15">
      <c r="D303" s="226"/>
      <c r="E303" s="135"/>
      <c r="F303" s="198"/>
      <c r="G303" s="198"/>
    </row>
    <row r="304" spans="4:7" ht="12" customHeight="1" x14ac:dyDescent="0.15">
      <c r="D304" s="226"/>
      <c r="E304" s="135"/>
      <c r="F304" s="198"/>
      <c r="G304" s="198"/>
    </row>
    <row r="305" spans="4:7" ht="12" customHeight="1" x14ac:dyDescent="0.15">
      <c r="D305" s="226"/>
      <c r="E305" s="135"/>
      <c r="F305" s="198"/>
      <c r="G305" s="198"/>
    </row>
    <row r="306" spans="4:7" ht="12" customHeight="1" x14ac:dyDescent="0.15">
      <c r="D306" s="226"/>
      <c r="E306" s="135"/>
      <c r="F306" s="198"/>
      <c r="G306" s="198"/>
    </row>
    <row r="307" spans="4:7" ht="12" customHeight="1" x14ac:dyDescent="0.15">
      <c r="D307" s="226"/>
      <c r="E307" s="135"/>
      <c r="F307" s="198"/>
      <c r="G307" s="198"/>
    </row>
    <row r="308" spans="4:7" ht="12" customHeight="1" x14ac:dyDescent="0.15">
      <c r="D308" s="226"/>
      <c r="E308" s="135"/>
      <c r="F308" s="198"/>
      <c r="G308" s="198"/>
    </row>
    <row r="309" spans="4:7" ht="12" customHeight="1" x14ac:dyDescent="0.15">
      <c r="D309" s="226"/>
      <c r="E309" s="135"/>
      <c r="F309" s="198"/>
      <c r="G309" s="198"/>
    </row>
    <row r="310" spans="4:7" ht="12" customHeight="1" x14ac:dyDescent="0.15">
      <c r="D310" s="226"/>
      <c r="E310" s="135"/>
      <c r="F310" s="198"/>
      <c r="G310" s="198"/>
    </row>
    <row r="311" spans="4:7" ht="12" customHeight="1" x14ac:dyDescent="0.15">
      <c r="D311" s="226"/>
      <c r="E311" s="135"/>
      <c r="F311" s="198"/>
      <c r="G311" s="198"/>
    </row>
    <row r="312" spans="4:7" ht="12" customHeight="1" x14ac:dyDescent="0.15">
      <c r="D312" s="226"/>
      <c r="E312" s="135"/>
      <c r="F312" s="198"/>
      <c r="G312" s="198"/>
    </row>
    <row r="313" spans="4:7" ht="12" customHeight="1" x14ac:dyDescent="0.15">
      <c r="D313" s="226"/>
      <c r="E313" s="135"/>
      <c r="F313" s="198"/>
      <c r="G313" s="198"/>
    </row>
    <row r="314" spans="4:7" ht="12" customHeight="1" x14ac:dyDescent="0.15">
      <c r="D314" s="226"/>
      <c r="E314" s="135"/>
      <c r="F314" s="198"/>
      <c r="G314" s="198"/>
    </row>
    <row r="315" spans="4:7" ht="12" customHeight="1" x14ac:dyDescent="0.15">
      <c r="D315" s="226"/>
      <c r="E315" s="135"/>
      <c r="F315" s="198"/>
      <c r="G315" s="198"/>
    </row>
    <row r="316" spans="4:7" ht="12" customHeight="1" x14ac:dyDescent="0.15">
      <c r="D316" s="226"/>
      <c r="E316" s="135"/>
      <c r="F316" s="198"/>
      <c r="G316" s="198"/>
    </row>
    <row r="317" spans="4:7" ht="12" customHeight="1" x14ac:dyDescent="0.15">
      <c r="D317" s="226"/>
      <c r="E317" s="135"/>
      <c r="F317" s="198"/>
      <c r="G317" s="198"/>
    </row>
    <row r="318" spans="4:7" ht="12" customHeight="1" x14ac:dyDescent="0.15">
      <c r="D318" s="226"/>
      <c r="E318" s="135"/>
      <c r="F318" s="198"/>
      <c r="G318" s="198"/>
    </row>
    <row r="319" spans="4:7" ht="12" customHeight="1" x14ac:dyDescent="0.15">
      <c r="D319" s="226"/>
      <c r="E319" s="135"/>
      <c r="F319" s="198"/>
      <c r="G319" s="198"/>
    </row>
    <row r="320" spans="4:7" ht="12" customHeight="1" x14ac:dyDescent="0.15">
      <c r="D320" s="226"/>
      <c r="E320" s="135"/>
      <c r="F320" s="198"/>
      <c r="G320" s="198"/>
    </row>
    <row r="321" spans="4:7" ht="12" customHeight="1" x14ac:dyDescent="0.15">
      <c r="D321" s="226"/>
      <c r="E321" s="135"/>
      <c r="F321" s="198"/>
      <c r="G321" s="198"/>
    </row>
    <row r="322" spans="4:7" ht="12" customHeight="1" x14ac:dyDescent="0.15">
      <c r="D322" s="226"/>
      <c r="E322" s="135"/>
      <c r="F322" s="198"/>
      <c r="G322" s="198"/>
    </row>
    <row r="323" spans="4:7" ht="12" customHeight="1" x14ac:dyDescent="0.15">
      <c r="D323" s="226"/>
      <c r="E323" s="135"/>
      <c r="F323" s="198"/>
      <c r="G323" s="198"/>
    </row>
    <row r="324" spans="4:7" ht="12" customHeight="1" x14ac:dyDescent="0.15">
      <c r="D324" s="226"/>
      <c r="E324" s="135"/>
      <c r="F324" s="198"/>
      <c r="G324" s="198"/>
    </row>
    <row r="325" spans="4:7" ht="12" customHeight="1" x14ac:dyDescent="0.15">
      <c r="D325" s="226"/>
      <c r="E325" s="135"/>
      <c r="F325" s="198"/>
      <c r="G325" s="198"/>
    </row>
    <row r="326" spans="4:7" ht="12" customHeight="1" x14ac:dyDescent="0.15">
      <c r="D326" s="226"/>
      <c r="E326" s="135"/>
      <c r="F326" s="198"/>
      <c r="G326" s="198"/>
    </row>
    <row r="327" spans="4:7" ht="12" customHeight="1" x14ac:dyDescent="0.15">
      <c r="D327" s="226"/>
      <c r="E327" s="135"/>
      <c r="F327" s="198"/>
      <c r="G327" s="198"/>
    </row>
    <row r="328" spans="4:7" ht="12" customHeight="1" x14ac:dyDescent="0.15">
      <c r="D328" s="226"/>
      <c r="E328" s="135"/>
      <c r="F328" s="198"/>
      <c r="G328" s="198"/>
    </row>
    <row r="329" spans="4:7" ht="12" customHeight="1" x14ac:dyDescent="0.15">
      <c r="D329" s="226"/>
      <c r="E329" s="135"/>
      <c r="F329" s="198"/>
      <c r="G329" s="198"/>
    </row>
    <row r="330" spans="4:7" ht="12" customHeight="1" x14ac:dyDescent="0.15">
      <c r="D330" s="226"/>
      <c r="E330" s="135"/>
      <c r="F330" s="198"/>
      <c r="G330" s="198"/>
    </row>
    <row r="331" spans="4:7" ht="12" customHeight="1" x14ac:dyDescent="0.15">
      <c r="D331" s="226"/>
      <c r="E331" s="135"/>
      <c r="F331" s="198"/>
      <c r="G331" s="198"/>
    </row>
    <row r="332" spans="4:7" ht="12" customHeight="1" x14ac:dyDescent="0.15">
      <c r="D332" s="226"/>
      <c r="E332" s="135"/>
      <c r="F332" s="198"/>
      <c r="G332" s="198"/>
    </row>
    <row r="333" spans="4:7" ht="12" customHeight="1" x14ac:dyDescent="0.15">
      <c r="D333" s="226"/>
      <c r="E333" s="135"/>
      <c r="F333" s="198"/>
      <c r="G333" s="198"/>
    </row>
    <row r="334" spans="4:7" ht="12" customHeight="1" x14ac:dyDescent="0.15">
      <c r="D334" s="226"/>
      <c r="E334" s="135"/>
      <c r="F334" s="198"/>
      <c r="G334" s="198"/>
    </row>
    <row r="335" spans="4:7" ht="12" customHeight="1" x14ac:dyDescent="0.15">
      <c r="D335" s="226"/>
      <c r="E335" s="135"/>
      <c r="F335" s="198"/>
      <c r="G335" s="198"/>
    </row>
    <row r="336" spans="4:7" ht="12" customHeight="1" x14ac:dyDescent="0.15">
      <c r="D336" s="226"/>
      <c r="E336" s="135"/>
      <c r="F336" s="198"/>
      <c r="G336" s="198"/>
    </row>
    <row r="337" spans="4:7" ht="12" customHeight="1" x14ac:dyDescent="0.15">
      <c r="D337" s="226"/>
      <c r="E337" s="135"/>
      <c r="F337" s="198"/>
      <c r="G337" s="198"/>
    </row>
    <row r="338" spans="4:7" ht="12" customHeight="1" x14ac:dyDescent="0.15">
      <c r="D338" s="226"/>
      <c r="E338" s="135"/>
      <c r="F338" s="198"/>
      <c r="G338" s="198"/>
    </row>
    <row r="339" spans="4:7" ht="12" customHeight="1" x14ac:dyDescent="0.15">
      <c r="D339" s="226"/>
      <c r="E339" s="135"/>
      <c r="F339" s="198"/>
      <c r="G339" s="198"/>
    </row>
    <row r="340" spans="4:7" ht="12" customHeight="1" x14ac:dyDescent="0.15">
      <c r="D340" s="226"/>
      <c r="E340" s="135"/>
      <c r="F340" s="198"/>
      <c r="G340" s="198"/>
    </row>
    <row r="341" spans="4:7" ht="12" customHeight="1" x14ac:dyDescent="0.15">
      <c r="D341" s="226"/>
      <c r="E341" s="135"/>
      <c r="F341" s="198"/>
      <c r="G341" s="198"/>
    </row>
    <row r="342" spans="4:7" ht="12" customHeight="1" x14ac:dyDescent="0.15">
      <c r="D342" s="226"/>
      <c r="E342" s="135"/>
      <c r="F342" s="198"/>
      <c r="G342" s="198"/>
    </row>
    <row r="343" spans="4:7" ht="12" customHeight="1" x14ac:dyDescent="0.15">
      <c r="D343" s="226"/>
      <c r="E343" s="135"/>
      <c r="F343" s="198"/>
      <c r="G343" s="198"/>
    </row>
    <row r="344" spans="4:7" ht="12" customHeight="1" x14ac:dyDescent="0.15">
      <c r="D344" s="226"/>
      <c r="E344" s="135"/>
      <c r="F344" s="198"/>
      <c r="G344" s="198"/>
    </row>
    <row r="345" spans="4:7" ht="12" customHeight="1" x14ac:dyDescent="0.15">
      <c r="D345" s="226"/>
      <c r="E345" s="135"/>
      <c r="F345" s="198"/>
      <c r="G345" s="198"/>
    </row>
    <row r="346" spans="4:7" ht="12" customHeight="1" x14ac:dyDescent="0.15">
      <c r="D346" s="226"/>
      <c r="E346" s="135"/>
      <c r="F346" s="198"/>
      <c r="G346" s="198"/>
    </row>
    <row r="347" spans="4:7" ht="12" customHeight="1" x14ac:dyDescent="0.15">
      <c r="D347" s="226"/>
      <c r="E347" s="135"/>
      <c r="F347" s="198"/>
      <c r="G347" s="198"/>
    </row>
    <row r="348" spans="4:7" ht="12" customHeight="1" x14ac:dyDescent="0.15">
      <c r="D348" s="226"/>
      <c r="E348" s="135"/>
      <c r="F348" s="198"/>
      <c r="G348" s="198"/>
    </row>
    <row r="349" spans="4:7" ht="12" customHeight="1" x14ac:dyDescent="0.15">
      <c r="D349" s="226"/>
      <c r="E349" s="135"/>
      <c r="F349" s="198"/>
      <c r="G349" s="198"/>
    </row>
    <row r="350" spans="4:7" ht="12" customHeight="1" x14ac:dyDescent="0.15">
      <c r="D350" s="226"/>
      <c r="E350" s="135"/>
      <c r="F350" s="198"/>
      <c r="G350" s="198"/>
    </row>
    <row r="351" spans="4:7" ht="12" customHeight="1" x14ac:dyDescent="0.15">
      <c r="D351" s="226"/>
      <c r="E351" s="135"/>
      <c r="F351" s="198"/>
      <c r="G351" s="198"/>
    </row>
    <row r="352" spans="4:7" ht="12" customHeight="1" x14ac:dyDescent="0.15">
      <c r="D352" s="226"/>
      <c r="E352" s="135"/>
      <c r="F352" s="198"/>
      <c r="G352" s="198"/>
    </row>
    <row r="353" spans="4:7" ht="12" customHeight="1" x14ac:dyDescent="0.15">
      <c r="D353" s="226"/>
      <c r="E353" s="135"/>
      <c r="F353" s="198"/>
      <c r="G353" s="198"/>
    </row>
    <row r="354" spans="4:7" ht="12" customHeight="1" x14ac:dyDescent="0.15">
      <c r="D354" s="226"/>
      <c r="E354" s="135"/>
      <c r="F354" s="198"/>
      <c r="G354" s="198"/>
    </row>
    <row r="355" spans="4:7" ht="12" customHeight="1" x14ac:dyDescent="0.15">
      <c r="D355" s="226"/>
      <c r="E355" s="135"/>
      <c r="F355" s="198"/>
      <c r="G355" s="198"/>
    </row>
    <row r="356" spans="4:7" ht="12" customHeight="1" x14ac:dyDescent="0.15">
      <c r="D356" s="226"/>
      <c r="E356" s="135"/>
      <c r="F356" s="198"/>
      <c r="G356" s="198"/>
    </row>
    <row r="357" spans="4:7" ht="12" customHeight="1" x14ac:dyDescent="0.15">
      <c r="D357" s="226"/>
      <c r="E357" s="135"/>
      <c r="F357" s="198"/>
      <c r="G357" s="198"/>
    </row>
    <row r="358" spans="4:7" ht="12" customHeight="1" x14ac:dyDescent="0.15">
      <c r="D358" s="226"/>
      <c r="E358" s="135"/>
      <c r="F358" s="198"/>
      <c r="G358" s="198"/>
    </row>
    <row r="359" spans="4:7" ht="12" customHeight="1" x14ac:dyDescent="0.15">
      <c r="D359" s="226"/>
      <c r="E359" s="135"/>
      <c r="F359" s="198"/>
      <c r="G359" s="198"/>
    </row>
    <row r="360" spans="4:7" ht="12" customHeight="1" x14ac:dyDescent="0.15">
      <c r="D360" s="226"/>
      <c r="E360" s="135"/>
      <c r="F360" s="198"/>
      <c r="G360" s="198"/>
    </row>
    <row r="361" spans="4:7" ht="12" customHeight="1" x14ac:dyDescent="0.15">
      <c r="D361" s="226"/>
      <c r="E361" s="135"/>
      <c r="F361" s="198"/>
      <c r="G361" s="198"/>
    </row>
    <row r="362" spans="4:7" ht="12" customHeight="1" x14ac:dyDescent="0.15">
      <c r="D362" s="226"/>
      <c r="E362" s="135"/>
      <c r="F362" s="198"/>
      <c r="G362" s="198"/>
    </row>
    <row r="363" spans="4:7" ht="12" customHeight="1" x14ac:dyDescent="0.15">
      <c r="D363" s="226"/>
      <c r="E363" s="135"/>
      <c r="F363" s="198"/>
      <c r="G363" s="198"/>
    </row>
    <row r="364" spans="4:7" ht="12" customHeight="1" x14ac:dyDescent="0.15">
      <c r="D364" s="226"/>
      <c r="E364" s="135"/>
      <c r="F364" s="198"/>
      <c r="G364" s="198"/>
    </row>
    <row r="365" spans="4:7" ht="12" customHeight="1" x14ac:dyDescent="0.15">
      <c r="D365" s="226"/>
      <c r="E365" s="135"/>
      <c r="F365" s="198"/>
      <c r="G365" s="198"/>
    </row>
    <row r="366" spans="4:7" ht="12" customHeight="1" x14ac:dyDescent="0.15">
      <c r="D366" s="226"/>
      <c r="E366" s="135"/>
      <c r="F366" s="198"/>
      <c r="G366" s="198"/>
    </row>
    <row r="367" spans="4:7" ht="12" customHeight="1" x14ac:dyDescent="0.15">
      <c r="D367" s="226"/>
      <c r="E367" s="135"/>
      <c r="F367" s="198"/>
      <c r="G367" s="198"/>
    </row>
    <row r="368" spans="4:7" ht="12" customHeight="1" x14ac:dyDescent="0.15">
      <c r="D368" s="226"/>
      <c r="E368" s="135"/>
      <c r="F368" s="198"/>
      <c r="G368" s="198"/>
    </row>
    <row r="369" spans="4:7" ht="12" customHeight="1" x14ac:dyDescent="0.15">
      <c r="D369" s="226"/>
      <c r="E369" s="135"/>
      <c r="F369" s="198"/>
      <c r="G369" s="198"/>
    </row>
    <row r="370" spans="4:7" ht="12" customHeight="1" x14ac:dyDescent="0.15">
      <c r="D370" s="226"/>
      <c r="E370" s="135"/>
      <c r="F370" s="198"/>
      <c r="G370" s="198"/>
    </row>
    <row r="371" spans="4:7" ht="12" customHeight="1" x14ac:dyDescent="0.15">
      <c r="D371" s="226"/>
      <c r="E371" s="135"/>
      <c r="F371" s="198"/>
      <c r="G371" s="198"/>
    </row>
    <row r="372" spans="4:7" ht="12" customHeight="1" x14ac:dyDescent="0.15">
      <c r="D372" s="226"/>
      <c r="E372" s="135"/>
      <c r="F372" s="198"/>
      <c r="G372" s="198"/>
    </row>
    <row r="373" spans="4:7" ht="12" customHeight="1" x14ac:dyDescent="0.15">
      <c r="D373" s="226"/>
      <c r="E373" s="135"/>
      <c r="F373" s="198"/>
      <c r="G373" s="198"/>
    </row>
    <row r="374" spans="4:7" ht="12" customHeight="1" x14ac:dyDescent="0.15">
      <c r="D374" s="226"/>
      <c r="E374" s="135"/>
      <c r="F374" s="198"/>
      <c r="G374" s="198"/>
    </row>
    <row r="375" spans="4:7" ht="12" customHeight="1" x14ac:dyDescent="0.15">
      <c r="D375" s="226"/>
      <c r="E375" s="135"/>
      <c r="F375" s="198"/>
      <c r="G375" s="198"/>
    </row>
    <row r="376" spans="4:7" ht="12" customHeight="1" x14ac:dyDescent="0.15">
      <c r="D376" s="226"/>
      <c r="E376" s="135"/>
      <c r="F376" s="198"/>
      <c r="G376" s="198"/>
    </row>
    <row r="377" spans="4:7" ht="12" customHeight="1" x14ac:dyDescent="0.15">
      <c r="D377" s="226"/>
      <c r="E377" s="135"/>
      <c r="F377" s="198"/>
      <c r="G377" s="198"/>
    </row>
    <row r="378" spans="4:7" ht="12" customHeight="1" x14ac:dyDescent="0.15">
      <c r="D378" s="226"/>
      <c r="E378" s="135"/>
      <c r="F378" s="198"/>
      <c r="G378" s="198"/>
    </row>
    <row r="379" spans="4:7" ht="12" customHeight="1" x14ac:dyDescent="0.15">
      <c r="D379" s="226"/>
      <c r="E379" s="135"/>
      <c r="F379" s="198"/>
      <c r="G379" s="198"/>
    </row>
    <row r="380" spans="4:7" ht="12" customHeight="1" x14ac:dyDescent="0.15">
      <c r="D380" s="226"/>
      <c r="E380" s="135"/>
      <c r="F380" s="198"/>
      <c r="G380" s="198"/>
    </row>
    <row r="381" spans="4:7" ht="12" customHeight="1" x14ac:dyDescent="0.15">
      <c r="D381" s="226"/>
      <c r="E381" s="135"/>
      <c r="F381" s="198"/>
      <c r="G381" s="198"/>
    </row>
    <row r="382" spans="4:7" ht="12" customHeight="1" x14ac:dyDescent="0.15">
      <c r="D382" s="226"/>
      <c r="E382" s="135"/>
      <c r="F382" s="198"/>
      <c r="G382" s="198"/>
    </row>
    <row r="383" spans="4:7" ht="12" customHeight="1" x14ac:dyDescent="0.15">
      <c r="D383" s="226"/>
      <c r="E383" s="135"/>
      <c r="F383" s="198"/>
      <c r="G383" s="198"/>
    </row>
    <row r="384" spans="4:7" ht="12" customHeight="1" x14ac:dyDescent="0.15">
      <c r="D384" s="226"/>
      <c r="E384" s="135"/>
      <c r="F384" s="198"/>
      <c r="G384" s="198"/>
    </row>
    <row r="385" spans="4:7" ht="12" customHeight="1" x14ac:dyDescent="0.15">
      <c r="D385" s="226"/>
      <c r="E385" s="135"/>
      <c r="F385" s="198"/>
      <c r="G385" s="198"/>
    </row>
    <row r="386" spans="4:7" ht="12" customHeight="1" x14ac:dyDescent="0.15">
      <c r="D386" s="226"/>
      <c r="E386" s="135"/>
      <c r="F386" s="198"/>
      <c r="G386" s="198"/>
    </row>
    <row r="387" spans="4:7" ht="12" customHeight="1" x14ac:dyDescent="0.15">
      <c r="D387" s="226"/>
      <c r="E387" s="135"/>
      <c r="F387" s="198"/>
      <c r="G387" s="198"/>
    </row>
    <row r="388" spans="4:7" ht="12" customHeight="1" x14ac:dyDescent="0.15">
      <c r="D388" s="226"/>
      <c r="E388" s="135"/>
      <c r="F388" s="198"/>
      <c r="G388" s="198"/>
    </row>
    <row r="389" spans="4:7" ht="12" customHeight="1" x14ac:dyDescent="0.15">
      <c r="D389" s="226"/>
      <c r="E389" s="135"/>
      <c r="F389" s="198"/>
      <c r="G389" s="198"/>
    </row>
    <row r="390" spans="4:7" ht="12" customHeight="1" x14ac:dyDescent="0.15">
      <c r="D390" s="226"/>
      <c r="E390" s="135"/>
      <c r="F390" s="198"/>
      <c r="G390" s="198"/>
    </row>
    <row r="391" spans="4:7" ht="12" customHeight="1" x14ac:dyDescent="0.15">
      <c r="D391" s="226"/>
      <c r="E391" s="135"/>
      <c r="F391" s="198"/>
      <c r="G391" s="198"/>
    </row>
    <row r="392" spans="4:7" ht="12" customHeight="1" x14ac:dyDescent="0.15">
      <c r="D392" s="226"/>
      <c r="E392" s="135"/>
      <c r="F392" s="198"/>
      <c r="G392" s="198"/>
    </row>
    <row r="393" spans="4:7" ht="12" customHeight="1" x14ac:dyDescent="0.15">
      <c r="D393" s="226"/>
      <c r="E393" s="135"/>
      <c r="F393" s="198"/>
      <c r="G393" s="198"/>
    </row>
    <row r="394" spans="4:7" ht="12" customHeight="1" x14ac:dyDescent="0.15">
      <c r="D394" s="226"/>
      <c r="E394" s="135"/>
      <c r="F394" s="198"/>
      <c r="G394" s="198"/>
    </row>
    <row r="395" spans="4:7" ht="12" customHeight="1" x14ac:dyDescent="0.15">
      <c r="D395" s="226"/>
      <c r="E395" s="135"/>
      <c r="F395" s="198"/>
      <c r="G395" s="198"/>
    </row>
    <row r="396" spans="4:7" ht="12" customHeight="1" x14ac:dyDescent="0.15">
      <c r="D396" s="226"/>
      <c r="E396" s="135"/>
      <c r="F396" s="198"/>
      <c r="G396" s="198"/>
    </row>
    <row r="397" spans="4:7" ht="12" customHeight="1" x14ac:dyDescent="0.15">
      <c r="D397" s="226"/>
      <c r="E397" s="135"/>
      <c r="F397" s="198"/>
      <c r="G397" s="198"/>
    </row>
    <row r="398" spans="4:7" ht="12" customHeight="1" x14ac:dyDescent="0.15">
      <c r="D398" s="226"/>
      <c r="E398" s="135"/>
      <c r="F398" s="198"/>
      <c r="G398" s="198"/>
    </row>
    <row r="399" spans="4:7" ht="12" customHeight="1" x14ac:dyDescent="0.15">
      <c r="D399" s="226"/>
      <c r="E399" s="135"/>
      <c r="F399" s="198"/>
      <c r="G399" s="198"/>
    </row>
    <row r="400" spans="4:7" ht="12" customHeight="1" x14ac:dyDescent="0.15">
      <c r="D400" s="226"/>
      <c r="E400" s="135"/>
      <c r="F400" s="198"/>
      <c r="G400" s="198"/>
    </row>
    <row r="401" spans="4:7" ht="12" customHeight="1" x14ac:dyDescent="0.15">
      <c r="D401" s="226"/>
      <c r="E401" s="135"/>
      <c r="F401" s="198"/>
      <c r="G401" s="198"/>
    </row>
    <row r="402" spans="4:7" ht="12" customHeight="1" x14ac:dyDescent="0.15">
      <c r="D402" s="226"/>
      <c r="E402" s="135"/>
      <c r="F402" s="198"/>
      <c r="G402" s="198"/>
    </row>
    <row r="403" spans="4:7" ht="12" customHeight="1" x14ac:dyDescent="0.15">
      <c r="D403" s="226"/>
      <c r="E403" s="135"/>
      <c r="F403" s="198"/>
      <c r="G403" s="198"/>
    </row>
    <row r="404" spans="4:7" ht="12" customHeight="1" x14ac:dyDescent="0.15">
      <c r="D404" s="226"/>
      <c r="E404" s="135"/>
      <c r="F404" s="198"/>
      <c r="G404" s="198"/>
    </row>
    <row r="405" spans="4:7" ht="12" customHeight="1" x14ac:dyDescent="0.15">
      <c r="D405" s="226"/>
      <c r="E405" s="135"/>
      <c r="F405" s="198"/>
      <c r="G405" s="198"/>
    </row>
    <row r="406" spans="4:7" ht="12" customHeight="1" x14ac:dyDescent="0.15">
      <c r="D406" s="226"/>
      <c r="E406" s="135"/>
      <c r="F406" s="198"/>
      <c r="G406" s="198"/>
    </row>
    <row r="407" spans="4:7" ht="12" customHeight="1" x14ac:dyDescent="0.15">
      <c r="D407" s="226"/>
      <c r="E407" s="135"/>
      <c r="F407" s="198"/>
      <c r="G407" s="198"/>
    </row>
    <row r="408" spans="4:7" ht="12" customHeight="1" x14ac:dyDescent="0.15">
      <c r="D408" s="226"/>
      <c r="E408" s="135"/>
      <c r="F408" s="198"/>
      <c r="G408" s="198"/>
    </row>
    <row r="409" spans="4:7" ht="12" customHeight="1" x14ac:dyDescent="0.15">
      <c r="D409" s="226"/>
      <c r="E409" s="135"/>
      <c r="F409" s="198"/>
      <c r="G409" s="198"/>
    </row>
    <row r="410" spans="4:7" ht="12" customHeight="1" x14ac:dyDescent="0.15">
      <c r="D410" s="226"/>
      <c r="E410" s="135"/>
      <c r="F410" s="198"/>
      <c r="G410" s="198"/>
    </row>
    <row r="411" spans="4:7" ht="12" customHeight="1" x14ac:dyDescent="0.15">
      <c r="D411" s="226"/>
      <c r="E411" s="135"/>
      <c r="F411" s="198"/>
      <c r="G411" s="198"/>
    </row>
    <row r="412" spans="4:7" ht="12" customHeight="1" x14ac:dyDescent="0.15">
      <c r="D412" s="226"/>
      <c r="E412" s="135"/>
      <c r="F412" s="198"/>
      <c r="G412" s="198"/>
    </row>
    <row r="413" spans="4:7" ht="12" customHeight="1" x14ac:dyDescent="0.15">
      <c r="D413" s="226"/>
      <c r="E413" s="135"/>
      <c r="F413" s="198"/>
      <c r="G413" s="198"/>
    </row>
    <row r="414" spans="4:7" ht="12" customHeight="1" x14ac:dyDescent="0.15">
      <c r="D414" s="226"/>
      <c r="E414" s="135"/>
      <c r="F414" s="198"/>
      <c r="G414" s="198"/>
    </row>
    <row r="415" spans="4:7" ht="12" customHeight="1" x14ac:dyDescent="0.15">
      <c r="D415" s="226"/>
      <c r="E415" s="135"/>
      <c r="F415" s="198"/>
      <c r="G415" s="198"/>
    </row>
    <row r="416" spans="4:7" ht="12" customHeight="1" x14ac:dyDescent="0.15">
      <c r="D416" s="226"/>
      <c r="E416" s="135"/>
      <c r="F416" s="198"/>
      <c r="G416" s="198"/>
    </row>
    <row r="417" spans="4:7" ht="12" customHeight="1" x14ac:dyDescent="0.15">
      <c r="D417" s="226"/>
      <c r="E417" s="135"/>
      <c r="F417" s="198"/>
      <c r="G417" s="198"/>
    </row>
    <row r="418" spans="4:7" ht="12" customHeight="1" x14ac:dyDescent="0.15">
      <c r="D418" s="226"/>
      <c r="E418" s="135"/>
      <c r="F418" s="198"/>
      <c r="G418" s="198"/>
    </row>
    <row r="419" spans="4:7" ht="12" customHeight="1" x14ac:dyDescent="0.15">
      <c r="D419" s="226"/>
      <c r="E419" s="135"/>
      <c r="F419" s="198"/>
      <c r="G419" s="198"/>
    </row>
    <row r="420" spans="4:7" ht="12" customHeight="1" x14ac:dyDescent="0.15">
      <c r="D420" s="226"/>
      <c r="E420" s="135"/>
      <c r="F420" s="198"/>
      <c r="G420" s="198"/>
    </row>
    <row r="421" spans="4:7" ht="12" customHeight="1" x14ac:dyDescent="0.15">
      <c r="D421" s="226"/>
      <c r="E421" s="135"/>
      <c r="F421" s="198"/>
      <c r="G421" s="198"/>
    </row>
    <row r="422" spans="4:7" ht="12" customHeight="1" x14ac:dyDescent="0.15">
      <c r="D422" s="226"/>
      <c r="E422" s="135"/>
      <c r="F422" s="198"/>
      <c r="G422" s="198"/>
    </row>
    <row r="423" spans="4:7" ht="12" customHeight="1" x14ac:dyDescent="0.15">
      <c r="D423" s="226"/>
      <c r="E423" s="135"/>
      <c r="F423" s="198"/>
      <c r="G423" s="198"/>
    </row>
    <row r="424" spans="4:7" ht="12" customHeight="1" x14ac:dyDescent="0.15">
      <c r="D424" s="226"/>
      <c r="E424" s="135"/>
      <c r="F424" s="198"/>
      <c r="G424" s="198"/>
    </row>
    <row r="425" spans="4:7" ht="12" customHeight="1" x14ac:dyDescent="0.15">
      <c r="D425" s="226"/>
      <c r="E425" s="135"/>
      <c r="F425" s="198"/>
      <c r="G425" s="198"/>
    </row>
    <row r="426" spans="4:7" ht="12" customHeight="1" x14ac:dyDescent="0.15">
      <c r="D426" s="226"/>
      <c r="E426" s="135"/>
      <c r="F426" s="198"/>
      <c r="G426" s="198"/>
    </row>
    <row r="427" spans="4:7" ht="12" customHeight="1" x14ac:dyDescent="0.15">
      <c r="D427" s="226"/>
      <c r="E427" s="135"/>
      <c r="F427" s="198"/>
      <c r="G427" s="198"/>
    </row>
    <row r="428" spans="4:7" ht="12" customHeight="1" x14ac:dyDescent="0.15">
      <c r="D428" s="226"/>
      <c r="E428" s="135"/>
      <c r="F428" s="198"/>
      <c r="G428" s="198"/>
    </row>
    <row r="429" spans="4:7" ht="12" customHeight="1" x14ac:dyDescent="0.15">
      <c r="D429" s="226"/>
      <c r="E429" s="135"/>
      <c r="F429" s="198"/>
      <c r="G429" s="198"/>
    </row>
    <row r="430" spans="4:7" ht="12" customHeight="1" x14ac:dyDescent="0.15">
      <c r="D430" s="226"/>
      <c r="E430" s="135"/>
      <c r="F430" s="198"/>
      <c r="G430" s="198"/>
    </row>
    <row r="431" spans="4:7" ht="12" customHeight="1" x14ac:dyDescent="0.15">
      <c r="D431" s="226"/>
      <c r="E431" s="135"/>
      <c r="F431" s="198"/>
      <c r="G431" s="198"/>
    </row>
    <row r="432" spans="4:7" ht="12" customHeight="1" x14ac:dyDescent="0.15">
      <c r="D432" s="226"/>
      <c r="E432" s="135"/>
      <c r="F432" s="198"/>
      <c r="G432" s="198"/>
    </row>
    <row r="433" spans="4:7" ht="12" customHeight="1" x14ac:dyDescent="0.15">
      <c r="D433" s="226"/>
      <c r="E433" s="135"/>
      <c r="F433" s="198"/>
      <c r="G433" s="198"/>
    </row>
    <row r="434" spans="4:7" ht="12" customHeight="1" x14ac:dyDescent="0.15">
      <c r="D434" s="226"/>
      <c r="E434" s="135"/>
      <c r="F434" s="198"/>
      <c r="G434" s="198"/>
    </row>
    <row r="435" spans="4:7" ht="12" customHeight="1" x14ac:dyDescent="0.15">
      <c r="D435" s="226"/>
      <c r="E435" s="135"/>
      <c r="F435" s="198"/>
      <c r="G435" s="198"/>
    </row>
    <row r="436" spans="4:7" ht="12" customHeight="1" x14ac:dyDescent="0.15">
      <c r="D436" s="226"/>
      <c r="E436" s="135"/>
      <c r="F436" s="198"/>
      <c r="G436" s="198"/>
    </row>
    <row r="437" spans="4:7" ht="12" customHeight="1" x14ac:dyDescent="0.15">
      <c r="D437" s="226"/>
      <c r="E437" s="135"/>
      <c r="F437" s="198"/>
      <c r="G437" s="198"/>
    </row>
    <row r="438" spans="4:7" ht="12" customHeight="1" x14ac:dyDescent="0.15">
      <c r="D438" s="226"/>
      <c r="E438" s="135"/>
      <c r="F438" s="198"/>
      <c r="G438" s="198"/>
    </row>
    <row r="439" spans="4:7" ht="12" customHeight="1" x14ac:dyDescent="0.15">
      <c r="D439" s="226"/>
      <c r="E439" s="135"/>
      <c r="F439" s="198"/>
      <c r="G439" s="198"/>
    </row>
    <row r="440" spans="4:7" ht="12" customHeight="1" x14ac:dyDescent="0.15">
      <c r="D440" s="226"/>
      <c r="E440" s="135"/>
      <c r="F440" s="198"/>
      <c r="G440" s="198"/>
    </row>
    <row r="441" spans="4:7" ht="12" customHeight="1" x14ac:dyDescent="0.15">
      <c r="D441" s="226"/>
      <c r="E441" s="135"/>
      <c r="F441" s="198"/>
      <c r="G441" s="198"/>
    </row>
    <row r="442" spans="4:7" ht="12" customHeight="1" x14ac:dyDescent="0.15">
      <c r="D442" s="226"/>
      <c r="E442" s="135"/>
      <c r="F442" s="198"/>
      <c r="G442" s="198"/>
    </row>
    <row r="443" spans="4:7" ht="12" customHeight="1" x14ac:dyDescent="0.15">
      <c r="D443" s="226"/>
      <c r="E443" s="135"/>
      <c r="F443" s="198"/>
      <c r="G443" s="198"/>
    </row>
    <row r="444" spans="4:7" ht="12" customHeight="1" x14ac:dyDescent="0.15">
      <c r="D444" s="226"/>
      <c r="E444" s="135"/>
      <c r="F444" s="198"/>
      <c r="G444" s="198"/>
    </row>
    <row r="445" spans="4:7" ht="12" customHeight="1" x14ac:dyDescent="0.15">
      <c r="D445" s="226"/>
      <c r="E445" s="135"/>
      <c r="F445" s="198"/>
      <c r="G445" s="198"/>
    </row>
    <row r="446" spans="4:7" ht="12" customHeight="1" x14ac:dyDescent="0.15">
      <c r="D446" s="226"/>
      <c r="E446" s="135"/>
      <c r="F446" s="198"/>
      <c r="G446" s="198"/>
    </row>
    <row r="447" spans="4:7" ht="12" customHeight="1" x14ac:dyDescent="0.15">
      <c r="D447" s="226"/>
      <c r="E447" s="135"/>
      <c r="F447" s="198"/>
      <c r="G447" s="198"/>
    </row>
    <row r="448" spans="4:7" ht="12" customHeight="1" x14ac:dyDescent="0.15">
      <c r="D448" s="226"/>
      <c r="E448" s="135"/>
      <c r="F448" s="198"/>
      <c r="G448" s="198"/>
    </row>
    <row r="449" spans="4:7" ht="12" customHeight="1" x14ac:dyDescent="0.15">
      <c r="D449" s="226"/>
      <c r="E449" s="135"/>
      <c r="F449" s="198"/>
      <c r="G449" s="198"/>
    </row>
    <row r="450" spans="4:7" ht="12" customHeight="1" x14ac:dyDescent="0.15">
      <c r="D450" s="226"/>
      <c r="E450" s="135"/>
      <c r="F450" s="198"/>
      <c r="G450" s="198"/>
    </row>
    <row r="451" spans="4:7" ht="12" customHeight="1" x14ac:dyDescent="0.15">
      <c r="D451" s="226"/>
      <c r="E451" s="135"/>
      <c r="F451" s="198"/>
      <c r="G451" s="198"/>
    </row>
    <row r="452" spans="4:7" ht="12" customHeight="1" x14ac:dyDescent="0.15">
      <c r="D452" s="226"/>
      <c r="E452" s="135"/>
      <c r="F452" s="198"/>
      <c r="G452" s="198"/>
    </row>
    <row r="453" spans="4:7" ht="12" customHeight="1" x14ac:dyDescent="0.15">
      <c r="D453" s="226"/>
      <c r="E453" s="135"/>
      <c r="F453" s="198"/>
      <c r="G453" s="198"/>
    </row>
    <row r="454" spans="4:7" ht="12" customHeight="1" x14ac:dyDescent="0.15">
      <c r="D454" s="226"/>
      <c r="E454" s="135"/>
      <c r="F454" s="198"/>
      <c r="G454" s="198"/>
    </row>
    <row r="455" spans="4:7" ht="12" customHeight="1" x14ac:dyDescent="0.15">
      <c r="D455" s="226"/>
      <c r="E455" s="135"/>
      <c r="F455" s="198"/>
      <c r="G455" s="198"/>
    </row>
    <row r="456" spans="4:7" ht="12" customHeight="1" x14ac:dyDescent="0.15">
      <c r="D456" s="226"/>
      <c r="E456" s="135"/>
      <c r="F456" s="198"/>
      <c r="G456" s="198"/>
    </row>
    <row r="457" spans="4:7" ht="12" customHeight="1" x14ac:dyDescent="0.15">
      <c r="D457" s="226"/>
      <c r="E457" s="135"/>
      <c r="F457" s="198"/>
      <c r="G457" s="198"/>
    </row>
    <row r="458" spans="4:7" ht="12" customHeight="1" x14ac:dyDescent="0.15">
      <c r="D458" s="226"/>
      <c r="E458" s="135"/>
      <c r="F458" s="198"/>
      <c r="G458" s="198"/>
    </row>
    <row r="459" spans="4:7" ht="12" customHeight="1" x14ac:dyDescent="0.15">
      <c r="D459" s="226"/>
      <c r="E459" s="135"/>
      <c r="F459" s="198"/>
      <c r="G459" s="198"/>
    </row>
    <row r="460" spans="4:7" ht="12" customHeight="1" x14ac:dyDescent="0.15">
      <c r="D460" s="226"/>
      <c r="E460" s="135"/>
      <c r="F460" s="198"/>
      <c r="G460" s="198"/>
    </row>
    <row r="461" spans="4:7" ht="12" customHeight="1" x14ac:dyDescent="0.15">
      <c r="D461" s="226"/>
      <c r="E461" s="135"/>
      <c r="F461" s="198"/>
      <c r="G461" s="198"/>
    </row>
    <row r="462" spans="4:7" ht="12" customHeight="1" x14ac:dyDescent="0.15">
      <c r="D462" s="226"/>
      <c r="E462" s="135"/>
      <c r="F462" s="198"/>
      <c r="G462" s="198"/>
    </row>
    <row r="463" spans="4:7" ht="12" customHeight="1" x14ac:dyDescent="0.15">
      <c r="D463" s="226"/>
      <c r="E463" s="135"/>
      <c r="F463" s="198"/>
      <c r="G463" s="198"/>
    </row>
    <row r="464" spans="4:7" ht="12" customHeight="1" x14ac:dyDescent="0.15">
      <c r="D464" s="226"/>
      <c r="E464" s="135"/>
      <c r="F464" s="198"/>
      <c r="G464" s="198"/>
    </row>
    <row r="465" spans="4:7" ht="12" customHeight="1" x14ac:dyDescent="0.15">
      <c r="D465" s="226"/>
      <c r="E465" s="135"/>
      <c r="F465" s="198"/>
      <c r="G465" s="198"/>
    </row>
    <row r="466" spans="4:7" ht="12" customHeight="1" x14ac:dyDescent="0.15">
      <c r="D466" s="226"/>
      <c r="E466" s="135"/>
      <c r="F466" s="198"/>
      <c r="G466" s="198"/>
    </row>
    <row r="467" spans="4:7" ht="12" customHeight="1" x14ac:dyDescent="0.15">
      <c r="D467" s="226"/>
      <c r="E467" s="135"/>
      <c r="F467" s="198"/>
      <c r="G467" s="198"/>
    </row>
    <row r="468" spans="4:7" ht="12" customHeight="1" x14ac:dyDescent="0.15">
      <c r="D468" s="226"/>
      <c r="E468" s="135"/>
      <c r="F468" s="198"/>
      <c r="G468" s="198"/>
    </row>
    <row r="469" spans="4:7" ht="12" customHeight="1" x14ac:dyDescent="0.15">
      <c r="D469" s="226"/>
      <c r="E469" s="135"/>
      <c r="F469" s="198"/>
      <c r="G469" s="198"/>
    </row>
    <row r="470" spans="4:7" ht="12" customHeight="1" x14ac:dyDescent="0.15">
      <c r="D470" s="226"/>
      <c r="E470" s="135"/>
      <c r="F470" s="198"/>
      <c r="G470" s="198"/>
    </row>
    <row r="471" spans="4:7" ht="12" customHeight="1" x14ac:dyDescent="0.15">
      <c r="D471" s="226"/>
      <c r="E471" s="135"/>
      <c r="F471" s="198"/>
      <c r="G471" s="198"/>
    </row>
    <row r="472" spans="4:7" ht="12" customHeight="1" x14ac:dyDescent="0.15">
      <c r="D472" s="226"/>
      <c r="E472" s="135"/>
      <c r="F472" s="198"/>
      <c r="G472" s="198"/>
    </row>
    <row r="473" spans="4:7" ht="12" customHeight="1" x14ac:dyDescent="0.15">
      <c r="D473" s="226"/>
      <c r="E473" s="135"/>
      <c r="F473" s="198"/>
      <c r="G473" s="198"/>
    </row>
    <row r="474" spans="4:7" ht="12" customHeight="1" x14ac:dyDescent="0.15">
      <c r="D474" s="226"/>
      <c r="E474" s="135"/>
      <c r="F474" s="198"/>
      <c r="G474" s="198"/>
    </row>
    <row r="475" spans="4:7" ht="12" customHeight="1" x14ac:dyDescent="0.15">
      <c r="D475" s="226"/>
      <c r="E475" s="135"/>
      <c r="F475" s="198"/>
      <c r="G475" s="198"/>
    </row>
    <row r="476" spans="4:7" ht="12" customHeight="1" x14ac:dyDescent="0.15">
      <c r="D476" s="226"/>
      <c r="E476" s="135"/>
      <c r="F476" s="198"/>
      <c r="G476" s="198"/>
    </row>
    <row r="477" spans="4:7" ht="12" customHeight="1" x14ac:dyDescent="0.15">
      <c r="D477" s="226"/>
      <c r="E477" s="135"/>
      <c r="F477" s="198"/>
      <c r="G477" s="198"/>
    </row>
    <row r="478" spans="4:7" ht="12" customHeight="1" x14ac:dyDescent="0.15">
      <c r="D478" s="226"/>
      <c r="E478" s="135"/>
      <c r="F478" s="198"/>
      <c r="G478" s="198"/>
    </row>
    <row r="479" spans="4:7" ht="12" customHeight="1" x14ac:dyDescent="0.15">
      <c r="D479" s="226"/>
      <c r="E479" s="135"/>
      <c r="F479" s="198"/>
      <c r="G479" s="198"/>
    </row>
    <row r="480" spans="4:7" ht="12" customHeight="1" x14ac:dyDescent="0.15">
      <c r="D480" s="226"/>
      <c r="E480" s="135"/>
      <c r="F480" s="198"/>
      <c r="G480" s="198"/>
    </row>
    <row r="481" spans="4:7" ht="12" customHeight="1" x14ac:dyDescent="0.15">
      <c r="D481" s="226"/>
      <c r="E481" s="135"/>
      <c r="F481" s="198"/>
      <c r="G481" s="198"/>
    </row>
    <row r="482" spans="4:7" ht="12" customHeight="1" x14ac:dyDescent="0.15">
      <c r="D482" s="226"/>
      <c r="E482" s="135"/>
      <c r="F482" s="198"/>
      <c r="G482" s="198"/>
    </row>
    <row r="483" spans="4:7" ht="12" customHeight="1" x14ac:dyDescent="0.15">
      <c r="D483" s="226"/>
      <c r="E483" s="135"/>
      <c r="F483" s="198"/>
      <c r="G483" s="198"/>
    </row>
    <row r="484" spans="4:7" ht="12" customHeight="1" x14ac:dyDescent="0.15">
      <c r="D484" s="226"/>
      <c r="E484" s="135"/>
      <c r="F484" s="198"/>
      <c r="G484" s="198"/>
    </row>
    <row r="485" spans="4:7" ht="12" customHeight="1" x14ac:dyDescent="0.15">
      <c r="D485" s="226"/>
      <c r="E485" s="135"/>
      <c r="F485" s="198"/>
      <c r="G485" s="198"/>
    </row>
    <row r="486" spans="4:7" ht="12" customHeight="1" x14ac:dyDescent="0.15">
      <c r="D486" s="226"/>
      <c r="E486" s="135"/>
      <c r="F486" s="198"/>
      <c r="G486" s="198"/>
    </row>
    <row r="487" spans="4:7" ht="12" customHeight="1" x14ac:dyDescent="0.15">
      <c r="D487" s="226"/>
      <c r="E487" s="135"/>
      <c r="F487" s="198"/>
      <c r="G487" s="198"/>
    </row>
    <row r="488" spans="4:7" ht="12" customHeight="1" x14ac:dyDescent="0.15">
      <c r="D488" s="226"/>
      <c r="E488" s="135"/>
      <c r="F488" s="198"/>
      <c r="G488" s="198"/>
    </row>
    <row r="489" spans="4:7" ht="12" customHeight="1" x14ac:dyDescent="0.15">
      <c r="D489" s="226"/>
      <c r="E489" s="135"/>
      <c r="F489" s="198"/>
      <c r="G489" s="198"/>
    </row>
    <row r="490" spans="4:7" ht="12" customHeight="1" x14ac:dyDescent="0.15">
      <c r="D490" s="226"/>
      <c r="E490" s="135"/>
      <c r="F490" s="198"/>
      <c r="G490" s="198"/>
    </row>
    <row r="491" spans="4:7" ht="12" customHeight="1" x14ac:dyDescent="0.15">
      <c r="D491" s="226"/>
      <c r="E491" s="135"/>
      <c r="F491" s="198"/>
      <c r="G491" s="198"/>
    </row>
    <row r="492" spans="4:7" ht="12" customHeight="1" x14ac:dyDescent="0.15">
      <c r="D492" s="226"/>
      <c r="E492" s="135"/>
      <c r="F492" s="198"/>
      <c r="G492" s="198"/>
    </row>
    <row r="493" spans="4:7" ht="12" customHeight="1" x14ac:dyDescent="0.15">
      <c r="D493" s="226"/>
      <c r="E493" s="135"/>
      <c r="F493" s="198"/>
      <c r="G493" s="198"/>
    </row>
    <row r="494" spans="4:7" ht="12" customHeight="1" x14ac:dyDescent="0.15">
      <c r="D494" s="226"/>
      <c r="E494" s="135"/>
      <c r="F494" s="198"/>
      <c r="G494" s="198"/>
    </row>
    <row r="495" spans="4:7" ht="12" customHeight="1" x14ac:dyDescent="0.15">
      <c r="D495" s="226"/>
      <c r="E495" s="135"/>
      <c r="F495" s="198"/>
      <c r="G495" s="198"/>
    </row>
    <row r="496" spans="4:7" ht="12" customHeight="1" x14ac:dyDescent="0.15">
      <c r="D496" s="226"/>
      <c r="E496" s="135"/>
      <c r="F496" s="198"/>
      <c r="G496" s="198"/>
    </row>
    <row r="497" spans="4:7" ht="12" customHeight="1" x14ac:dyDescent="0.15">
      <c r="D497" s="226"/>
      <c r="E497" s="135"/>
      <c r="F497" s="198"/>
      <c r="G497" s="198"/>
    </row>
    <row r="498" spans="4:7" ht="12" customHeight="1" x14ac:dyDescent="0.15">
      <c r="D498" s="226"/>
      <c r="E498" s="135"/>
      <c r="F498" s="198"/>
      <c r="G498" s="198"/>
    </row>
    <row r="499" spans="4:7" ht="12" customHeight="1" x14ac:dyDescent="0.15">
      <c r="D499" s="226"/>
      <c r="E499" s="135"/>
      <c r="F499" s="198"/>
      <c r="G499" s="198"/>
    </row>
    <row r="500" spans="4:7" ht="12" customHeight="1" x14ac:dyDescent="0.15">
      <c r="D500" s="226"/>
      <c r="E500" s="135"/>
      <c r="F500" s="198"/>
      <c r="G500" s="198"/>
    </row>
    <row r="501" spans="4:7" ht="12" customHeight="1" x14ac:dyDescent="0.15">
      <c r="D501" s="226"/>
      <c r="E501" s="135"/>
      <c r="F501" s="198"/>
      <c r="G501" s="198"/>
    </row>
    <row r="502" spans="4:7" ht="12" customHeight="1" x14ac:dyDescent="0.15">
      <c r="D502" s="226"/>
      <c r="E502" s="135"/>
      <c r="F502" s="198"/>
      <c r="G502" s="198"/>
    </row>
    <row r="503" spans="4:7" ht="12" customHeight="1" x14ac:dyDescent="0.15">
      <c r="D503" s="226"/>
      <c r="E503" s="135"/>
      <c r="F503" s="198"/>
      <c r="G503" s="198"/>
    </row>
    <row r="504" spans="4:7" ht="12" customHeight="1" x14ac:dyDescent="0.15">
      <c r="D504" s="226"/>
      <c r="E504" s="135"/>
      <c r="F504" s="198"/>
      <c r="G504" s="198"/>
    </row>
    <row r="505" spans="4:7" ht="12" customHeight="1" x14ac:dyDescent="0.15">
      <c r="D505" s="226"/>
      <c r="E505" s="135"/>
      <c r="F505" s="198"/>
      <c r="G505" s="198"/>
    </row>
    <row r="506" spans="4:7" ht="12" customHeight="1" x14ac:dyDescent="0.15">
      <c r="D506" s="226"/>
      <c r="E506" s="135"/>
      <c r="F506" s="198"/>
      <c r="G506" s="198"/>
    </row>
    <row r="507" spans="4:7" ht="12" customHeight="1" x14ac:dyDescent="0.15">
      <c r="D507" s="226"/>
      <c r="E507" s="135"/>
      <c r="F507" s="198"/>
      <c r="G507" s="198"/>
    </row>
    <row r="508" spans="4:7" ht="12" customHeight="1" x14ac:dyDescent="0.15">
      <c r="D508" s="226"/>
      <c r="E508" s="135"/>
      <c r="F508" s="198"/>
      <c r="G508" s="198"/>
    </row>
    <row r="509" spans="4:7" ht="12" customHeight="1" x14ac:dyDescent="0.15">
      <c r="D509" s="226"/>
      <c r="E509" s="135"/>
      <c r="F509" s="198"/>
      <c r="G509" s="198"/>
    </row>
    <row r="510" spans="4:7" ht="12" customHeight="1" x14ac:dyDescent="0.15">
      <c r="D510" s="226"/>
      <c r="E510" s="135"/>
      <c r="F510" s="198"/>
      <c r="G510" s="198"/>
    </row>
    <row r="511" spans="4:7" ht="12" customHeight="1" x14ac:dyDescent="0.15">
      <c r="D511" s="226"/>
      <c r="E511" s="135"/>
      <c r="F511" s="198"/>
      <c r="G511" s="198"/>
    </row>
    <row r="512" spans="4:7" ht="12" customHeight="1" x14ac:dyDescent="0.15">
      <c r="D512" s="226"/>
      <c r="E512" s="135"/>
      <c r="F512" s="198"/>
      <c r="G512" s="198"/>
    </row>
    <row r="513" spans="4:7" ht="12" customHeight="1" x14ac:dyDescent="0.15">
      <c r="D513" s="226"/>
      <c r="E513" s="135"/>
      <c r="F513" s="198"/>
      <c r="G513" s="198"/>
    </row>
    <row r="514" spans="4:7" ht="12" customHeight="1" x14ac:dyDescent="0.15">
      <c r="D514" s="226"/>
      <c r="E514" s="135"/>
      <c r="F514" s="198"/>
      <c r="G514" s="198"/>
    </row>
    <row r="515" spans="4:7" ht="12" customHeight="1" x14ac:dyDescent="0.15">
      <c r="D515" s="226"/>
      <c r="E515" s="135"/>
      <c r="F515" s="198"/>
      <c r="G515" s="198"/>
    </row>
    <row r="516" spans="4:7" ht="12" customHeight="1" x14ac:dyDescent="0.15">
      <c r="D516" s="226"/>
      <c r="E516" s="135"/>
      <c r="F516" s="198"/>
      <c r="G516" s="198"/>
    </row>
    <row r="517" spans="4:7" ht="12" customHeight="1" x14ac:dyDescent="0.15">
      <c r="D517" s="226"/>
      <c r="E517" s="135"/>
      <c r="F517" s="198"/>
      <c r="G517" s="198"/>
    </row>
    <row r="518" spans="4:7" ht="12" customHeight="1" x14ac:dyDescent="0.15">
      <c r="D518" s="226"/>
      <c r="E518" s="135"/>
      <c r="F518" s="198"/>
      <c r="G518" s="198"/>
    </row>
    <row r="519" spans="4:7" ht="12" customHeight="1" x14ac:dyDescent="0.15">
      <c r="D519" s="226"/>
      <c r="E519" s="135"/>
      <c r="F519" s="198"/>
      <c r="G519" s="198"/>
    </row>
    <row r="520" spans="4:7" ht="12" customHeight="1" x14ac:dyDescent="0.15">
      <c r="D520" s="226"/>
      <c r="E520" s="135"/>
      <c r="F520" s="198"/>
      <c r="G520" s="198"/>
    </row>
    <row r="521" spans="4:7" ht="12" customHeight="1" x14ac:dyDescent="0.15">
      <c r="D521" s="226"/>
      <c r="E521" s="135"/>
      <c r="F521" s="198"/>
      <c r="G521" s="198"/>
    </row>
    <row r="522" spans="4:7" ht="12" customHeight="1" x14ac:dyDescent="0.15">
      <c r="D522" s="226"/>
      <c r="E522" s="135"/>
      <c r="F522" s="198"/>
      <c r="G522" s="198"/>
    </row>
    <row r="523" spans="4:7" ht="12" customHeight="1" x14ac:dyDescent="0.15">
      <c r="D523" s="226"/>
      <c r="E523" s="135"/>
      <c r="F523" s="198"/>
      <c r="G523" s="198"/>
    </row>
    <row r="524" spans="4:7" ht="12" customHeight="1" x14ac:dyDescent="0.15">
      <c r="D524" s="226"/>
      <c r="E524" s="135"/>
      <c r="F524" s="198"/>
      <c r="G524" s="198"/>
    </row>
    <row r="525" spans="4:7" ht="12" customHeight="1" x14ac:dyDescent="0.15">
      <c r="D525" s="226"/>
      <c r="E525" s="135"/>
      <c r="F525" s="198"/>
      <c r="G525" s="198"/>
    </row>
    <row r="526" spans="4:7" ht="12" customHeight="1" x14ac:dyDescent="0.15">
      <c r="D526" s="226"/>
      <c r="E526" s="135"/>
      <c r="F526" s="198"/>
      <c r="G526" s="198"/>
    </row>
    <row r="527" spans="4:7" ht="12" customHeight="1" x14ac:dyDescent="0.15">
      <c r="D527" s="226"/>
      <c r="E527" s="135"/>
      <c r="F527" s="198"/>
      <c r="G527" s="198"/>
    </row>
    <row r="528" spans="4:7" ht="12" customHeight="1" x14ac:dyDescent="0.15">
      <c r="D528" s="226"/>
      <c r="E528" s="135"/>
      <c r="F528" s="198"/>
      <c r="G528" s="198"/>
    </row>
    <row r="529" spans="4:7" ht="12" customHeight="1" x14ac:dyDescent="0.15">
      <c r="D529" s="226"/>
      <c r="E529" s="135"/>
      <c r="F529" s="198"/>
      <c r="G529" s="198"/>
    </row>
    <row r="530" spans="4:7" ht="12" customHeight="1" x14ac:dyDescent="0.15">
      <c r="D530" s="226"/>
      <c r="E530" s="135"/>
      <c r="F530" s="198"/>
      <c r="G530" s="198"/>
    </row>
    <row r="531" spans="4:7" ht="12" customHeight="1" x14ac:dyDescent="0.15">
      <c r="D531" s="226"/>
      <c r="E531" s="135"/>
      <c r="F531" s="198"/>
      <c r="G531" s="198"/>
    </row>
    <row r="532" spans="4:7" ht="12" customHeight="1" x14ac:dyDescent="0.15">
      <c r="D532" s="226"/>
      <c r="E532" s="135"/>
      <c r="F532" s="198"/>
      <c r="G532" s="198"/>
    </row>
    <row r="533" spans="4:7" ht="12" customHeight="1" x14ac:dyDescent="0.15">
      <c r="D533" s="226"/>
      <c r="E533" s="135"/>
      <c r="F533" s="198"/>
      <c r="G533" s="198"/>
    </row>
    <row r="534" spans="4:7" ht="12" customHeight="1" x14ac:dyDescent="0.15">
      <c r="D534" s="226"/>
      <c r="E534" s="135"/>
      <c r="F534" s="198"/>
      <c r="G534" s="198"/>
    </row>
    <row r="535" spans="4:7" ht="12" customHeight="1" x14ac:dyDescent="0.15">
      <c r="D535" s="226"/>
      <c r="E535" s="135"/>
      <c r="F535" s="198"/>
      <c r="G535" s="198"/>
    </row>
    <row r="536" spans="4:7" ht="12" customHeight="1" x14ac:dyDescent="0.15">
      <c r="D536" s="226"/>
      <c r="E536" s="135"/>
      <c r="F536" s="198"/>
      <c r="G536" s="198"/>
    </row>
    <row r="537" spans="4:7" ht="12" customHeight="1" x14ac:dyDescent="0.15">
      <c r="D537" s="226"/>
      <c r="E537" s="135"/>
      <c r="F537" s="198"/>
      <c r="G537" s="198"/>
    </row>
    <row r="538" spans="4:7" ht="12" customHeight="1" x14ac:dyDescent="0.15">
      <c r="D538" s="226"/>
      <c r="E538" s="135"/>
      <c r="F538" s="198"/>
      <c r="G538" s="198"/>
    </row>
    <row r="539" spans="4:7" ht="12" customHeight="1" x14ac:dyDescent="0.15">
      <c r="D539" s="226"/>
      <c r="E539" s="135"/>
      <c r="F539" s="198"/>
      <c r="G539" s="198"/>
    </row>
    <row r="540" spans="4:7" ht="12" customHeight="1" x14ac:dyDescent="0.15">
      <c r="D540" s="226"/>
      <c r="E540" s="135"/>
      <c r="F540" s="198"/>
      <c r="G540" s="198"/>
    </row>
    <row r="541" spans="4:7" ht="12" customHeight="1" x14ac:dyDescent="0.15">
      <c r="D541" s="226"/>
      <c r="E541" s="135"/>
      <c r="F541" s="198"/>
      <c r="G541" s="198"/>
    </row>
    <row r="542" spans="4:7" ht="12" customHeight="1" x14ac:dyDescent="0.15">
      <c r="D542" s="226"/>
      <c r="E542" s="135"/>
      <c r="F542" s="198"/>
      <c r="G542" s="198"/>
    </row>
    <row r="543" spans="4:7" ht="12" customHeight="1" x14ac:dyDescent="0.15">
      <c r="D543" s="226"/>
      <c r="E543" s="135"/>
      <c r="F543" s="198"/>
      <c r="G543" s="198"/>
    </row>
    <row r="544" spans="4:7" ht="12" customHeight="1" x14ac:dyDescent="0.15">
      <c r="D544" s="226"/>
      <c r="E544" s="135"/>
      <c r="F544" s="198"/>
      <c r="G544" s="198"/>
    </row>
    <row r="545" spans="4:7" ht="12" customHeight="1" x14ac:dyDescent="0.15">
      <c r="D545" s="226"/>
      <c r="E545" s="135"/>
      <c r="F545" s="198"/>
      <c r="G545" s="198"/>
    </row>
    <row r="546" spans="4:7" ht="12" customHeight="1" x14ac:dyDescent="0.15">
      <c r="D546" s="226"/>
      <c r="E546" s="135"/>
      <c r="F546" s="198"/>
      <c r="G546" s="198"/>
    </row>
    <row r="547" spans="4:7" ht="12" customHeight="1" x14ac:dyDescent="0.15">
      <c r="D547" s="226"/>
      <c r="E547" s="135"/>
      <c r="F547" s="198"/>
      <c r="G547" s="198"/>
    </row>
    <row r="548" spans="4:7" ht="12" customHeight="1" x14ac:dyDescent="0.15">
      <c r="D548" s="226"/>
      <c r="E548" s="135"/>
      <c r="F548" s="198"/>
      <c r="G548" s="198"/>
    </row>
    <row r="549" spans="4:7" ht="12" customHeight="1" x14ac:dyDescent="0.15">
      <c r="D549" s="226"/>
      <c r="E549" s="135"/>
      <c r="F549" s="198"/>
      <c r="G549" s="198"/>
    </row>
    <row r="550" spans="4:7" ht="12" customHeight="1" x14ac:dyDescent="0.15">
      <c r="D550" s="226"/>
      <c r="E550" s="135"/>
      <c r="F550" s="198"/>
      <c r="G550" s="198"/>
    </row>
    <row r="551" spans="4:7" ht="12" customHeight="1" x14ac:dyDescent="0.15">
      <c r="D551" s="226"/>
      <c r="E551" s="135"/>
      <c r="F551" s="198"/>
      <c r="G551" s="198"/>
    </row>
    <row r="552" spans="4:7" ht="12" customHeight="1" x14ac:dyDescent="0.15">
      <c r="D552" s="226"/>
      <c r="E552" s="135"/>
      <c r="F552" s="198"/>
      <c r="G552" s="198"/>
    </row>
    <row r="553" spans="4:7" ht="12" customHeight="1" x14ac:dyDescent="0.15">
      <c r="D553" s="226"/>
      <c r="E553" s="135"/>
      <c r="F553" s="198"/>
      <c r="G553" s="198"/>
    </row>
    <row r="554" spans="4:7" ht="12" customHeight="1" x14ac:dyDescent="0.15">
      <c r="D554" s="226"/>
      <c r="E554" s="135"/>
      <c r="F554" s="198"/>
      <c r="G554" s="198"/>
    </row>
    <row r="555" spans="4:7" ht="12" customHeight="1" x14ac:dyDescent="0.15">
      <c r="D555" s="226"/>
      <c r="E555" s="135"/>
      <c r="F555" s="198"/>
      <c r="G555" s="198"/>
    </row>
    <row r="556" spans="4:7" ht="12" customHeight="1" x14ac:dyDescent="0.15">
      <c r="D556" s="226"/>
      <c r="E556" s="135"/>
      <c r="F556" s="198"/>
      <c r="G556" s="198"/>
    </row>
    <row r="557" spans="4:7" ht="12" customHeight="1" x14ac:dyDescent="0.15">
      <c r="D557" s="226"/>
      <c r="E557" s="135"/>
      <c r="F557" s="198"/>
      <c r="G557" s="198"/>
    </row>
    <row r="558" spans="4:7" ht="12" customHeight="1" x14ac:dyDescent="0.15">
      <c r="D558" s="226"/>
      <c r="E558" s="135"/>
      <c r="F558" s="198"/>
      <c r="G558" s="198"/>
    </row>
    <row r="559" spans="4:7" ht="12" customHeight="1" x14ac:dyDescent="0.15">
      <c r="D559" s="226"/>
      <c r="E559" s="135"/>
      <c r="F559" s="198"/>
      <c r="G559" s="198"/>
    </row>
    <row r="560" spans="4:7" ht="12" customHeight="1" x14ac:dyDescent="0.15">
      <c r="D560" s="226"/>
      <c r="E560" s="135"/>
      <c r="F560" s="198"/>
      <c r="G560" s="198"/>
    </row>
    <row r="561" spans="4:7" ht="12" customHeight="1" x14ac:dyDescent="0.15">
      <c r="D561" s="226"/>
      <c r="E561" s="135"/>
      <c r="F561" s="198"/>
      <c r="G561" s="198"/>
    </row>
    <row r="562" spans="4:7" ht="12" customHeight="1" x14ac:dyDescent="0.15">
      <c r="D562" s="226"/>
      <c r="E562" s="135"/>
      <c r="F562" s="198"/>
      <c r="G562" s="198"/>
    </row>
    <row r="563" spans="4:7" ht="12" customHeight="1" x14ac:dyDescent="0.15">
      <c r="D563" s="226"/>
      <c r="E563" s="135"/>
      <c r="F563" s="198"/>
      <c r="G563" s="198"/>
    </row>
    <row r="564" spans="4:7" ht="12" customHeight="1" x14ac:dyDescent="0.15">
      <c r="D564" s="226"/>
      <c r="E564" s="135"/>
      <c r="F564" s="198"/>
      <c r="G564" s="198"/>
    </row>
    <row r="565" spans="4:7" ht="12" customHeight="1" x14ac:dyDescent="0.15">
      <c r="D565" s="226"/>
      <c r="E565" s="135"/>
      <c r="F565" s="198"/>
      <c r="G565" s="198"/>
    </row>
    <row r="566" spans="4:7" ht="12" customHeight="1" x14ac:dyDescent="0.15">
      <c r="D566" s="226"/>
      <c r="E566" s="135"/>
      <c r="F566" s="198"/>
      <c r="G566" s="198"/>
    </row>
    <row r="567" spans="4:7" ht="12" customHeight="1" x14ac:dyDescent="0.15">
      <c r="D567" s="226"/>
      <c r="E567" s="135"/>
      <c r="F567" s="198"/>
      <c r="G567" s="198"/>
    </row>
    <row r="568" spans="4:7" ht="12" customHeight="1" x14ac:dyDescent="0.15">
      <c r="D568" s="226"/>
      <c r="E568" s="135"/>
      <c r="F568" s="198"/>
      <c r="G568" s="198"/>
    </row>
    <row r="569" spans="4:7" ht="12" customHeight="1" x14ac:dyDescent="0.15">
      <c r="D569" s="226"/>
      <c r="E569" s="135"/>
      <c r="F569" s="198"/>
      <c r="G569" s="198"/>
    </row>
    <row r="570" spans="4:7" ht="12" customHeight="1" x14ac:dyDescent="0.15">
      <c r="D570" s="226"/>
      <c r="E570" s="135"/>
      <c r="F570" s="198"/>
      <c r="G570" s="198"/>
    </row>
    <row r="571" spans="4:7" ht="12" customHeight="1" x14ac:dyDescent="0.15">
      <c r="D571" s="226"/>
      <c r="E571" s="135"/>
      <c r="F571" s="198"/>
      <c r="G571" s="198"/>
    </row>
    <row r="572" spans="4:7" ht="12" customHeight="1" x14ac:dyDescent="0.15">
      <c r="D572" s="226"/>
      <c r="E572" s="135"/>
      <c r="F572" s="198"/>
      <c r="G572" s="198"/>
    </row>
    <row r="573" spans="4:7" ht="12" customHeight="1" x14ac:dyDescent="0.15">
      <c r="D573" s="226"/>
      <c r="E573" s="135"/>
      <c r="F573" s="198"/>
      <c r="G573" s="198"/>
    </row>
    <row r="574" spans="4:7" ht="12" customHeight="1" x14ac:dyDescent="0.15">
      <c r="D574" s="226"/>
      <c r="E574" s="135"/>
      <c r="F574" s="198"/>
      <c r="G574" s="198"/>
    </row>
    <row r="575" spans="4:7" ht="12" customHeight="1" x14ac:dyDescent="0.15">
      <c r="D575" s="226"/>
      <c r="E575" s="135"/>
      <c r="F575" s="198"/>
      <c r="G575" s="198"/>
    </row>
    <row r="576" spans="4:7" ht="12" customHeight="1" x14ac:dyDescent="0.15">
      <c r="D576" s="226"/>
      <c r="E576" s="135"/>
      <c r="F576" s="198"/>
      <c r="G576" s="198"/>
    </row>
    <row r="577" spans="4:7" ht="12" customHeight="1" x14ac:dyDescent="0.15">
      <c r="D577" s="226"/>
      <c r="E577" s="135"/>
      <c r="F577" s="198"/>
      <c r="G577" s="198"/>
    </row>
    <row r="578" spans="4:7" ht="12" customHeight="1" x14ac:dyDescent="0.15">
      <c r="D578" s="226"/>
      <c r="E578" s="135"/>
      <c r="F578" s="198"/>
      <c r="G578" s="198"/>
    </row>
    <row r="579" spans="4:7" ht="12" customHeight="1" x14ac:dyDescent="0.15">
      <c r="D579" s="226"/>
      <c r="E579" s="135"/>
      <c r="F579" s="198"/>
      <c r="G579" s="198"/>
    </row>
    <row r="580" spans="4:7" ht="12" customHeight="1" x14ac:dyDescent="0.15">
      <c r="D580" s="226"/>
      <c r="E580" s="135"/>
      <c r="F580" s="198"/>
      <c r="G580" s="198"/>
    </row>
    <row r="581" spans="4:7" ht="12" customHeight="1" x14ac:dyDescent="0.15">
      <c r="D581" s="226"/>
      <c r="E581" s="135"/>
      <c r="F581" s="198"/>
      <c r="G581" s="198"/>
    </row>
    <row r="582" spans="4:7" ht="12" customHeight="1" x14ac:dyDescent="0.15">
      <c r="D582" s="226"/>
      <c r="E582" s="135"/>
      <c r="F582" s="198"/>
      <c r="G582" s="198"/>
    </row>
    <row r="583" spans="4:7" ht="12" customHeight="1" x14ac:dyDescent="0.15">
      <c r="D583" s="226"/>
      <c r="E583" s="135"/>
      <c r="F583" s="198"/>
      <c r="G583" s="198"/>
    </row>
    <row r="584" spans="4:7" ht="12" customHeight="1" x14ac:dyDescent="0.15">
      <c r="D584" s="226"/>
      <c r="E584" s="135"/>
      <c r="F584" s="198"/>
      <c r="G584" s="198"/>
    </row>
    <row r="585" spans="4:7" ht="12" customHeight="1" x14ac:dyDescent="0.15">
      <c r="D585" s="226"/>
      <c r="E585" s="135"/>
      <c r="F585" s="198"/>
      <c r="G585" s="198"/>
    </row>
    <row r="586" spans="4:7" ht="12" customHeight="1" x14ac:dyDescent="0.15">
      <c r="D586" s="226"/>
      <c r="E586" s="135"/>
      <c r="F586" s="198"/>
      <c r="G586" s="198"/>
    </row>
    <row r="587" spans="4:7" ht="12" customHeight="1" x14ac:dyDescent="0.15">
      <c r="D587" s="226"/>
      <c r="E587" s="135"/>
      <c r="F587" s="198"/>
      <c r="G587" s="198"/>
    </row>
    <row r="588" spans="4:7" ht="12" customHeight="1" x14ac:dyDescent="0.15">
      <c r="D588" s="226"/>
      <c r="E588" s="135"/>
      <c r="F588" s="198"/>
      <c r="G588" s="198"/>
    </row>
    <row r="589" spans="4:7" ht="12" customHeight="1" x14ac:dyDescent="0.15">
      <c r="D589" s="226"/>
      <c r="E589" s="135"/>
      <c r="F589" s="198"/>
      <c r="G589" s="198"/>
    </row>
    <row r="590" spans="4:7" ht="12" customHeight="1" x14ac:dyDescent="0.15">
      <c r="D590" s="226"/>
      <c r="E590" s="135"/>
      <c r="F590" s="198"/>
      <c r="G590" s="198"/>
    </row>
    <row r="591" spans="4:7" ht="12" customHeight="1" x14ac:dyDescent="0.15">
      <c r="D591" s="226"/>
      <c r="E591" s="135"/>
      <c r="F591" s="198"/>
      <c r="G591" s="198"/>
    </row>
    <row r="592" spans="4:7" ht="12" customHeight="1" x14ac:dyDescent="0.15">
      <c r="D592" s="226"/>
      <c r="E592" s="135"/>
      <c r="F592" s="198"/>
      <c r="G592" s="198"/>
    </row>
    <row r="593" spans="4:7" ht="12" customHeight="1" x14ac:dyDescent="0.15">
      <c r="D593" s="226"/>
      <c r="E593" s="135"/>
      <c r="F593" s="198"/>
      <c r="G593" s="198"/>
    </row>
    <row r="594" spans="4:7" ht="12" customHeight="1" x14ac:dyDescent="0.15">
      <c r="D594" s="226"/>
      <c r="E594" s="135"/>
      <c r="F594" s="198"/>
      <c r="G594" s="198"/>
    </row>
    <row r="595" spans="4:7" ht="12" customHeight="1" x14ac:dyDescent="0.15">
      <c r="D595" s="226"/>
      <c r="E595" s="135"/>
      <c r="F595" s="198"/>
      <c r="G595" s="198"/>
    </row>
    <row r="596" spans="4:7" ht="12" customHeight="1" x14ac:dyDescent="0.15">
      <c r="D596" s="226"/>
      <c r="E596" s="135"/>
      <c r="F596" s="198"/>
      <c r="G596" s="198"/>
    </row>
    <row r="597" spans="4:7" ht="12" customHeight="1" x14ac:dyDescent="0.15">
      <c r="D597" s="226"/>
      <c r="E597" s="135"/>
      <c r="F597" s="198"/>
      <c r="G597" s="198"/>
    </row>
    <row r="598" spans="4:7" ht="12" customHeight="1" x14ac:dyDescent="0.15">
      <c r="D598" s="226"/>
      <c r="E598" s="135"/>
      <c r="F598" s="198"/>
      <c r="G598" s="198"/>
    </row>
    <row r="599" spans="4:7" ht="12" customHeight="1" x14ac:dyDescent="0.15">
      <c r="D599" s="226"/>
      <c r="E599" s="135"/>
      <c r="F599" s="198"/>
      <c r="G599" s="198"/>
    </row>
    <row r="600" spans="4:7" ht="12" customHeight="1" x14ac:dyDescent="0.15">
      <c r="D600" s="226"/>
      <c r="E600" s="135"/>
      <c r="F600" s="198"/>
      <c r="G600" s="198"/>
    </row>
    <row r="601" spans="4:7" ht="12" customHeight="1" x14ac:dyDescent="0.15">
      <c r="D601" s="226"/>
      <c r="E601" s="135"/>
      <c r="F601" s="198"/>
      <c r="G601" s="198"/>
    </row>
    <row r="602" spans="4:7" ht="12" customHeight="1" x14ac:dyDescent="0.15">
      <c r="D602" s="226"/>
      <c r="E602" s="135"/>
      <c r="F602" s="198"/>
      <c r="G602" s="198"/>
    </row>
    <row r="603" spans="4:7" ht="12" customHeight="1" x14ac:dyDescent="0.15">
      <c r="D603" s="226"/>
      <c r="E603" s="135"/>
      <c r="F603" s="198"/>
      <c r="G603" s="198"/>
    </row>
    <row r="604" spans="4:7" ht="12" customHeight="1" x14ac:dyDescent="0.15">
      <c r="D604" s="226"/>
      <c r="E604" s="135"/>
      <c r="F604" s="198"/>
      <c r="G604" s="198"/>
    </row>
    <row r="605" spans="4:7" ht="12" customHeight="1" x14ac:dyDescent="0.15">
      <c r="D605" s="226"/>
      <c r="E605" s="135"/>
      <c r="F605" s="198"/>
      <c r="G605" s="198"/>
    </row>
    <row r="606" spans="4:7" ht="12" customHeight="1" x14ac:dyDescent="0.15">
      <c r="D606" s="226"/>
      <c r="E606" s="135"/>
      <c r="F606" s="198"/>
      <c r="G606" s="198"/>
    </row>
    <row r="607" spans="4:7" ht="12" customHeight="1" x14ac:dyDescent="0.15">
      <c r="D607" s="226"/>
      <c r="E607" s="135"/>
      <c r="F607" s="198"/>
      <c r="G607" s="198"/>
    </row>
    <row r="608" spans="4:7" ht="12" customHeight="1" x14ac:dyDescent="0.15">
      <c r="D608" s="226"/>
      <c r="E608" s="135"/>
      <c r="F608" s="198"/>
      <c r="G608" s="198"/>
    </row>
    <row r="609" spans="4:7" ht="12" customHeight="1" x14ac:dyDescent="0.15">
      <c r="D609" s="226"/>
      <c r="E609" s="135"/>
      <c r="F609" s="198"/>
      <c r="G609" s="198"/>
    </row>
    <row r="610" spans="4:7" ht="12" customHeight="1" x14ac:dyDescent="0.15">
      <c r="D610" s="226"/>
      <c r="E610" s="135"/>
      <c r="F610" s="198"/>
      <c r="G610" s="198"/>
    </row>
    <row r="611" spans="4:7" ht="12" customHeight="1" x14ac:dyDescent="0.15">
      <c r="D611" s="226"/>
      <c r="E611" s="135"/>
      <c r="F611" s="198"/>
      <c r="G611" s="198"/>
    </row>
    <row r="612" spans="4:7" ht="12" customHeight="1" x14ac:dyDescent="0.15">
      <c r="D612" s="226"/>
      <c r="E612" s="135"/>
      <c r="F612" s="198"/>
      <c r="G612" s="198"/>
    </row>
    <row r="613" spans="4:7" ht="12" customHeight="1" x14ac:dyDescent="0.15">
      <c r="D613" s="226"/>
      <c r="E613" s="135"/>
      <c r="F613" s="198"/>
      <c r="G613" s="198"/>
    </row>
    <row r="614" spans="4:7" ht="12" customHeight="1" x14ac:dyDescent="0.15">
      <c r="D614" s="226"/>
      <c r="E614" s="135"/>
      <c r="F614" s="198"/>
      <c r="G614" s="198"/>
    </row>
    <row r="615" spans="4:7" ht="12" customHeight="1" x14ac:dyDescent="0.15">
      <c r="D615" s="226"/>
      <c r="E615" s="135"/>
      <c r="F615" s="198"/>
      <c r="G615" s="198"/>
    </row>
    <row r="616" spans="4:7" ht="12" customHeight="1" x14ac:dyDescent="0.15">
      <c r="D616" s="226"/>
      <c r="E616" s="135"/>
      <c r="F616" s="198"/>
      <c r="G616" s="198"/>
    </row>
    <row r="617" spans="4:7" ht="12" customHeight="1" x14ac:dyDescent="0.15">
      <c r="D617" s="226"/>
      <c r="E617" s="135"/>
      <c r="F617" s="198"/>
      <c r="G617" s="198"/>
    </row>
    <row r="618" spans="4:7" ht="12" customHeight="1" x14ac:dyDescent="0.15">
      <c r="D618" s="226"/>
      <c r="E618" s="135"/>
      <c r="F618" s="198"/>
      <c r="G618" s="198"/>
    </row>
    <row r="619" spans="4:7" ht="12" customHeight="1" x14ac:dyDescent="0.15">
      <c r="D619" s="226"/>
      <c r="E619" s="135"/>
      <c r="F619" s="198"/>
      <c r="G619" s="198"/>
    </row>
    <row r="620" spans="4:7" ht="12" customHeight="1" x14ac:dyDescent="0.15">
      <c r="D620" s="226"/>
      <c r="E620" s="135"/>
      <c r="F620" s="198"/>
      <c r="G620" s="198"/>
    </row>
    <row r="621" spans="4:7" ht="12" customHeight="1" x14ac:dyDescent="0.15">
      <c r="D621" s="226"/>
      <c r="E621" s="135"/>
      <c r="F621" s="198"/>
      <c r="G621" s="198"/>
    </row>
    <row r="622" spans="4:7" ht="12" customHeight="1" x14ac:dyDescent="0.15">
      <c r="D622" s="226"/>
      <c r="E622" s="135"/>
      <c r="F622" s="198"/>
      <c r="G622" s="198"/>
    </row>
    <row r="623" spans="4:7" ht="12" customHeight="1" x14ac:dyDescent="0.15">
      <c r="D623" s="226"/>
      <c r="E623" s="135"/>
      <c r="F623" s="198"/>
      <c r="G623" s="198"/>
    </row>
    <row r="624" spans="4:7" ht="12" customHeight="1" x14ac:dyDescent="0.15">
      <c r="D624" s="226"/>
      <c r="E624" s="135"/>
      <c r="F624" s="198"/>
      <c r="G624" s="198"/>
    </row>
    <row r="625" spans="4:7" ht="12" customHeight="1" x14ac:dyDescent="0.15">
      <c r="D625" s="226"/>
      <c r="E625" s="135"/>
      <c r="F625" s="198"/>
      <c r="G625" s="198"/>
    </row>
    <row r="626" spans="4:7" ht="12" customHeight="1" x14ac:dyDescent="0.15">
      <c r="D626" s="226"/>
      <c r="E626" s="135"/>
      <c r="F626" s="198"/>
      <c r="G626" s="198"/>
    </row>
    <row r="627" spans="4:7" ht="12" customHeight="1" x14ac:dyDescent="0.15">
      <c r="D627" s="226"/>
      <c r="E627" s="135"/>
      <c r="F627" s="198"/>
      <c r="G627" s="198"/>
    </row>
    <row r="628" spans="4:7" ht="12" customHeight="1" x14ac:dyDescent="0.15">
      <c r="D628" s="226"/>
      <c r="E628" s="135"/>
      <c r="F628" s="198"/>
      <c r="G628" s="198"/>
    </row>
    <row r="629" spans="4:7" ht="12" customHeight="1" x14ac:dyDescent="0.15">
      <c r="D629" s="226"/>
      <c r="E629" s="135"/>
      <c r="F629" s="198"/>
      <c r="G629" s="198"/>
    </row>
    <row r="630" spans="4:7" ht="12" customHeight="1" x14ac:dyDescent="0.15">
      <c r="D630" s="226"/>
      <c r="E630" s="135"/>
      <c r="F630" s="198"/>
      <c r="G630" s="198"/>
    </row>
    <row r="631" spans="4:7" ht="12" customHeight="1" x14ac:dyDescent="0.15">
      <c r="D631" s="226"/>
      <c r="E631" s="135"/>
      <c r="F631" s="198"/>
      <c r="G631" s="198"/>
    </row>
    <row r="632" spans="4:7" ht="12" customHeight="1" x14ac:dyDescent="0.15">
      <c r="D632" s="226"/>
      <c r="E632" s="135"/>
      <c r="F632" s="198"/>
      <c r="G632" s="198"/>
    </row>
    <row r="633" spans="4:7" ht="12" customHeight="1" x14ac:dyDescent="0.15">
      <c r="D633" s="226"/>
      <c r="E633" s="135"/>
      <c r="F633" s="198"/>
      <c r="G633" s="198"/>
    </row>
    <row r="634" spans="4:7" ht="12" customHeight="1" x14ac:dyDescent="0.15">
      <c r="D634" s="226"/>
      <c r="E634" s="135"/>
      <c r="F634" s="198"/>
      <c r="G634" s="198"/>
    </row>
    <row r="635" spans="4:7" ht="12" customHeight="1" x14ac:dyDescent="0.15">
      <c r="D635" s="226"/>
      <c r="E635" s="135"/>
      <c r="F635" s="198"/>
      <c r="G635" s="198"/>
    </row>
    <row r="636" spans="4:7" ht="12" customHeight="1" x14ac:dyDescent="0.15">
      <c r="D636" s="226"/>
      <c r="E636" s="135"/>
      <c r="F636" s="198"/>
      <c r="G636" s="198"/>
    </row>
    <row r="637" spans="4:7" ht="12" customHeight="1" x14ac:dyDescent="0.15">
      <c r="D637" s="226"/>
      <c r="E637" s="135"/>
      <c r="F637" s="198"/>
      <c r="G637" s="198"/>
    </row>
    <row r="638" spans="4:7" ht="12" customHeight="1" x14ac:dyDescent="0.15">
      <c r="D638" s="226"/>
      <c r="E638" s="135"/>
      <c r="F638" s="198"/>
      <c r="G638" s="198"/>
    </row>
    <row r="639" spans="4:7" ht="12" customHeight="1" x14ac:dyDescent="0.15">
      <c r="D639" s="226"/>
      <c r="E639" s="135"/>
      <c r="F639" s="198"/>
      <c r="G639" s="198"/>
    </row>
    <row r="640" spans="4:7" ht="12" customHeight="1" x14ac:dyDescent="0.15">
      <c r="D640" s="226"/>
      <c r="E640" s="135"/>
      <c r="F640" s="198"/>
      <c r="G640" s="198"/>
    </row>
    <row r="641" spans="4:7" ht="12" customHeight="1" x14ac:dyDescent="0.15">
      <c r="D641" s="226"/>
      <c r="E641" s="135"/>
      <c r="F641" s="198"/>
      <c r="G641" s="198"/>
    </row>
    <row r="642" spans="4:7" ht="12" customHeight="1" x14ac:dyDescent="0.15">
      <c r="D642" s="226"/>
      <c r="E642" s="135"/>
      <c r="F642" s="198"/>
      <c r="G642" s="198"/>
    </row>
    <row r="643" spans="4:7" ht="12" customHeight="1" x14ac:dyDescent="0.15">
      <c r="D643" s="226"/>
      <c r="E643" s="135"/>
      <c r="F643" s="198"/>
      <c r="G643" s="198"/>
    </row>
    <row r="644" spans="4:7" ht="12" customHeight="1" x14ac:dyDescent="0.15">
      <c r="D644" s="226"/>
      <c r="E644" s="135"/>
      <c r="F644" s="198"/>
      <c r="G644" s="198"/>
    </row>
    <row r="645" spans="4:7" ht="12" customHeight="1" x14ac:dyDescent="0.15">
      <c r="D645" s="226"/>
      <c r="E645" s="135"/>
      <c r="F645" s="198"/>
      <c r="G645" s="198"/>
    </row>
    <row r="646" spans="4:7" ht="12" customHeight="1" x14ac:dyDescent="0.15">
      <c r="D646" s="226"/>
      <c r="E646" s="135"/>
      <c r="F646" s="198"/>
      <c r="G646" s="198"/>
    </row>
    <row r="647" spans="4:7" ht="12" customHeight="1" x14ac:dyDescent="0.15">
      <c r="D647" s="226"/>
      <c r="E647" s="135"/>
      <c r="F647" s="198"/>
      <c r="G647" s="198"/>
    </row>
    <row r="648" spans="4:7" ht="12" customHeight="1" x14ac:dyDescent="0.15">
      <c r="D648" s="226"/>
      <c r="E648" s="135"/>
      <c r="F648" s="198"/>
      <c r="G648" s="198"/>
    </row>
    <row r="649" spans="4:7" ht="12" customHeight="1" x14ac:dyDescent="0.15">
      <c r="D649" s="226"/>
      <c r="E649" s="135"/>
      <c r="F649" s="198"/>
      <c r="G649" s="198"/>
    </row>
    <row r="650" spans="4:7" ht="12" customHeight="1" x14ac:dyDescent="0.15">
      <c r="D650" s="226"/>
      <c r="E650" s="135"/>
      <c r="F650" s="198"/>
      <c r="G650" s="198"/>
    </row>
    <row r="651" spans="4:7" ht="12" customHeight="1" x14ac:dyDescent="0.15">
      <c r="D651" s="226"/>
      <c r="E651" s="135"/>
      <c r="F651" s="198"/>
      <c r="G651" s="198"/>
    </row>
    <row r="652" spans="4:7" ht="12" customHeight="1" x14ac:dyDescent="0.15">
      <c r="D652" s="226"/>
      <c r="E652" s="135"/>
      <c r="F652" s="198"/>
      <c r="G652" s="198"/>
    </row>
    <row r="653" spans="4:7" ht="12" customHeight="1" x14ac:dyDescent="0.15">
      <c r="D653" s="226"/>
      <c r="E653" s="135"/>
      <c r="F653" s="198"/>
      <c r="G653" s="198"/>
    </row>
    <row r="654" spans="4:7" ht="12" customHeight="1" x14ac:dyDescent="0.15">
      <c r="D654" s="226"/>
      <c r="E654" s="135"/>
      <c r="F654" s="198"/>
      <c r="G654" s="198"/>
    </row>
    <row r="655" spans="4:7" ht="12" customHeight="1" x14ac:dyDescent="0.15">
      <c r="D655" s="226"/>
      <c r="E655" s="135"/>
      <c r="F655" s="198"/>
      <c r="G655" s="198"/>
    </row>
    <row r="656" spans="4:7" ht="12" customHeight="1" x14ac:dyDescent="0.15">
      <c r="D656" s="226"/>
      <c r="E656" s="135"/>
      <c r="F656" s="198"/>
      <c r="G656" s="198"/>
    </row>
    <row r="657" spans="4:7" ht="12" customHeight="1" x14ac:dyDescent="0.15">
      <c r="D657" s="226"/>
      <c r="E657" s="135"/>
      <c r="F657" s="198"/>
      <c r="G657" s="198"/>
    </row>
    <row r="658" spans="4:7" ht="12" customHeight="1" x14ac:dyDescent="0.15">
      <c r="D658" s="226"/>
      <c r="E658" s="135"/>
      <c r="F658" s="198"/>
      <c r="G658" s="198"/>
    </row>
    <row r="659" spans="4:7" ht="12" customHeight="1" x14ac:dyDescent="0.15">
      <c r="D659" s="226"/>
      <c r="E659" s="135"/>
      <c r="F659" s="198"/>
      <c r="G659" s="198"/>
    </row>
    <row r="660" spans="4:7" ht="12" customHeight="1" x14ac:dyDescent="0.15">
      <c r="D660" s="226"/>
      <c r="E660" s="135"/>
      <c r="F660" s="198"/>
      <c r="G660" s="198"/>
    </row>
    <row r="661" spans="4:7" ht="12" customHeight="1" x14ac:dyDescent="0.15">
      <c r="D661" s="226"/>
      <c r="E661" s="135"/>
      <c r="F661" s="198"/>
      <c r="G661" s="198"/>
    </row>
    <row r="662" spans="4:7" ht="12" customHeight="1" x14ac:dyDescent="0.15">
      <c r="D662" s="226"/>
      <c r="E662" s="135"/>
      <c r="F662" s="198"/>
      <c r="G662" s="198"/>
    </row>
    <row r="663" spans="4:7" ht="12" customHeight="1" x14ac:dyDescent="0.15">
      <c r="D663" s="226"/>
      <c r="E663" s="135"/>
      <c r="F663" s="198"/>
      <c r="G663" s="198"/>
    </row>
    <row r="664" spans="4:7" ht="12" customHeight="1" x14ac:dyDescent="0.15">
      <c r="D664" s="226"/>
      <c r="E664" s="135"/>
      <c r="F664" s="198"/>
      <c r="G664" s="198"/>
    </row>
    <row r="665" spans="4:7" ht="12" customHeight="1" x14ac:dyDescent="0.15">
      <c r="D665" s="226"/>
      <c r="E665" s="135"/>
      <c r="F665" s="198"/>
      <c r="G665" s="198"/>
    </row>
    <row r="666" spans="4:7" ht="12" customHeight="1" x14ac:dyDescent="0.15">
      <c r="D666" s="226"/>
      <c r="E666" s="135"/>
      <c r="F666" s="198"/>
      <c r="G666" s="198"/>
    </row>
    <row r="667" spans="4:7" ht="12" customHeight="1" x14ac:dyDescent="0.15">
      <c r="D667" s="226"/>
      <c r="E667" s="135"/>
      <c r="F667" s="198"/>
      <c r="G667" s="198"/>
    </row>
    <row r="668" spans="4:7" ht="12" customHeight="1" x14ac:dyDescent="0.15">
      <c r="D668" s="226"/>
      <c r="E668" s="135"/>
      <c r="F668" s="198"/>
      <c r="G668" s="198"/>
    </row>
    <row r="669" spans="4:7" ht="12" customHeight="1" x14ac:dyDescent="0.15">
      <c r="D669" s="226"/>
      <c r="E669" s="135"/>
      <c r="F669" s="198"/>
      <c r="G669" s="198"/>
    </row>
    <row r="670" spans="4:7" ht="12" customHeight="1" x14ac:dyDescent="0.15">
      <c r="D670" s="226"/>
      <c r="E670" s="135"/>
      <c r="F670" s="198"/>
      <c r="G670" s="198"/>
    </row>
    <row r="671" spans="4:7" ht="12" customHeight="1" x14ac:dyDescent="0.15">
      <c r="D671" s="226"/>
      <c r="E671" s="135"/>
      <c r="F671" s="198"/>
      <c r="G671" s="198"/>
    </row>
    <row r="672" spans="4:7" ht="12" customHeight="1" x14ac:dyDescent="0.15">
      <c r="D672" s="226"/>
      <c r="E672" s="135"/>
      <c r="F672" s="198"/>
      <c r="G672" s="198"/>
    </row>
    <row r="673" spans="4:7" ht="12" customHeight="1" x14ac:dyDescent="0.15">
      <c r="D673" s="226"/>
      <c r="E673" s="135"/>
      <c r="F673" s="198"/>
      <c r="G673" s="198"/>
    </row>
    <row r="674" spans="4:7" ht="12" customHeight="1" x14ac:dyDescent="0.15">
      <c r="D674" s="226"/>
      <c r="E674" s="135"/>
      <c r="F674" s="198"/>
      <c r="G674" s="198"/>
    </row>
    <row r="675" spans="4:7" ht="12" customHeight="1" x14ac:dyDescent="0.15">
      <c r="D675" s="226"/>
      <c r="E675" s="135"/>
      <c r="F675" s="198"/>
      <c r="G675" s="198"/>
    </row>
    <row r="676" spans="4:7" ht="12" customHeight="1" x14ac:dyDescent="0.15">
      <c r="D676" s="226"/>
      <c r="E676" s="135"/>
      <c r="F676" s="198"/>
      <c r="G676" s="198"/>
    </row>
    <row r="677" spans="4:7" ht="12" customHeight="1" x14ac:dyDescent="0.15">
      <c r="D677" s="226"/>
      <c r="E677" s="135"/>
      <c r="F677" s="198"/>
      <c r="G677" s="198"/>
    </row>
    <row r="678" spans="4:7" ht="12" customHeight="1" x14ac:dyDescent="0.15">
      <c r="D678" s="226"/>
      <c r="E678" s="135"/>
      <c r="F678" s="198"/>
      <c r="G678" s="198"/>
    </row>
    <row r="679" spans="4:7" ht="12" customHeight="1" x14ac:dyDescent="0.15">
      <c r="D679" s="226"/>
      <c r="E679" s="135"/>
      <c r="F679" s="198"/>
      <c r="G679" s="198"/>
    </row>
    <row r="680" spans="4:7" ht="12" customHeight="1" x14ac:dyDescent="0.15">
      <c r="D680" s="226"/>
      <c r="E680" s="135"/>
      <c r="F680" s="198"/>
      <c r="G680" s="198"/>
    </row>
    <row r="681" spans="4:7" ht="12" customHeight="1" x14ac:dyDescent="0.15">
      <c r="D681" s="226"/>
      <c r="E681" s="135"/>
      <c r="F681" s="198"/>
      <c r="G681" s="198"/>
    </row>
    <row r="682" spans="4:7" ht="12" customHeight="1" x14ac:dyDescent="0.15">
      <c r="D682" s="226"/>
      <c r="E682" s="135"/>
      <c r="F682" s="198"/>
      <c r="G682" s="198"/>
    </row>
    <row r="683" spans="4:7" ht="12" customHeight="1" x14ac:dyDescent="0.15">
      <c r="D683" s="226"/>
      <c r="E683" s="135"/>
      <c r="F683" s="198"/>
      <c r="G683" s="198"/>
    </row>
    <row r="684" spans="4:7" ht="12" customHeight="1" x14ac:dyDescent="0.15">
      <c r="D684" s="226"/>
      <c r="E684" s="135"/>
      <c r="F684" s="198"/>
      <c r="G684" s="198"/>
    </row>
    <row r="685" spans="4:7" ht="12" customHeight="1" x14ac:dyDescent="0.15">
      <c r="D685" s="226"/>
      <c r="E685" s="135"/>
      <c r="F685" s="198"/>
      <c r="G685" s="198"/>
    </row>
    <row r="686" spans="4:7" ht="12" customHeight="1" x14ac:dyDescent="0.15">
      <c r="D686" s="226"/>
      <c r="E686" s="135"/>
      <c r="F686" s="198"/>
      <c r="G686" s="198"/>
    </row>
    <row r="687" spans="4:7" ht="12" customHeight="1" x14ac:dyDescent="0.15">
      <c r="D687" s="226"/>
      <c r="E687" s="135"/>
      <c r="F687" s="198"/>
      <c r="G687" s="198"/>
    </row>
    <row r="688" spans="4:7" ht="12" customHeight="1" x14ac:dyDescent="0.15">
      <c r="D688" s="226"/>
      <c r="E688" s="135"/>
      <c r="F688" s="198"/>
      <c r="G688" s="198"/>
    </row>
    <row r="689" spans="4:7" ht="12" customHeight="1" x14ac:dyDescent="0.15">
      <c r="D689" s="226"/>
      <c r="E689" s="135"/>
      <c r="F689" s="198"/>
      <c r="G689" s="198"/>
    </row>
    <row r="690" spans="4:7" ht="12" customHeight="1" x14ac:dyDescent="0.15">
      <c r="D690" s="226"/>
      <c r="E690" s="135"/>
      <c r="F690" s="198"/>
      <c r="G690" s="198"/>
    </row>
    <row r="691" spans="4:7" ht="12" customHeight="1" x14ac:dyDescent="0.15">
      <c r="D691" s="226"/>
      <c r="E691" s="135"/>
      <c r="F691" s="198"/>
      <c r="G691" s="198"/>
    </row>
    <row r="692" spans="4:7" ht="12" customHeight="1" x14ac:dyDescent="0.15">
      <c r="D692" s="226"/>
      <c r="E692" s="135"/>
      <c r="F692" s="198"/>
      <c r="G692" s="198"/>
    </row>
    <row r="693" spans="4:7" ht="12" customHeight="1" x14ac:dyDescent="0.15">
      <c r="D693" s="226"/>
      <c r="E693" s="135"/>
      <c r="F693" s="198"/>
      <c r="G693" s="198"/>
    </row>
    <row r="694" spans="4:7" ht="12" customHeight="1" x14ac:dyDescent="0.15">
      <c r="D694" s="226"/>
      <c r="E694" s="135"/>
      <c r="F694" s="198"/>
      <c r="G694" s="198"/>
    </row>
    <row r="695" spans="4:7" ht="12" customHeight="1" x14ac:dyDescent="0.15">
      <c r="D695" s="226"/>
      <c r="E695" s="135"/>
      <c r="F695" s="198"/>
      <c r="G695" s="198"/>
    </row>
    <row r="696" spans="4:7" ht="12" customHeight="1" x14ac:dyDescent="0.15">
      <c r="D696" s="226"/>
      <c r="E696" s="135"/>
      <c r="F696" s="198"/>
      <c r="G696" s="198"/>
    </row>
    <row r="697" spans="4:7" ht="12" customHeight="1" x14ac:dyDescent="0.15">
      <c r="D697" s="226"/>
      <c r="E697" s="135"/>
      <c r="F697" s="198"/>
      <c r="G697" s="198"/>
    </row>
    <row r="698" spans="4:7" ht="12" customHeight="1" x14ac:dyDescent="0.15">
      <c r="D698" s="226"/>
      <c r="E698" s="135"/>
      <c r="F698" s="198"/>
      <c r="G698" s="198"/>
    </row>
    <row r="699" spans="4:7" ht="12" customHeight="1" x14ac:dyDescent="0.15">
      <c r="D699" s="226"/>
      <c r="E699" s="135"/>
      <c r="F699" s="198"/>
      <c r="G699" s="198"/>
    </row>
    <row r="700" spans="4:7" ht="12" customHeight="1" x14ac:dyDescent="0.15">
      <c r="D700" s="226"/>
      <c r="E700" s="135"/>
      <c r="F700" s="198"/>
      <c r="G700" s="198"/>
    </row>
    <row r="701" spans="4:7" ht="12" customHeight="1" x14ac:dyDescent="0.15">
      <c r="D701" s="226"/>
      <c r="E701" s="135"/>
      <c r="F701" s="198"/>
      <c r="G701" s="198"/>
    </row>
    <row r="702" spans="4:7" ht="12" customHeight="1" x14ac:dyDescent="0.15">
      <c r="D702" s="226"/>
      <c r="E702" s="135"/>
      <c r="F702" s="198"/>
      <c r="G702" s="198"/>
    </row>
    <row r="703" spans="4:7" ht="12" customHeight="1" x14ac:dyDescent="0.15">
      <c r="D703" s="226"/>
      <c r="E703" s="135"/>
      <c r="F703" s="198"/>
      <c r="G703" s="198"/>
    </row>
    <row r="704" spans="4:7" ht="12" customHeight="1" x14ac:dyDescent="0.15">
      <c r="D704" s="226"/>
      <c r="E704" s="135"/>
      <c r="F704" s="198"/>
      <c r="G704" s="198"/>
    </row>
    <row r="705" spans="4:7" ht="12" customHeight="1" x14ac:dyDescent="0.15">
      <c r="D705" s="226"/>
      <c r="E705" s="135"/>
      <c r="F705" s="198"/>
      <c r="G705" s="198"/>
    </row>
    <row r="706" spans="4:7" ht="12" customHeight="1" x14ac:dyDescent="0.15">
      <c r="D706" s="226"/>
      <c r="E706" s="135"/>
      <c r="F706" s="198"/>
      <c r="G706" s="198"/>
    </row>
    <row r="707" spans="4:7" ht="12" customHeight="1" x14ac:dyDescent="0.15">
      <c r="D707" s="226"/>
      <c r="E707" s="135"/>
      <c r="F707" s="198"/>
      <c r="G707" s="198"/>
    </row>
    <row r="708" spans="4:7" ht="12" customHeight="1" x14ac:dyDescent="0.15">
      <c r="D708" s="226"/>
      <c r="E708" s="135"/>
      <c r="F708" s="198"/>
      <c r="G708" s="198"/>
    </row>
    <row r="709" spans="4:7" ht="12" customHeight="1" x14ac:dyDescent="0.15">
      <c r="D709" s="226"/>
      <c r="E709" s="135"/>
      <c r="F709" s="198"/>
      <c r="G709" s="198"/>
    </row>
    <row r="710" spans="4:7" ht="12" customHeight="1" x14ac:dyDescent="0.15">
      <c r="D710" s="226"/>
      <c r="E710" s="135"/>
      <c r="F710" s="198"/>
      <c r="G710" s="198"/>
    </row>
    <row r="711" spans="4:7" ht="12" customHeight="1" x14ac:dyDescent="0.15">
      <c r="D711" s="226"/>
      <c r="E711" s="135"/>
      <c r="F711" s="198"/>
      <c r="G711" s="198"/>
    </row>
    <row r="712" spans="4:7" ht="12" customHeight="1" x14ac:dyDescent="0.15">
      <c r="D712" s="226"/>
      <c r="E712" s="135"/>
      <c r="F712" s="198"/>
      <c r="G712" s="198"/>
    </row>
    <row r="713" spans="4:7" ht="12" customHeight="1" x14ac:dyDescent="0.15">
      <c r="D713" s="226"/>
      <c r="E713" s="135"/>
      <c r="F713" s="198"/>
      <c r="G713" s="198"/>
    </row>
    <row r="714" spans="4:7" ht="12" customHeight="1" x14ac:dyDescent="0.15">
      <c r="D714" s="226"/>
      <c r="E714" s="135"/>
      <c r="F714" s="198"/>
      <c r="G714" s="198"/>
    </row>
    <row r="715" spans="4:7" ht="12" customHeight="1" x14ac:dyDescent="0.15">
      <c r="D715" s="226"/>
      <c r="E715" s="135"/>
      <c r="F715" s="198"/>
      <c r="G715" s="198"/>
    </row>
    <row r="716" spans="4:7" ht="12" customHeight="1" x14ac:dyDescent="0.15">
      <c r="D716" s="226"/>
      <c r="E716" s="135"/>
      <c r="F716" s="198"/>
      <c r="G716" s="198"/>
    </row>
    <row r="717" spans="4:7" ht="12" customHeight="1" x14ac:dyDescent="0.15">
      <c r="D717" s="226"/>
      <c r="E717" s="135"/>
      <c r="F717" s="198"/>
      <c r="G717" s="198"/>
    </row>
    <row r="718" spans="4:7" ht="12" customHeight="1" x14ac:dyDescent="0.15">
      <c r="D718" s="226"/>
      <c r="E718" s="135"/>
      <c r="F718" s="198"/>
      <c r="G718" s="198"/>
    </row>
    <row r="719" spans="4:7" ht="12" customHeight="1" x14ac:dyDescent="0.15">
      <c r="D719" s="226"/>
      <c r="E719" s="135"/>
      <c r="F719" s="198"/>
      <c r="G719" s="198"/>
    </row>
    <row r="720" spans="4:7" ht="12" customHeight="1" x14ac:dyDescent="0.15">
      <c r="D720" s="226"/>
      <c r="E720" s="135"/>
      <c r="F720" s="198"/>
      <c r="G720" s="198"/>
    </row>
    <row r="721" spans="4:7" ht="12" customHeight="1" x14ac:dyDescent="0.15">
      <c r="D721" s="226"/>
      <c r="E721" s="135"/>
      <c r="F721" s="198"/>
      <c r="G721" s="198"/>
    </row>
    <row r="722" spans="4:7" ht="12" customHeight="1" x14ac:dyDescent="0.15">
      <c r="D722" s="226"/>
      <c r="E722" s="135"/>
      <c r="F722" s="198"/>
      <c r="G722" s="198"/>
    </row>
    <row r="723" spans="4:7" ht="12" customHeight="1" x14ac:dyDescent="0.15">
      <c r="D723" s="226"/>
      <c r="E723" s="135"/>
      <c r="F723" s="198"/>
      <c r="G723" s="198"/>
    </row>
    <row r="724" spans="4:7" ht="12" customHeight="1" x14ac:dyDescent="0.15">
      <c r="D724" s="226"/>
      <c r="E724" s="135"/>
      <c r="F724" s="198"/>
      <c r="G724" s="198"/>
    </row>
    <row r="725" spans="4:7" ht="12" customHeight="1" x14ac:dyDescent="0.15">
      <c r="D725" s="226"/>
      <c r="E725" s="135"/>
      <c r="F725" s="198"/>
      <c r="G725" s="198"/>
    </row>
    <row r="726" spans="4:7" ht="12" customHeight="1" x14ac:dyDescent="0.15">
      <c r="D726" s="226"/>
      <c r="E726" s="135"/>
      <c r="F726" s="198"/>
      <c r="G726" s="198"/>
    </row>
    <row r="727" spans="4:7" ht="12" customHeight="1" x14ac:dyDescent="0.15">
      <c r="D727" s="226"/>
      <c r="E727" s="135"/>
      <c r="F727" s="198"/>
      <c r="G727" s="198"/>
    </row>
    <row r="728" spans="4:7" ht="12" customHeight="1" x14ac:dyDescent="0.15">
      <c r="D728" s="226"/>
      <c r="E728" s="135"/>
      <c r="F728" s="198"/>
      <c r="G728" s="198"/>
    </row>
    <row r="729" spans="4:7" ht="12" customHeight="1" x14ac:dyDescent="0.15">
      <c r="D729" s="226"/>
      <c r="E729" s="135"/>
      <c r="F729" s="198"/>
      <c r="G729" s="198"/>
    </row>
    <row r="730" spans="4:7" ht="12" customHeight="1" x14ac:dyDescent="0.15">
      <c r="D730" s="226"/>
      <c r="E730" s="135"/>
      <c r="F730" s="198"/>
      <c r="G730" s="198"/>
    </row>
    <row r="731" spans="4:7" ht="12" customHeight="1" x14ac:dyDescent="0.15">
      <c r="D731" s="226"/>
      <c r="E731" s="135"/>
      <c r="F731" s="198"/>
      <c r="G731" s="198"/>
    </row>
    <row r="732" spans="4:7" ht="12" customHeight="1" x14ac:dyDescent="0.15">
      <c r="D732" s="226"/>
      <c r="E732" s="135"/>
      <c r="F732" s="198"/>
      <c r="G732" s="198"/>
    </row>
    <row r="733" spans="4:7" ht="12" customHeight="1" x14ac:dyDescent="0.15">
      <c r="D733" s="226"/>
      <c r="E733" s="135"/>
      <c r="F733" s="198"/>
      <c r="G733" s="198"/>
    </row>
    <row r="734" spans="4:7" ht="12" customHeight="1" x14ac:dyDescent="0.15">
      <c r="D734" s="226"/>
      <c r="E734" s="135"/>
      <c r="F734" s="198"/>
      <c r="G734" s="198"/>
    </row>
    <row r="735" spans="4:7" ht="12" customHeight="1" x14ac:dyDescent="0.15">
      <c r="D735" s="226"/>
      <c r="E735" s="135"/>
      <c r="F735" s="198"/>
      <c r="G735" s="198"/>
    </row>
    <row r="736" spans="4:7" ht="12" customHeight="1" x14ac:dyDescent="0.15">
      <c r="D736" s="226"/>
      <c r="E736" s="135"/>
      <c r="F736" s="198"/>
      <c r="G736" s="198"/>
    </row>
    <row r="737" spans="4:7" ht="12" customHeight="1" x14ac:dyDescent="0.15">
      <c r="D737" s="226"/>
      <c r="E737" s="135"/>
      <c r="F737" s="198"/>
      <c r="G737" s="198"/>
    </row>
    <row r="738" spans="4:7" ht="12" customHeight="1" x14ac:dyDescent="0.15">
      <c r="D738" s="226"/>
      <c r="E738" s="135"/>
      <c r="F738" s="198"/>
      <c r="G738" s="198"/>
    </row>
    <row r="739" spans="4:7" ht="12" customHeight="1" x14ac:dyDescent="0.15">
      <c r="D739" s="226"/>
      <c r="E739" s="135"/>
      <c r="F739" s="198"/>
      <c r="G739" s="198"/>
    </row>
    <row r="740" spans="4:7" ht="12" customHeight="1" x14ac:dyDescent="0.15">
      <c r="D740" s="226"/>
      <c r="E740" s="135"/>
      <c r="F740" s="198"/>
      <c r="G740" s="198"/>
    </row>
    <row r="741" spans="4:7" ht="12" customHeight="1" x14ac:dyDescent="0.15">
      <c r="D741" s="226"/>
      <c r="E741" s="135"/>
      <c r="F741" s="198"/>
      <c r="G741" s="198"/>
    </row>
    <row r="742" spans="4:7" ht="12" customHeight="1" x14ac:dyDescent="0.15">
      <c r="D742" s="226"/>
      <c r="E742" s="135"/>
      <c r="F742" s="198"/>
      <c r="G742" s="198"/>
    </row>
    <row r="743" spans="4:7" ht="12" customHeight="1" x14ac:dyDescent="0.15">
      <c r="D743" s="226"/>
      <c r="E743" s="135"/>
      <c r="F743" s="198"/>
      <c r="G743" s="198"/>
    </row>
    <row r="744" spans="4:7" ht="12" customHeight="1" x14ac:dyDescent="0.15">
      <c r="D744" s="226"/>
      <c r="E744" s="135"/>
      <c r="F744" s="198"/>
      <c r="G744" s="198"/>
    </row>
    <row r="745" spans="4:7" ht="12" customHeight="1" x14ac:dyDescent="0.15">
      <c r="D745" s="226"/>
      <c r="E745" s="135"/>
      <c r="F745" s="198"/>
      <c r="G745" s="198"/>
    </row>
    <row r="746" spans="4:7" ht="12" customHeight="1" x14ac:dyDescent="0.15">
      <c r="D746" s="226"/>
      <c r="E746" s="135"/>
      <c r="F746" s="198"/>
      <c r="G746" s="198"/>
    </row>
    <row r="747" spans="4:7" ht="12" customHeight="1" x14ac:dyDescent="0.15">
      <c r="D747" s="226"/>
      <c r="E747" s="135"/>
      <c r="F747" s="198"/>
      <c r="G747" s="198"/>
    </row>
    <row r="748" spans="4:7" ht="12" customHeight="1" x14ac:dyDescent="0.15">
      <c r="D748" s="226"/>
      <c r="E748" s="135"/>
      <c r="F748" s="198"/>
      <c r="G748" s="198"/>
    </row>
    <row r="749" spans="4:7" ht="12" customHeight="1" x14ac:dyDescent="0.15">
      <c r="D749" s="226"/>
      <c r="E749" s="135"/>
      <c r="F749" s="198"/>
      <c r="G749" s="198"/>
    </row>
    <row r="750" spans="4:7" ht="12" customHeight="1" x14ac:dyDescent="0.15">
      <c r="D750" s="226"/>
      <c r="E750" s="135"/>
      <c r="F750" s="198"/>
      <c r="G750" s="198"/>
    </row>
    <row r="751" spans="4:7" ht="12" customHeight="1" x14ac:dyDescent="0.15">
      <c r="D751" s="226"/>
      <c r="E751" s="135"/>
      <c r="F751" s="198"/>
      <c r="G751" s="198"/>
    </row>
    <row r="752" spans="4:7" ht="12" customHeight="1" x14ac:dyDescent="0.15">
      <c r="D752" s="226"/>
      <c r="E752" s="135"/>
      <c r="F752" s="198"/>
      <c r="G752" s="198"/>
    </row>
    <row r="753" spans="4:7" ht="12" customHeight="1" x14ac:dyDescent="0.15">
      <c r="D753" s="226"/>
      <c r="E753" s="135"/>
      <c r="F753" s="198"/>
      <c r="G753" s="198"/>
    </row>
    <row r="754" spans="4:7" ht="12" customHeight="1" x14ac:dyDescent="0.15">
      <c r="D754" s="226"/>
      <c r="E754" s="135"/>
      <c r="F754" s="198"/>
      <c r="G754" s="198"/>
    </row>
    <row r="755" spans="4:7" ht="12" customHeight="1" x14ac:dyDescent="0.15">
      <c r="D755" s="226"/>
      <c r="E755" s="135"/>
      <c r="F755" s="198"/>
      <c r="G755" s="198"/>
    </row>
    <row r="756" spans="4:7" ht="12" customHeight="1" x14ac:dyDescent="0.15">
      <c r="D756" s="226"/>
      <c r="E756" s="135"/>
      <c r="F756" s="198"/>
      <c r="G756" s="198"/>
    </row>
    <row r="757" spans="4:7" ht="12" customHeight="1" x14ac:dyDescent="0.15">
      <c r="D757" s="226"/>
      <c r="E757" s="135"/>
      <c r="F757" s="198"/>
      <c r="G757" s="198"/>
    </row>
    <row r="758" spans="4:7" ht="12" customHeight="1" x14ac:dyDescent="0.15">
      <c r="D758" s="226"/>
      <c r="E758" s="135"/>
      <c r="F758" s="198"/>
      <c r="G758" s="198"/>
    </row>
    <row r="759" spans="4:7" ht="12" customHeight="1" x14ac:dyDescent="0.15">
      <c r="D759" s="226"/>
      <c r="E759" s="135"/>
      <c r="F759" s="198"/>
      <c r="G759" s="198"/>
    </row>
    <row r="760" spans="4:7" ht="12" customHeight="1" x14ac:dyDescent="0.15">
      <c r="D760" s="226"/>
      <c r="E760" s="135"/>
      <c r="F760" s="198"/>
      <c r="G760" s="198"/>
    </row>
    <row r="761" spans="4:7" ht="12" customHeight="1" x14ac:dyDescent="0.15">
      <c r="D761" s="226"/>
      <c r="E761" s="135"/>
      <c r="F761" s="198"/>
      <c r="G761" s="198"/>
    </row>
    <row r="762" spans="4:7" ht="12" customHeight="1" x14ac:dyDescent="0.15">
      <c r="D762" s="226"/>
      <c r="E762" s="135"/>
      <c r="F762" s="198"/>
      <c r="G762" s="198"/>
    </row>
    <row r="763" spans="4:7" ht="12" customHeight="1" x14ac:dyDescent="0.15">
      <c r="D763" s="226"/>
      <c r="E763" s="135"/>
      <c r="F763" s="198"/>
      <c r="G763" s="198"/>
    </row>
    <row r="764" spans="4:7" ht="12" customHeight="1" x14ac:dyDescent="0.15">
      <c r="D764" s="226"/>
      <c r="E764" s="135"/>
      <c r="F764" s="198"/>
      <c r="G764" s="198"/>
    </row>
    <row r="765" spans="4:7" ht="12" customHeight="1" x14ac:dyDescent="0.15">
      <c r="D765" s="226"/>
      <c r="E765" s="135"/>
      <c r="F765" s="198"/>
      <c r="G765" s="198"/>
    </row>
    <row r="766" spans="4:7" ht="12" customHeight="1" x14ac:dyDescent="0.15">
      <c r="D766" s="226"/>
      <c r="E766" s="135"/>
      <c r="F766" s="198"/>
      <c r="G766" s="198"/>
    </row>
    <row r="767" spans="4:7" ht="12" customHeight="1" x14ac:dyDescent="0.15">
      <c r="D767" s="226"/>
      <c r="E767" s="135"/>
      <c r="F767" s="198"/>
      <c r="G767" s="198"/>
    </row>
    <row r="768" spans="4:7" ht="12" customHeight="1" x14ac:dyDescent="0.15">
      <c r="D768" s="226"/>
      <c r="E768" s="135"/>
      <c r="F768" s="198"/>
      <c r="G768" s="198"/>
    </row>
    <row r="769" spans="4:7" ht="12" customHeight="1" x14ac:dyDescent="0.15">
      <c r="D769" s="226"/>
      <c r="E769" s="135"/>
      <c r="F769" s="198"/>
      <c r="G769" s="198"/>
    </row>
    <row r="770" spans="4:7" ht="12" customHeight="1" x14ac:dyDescent="0.15">
      <c r="D770" s="226"/>
      <c r="E770" s="135"/>
      <c r="F770" s="198"/>
      <c r="G770" s="198"/>
    </row>
    <row r="771" spans="4:7" ht="12" customHeight="1" x14ac:dyDescent="0.15">
      <c r="D771" s="226"/>
      <c r="E771" s="135"/>
      <c r="F771" s="198"/>
      <c r="G771" s="198"/>
    </row>
    <row r="772" spans="4:7" ht="12" customHeight="1" x14ac:dyDescent="0.15">
      <c r="D772" s="226"/>
      <c r="E772" s="135"/>
      <c r="F772" s="198"/>
      <c r="G772" s="198"/>
    </row>
    <row r="773" spans="4:7" ht="12" customHeight="1" x14ac:dyDescent="0.15">
      <c r="D773" s="226"/>
      <c r="E773" s="135"/>
      <c r="F773" s="198"/>
      <c r="G773" s="198"/>
    </row>
    <row r="774" spans="4:7" ht="12" customHeight="1" x14ac:dyDescent="0.15">
      <c r="D774" s="226"/>
      <c r="E774" s="135"/>
      <c r="F774" s="198"/>
      <c r="G774" s="198"/>
    </row>
    <row r="775" spans="4:7" ht="12" customHeight="1" x14ac:dyDescent="0.15">
      <c r="D775" s="226"/>
      <c r="E775" s="135"/>
      <c r="F775" s="198"/>
      <c r="G775" s="198"/>
    </row>
    <row r="776" spans="4:7" ht="12" customHeight="1" x14ac:dyDescent="0.15">
      <c r="D776" s="226"/>
      <c r="E776" s="135"/>
      <c r="F776" s="198"/>
      <c r="G776" s="198"/>
    </row>
    <row r="777" spans="4:7" ht="12" customHeight="1" x14ac:dyDescent="0.15">
      <c r="D777" s="226"/>
      <c r="E777" s="135"/>
      <c r="F777" s="198"/>
      <c r="G777" s="198"/>
    </row>
    <row r="778" spans="4:7" ht="12" customHeight="1" x14ac:dyDescent="0.15">
      <c r="D778" s="226"/>
      <c r="E778" s="135"/>
      <c r="F778" s="198"/>
      <c r="G778" s="198"/>
    </row>
    <row r="779" spans="4:7" ht="12" customHeight="1" x14ac:dyDescent="0.15">
      <c r="D779" s="226"/>
      <c r="E779" s="135"/>
      <c r="F779" s="198"/>
      <c r="G779" s="198"/>
    </row>
    <row r="780" spans="4:7" ht="12" customHeight="1" x14ac:dyDescent="0.15">
      <c r="D780" s="226"/>
      <c r="E780" s="135"/>
      <c r="F780" s="198"/>
      <c r="G780" s="198"/>
    </row>
    <row r="781" spans="4:7" ht="12" customHeight="1" x14ac:dyDescent="0.15">
      <c r="D781" s="226"/>
      <c r="E781" s="135"/>
      <c r="F781" s="198"/>
      <c r="G781" s="198"/>
    </row>
    <row r="782" spans="4:7" ht="12" customHeight="1" x14ac:dyDescent="0.15">
      <c r="D782" s="226"/>
      <c r="E782" s="135"/>
      <c r="F782" s="198"/>
      <c r="G782" s="198"/>
    </row>
    <row r="783" spans="4:7" ht="12" customHeight="1" x14ac:dyDescent="0.15">
      <c r="D783" s="226"/>
      <c r="E783" s="135"/>
      <c r="F783" s="198"/>
      <c r="G783" s="198"/>
    </row>
    <row r="784" spans="4:7" ht="12" customHeight="1" x14ac:dyDescent="0.15">
      <c r="D784" s="226"/>
      <c r="E784" s="135"/>
      <c r="F784" s="198"/>
      <c r="G784" s="198"/>
    </row>
    <row r="785" spans="4:7" ht="12" customHeight="1" x14ac:dyDescent="0.15">
      <c r="D785" s="226"/>
      <c r="E785" s="135"/>
      <c r="F785" s="198"/>
      <c r="G785" s="198"/>
    </row>
    <row r="786" spans="4:7" ht="12" customHeight="1" x14ac:dyDescent="0.15">
      <c r="D786" s="226"/>
      <c r="E786" s="135"/>
      <c r="F786" s="198"/>
      <c r="G786" s="198"/>
    </row>
    <row r="787" spans="4:7" ht="12" customHeight="1" x14ac:dyDescent="0.15">
      <c r="D787" s="226"/>
      <c r="E787" s="135"/>
      <c r="F787" s="198"/>
      <c r="G787" s="198"/>
    </row>
    <row r="788" spans="4:7" ht="12" customHeight="1" x14ac:dyDescent="0.15">
      <c r="D788" s="226"/>
      <c r="E788" s="135"/>
      <c r="F788" s="198"/>
      <c r="G788" s="198"/>
    </row>
    <row r="789" spans="4:7" ht="12" customHeight="1" x14ac:dyDescent="0.15">
      <c r="D789" s="226"/>
      <c r="E789" s="135"/>
      <c r="F789" s="198"/>
      <c r="G789" s="198"/>
    </row>
    <row r="790" spans="4:7" ht="12" customHeight="1" x14ac:dyDescent="0.15">
      <c r="D790" s="226"/>
      <c r="E790" s="135"/>
      <c r="F790" s="198"/>
      <c r="G790" s="198"/>
    </row>
    <row r="791" spans="4:7" ht="12" customHeight="1" x14ac:dyDescent="0.15">
      <c r="D791" s="226"/>
      <c r="E791" s="135"/>
      <c r="F791" s="198"/>
      <c r="G791" s="198"/>
    </row>
    <row r="792" spans="4:7" ht="12" customHeight="1" x14ac:dyDescent="0.15">
      <c r="D792" s="226"/>
      <c r="E792" s="135"/>
      <c r="F792" s="198"/>
      <c r="G792" s="198"/>
    </row>
    <row r="793" spans="4:7" ht="12" customHeight="1" x14ac:dyDescent="0.15">
      <c r="D793" s="226"/>
      <c r="E793" s="135"/>
      <c r="F793" s="198"/>
      <c r="G793" s="198"/>
    </row>
    <row r="794" spans="4:7" ht="12" customHeight="1" x14ac:dyDescent="0.15">
      <c r="D794" s="226"/>
      <c r="E794" s="135"/>
      <c r="F794" s="198"/>
      <c r="G794" s="198"/>
    </row>
    <row r="795" spans="4:7" ht="12" customHeight="1" x14ac:dyDescent="0.15">
      <c r="D795" s="226"/>
      <c r="E795" s="135"/>
      <c r="F795" s="198"/>
      <c r="G795" s="198"/>
    </row>
    <row r="796" spans="4:7" ht="12" customHeight="1" x14ac:dyDescent="0.15">
      <c r="D796" s="226"/>
      <c r="E796" s="135"/>
      <c r="F796" s="198"/>
      <c r="G796" s="198"/>
    </row>
    <row r="797" spans="4:7" ht="12" customHeight="1" x14ac:dyDescent="0.15">
      <c r="D797" s="226"/>
      <c r="E797" s="135"/>
      <c r="F797" s="198"/>
      <c r="G797" s="198"/>
    </row>
    <row r="798" spans="4:7" ht="12" customHeight="1" x14ac:dyDescent="0.15">
      <c r="D798" s="226"/>
      <c r="E798" s="135"/>
      <c r="F798" s="198"/>
      <c r="G798" s="198"/>
    </row>
    <row r="799" spans="4:7" ht="12" customHeight="1" x14ac:dyDescent="0.15">
      <c r="D799" s="226"/>
      <c r="E799" s="135"/>
      <c r="F799" s="198"/>
      <c r="G799" s="198"/>
    </row>
    <row r="800" spans="4:7" ht="12" customHeight="1" x14ac:dyDescent="0.15">
      <c r="D800" s="226"/>
      <c r="E800" s="135"/>
      <c r="F800" s="198"/>
      <c r="G800" s="198"/>
    </row>
    <row r="801" spans="4:7" ht="12" customHeight="1" x14ac:dyDescent="0.15">
      <c r="D801" s="226"/>
      <c r="E801" s="135"/>
      <c r="F801" s="198"/>
      <c r="G801" s="198"/>
    </row>
    <row r="802" spans="4:7" ht="12" customHeight="1" x14ac:dyDescent="0.15">
      <c r="D802" s="226"/>
      <c r="E802" s="135"/>
      <c r="F802" s="198"/>
      <c r="G802" s="198"/>
    </row>
    <row r="803" spans="4:7" ht="12" customHeight="1" x14ac:dyDescent="0.15">
      <c r="D803" s="226"/>
      <c r="E803" s="135"/>
      <c r="F803" s="198"/>
      <c r="G803" s="198"/>
    </row>
    <row r="804" spans="4:7" ht="12" customHeight="1" x14ac:dyDescent="0.15">
      <c r="D804" s="226"/>
      <c r="E804" s="135"/>
      <c r="F804" s="198"/>
      <c r="G804" s="198"/>
    </row>
    <row r="805" spans="4:7" ht="12" customHeight="1" x14ac:dyDescent="0.15">
      <c r="D805" s="226"/>
      <c r="E805" s="135"/>
      <c r="F805" s="198"/>
      <c r="G805" s="198"/>
    </row>
    <row r="806" spans="4:7" ht="12" customHeight="1" x14ac:dyDescent="0.15">
      <c r="D806" s="226"/>
      <c r="E806" s="135"/>
      <c r="F806" s="198"/>
      <c r="G806" s="198"/>
    </row>
    <row r="807" spans="4:7" ht="12" customHeight="1" x14ac:dyDescent="0.15">
      <c r="D807" s="226"/>
      <c r="E807" s="135"/>
      <c r="F807" s="198"/>
      <c r="G807" s="198"/>
    </row>
    <row r="808" spans="4:7" ht="12" customHeight="1" x14ac:dyDescent="0.15">
      <c r="D808" s="226"/>
      <c r="E808" s="135"/>
      <c r="F808" s="198"/>
      <c r="G808" s="198"/>
    </row>
    <row r="809" spans="4:7" ht="12" customHeight="1" x14ac:dyDescent="0.15">
      <c r="D809" s="226"/>
      <c r="E809" s="135"/>
      <c r="F809" s="198"/>
      <c r="G809" s="198"/>
    </row>
    <row r="810" spans="4:7" ht="12" customHeight="1" x14ac:dyDescent="0.15">
      <c r="D810" s="226"/>
      <c r="E810" s="135"/>
      <c r="F810" s="198"/>
      <c r="G810" s="198"/>
    </row>
    <row r="811" spans="4:7" ht="12" customHeight="1" x14ac:dyDescent="0.15">
      <c r="D811" s="226"/>
      <c r="E811" s="135"/>
      <c r="F811" s="198"/>
      <c r="G811" s="198"/>
    </row>
    <row r="812" spans="4:7" ht="12" customHeight="1" x14ac:dyDescent="0.15">
      <c r="D812" s="226"/>
      <c r="E812" s="135"/>
      <c r="F812" s="198"/>
      <c r="G812" s="198"/>
    </row>
    <row r="813" spans="4:7" ht="12" customHeight="1" x14ac:dyDescent="0.15">
      <c r="D813" s="226"/>
      <c r="E813" s="135"/>
      <c r="F813" s="198"/>
      <c r="G813" s="198"/>
    </row>
    <row r="814" spans="4:7" ht="12" customHeight="1" x14ac:dyDescent="0.15">
      <c r="D814" s="226"/>
      <c r="E814" s="135"/>
      <c r="F814" s="198"/>
      <c r="G814" s="198"/>
    </row>
    <row r="815" spans="4:7" ht="12" customHeight="1" x14ac:dyDescent="0.15">
      <c r="D815" s="226"/>
      <c r="E815" s="135"/>
      <c r="F815" s="198"/>
      <c r="G815" s="198"/>
    </row>
    <row r="816" spans="4:7" ht="12" customHeight="1" x14ac:dyDescent="0.15">
      <c r="D816" s="226"/>
      <c r="E816" s="135"/>
      <c r="F816" s="198"/>
      <c r="G816" s="198"/>
    </row>
    <row r="817" spans="4:7" ht="12" customHeight="1" x14ac:dyDescent="0.15">
      <c r="D817" s="226"/>
      <c r="E817" s="135"/>
      <c r="F817" s="198"/>
      <c r="G817" s="198"/>
    </row>
    <row r="818" spans="4:7" ht="12" customHeight="1" x14ac:dyDescent="0.15">
      <c r="D818" s="226"/>
      <c r="E818" s="135"/>
      <c r="F818" s="198"/>
      <c r="G818" s="198"/>
    </row>
    <row r="819" spans="4:7" ht="12" customHeight="1" x14ac:dyDescent="0.15">
      <c r="D819" s="226"/>
      <c r="E819" s="135"/>
      <c r="F819" s="198"/>
      <c r="G819" s="198"/>
    </row>
    <row r="820" spans="4:7" ht="12" customHeight="1" x14ac:dyDescent="0.15">
      <c r="D820" s="226"/>
      <c r="E820" s="135"/>
      <c r="F820" s="198"/>
      <c r="G820" s="198"/>
    </row>
    <row r="821" spans="4:7" ht="12" customHeight="1" x14ac:dyDescent="0.15">
      <c r="D821" s="226"/>
      <c r="E821" s="135"/>
      <c r="F821" s="198"/>
      <c r="G821" s="198"/>
    </row>
    <row r="822" spans="4:7" ht="12" customHeight="1" x14ac:dyDescent="0.15">
      <c r="D822" s="226"/>
      <c r="E822" s="135"/>
      <c r="F822" s="198"/>
      <c r="G822" s="198"/>
    </row>
    <row r="823" spans="4:7" ht="12" customHeight="1" x14ac:dyDescent="0.15">
      <c r="D823" s="226"/>
      <c r="E823" s="135"/>
      <c r="F823" s="198"/>
      <c r="G823" s="198"/>
    </row>
    <row r="824" spans="4:7" ht="12" customHeight="1" x14ac:dyDescent="0.15">
      <c r="D824" s="226"/>
      <c r="E824" s="135"/>
      <c r="F824" s="198"/>
      <c r="G824" s="198"/>
    </row>
    <row r="825" spans="4:7" ht="12" customHeight="1" x14ac:dyDescent="0.15">
      <c r="D825" s="226"/>
      <c r="E825" s="135"/>
      <c r="F825" s="198"/>
      <c r="G825" s="198"/>
    </row>
    <row r="826" spans="4:7" ht="12" customHeight="1" x14ac:dyDescent="0.15">
      <c r="D826" s="226"/>
      <c r="E826" s="135"/>
      <c r="F826" s="198"/>
      <c r="G826" s="198"/>
    </row>
    <row r="827" spans="4:7" ht="12" customHeight="1" x14ac:dyDescent="0.15">
      <c r="D827" s="226"/>
      <c r="E827" s="135"/>
      <c r="F827" s="198"/>
      <c r="G827" s="198"/>
    </row>
    <row r="828" spans="4:7" ht="12" customHeight="1" x14ac:dyDescent="0.15">
      <c r="D828" s="226"/>
      <c r="E828" s="135"/>
      <c r="F828" s="198"/>
      <c r="G828" s="198"/>
    </row>
    <row r="829" spans="4:7" ht="12" customHeight="1" x14ac:dyDescent="0.15">
      <c r="D829" s="226"/>
      <c r="E829" s="135"/>
      <c r="F829" s="198"/>
      <c r="G829" s="198"/>
    </row>
    <row r="830" spans="4:7" ht="12" customHeight="1" x14ac:dyDescent="0.15">
      <c r="D830" s="226"/>
      <c r="E830" s="135"/>
      <c r="F830" s="198"/>
      <c r="G830" s="198"/>
    </row>
    <row r="831" spans="4:7" ht="12" customHeight="1" x14ac:dyDescent="0.15">
      <c r="D831" s="226"/>
      <c r="E831" s="135"/>
      <c r="F831" s="198"/>
      <c r="G831" s="198"/>
    </row>
    <row r="832" spans="4:7" ht="12" customHeight="1" x14ac:dyDescent="0.15">
      <c r="D832" s="226"/>
      <c r="E832" s="135"/>
      <c r="F832" s="198"/>
      <c r="G832" s="198"/>
    </row>
    <row r="833" spans="4:7" ht="12" customHeight="1" x14ac:dyDescent="0.15">
      <c r="D833" s="226"/>
      <c r="E833" s="135"/>
      <c r="F833" s="198"/>
      <c r="G833" s="198"/>
    </row>
    <row r="834" spans="4:7" ht="12" customHeight="1" x14ac:dyDescent="0.15">
      <c r="D834" s="226"/>
      <c r="E834" s="135"/>
      <c r="F834" s="198"/>
      <c r="G834" s="198"/>
    </row>
    <row r="835" spans="4:7" ht="12" customHeight="1" x14ac:dyDescent="0.15">
      <c r="D835" s="226"/>
      <c r="E835" s="135"/>
      <c r="F835" s="198"/>
      <c r="G835" s="198"/>
    </row>
    <row r="836" spans="4:7" ht="12" customHeight="1" x14ac:dyDescent="0.15">
      <c r="D836" s="226"/>
      <c r="E836" s="135"/>
      <c r="F836" s="198"/>
      <c r="G836" s="198"/>
    </row>
    <row r="837" spans="4:7" ht="12" customHeight="1" x14ac:dyDescent="0.15">
      <c r="D837" s="226"/>
      <c r="E837" s="135"/>
      <c r="F837" s="198"/>
      <c r="G837" s="198"/>
    </row>
    <row r="838" spans="4:7" ht="12" customHeight="1" x14ac:dyDescent="0.15">
      <c r="D838" s="226"/>
      <c r="E838" s="135"/>
      <c r="F838" s="198"/>
      <c r="G838" s="198"/>
    </row>
    <row r="839" spans="4:7" ht="12" customHeight="1" x14ac:dyDescent="0.15">
      <c r="D839" s="226"/>
      <c r="E839" s="135"/>
      <c r="F839" s="198"/>
      <c r="G839" s="198"/>
    </row>
    <row r="840" spans="4:7" ht="12" customHeight="1" x14ac:dyDescent="0.15">
      <c r="D840" s="226"/>
      <c r="E840" s="135"/>
      <c r="F840" s="198"/>
      <c r="G840" s="198"/>
    </row>
    <row r="841" spans="4:7" ht="12" customHeight="1" x14ac:dyDescent="0.15">
      <c r="D841" s="226"/>
      <c r="E841" s="135"/>
      <c r="F841" s="198"/>
      <c r="G841" s="198"/>
    </row>
    <row r="842" spans="4:7" ht="12" customHeight="1" x14ac:dyDescent="0.15">
      <c r="D842" s="226"/>
      <c r="E842" s="135"/>
      <c r="F842" s="198"/>
      <c r="G842" s="198"/>
    </row>
    <row r="843" spans="4:7" ht="12" customHeight="1" x14ac:dyDescent="0.15">
      <c r="D843" s="226"/>
      <c r="E843" s="135"/>
      <c r="F843" s="198"/>
      <c r="G843" s="198"/>
    </row>
    <row r="844" spans="4:7" ht="12" customHeight="1" x14ac:dyDescent="0.15">
      <c r="D844" s="226"/>
      <c r="E844" s="135"/>
      <c r="F844" s="198"/>
      <c r="G844" s="198"/>
    </row>
    <row r="845" spans="4:7" ht="12" customHeight="1" x14ac:dyDescent="0.15">
      <c r="D845" s="226"/>
      <c r="E845" s="135"/>
      <c r="F845" s="198"/>
      <c r="G845" s="198"/>
    </row>
    <row r="846" spans="4:7" ht="12" customHeight="1" x14ac:dyDescent="0.15">
      <c r="D846" s="226"/>
      <c r="E846" s="135"/>
      <c r="F846" s="198"/>
      <c r="G846" s="198"/>
    </row>
    <row r="847" spans="4:7" ht="12" customHeight="1" x14ac:dyDescent="0.15">
      <c r="D847" s="226"/>
      <c r="E847" s="135"/>
      <c r="F847" s="198"/>
      <c r="G847" s="198"/>
    </row>
    <row r="848" spans="4:7" ht="12" customHeight="1" x14ac:dyDescent="0.15">
      <c r="D848" s="226"/>
      <c r="E848" s="135"/>
      <c r="F848" s="198"/>
      <c r="G848" s="198"/>
    </row>
    <row r="849" spans="4:7" ht="12" customHeight="1" x14ac:dyDescent="0.15">
      <c r="D849" s="226"/>
      <c r="E849" s="135"/>
      <c r="F849" s="198"/>
      <c r="G849" s="198"/>
    </row>
    <row r="850" spans="4:7" ht="12" customHeight="1" x14ac:dyDescent="0.15">
      <c r="D850" s="226"/>
      <c r="E850" s="135"/>
      <c r="F850" s="198"/>
      <c r="G850" s="198"/>
    </row>
    <row r="851" spans="4:7" ht="12" customHeight="1" x14ac:dyDescent="0.15">
      <c r="D851" s="226"/>
      <c r="E851" s="135"/>
      <c r="F851" s="198"/>
      <c r="G851" s="198"/>
    </row>
    <row r="852" spans="4:7" ht="12" customHeight="1" x14ac:dyDescent="0.15">
      <c r="D852" s="226"/>
      <c r="E852" s="135"/>
      <c r="F852" s="198"/>
      <c r="G852" s="198"/>
    </row>
    <row r="853" spans="4:7" ht="12" customHeight="1" x14ac:dyDescent="0.15">
      <c r="D853" s="226"/>
      <c r="E853" s="135"/>
      <c r="F853" s="198"/>
      <c r="G853" s="198"/>
    </row>
    <row r="854" spans="4:7" ht="12" customHeight="1" x14ac:dyDescent="0.15">
      <c r="D854" s="226"/>
      <c r="E854" s="135"/>
      <c r="F854" s="198"/>
      <c r="G854" s="198"/>
    </row>
    <row r="855" spans="4:7" ht="12" customHeight="1" x14ac:dyDescent="0.15">
      <c r="D855" s="226"/>
      <c r="E855" s="135"/>
      <c r="F855" s="198"/>
      <c r="G855" s="198"/>
    </row>
    <row r="856" spans="4:7" ht="12" customHeight="1" x14ac:dyDescent="0.15">
      <c r="D856" s="226"/>
      <c r="E856" s="135"/>
      <c r="F856" s="198"/>
      <c r="G856" s="198"/>
    </row>
    <row r="857" spans="4:7" ht="12" customHeight="1" x14ac:dyDescent="0.15">
      <c r="D857" s="226"/>
      <c r="E857" s="135"/>
      <c r="F857" s="198"/>
      <c r="G857" s="198"/>
    </row>
    <row r="858" spans="4:7" ht="12" customHeight="1" x14ac:dyDescent="0.15">
      <c r="D858" s="226"/>
      <c r="E858" s="135"/>
      <c r="F858" s="198"/>
      <c r="G858" s="198"/>
    </row>
    <row r="859" spans="4:7" ht="12" customHeight="1" x14ac:dyDescent="0.15">
      <c r="D859" s="226"/>
      <c r="E859" s="135"/>
      <c r="F859" s="198"/>
      <c r="G859" s="198"/>
    </row>
    <row r="860" spans="4:7" ht="12" customHeight="1" x14ac:dyDescent="0.15">
      <c r="D860" s="226"/>
      <c r="E860" s="135"/>
      <c r="F860" s="198"/>
      <c r="G860" s="198"/>
    </row>
    <row r="861" spans="4:7" ht="12" customHeight="1" x14ac:dyDescent="0.15">
      <c r="D861" s="226"/>
      <c r="E861" s="135"/>
      <c r="F861" s="198"/>
      <c r="G861" s="198"/>
    </row>
    <row r="862" spans="4:7" ht="12" customHeight="1" x14ac:dyDescent="0.15">
      <c r="D862" s="226"/>
      <c r="E862" s="135"/>
      <c r="F862" s="198"/>
      <c r="G862" s="198"/>
    </row>
    <row r="863" spans="4:7" ht="12" customHeight="1" x14ac:dyDescent="0.15">
      <c r="D863" s="226"/>
      <c r="E863" s="135"/>
      <c r="F863" s="198"/>
      <c r="G863" s="198"/>
    </row>
    <row r="864" spans="4:7" ht="12" customHeight="1" x14ac:dyDescent="0.15">
      <c r="D864" s="226"/>
      <c r="E864" s="135"/>
      <c r="F864" s="198"/>
      <c r="G864" s="198"/>
    </row>
    <row r="865" spans="4:7" ht="12" customHeight="1" x14ac:dyDescent="0.15">
      <c r="D865" s="226"/>
      <c r="E865" s="135"/>
      <c r="F865" s="198"/>
      <c r="G865" s="198"/>
    </row>
    <row r="866" spans="4:7" ht="12" customHeight="1" x14ac:dyDescent="0.15">
      <c r="D866" s="226"/>
      <c r="E866" s="135"/>
      <c r="F866" s="198"/>
      <c r="G866" s="198"/>
    </row>
    <row r="867" spans="4:7" ht="12" customHeight="1" x14ac:dyDescent="0.15">
      <c r="D867" s="226"/>
      <c r="E867" s="135"/>
      <c r="F867" s="198"/>
      <c r="G867" s="198"/>
    </row>
    <row r="868" spans="4:7" ht="12" customHeight="1" x14ac:dyDescent="0.15">
      <c r="D868" s="226"/>
      <c r="E868" s="135"/>
      <c r="F868" s="198"/>
      <c r="G868" s="198"/>
    </row>
    <row r="869" spans="4:7" ht="12" customHeight="1" x14ac:dyDescent="0.15">
      <c r="D869" s="226"/>
      <c r="E869" s="135"/>
      <c r="F869" s="198"/>
      <c r="G869" s="198"/>
    </row>
    <row r="870" spans="4:7" ht="12" customHeight="1" x14ac:dyDescent="0.15">
      <c r="D870" s="226"/>
      <c r="E870" s="135"/>
      <c r="F870" s="198"/>
      <c r="G870" s="198"/>
    </row>
    <row r="871" spans="4:7" ht="12" customHeight="1" x14ac:dyDescent="0.15">
      <c r="D871" s="226"/>
      <c r="E871" s="135"/>
      <c r="F871" s="198"/>
      <c r="G871" s="198"/>
    </row>
    <row r="872" spans="4:7" ht="12" customHeight="1" x14ac:dyDescent="0.15">
      <c r="D872" s="226"/>
      <c r="E872" s="135"/>
      <c r="F872" s="198"/>
      <c r="G872" s="198"/>
    </row>
    <row r="873" spans="4:7" ht="12" customHeight="1" x14ac:dyDescent="0.15">
      <c r="D873" s="226"/>
      <c r="E873" s="135"/>
      <c r="F873" s="198"/>
      <c r="G873" s="198"/>
    </row>
    <row r="874" spans="4:7" ht="12" customHeight="1" x14ac:dyDescent="0.15">
      <c r="D874" s="226"/>
      <c r="E874" s="135"/>
      <c r="F874" s="198"/>
      <c r="G874" s="198"/>
    </row>
    <row r="875" spans="4:7" ht="12" customHeight="1" x14ac:dyDescent="0.15">
      <c r="D875" s="226"/>
      <c r="E875" s="135"/>
      <c r="F875" s="198"/>
      <c r="G875" s="198"/>
    </row>
    <row r="876" spans="4:7" ht="12" customHeight="1" x14ac:dyDescent="0.15">
      <c r="D876" s="226"/>
      <c r="E876" s="135"/>
      <c r="F876" s="198"/>
      <c r="G876" s="198"/>
    </row>
    <row r="877" spans="4:7" ht="12" customHeight="1" x14ac:dyDescent="0.15">
      <c r="D877" s="226"/>
      <c r="E877" s="135"/>
      <c r="F877" s="198"/>
      <c r="G877" s="198"/>
    </row>
    <row r="878" spans="4:7" ht="12" customHeight="1" x14ac:dyDescent="0.15">
      <c r="D878" s="226"/>
      <c r="E878" s="135"/>
      <c r="F878" s="198"/>
      <c r="G878" s="198"/>
    </row>
    <row r="879" spans="4:7" ht="12" customHeight="1" x14ac:dyDescent="0.15">
      <c r="D879" s="226"/>
      <c r="E879" s="135"/>
      <c r="F879" s="198"/>
      <c r="G879" s="198"/>
    </row>
    <row r="880" spans="4:7" ht="12" customHeight="1" x14ac:dyDescent="0.15">
      <c r="D880" s="226"/>
      <c r="E880" s="135"/>
      <c r="F880" s="198"/>
      <c r="G880" s="198"/>
    </row>
    <row r="881" spans="4:7" ht="12" customHeight="1" x14ac:dyDescent="0.15">
      <c r="D881" s="226"/>
      <c r="E881" s="135"/>
      <c r="F881" s="198"/>
      <c r="G881" s="198"/>
    </row>
    <row r="882" spans="4:7" ht="12" customHeight="1" x14ac:dyDescent="0.15">
      <c r="D882" s="226"/>
      <c r="E882" s="135"/>
      <c r="F882" s="198"/>
      <c r="G882" s="198"/>
    </row>
    <row r="883" spans="4:7" ht="12" customHeight="1" x14ac:dyDescent="0.15">
      <c r="D883" s="226"/>
      <c r="E883" s="135"/>
      <c r="F883" s="198"/>
      <c r="G883" s="198"/>
    </row>
    <row r="884" spans="4:7" ht="12" customHeight="1" x14ac:dyDescent="0.15">
      <c r="D884" s="226"/>
      <c r="E884" s="135"/>
      <c r="F884" s="198"/>
      <c r="G884" s="198"/>
    </row>
    <row r="885" spans="4:7" ht="12" customHeight="1" x14ac:dyDescent="0.15">
      <c r="D885" s="226"/>
      <c r="E885" s="135"/>
      <c r="F885" s="198"/>
      <c r="G885" s="198"/>
    </row>
    <row r="886" spans="4:7" ht="12" customHeight="1" x14ac:dyDescent="0.15">
      <c r="D886" s="226"/>
      <c r="E886" s="135"/>
      <c r="F886" s="198"/>
      <c r="G886" s="198"/>
    </row>
    <row r="887" spans="4:7" ht="12" customHeight="1" x14ac:dyDescent="0.15">
      <c r="D887" s="226"/>
      <c r="E887" s="135"/>
      <c r="F887" s="198"/>
      <c r="G887" s="198"/>
    </row>
    <row r="888" spans="4:7" ht="12" customHeight="1" x14ac:dyDescent="0.15">
      <c r="D888" s="226"/>
      <c r="E888" s="135"/>
      <c r="F888" s="198"/>
      <c r="G888" s="198"/>
    </row>
    <row r="889" spans="4:7" ht="12" customHeight="1" x14ac:dyDescent="0.15">
      <c r="D889" s="226"/>
      <c r="E889" s="135"/>
      <c r="F889" s="198"/>
      <c r="G889" s="198"/>
    </row>
    <row r="890" spans="4:7" ht="12" customHeight="1" x14ac:dyDescent="0.15">
      <c r="D890" s="226"/>
      <c r="E890" s="135"/>
      <c r="F890" s="198"/>
      <c r="G890" s="198"/>
    </row>
    <row r="891" spans="4:7" ht="12" customHeight="1" x14ac:dyDescent="0.15">
      <c r="D891" s="226"/>
      <c r="E891" s="135"/>
      <c r="F891" s="198"/>
      <c r="G891" s="198"/>
    </row>
    <row r="892" spans="4:7" ht="12" customHeight="1" x14ac:dyDescent="0.15">
      <c r="D892" s="226"/>
      <c r="E892" s="135"/>
      <c r="F892" s="198"/>
      <c r="G892" s="198"/>
    </row>
    <row r="893" spans="4:7" ht="12" customHeight="1" x14ac:dyDescent="0.15">
      <c r="D893" s="226"/>
      <c r="E893" s="135"/>
      <c r="F893" s="198"/>
      <c r="G893" s="198"/>
    </row>
    <row r="894" spans="4:7" ht="12" customHeight="1" x14ac:dyDescent="0.15">
      <c r="D894" s="226"/>
      <c r="E894" s="135"/>
      <c r="F894" s="198"/>
      <c r="G894" s="198"/>
    </row>
    <row r="895" spans="4:7" ht="12" customHeight="1" x14ac:dyDescent="0.15">
      <c r="D895" s="226"/>
      <c r="E895" s="135"/>
      <c r="F895" s="198"/>
      <c r="G895" s="198"/>
    </row>
    <row r="896" spans="4:7" ht="12" customHeight="1" x14ac:dyDescent="0.15">
      <c r="D896" s="226"/>
      <c r="E896" s="135"/>
      <c r="F896" s="198"/>
      <c r="G896" s="198"/>
    </row>
    <row r="897" spans="4:7" ht="12" customHeight="1" x14ac:dyDescent="0.15">
      <c r="D897" s="226"/>
      <c r="E897" s="135"/>
      <c r="F897" s="198"/>
      <c r="G897" s="198"/>
    </row>
    <row r="898" spans="4:7" ht="12" customHeight="1" x14ac:dyDescent="0.15">
      <c r="D898" s="226"/>
      <c r="E898" s="135"/>
      <c r="F898" s="198"/>
      <c r="G898" s="198"/>
    </row>
    <row r="899" spans="4:7" ht="12" customHeight="1" x14ac:dyDescent="0.15">
      <c r="D899" s="226"/>
      <c r="E899" s="135"/>
      <c r="F899" s="198"/>
      <c r="G899" s="198"/>
    </row>
    <row r="900" spans="4:7" ht="12" customHeight="1" x14ac:dyDescent="0.15">
      <c r="D900" s="226"/>
      <c r="E900" s="135"/>
      <c r="F900" s="198"/>
      <c r="G900" s="198"/>
    </row>
    <row r="901" spans="4:7" ht="12" customHeight="1" x14ac:dyDescent="0.15">
      <c r="D901" s="226"/>
      <c r="E901" s="135"/>
      <c r="F901" s="198"/>
      <c r="G901" s="198"/>
    </row>
    <row r="902" spans="4:7" ht="12" customHeight="1" x14ac:dyDescent="0.15">
      <c r="D902" s="226"/>
      <c r="E902" s="135"/>
      <c r="F902" s="198"/>
      <c r="G902" s="198"/>
    </row>
    <row r="903" spans="4:7" ht="12" customHeight="1" x14ac:dyDescent="0.15">
      <c r="D903" s="226"/>
      <c r="E903" s="135"/>
      <c r="F903" s="198"/>
      <c r="G903" s="198"/>
    </row>
    <row r="904" spans="4:7" ht="12" customHeight="1" x14ac:dyDescent="0.15">
      <c r="D904" s="226"/>
      <c r="E904" s="135"/>
      <c r="F904" s="198"/>
      <c r="G904" s="198"/>
    </row>
    <row r="905" spans="4:7" ht="12" customHeight="1" x14ac:dyDescent="0.15">
      <c r="D905" s="226"/>
      <c r="E905" s="135"/>
      <c r="F905" s="198"/>
      <c r="G905" s="198"/>
    </row>
    <row r="906" spans="4:7" ht="12" customHeight="1" x14ac:dyDescent="0.15">
      <c r="D906" s="226"/>
      <c r="E906" s="135"/>
      <c r="F906" s="198"/>
      <c r="G906" s="198"/>
    </row>
    <row r="907" spans="4:7" ht="12" customHeight="1" x14ac:dyDescent="0.15">
      <c r="D907" s="226"/>
      <c r="E907" s="135"/>
      <c r="F907" s="198"/>
      <c r="G907" s="198"/>
    </row>
    <row r="908" spans="4:7" ht="12" customHeight="1" x14ac:dyDescent="0.15">
      <c r="D908" s="226"/>
      <c r="E908" s="135"/>
      <c r="F908" s="198"/>
      <c r="G908" s="198"/>
    </row>
    <row r="909" spans="4:7" ht="12" customHeight="1" x14ac:dyDescent="0.15">
      <c r="D909" s="226"/>
      <c r="E909" s="135"/>
      <c r="F909" s="198"/>
      <c r="G909" s="198"/>
    </row>
    <row r="910" spans="4:7" ht="12" customHeight="1" x14ac:dyDescent="0.15">
      <c r="D910" s="226"/>
      <c r="E910" s="135"/>
      <c r="F910" s="198"/>
      <c r="G910" s="198"/>
    </row>
    <row r="911" spans="4:7" ht="12" customHeight="1" x14ac:dyDescent="0.15">
      <c r="D911" s="226"/>
      <c r="E911" s="135"/>
      <c r="F911" s="198"/>
      <c r="G911" s="198"/>
    </row>
    <row r="912" spans="4:7" ht="12" customHeight="1" x14ac:dyDescent="0.15">
      <c r="D912" s="226"/>
      <c r="E912" s="135"/>
      <c r="F912" s="198"/>
      <c r="G912" s="198"/>
    </row>
    <row r="913" spans="4:7" ht="12" customHeight="1" x14ac:dyDescent="0.15">
      <c r="D913" s="226"/>
      <c r="E913" s="135"/>
      <c r="F913" s="198"/>
      <c r="G913" s="198"/>
    </row>
    <row r="914" spans="4:7" ht="12" customHeight="1" x14ac:dyDescent="0.15">
      <c r="D914" s="226"/>
      <c r="E914" s="135"/>
      <c r="F914" s="198"/>
      <c r="G914" s="198"/>
    </row>
    <row r="915" spans="4:7" ht="12" customHeight="1" x14ac:dyDescent="0.15">
      <c r="D915" s="226"/>
      <c r="E915" s="135"/>
      <c r="F915" s="198"/>
      <c r="G915" s="198"/>
    </row>
    <row r="916" spans="4:7" ht="12" customHeight="1" x14ac:dyDescent="0.15">
      <c r="D916" s="226"/>
      <c r="E916" s="135"/>
      <c r="F916" s="198"/>
      <c r="G916" s="198"/>
    </row>
    <row r="917" spans="4:7" ht="12" customHeight="1" x14ac:dyDescent="0.15">
      <c r="D917" s="226"/>
      <c r="E917" s="135"/>
      <c r="F917" s="198"/>
      <c r="G917" s="198"/>
    </row>
    <row r="918" spans="4:7" ht="12" customHeight="1" x14ac:dyDescent="0.15">
      <c r="D918" s="226"/>
      <c r="E918" s="135"/>
      <c r="F918" s="198"/>
      <c r="G918" s="198"/>
    </row>
    <row r="919" spans="4:7" ht="12" customHeight="1" x14ac:dyDescent="0.15">
      <c r="D919" s="226"/>
      <c r="E919" s="135"/>
      <c r="F919" s="198"/>
      <c r="G919" s="198"/>
    </row>
    <row r="920" spans="4:7" ht="12" customHeight="1" x14ac:dyDescent="0.15">
      <c r="D920" s="226"/>
      <c r="E920" s="135"/>
      <c r="F920" s="198"/>
      <c r="G920" s="198"/>
    </row>
    <row r="921" spans="4:7" ht="12" customHeight="1" x14ac:dyDescent="0.15">
      <c r="D921" s="226"/>
      <c r="E921" s="135"/>
      <c r="F921" s="198"/>
      <c r="G921" s="198"/>
    </row>
    <row r="922" spans="4:7" ht="12" customHeight="1" x14ac:dyDescent="0.15">
      <c r="D922" s="226"/>
      <c r="E922" s="135"/>
      <c r="F922" s="198"/>
      <c r="G922" s="198"/>
    </row>
    <row r="923" spans="4:7" ht="12" customHeight="1" x14ac:dyDescent="0.15">
      <c r="D923" s="226"/>
      <c r="E923" s="135"/>
      <c r="F923" s="198"/>
      <c r="G923" s="198"/>
    </row>
    <row r="924" spans="4:7" ht="12" customHeight="1" x14ac:dyDescent="0.15">
      <c r="D924" s="226"/>
      <c r="E924" s="135"/>
      <c r="F924" s="198"/>
      <c r="G924" s="198"/>
    </row>
    <row r="925" spans="4:7" ht="12" customHeight="1" x14ac:dyDescent="0.15">
      <c r="D925" s="226"/>
      <c r="E925" s="135"/>
      <c r="F925" s="198"/>
      <c r="G925" s="198"/>
    </row>
    <row r="926" spans="4:7" ht="12" customHeight="1" x14ac:dyDescent="0.15">
      <c r="D926" s="226"/>
      <c r="E926" s="135"/>
      <c r="F926" s="198"/>
      <c r="G926" s="198"/>
    </row>
    <row r="927" spans="4:7" ht="12" customHeight="1" x14ac:dyDescent="0.15">
      <c r="D927" s="226"/>
      <c r="E927" s="135"/>
      <c r="F927" s="198"/>
      <c r="G927" s="198"/>
    </row>
    <row r="928" spans="4:7" ht="12" customHeight="1" x14ac:dyDescent="0.15">
      <c r="D928" s="226"/>
      <c r="E928" s="135"/>
      <c r="F928" s="198"/>
      <c r="G928" s="198"/>
    </row>
    <row r="929" spans="4:7" ht="12" customHeight="1" x14ac:dyDescent="0.15">
      <c r="D929" s="226"/>
      <c r="E929" s="135"/>
      <c r="F929" s="198"/>
      <c r="G929" s="198"/>
    </row>
    <row r="930" spans="4:7" ht="12" customHeight="1" x14ac:dyDescent="0.15">
      <c r="D930" s="226"/>
      <c r="E930" s="135"/>
      <c r="F930" s="198"/>
      <c r="G930" s="198"/>
    </row>
    <row r="931" spans="4:7" ht="12" customHeight="1" x14ac:dyDescent="0.15">
      <c r="D931" s="226"/>
      <c r="E931" s="135"/>
      <c r="F931" s="198"/>
      <c r="G931" s="198"/>
    </row>
    <row r="932" spans="4:7" ht="12" customHeight="1" x14ac:dyDescent="0.15">
      <c r="D932" s="226"/>
      <c r="E932" s="135"/>
      <c r="F932" s="198"/>
      <c r="G932" s="198"/>
    </row>
    <row r="933" spans="4:7" ht="12" customHeight="1" x14ac:dyDescent="0.15">
      <c r="D933" s="226"/>
      <c r="E933" s="135"/>
      <c r="F933" s="198"/>
      <c r="G933" s="198"/>
    </row>
    <row r="934" spans="4:7" ht="12" customHeight="1" x14ac:dyDescent="0.15">
      <c r="D934" s="226"/>
      <c r="E934" s="135"/>
      <c r="F934" s="198"/>
      <c r="G934" s="198"/>
    </row>
    <row r="935" spans="4:7" ht="12" customHeight="1" x14ac:dyDescent="0.15">
      <c r="D935" s="226"/>
      <c r="E935" s="135"/>
      <c r="F935" s="198"/>
      <c r="G935" s="198"/>
    </row>
    <row r="936" spans="4:7" ht="12" customHeight="1" x14ac:dyDescent="0.15">
      <c r="D936" s="226"/>
      <c r="E936" s="135"/>
      <c r="F936" s="198"/>
      <c r="G936" s="198"/>
    </row>
    <row r="937" spans="4:7" ht="12" customHeight="1" x14ac:dyDescent="0.15">
      <c r="D937" s="226"/>
      <c r="E937" s="135"/>
      <c r="F937" s="198"/>
      <c r="G937" s="198"/>
    </row>
    <row r="938" spans="4:7" ht="12" customHeight="1" x14ac:dyDescent="0.15">
      <c r="D938" s="226"/>
      <c r="E938" s="135"/>
      <c r="F938" s="198"/>
      <c r="G938" s="198"/>
    </row>
    <row r="939" spans="4:7" ht="12" customHeight="1" x14ac:dyDescent="0.15">
      <c r="D939" s="226"/>
      <c r="E939" s="135"/>
      <c r="F939" s="198"/>
      <c r="G939" s="198"/>
    </row>
    <row r="940" spans="4:7" ht="12" customHeight="1" x14ac:dyDescent="0.15">
      <c r="D940" s="226"/>
      <c r="E940" s="135"/>
      <c r="F940" s="198"/>
      <c r="G940" s="198"/>
    </row>
    <row r="941" spans="4:7" ht="12" customHeight="1" x14ac:dyDescent="0.15">
      <c r="D941" s="226"/>
      <c r="E941" s="135"/>
      <c r="F941" s="198"/>
      <c r="G941" s="198"/>
    </row>
    <row r="942" spans="4:7" ht="12" customHeight="1" x14ac:dyDescent="0.15">
      <c r="D942" s="226"/>
      <c r="E942" s="135"/>
      <c r="F942" s="198"/>
      <c r="G942" s="198"/>
    </row>
    <row r="943" spans="4:7" ht="12" customHeight="1" x14ac:dyDescent="0.15">
      <c r="D943" s="226"/>
      <c r="E943" s="135"/>
      <c r="F943" s="198"/>
      <c r="G943" s="198"/>
    </row>
    <row r="944" spans="4:7" ht="12" customHeight="1" x14ac:dyDescent="0.15">
      <c r="D944" s="226"/>
      <c r="E944" s="135"/>
      <c r="F944" s="198"/>
      <c r="G944" s="198"/>
    </row>
    <row r="945" spans="4:7" ht="12" customHeight="1" x14ac:dyDescent="0.15">
      <c r="D945" s="226"/>
      <c r="E945" s="135"/>
      <c r="F945" s="198"/>
      <c r="G945" s="198"/>
    </row>
    <row r="946" spans="4:7" ht="12" customHeight="1" x14ac:dyDescent="0.15">
      <c r="D946" s="226"/>
      <c r="E946" s="135"/>
      <c r="F946" s="198"/>
      <c r="G946" s="198"/>
    </row>
    <row r="947" spans="4:7" ht="12" customHeight="1" x14ac:dyDescent="0.15">
      <c r="D947" s="226"/>
      <c r="E947" s="135"/>
      <c r="F947" s="198"/>
      <c r="G947" s="198"/>
    </row>
    <row r="948" spans="4:7" ht="12" customHeight="1" x14ac:dyDescent="0.15">
      <c r="D948" s="226"/>
      <c r="E948" s="135"/>
      <c r="F948" s="198"/>
      <c r="G948" s="198"/>
    </row>
    <row r="949" spans="4:7" ht="12" customHeight="1" x14ac:dyDescent="0.15">
      <c r="D949" s="226"/>
      <c r="E949" s="135"/>
      <c r="F949" s="198"/>
      <c r="G949" s="198"/>
    </row>
    <row r="950" spans="4:7" ht="12" customHeight="1" x14ac:dyDescent="0.15">
      <c r="D950" s="226"/>
      <c r="E950" s="135"/>
      <c r="F950" s="198"/>
      <c r="G950" s="198"/>
    </row>
    <row r="951" spans="4:7" ht="12" customHeight="1" x14ac:dyDescent="0.15">
      <c r="D951" s="226"/>
      <c r="E951" s="135"/>
      <c r="F951" s="198"/>
      <c r="G951" s="198"/>
    </row>
    <row r="952" spans="4:7" ht="12" customHeight="1" x14ac:dyDescent="0.15">
      <c r="D952" s="226"/>
      <c r="E952" s="135"/>
      <c r="F952" s="198"/>
      <c r="G952" s="198"/>
    </row>
    <row r="953" spans="4:7" ht="12" customHeight="1" x14ac:dyDescent="0.15">
      <c r="D953" s="226"/>
      <c r="E953" s="135"/>
      <c r="F953" s="198"/>
      <c r="G953" s="198"/>
    </row>
    <row r="954" spans="4:7" ht="12" customHeight="1" x14ac:dyDescent="0.15">
      <c r="D954" s="226"/>
      <c r="E954" s="135"/>
      <c r="F954" s="198"/>
      <c r="G954" s="198"/>
    </row>
    <row r="955" spans="4:7" ht="12" customHeight="1" x14ac:dyDescent="0.15">
      <c r="D955" s="226"/>
      <c r="E955" s="135"/>
      <c r="F955" s="198"/>
      <c r="G955" s="198"/>
    </row>
    <row r="956" spans="4:7" ht="12" customHeight="1" x14ac:dyDescent="0.15">
      <c r="D956" s="226"/>
      <c r="E956" s="135"/>
      <c r="F956" s="198"/>
      <c r="G956" s="198"/>
    </row>
    <row r="957" spans="4:7" ht="12" customHeight="1" x14ac:dyDescent="0.15">
      <c r="D957" s="226"/>
      <c r="E957" s="135"/>
      <c r="F957" s="198"/>
      <c r="G957" s="198"/>
    </row>
    <row r="958" spans="4:7" ht="12" customHeight="1" x14ac:dyDescent="0.15">
      <c r="D958" s="226"/>
      <c r="E958" s="135"/>
      <c r="F958" s="198"/>
      <c r="G958" s="198"/>
    </row>
    <row r="959" spans="4:7" ht="12" customHeight="1" x14ac:dyDescent="0.15">
      <c r="D959" s="226"/>
      <c r="E959" s="135"/>
      <c r="F959" s="198"/>
      <c r="G959" s="198"/>
    </row>
    <row r="960" spans="4:7" ht="12" customHeight="1" x14ac:dyDescent="0.15">
      <c r="D960" s="226"/>
      <c r="E960" s="135"/>
      <c r="F960" s="198"/>
      <c r="G960" s="198"/>
    </row>
    <row r="961" spans="4:7" ht="12" customHeight="1" x14ac:dyDescent="0.15">
      <c r="D961" s="226"/>
      <c r="E961" s="135"/>
      <c r="F961" s="198"/>
      <c r="G961" s="198"/>
    </row>
    <row r="962" spans="4:7" ht="12" customHeight="1" x14ac:dyDescent="0.15">
      <c r="D962" s="226"/>
      <c r="E962" s="135"/>
      <c r="F962" s="198"/>
      <c r="G962" s="198"/>
    </row>
    <row r="963" spans="4:7" ht="12" customHeight="1" x14ac:dyDescent="0.15">
      <c r="D963" s="226"/>
      <c r="E963" s="135"/>
      <c r="F963" s="198"/>
      <c r="G963" s="198"/>
    </row>
    <row r="964" spans="4:7" ht="12" customHeight="1" x14ac:dyDescent="0.15">
      <c r="D964" s="226"/>
      <c r="E964" s="135"/>
      <c r="F964" s="198"/>
      <c r="G964" s="198"/>
    </row>
    <row r="965" spans="4:7" ht="12" customHeight="1" x14ac:dyDescent="0.15">
      <c r="D965" s="226"/>
      <c r="E965" s="135"/>
      <c r="F965" s="198"/>
      <c r="G965" s="198"/>
    </row>
    <row r="966" spans="4:7" ht="12" customHeight="1" x14ac:dyDescent="0.15">
      <c r="D966" s="226"/>
      <c r="E966" s="135"/>
      <c r="F966" s="198"/>
      <c r="G966" s="198"/>
    </row>
    <row r="967" spans="4:7" ht="12" customHeight="1" x14ac:dyDescent="0.15">
      <c r="D967" s="226"/>
      <c r="E967" s="135"/>
      <c r="F967" s="198"/>
      <c r="G967" s="198"/>
    </row>
    <row r="968" spans="4:7" ht="12" customHeight="1" x14ac:dyDescent="0.15">
      <c r="D968" s="226"/>
      <c r="E968" s="135"/>
      <c r="F968" s="198"/>
      <c r="G968" s="198"/>
    </row>
    <row r="969" spans="4:7" ht="12" customHeight="1" x14ac:dyDescent="0.15">
      <c r="D969" s="226"/>
      <c r="E969" s="135"/>
      <c r="F969" s="198"/>
      <c r="G969" s="198"/>
    </row>
    <row r="970" spans="4:7" ht="12" customHeight="1" x14ac:dyDescent="0.15">
      <c r="D970" s="226"/>
      <c r="E970" s="135"/>
      <c r="F970" s="198"/>
      <c r="G970" s="198"/>
    </row>
    <row r="971" spans="4:7" ht="12" customHeight="1" x14ac:dyDescent="0.15">
      <c r="D971" s="226"/>
      <c r="E971" s="135"/>
      <c r="F971" s="198"/>
      <c r="G971" s="198"/>
    </row>
    <row r="972" spans="4:7" ht="12" customHeight="1" x14ac:dyDescent="0.15">
      <c r="D972" s="226"/>
      <c r="E972" s="135"/>
      <c r="F972" s="198"/>
      <c r="G972" s="198"/>
    </row>
    <row r="973" spans="4:7" ht="12" customHeight="1" x14ac:dyDescent="0.15">
      <c r="D973" s="226"/>
      <c r="E973" s="135"/>
      <c r="F973" s="198"/>
      <c r="G973" s="198"/>
    </row>
    <row r="974" spans="4:7" ht="12" customHeight="1" x14ac:dyDescent="0.15">
      <c r="D974" s="226"/>
      <c r="E974" s="135"/>
      <c r="F974" s="198"/>
      <c r="G974" s="198"/>
    </row>
    <row r="975" spans="4:7" ht="12" customHeight="1" x14ac:dyDescent="0.15">
      <c r="D975" s="226"/>
      <c r="E975" s="135"/>
      <c r="F975" s="198"/>
      <c r="G975" s="198"/>
    </row>
    <row r="976" spans="4:7" ht="12" customHeight="1" x14ac:dyDescent="0.15">
      <c r="D976" s="226"/>
      <c r="E976" s="135"/>
      <c r="F976" s="198"/>
      <c r="G976" s="198"/>
    </row>
    <row r="977" spans="4:7" ht="12" customHeight="1" x14ac:dyDescent="0.15">
      <c r="D977" s="226"/>
      <c r="E977" s="135"/>
      <c r="F977" s="198"/>
      <c r="G977" s="198"/>
    </row>
    <row r="978" spans="4:7" ht="12" customHeight="1" x14ac:dyDescent="0.15">
      <c r="D978" s="226"/>
      <c r="E978" s="135"/>
      <c r="F978" s="198"/>
      <c r="G978" s="198"/>
    </row>
    <row r="979" spans="4:7" ht="12" customHeight="1" x14ac:dyDescent="0.15">
      <c r="D979" s="226"/>
      <c r="E979" s="135"/>
      <c r="F979" s="198"/>
      <c r="G979" s="198"/>
    </row>
    <row r="980" spans="4:7" ht="12" customHeight="1" x14ac:dyDescent="0.15">
      <c r="D980" s="226"/>
      <c r="E980" s="135"/>
      <c r="F980" s="198"/>
      <c r="G980" s="198"/>
    </row>
    <row r="981" spans="4:7" ht="12" customHeight="1" x14ac:dyDescent="0.15">
      <c r="D981" s="226"/>
      <c r="E981" s="135"/>
      <c r="F981" s="198"/>
      <c r="G981" s="198"/>
    </row>
    <row r="982" spans="4:7" ht="12" customHeight="1" x14ac:dyDescent="0.15">
      <c r="D982" s="226"/>
      <c r="E982" s="135"/>
      <c r="F982" s="198"/>
      <c r="G982" s="198"/>
    </row>
    <row r="983" spans="4:7" ht="12" customHeight="1" x14ac:dyDescent="0.15">
      <c r="D983" s="226"/>
      <c r="E983" s="135"/>
      <c r="F983" s="198"/>
      <c r="G983" s="198"/>
    </row>
    <row r="984" spans="4:7" ht="12" customHeight="1" x14ac:dyDescent="0.15">
      <c r="D984" s="226"/>
      <c r="E984" s="135"/>
      <c r="F984" s="198"/>
      <c r="G984" s="198"/>
    </row>
    <row r="985" spans="4:7" ht="12" customHeight="1" x14ac:dyDescent="0.15">
      <c r="D985" s="226"/>
      <c r="E985" s="135"/>
      <c r="F985" s="198"/>
      <c r="G985" s="198"/>
    </row>
    <row r="986" spans="4:7" ht="12" customHeight="1" x14ac:dyDescent="0.15">
      <c r="D986" s="226"/>
      <c r="E986" s="135"/>
      <c r="F986" s="198"/>
      <c r="G986" s="198"/>
    </row>
    <row r="987" spans="4:7" ht="12" customHeight="1" x14ac:dyDescent="0.15">
      <c r="D987" s="226"/>
      <c r="E987" s="135"/>
      <c r="F987" s="198"/>
      <c r="G987" s="198"/>
    </row>
    <row r="988" spans="4:7" ht="12" customHeight="1" x14ac:dyDescent="0.15">
      <c r="D988" s="226"/>
      <c r="E988" s="135"/>
      <c r="F988" s="198"/>
      <c r="G988" s="198"/>
    </row>
    <row r="989" spans="4:7" ht="12" customHeight="1" x14ac:dyDescent="0.15">
      <c r="D989" s="226"/>
      <c r="E989" s="135"/>
      <c r="F989" s="198"/>
      <c r="G989" s="198"/>
    </row>
    <row r="990" spans="4:7" ht="12" customHeight="1" x14ac:dyDescent="0.15">
      <c r="D990" s="226"/>
      <c r="E990" s="135"/>
      <c r="F990" s="198"/>
      <c r="G990" s="198"/>
    </row>
    <row r="991" spans="4:7" ht="12" customHeight="1" x14ac:dyDescent="0.15">
      <c r="D991" s="226"/>
      <c r="E991" s="135"/>
      <c r="F991" s="198"/>
      <c r="G991" s="198"/>
    </row>
    <row r="992" spans="4:7" ht="12" customHeight="1" x14ac:dyDescent="0.15">
      <c r="D992" s="226"/>
      <c r="E992" s="135"/>
      <c r="F992" s="198"/>
      <c r="G992" s="198"/>
    </row>
    <row r="993" spans="4:7" ht="12" customHeight="1" x14ac:dyDescent="0.15">
      <c r="D993" s="226"/>
      <c r="E993" s="135"/>
      <c r="F993" s="198"/>
      <c r="G993" s="198"/>
    </row>
    <row r="994" spans="4:7" ht="12" customHeight="1" x14ac:dyDescent="0.15">
      <c r="D994" s="226"/>
      <c r="E994" s="135"/>
      <c r="F994" s="198"/>
      <c r="G994" s="198"/>
    </row>
    <row r="995" spans="4:7" ht="12" customHeight="1" x14ac:dyDescent="0.15">
      <c r="D995" s="226"/>
      <c r="E995" s="135"/>
      <c r="F995" s="198"/>
      <c r="G995" s="198"/>
    </row>
    <row r="996" spans="4:7" ht="12" customHeight="1" x14ac:dyDescent="0.15">
      <c r="D996" s="226"/>
      <c r="E996" s="135"/>
      <c r="F996" s="198"/>
      <c r="G996" s="198"/>
    </row>
    <row r="997" spans="4:7" ht="12" customHeight="1" x14ac:dyDescent="0.15">
      <c r="D997" s="226"/>
      <c r="E997" s="135"/>
      <c r="F997" s="198"/>
      <c r="G997" s="198"/>
    </row>
    <row r="998" spans="4:7" ht="12" customHeight="1" x14ac:dyDescent="0.15">
      <c r="D998" s="226"/>
      <c r="E998" s="135"/>
      <c r="F998" s="198"/>
      <c r="G998" s="198"/>
    </row>
    <row r="999" spans="4:7" ht="12" customHeight="1" x14ac:dyDescent="0.15">
      <c r="D999" s="226"/>
      <c r="E999" s="135"/>
      <c r="F999" s="198"/>
      <c r="G999" s="198"/>
    </row>
    <row r="1000" spans="4:7" ht="12" customHeight="1" x14ac:dyDescent="0.15">
      <c r="D1000" s="226"/>
      <c r="E1000" s="135"/>
      <c r="F1000" s="198"/>
      <c r="G1000" s="198"/>
    </row>
  </sheetData>
  <pageMargins left="0.78749999999999998" right="0.78749999999999998" top="1.05277777777778" bottom="1.05277777777778" header="0" footer="0"/>
  <pageSetup paperSize="9" scale="93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Fondo de reservas</vt:lpstr>
      <vt:lpstr>Caja Chica-Cta.Bco</vt:lpstr>
      <vt:lpstr>Gastos detallados</vt:lpstr>
      <vt:lpstr>PedidoAGE12-01</vt:lpstr>
      <vt:lpstr>PedidoVotoElec-09-04</vt:lpstr>
      <vt:lpstr>Pedido Exceptional - Agosto 24</vt:lpstr>
      <vt:lpstr>PedidoVotoElec-11-10</vt:lpstr>
      <vt:lpstr>PedidoVotoElec-09-12</vt:lpstr>
      <vt:lpstr>Pedido Exceptional - ENERO2025</vt:lpstr>
      <vt:lpstr>Presupuesto 2024 Aprobado</vt:lpstr>
      <vt:lpstr>A1</vt:lpstr>
      <vt:lpstr>A2</vt:lpstr>
      <vt:lpstr>A3</vt:lpstr>
      <vt:lpstr>A4</vt:lpstr>
      <vt:lpstr>A5</vt:lpstr>
      <vt:lpstr>A6</vt:lpstr>
      <vt:lpstr>A7</vt:lpstr>
      <vt:lpstr>Distribución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yunairy</dc:creator>
  <cp:lastModifiedBy>Microsoft Office User</cp:lastModifiedBy>
  <cp:lastPrinted>2025-01-08T21:49:13Z</cp:lastPrinted>
  <dcterms:created xsi:type="dcterms:W3CDTF">2024-01-05T16:39:16Z</dcterms:created>
  <dcterms:modified xsi:type="dcterms:W3CDTF">2025-01-08T21:57:11Z</dcterms:modified>
</cp:coreProperties>
</file>
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4/Tercer Trimestro/"/>
    </mc:Choice>
  </mc:AlternateContent>
  <xr:revisionPtr revIDLastSave="0" documentId="13_ncr:1_{61EB6483-1503-434E-AECF-1A64A1BEF896}" xr6:coauthVersionLast="45" xr6:coauthVersionMax="45" xr10:uidLastSave="{00000000-0000-0000-0000-000000000000}"/>
  <bookViews>
    <workbookView xWindow="-38400" yWindow="-880" windowWidth="38400" windowHeight="21100" tabRatio="500" xr2:uid="{00000000-000D-0000-FFFF-FFFF00000000}"/>
  </bookViews>
  <sheets>
    <sheet name="Caja Chica-Cta.Bco" sheetId="1" r:id="rId1"/>
    <sheet name="Gastos detallados" sheetId="2" r:id="rId2"/>
    <sheet name="PedidoAGE12-01" sheetId="3" r:id="rId3"/>
    <sheet name="PedidoVotoElec-09-04" sheetId="13" r:id="rId4"/>
    <sheet name="Presupuesto 2024 Aprobado" sheetId="4" r:id="rId5"/>
    <sheet name="A1" sheetId="5" r:id="rId6"/>
    <sheet name="A2" sheetId="6" r:id="rId7"/>
    <sheet name="A3" sheetId="7" r:id="rId8"/>
    <sheet name="A4" sheetId="8" r:id="rId9"/>
    <sheet name="A5" sheetId="9" r:id="rId10"/>
    <sheet name="A6" sheetId="10" r:id="rId11"/>
    <sheet name="A7" sheetId="11" r:id="rId12"/>
    <sheet name="Distribución" sheetId="12" r:id="rId13"/>
  </sheets>
  <definedNames>
    <definedName name="_xlnm._FilterDatabase" localSheetId="0" hidden="1">'Caja Chica-Cta.Bco'!$B$9:$F$117</definedName>
    <definedName name="_xlnm.Print_Area" localSheetId="0">'Caja Chica-Cta.Bco'!$1:$1048576</definedName>
    <definedName name="_xlnm.Print_Area" localSheetId="12">Distribución!$B$2:$G$44</definedName>
    <definedName name="_xlnm.Print_Area" localSheetId="2">'PedidoAGE12-01'!$A$1:$F$39</definedName>
    <definedName name="_xlnm.Print_Area" localSheetId="3">'PedidoVotoElec-09-04'!$A$1:$F$39</definedName>
    <definedName name="_xlnm.Print_Area" localSheetId="4">'Presupuesto 2024 Aprobado'!$A$1:$F$44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05" i="2" l="1"/>
  <c r="D91" i="2"/>
  <c r="E31" i="11"/>
  <c r="E31" i="10"/>
  <c r="E32" i="9" l="1"/>
  <c r="E31" i="8"/>
  <c r="E32" i="7"/>
  <c r="E31" i="6"/>
  <c r="E39" i="5"/>
  <c r="D66" i="2" l="1"/>
  <c r="F117" i="1" l="1"/>
  <c r="D24" i="2" l="1"/>
  <c r="D35" i="5"/>
  <c r="D115" i="2"/>
  <c r="D125" i="2"/>
  <c r="D158" i="2" l="1"/>
  <c r="D138" i="2"/>
  <c r="D32" i="2"/>
  <c r="D45" i="5"/>
  <c r="D170" i="2" l="1"/>
  <c r="L117" i="1" l="1"/>
  <c r="M117" i="1"/>
  <c r="F120" i="1"/>
  <c r="E117" i="1"/>
  <c r="D33" i="5"/>
  <c r="F126" i="1" l="1"/>
  <c r="N3" i="12" l="1"/>
  <c r="L29" i="12"/>
  <c r="N29" i="12" s="1"/>
  <c r="N24" i="12"/>
  <c r="N23" i="12"/>
  <c r="L28" i="12"/>
  <c r="L26" i="12"/>
  <c r="N13" i="12" l="1"/>
  <c r="M20" i="12"/>
  <c r="N19" i="12"/>
  <c r="K20" i="12"/>
  <c r="L20" i="12"/>
  <c r="J20" i="12"/>
  <c r="L27" i="12"/>
  <c r="N27" i="12" s="1"/>
  <c r="M10" i="12"/>
  <c r="L10" i="12"/>
  <c r="D39" i="13"/>
  <c r="G44" i="12"/>
  <c r="K3" i="12" l="1"/>
  <c r="K4" i="12"/>
  <c r="K9" i="12"/>
  <c r="K8" i="12"/>
  <c r="K7" i="12"/>
  <c r="K6" i="12"/>
  <c r="K5" i="12"/>
  <c r="C50" i="4"/>
  <c r="D37" i="5" s="1"/>
  <c r="N38" i="3"/>
  <c r="J38" i="13"/>
  <c r="E39" i="3"/>
  <c r="E13" i="13"/>
  <c r="L37" i="13" l="1"/>
  <c r="L36" i="13"/>
  <c r="L35" i="13"/>
  <c r="L34" i="13"/>
  <c r="L33" i="13"/>
  <c r="L32" i="13"/>
  <c r="L31" i="13"/>
  <c r="L38" i="13" s="1"/>
  <c r="K10" i="12"/>
  <c r="E21" i="13"/>
  <c r="E30" i="13" s="1"/>
  <c r="I31" i="13" l="1"/>
  <c r="M31" i="13" s="1"/>
  <c r="I32" i="13"/>
  <c r="M32" i="13" s="1"/>
  <c r="I37" i="13"/>
  <c r="M37" i="13" s="1"/>
  <c r="I36" i="13"/>
  <c r="M36" i="13" s="1"/>
  <c r="I35" i="13"/>
  <c r="M35" i="13" s="1"/>
  <c r="I34" i="13"/>
  <c r="M34" i="13" s="1"/>
  <c r="I33" i="13"/>
  <c r="M33" i="13" s="1"/>
  <c r="N33" i="13" l="1"/>
  <c r="E34" i="13"/>
  <c r="N34" i="13"/>
  <c r="E35" i="13"/>
  <c r="N35" i="13"/>
  <c r="E36" i="13"/>
  <c r="N36" i="13"/>
  <c r="E37" i="13"/>
  <c r="N37" i="13"/>
  <c r="E38" i="13"/>
  <c r="N32" i="13"/>
  <c r="E33" i="13"/>
  <c r="E32" i="13"/>
  <c r="E39" i="13" s="1"/>
  <c r="N31" i="13"/>
  <c r="N38" i="13"/>
  <c r="M38" i="13"/>
  <c r="D39" i="3" l="1"/>
  <c r="E7" i="12" l="1"/>
  <c r="E42" i="12" l="1"/>
  <c r="E37" i="12"/>
  <c r="J30" i="12"/>
  <c r="N28" i="12"/>
  <c r="E28" i="12"/>
  <c r="N26" i="12"/>
  <c r="L25" i="12"/>
  <c r="N25" i="12" s="1"/>
  <c r="E23" i="12"/>
  <c r="N18" i="12"/>
  <c r="E18" i="12"/>
  <c r="N17" i="12"/>
  <c r="N16" i="12"/>
  <c r="N15" i="12"/>
  <c r="N14" i="12"/>
  <c r="E12" i="12"/>
  <c r="E44" i="12" s="1"/>
  <c r="F7" i="12" s="1"/>
  <c r="N9" i="12"/>
  <c r="N8" i="12"/>
  <c r="N7" i="12"/>
  <c r="N6" i="12"/>
  <c r="N5" i="12"/>
  <c r="N4" i="12"/>
  <c r="F13" i="11"/>
  <c r="F14" i="11" s="1"/>
  <c r="F15" i="11" s="1"/>
  <c r="F16" i="11" s="1"/>
  <c r="F13" i="10"/>
  <c r="F14" i="10" s="1"/>
  <c r="F15" i="10" s="1"/>
  <c r="F16" i="10" s="1"/>
  <c r="F13" i="9"/>
  <c r="F14" i="9" s="1"/>
  <c r="F15" i="9" s="1"/>
  <c r="F16" i="9" s="1"/>
  <c r="F13" i="8"/>
  <c r="F14" i="8" s="1"/>
  <c r="F15" i="8" s="1"/>
  <c r="F16" i="8" s="1"/>
  <c r="F13" i="7"/>
  <c r="F14" i="7" s="1"/>
  <c r="F15" i="7" s="1"/>
  <c r="F16" i="7" s="1"/>
  <c r="F17" i="7" s="1"/>
  <c r="F13" i="6"/>
  <c r="F14" i="6" s="1"/>
  <c r="F15" i="6" s="1"/>
  <c r="F16" i="6" s="1"/>
  <c r="F13" i="5"/>
  <c r="F14" i="5" s="1"/>
  <c r="F15" i="5" s="1"/>
  <c r="F16" i="5" s="1"/>
  <c r="F17" i="5" s="1"/>
  <c r="F18" i="5" s="1"/>
  <c r="F20" i="5" s="1"/>
  <c r="N67" i="4"/>
  <c r="J67" i="4"/>
  <c r="L63" i="4" s="1"/>
  <c r="M66" i="4"/>
  <c r="M65" i="4"/>
  <c r="M64" i="4"/>
  <c r="M63" i="4"/>
  <c r="M62" i="4"/>
  <c r="L62" i="4"/>
  <c r="M61" i="4"/>
  <c r="M60" i="4"/>
  <c r="N56" i="4"/>
  <c r="J56" i="4"/>
  <c r="L51" i="4" s="1"/>
  <c r="D56" i="4"/>
  <c r="D30" i="11" s="1"/>
  <c r="C56" i="4"/>
  <c r="M55" i="4"/>
  <c r="L55" i="4"/>
  <c r="E55" i="4"/>
  <c r="D55" i="4"/>
  <c r="D30" i="10" s="1"/>
  <c r="C55" i="4"/>
  <c r="D29" i="10" s="1"/>
  <c r="D31" i="10" s="1"/>
  <c r="F31" i="10" s="1"/>
  <c r="F134" i="1" s="1"/>
  <c r="M54" i="4"/>
  <c r="L54" i="4"/>
  <c r="D54" i="4"/>
  <c r="C54" i="4"/>
  <c r="D30" i="9" s="1"/>
  <c r="M53" i="4"/>
  <c r="L53" i="4"/>
  <c r="D53" i="4"/>
  <c r="D30" i="8" s="1"/>
  <c r="C53" i="4"/>
  <c r="M52" i="4"/>
  <c r="L52" i="4"/>
  <c r="D52" i="4"/>
  <c r="D31" i="7" s="1"/>
  <c r="C52" i="4"/>
  <c r="D30" i="7" s="1"/>
  <c r="D32" i="7" s="1"/>
  <c r="F32" i="7" s="1"/>
  <c r="F131" i="1" s="1"/>
  <c r="M51" i="4"/>
  <c r="D51" i="4"/>
  <c r="C51" i="4"/>
  <c r="M50" i="4"/>
  <c r="L50" i="4"/>
  <c r="D50" i="4"/>
  <c r="D38" i="5" s="1"/>
  <c r="D39" i="5" s="1"/>
  <c r="F39" i="5" s="1"/>
  <c r="E50" i="4"/>
  <c r="M49" i="4"/>
  <c r="E46" i="4"/>
  <c r="D46" i="4"/>
  <c r="N45" i="4"/>
  <c r="J45" i="4"/>
  <c r="L41" i="4" s="1"/>
  <c r="L44" i="4"/>
  <c r="I44" i="4"/>
  <c r="M44" i="4" s="1"/>
  <c r="L43" i="4"/>
  <c r="I41" i="4"/>
  <c r="M41" i="4" s="1"/>
  <c r="L40" i="4"/>
  <c r="L39" i="4"/>
  <c r="I39" i="4"/>
  <c r="M39" i="4" s="1"/>
  <c r="E37" i="4"/>
  <c r="I43" i="4" s="1"/>
  <c r="M43" i="4" s="1"/>
  <c r="E35" i="4"/>
  <c r="D35" i="4"/>
  <c r="N34" i="4"/>
  <c r="J34" i="4"/>
  <c r="E21" i="4"/>
  <c r="C18" i="4"/>
  <c r="E15" i="4"/>
  <c r="E14" i="4"/>
  <c r="E13" i="4"/>
  <c r="E12" i="4"/>
  <c r="E11" i="4"/>
  <c r="E10" i="4"/>
  <c r="E9" i="4"/>
  <c r="J38" i="3"/>
  <c r="E19" i="3"/>
  <c r="E21" i="3" s="1"/>
  <c r="E30" i="3" s="1"/>
  <c r="I31" i="3" s="1"/>
  <c r="M31" i="3" s="1"/>
  <c r="D174" i="2"/>
  <c r="D165" i="2"/>
  <c r="D129" i="2"/>
  <c r="D95" i="2"/>
  <c r="M120" i="1"/>
  <c r="L119" i="1"/>
  <c r="E119" i="1"/>
  <c r="I38" i="4" l="1"/>
  <c r="M38" i="4" s="1"/>
  <c r="L31" i="3"/>
  <c r="L37" i="3"/>
  <c r="L36" i="3"/>
  <c r="L35" i="3"/>
  <c r="L34" i="3"/>
  <c r="L33" i="3"/>
  <c r="L32" i="3"/>
  <c r="L38" i="4"/>
  <c r="I42" i="4"/>
  <c r="M42" i="4" s="1"/>
  <c r="D57" i="4"/>
  <c r="D30" i="6"/>
  <c r="E53" i="4"/>
  <c r="D29" i="8"/>
  <c r="D31" i="8" s="1"/>
  <c r="F31" i="8" s="1"/>
  <c r="F132" i="1" s="1"/>
  <c r="M121" i="1"/>
  <c r="E18" i="4"/>
  <c r="E22" i="4" s="1"/>
  <c r="L42" i="4"/>
  <c r="L49" i="4"/>
  <c r="F48" i="5"/>
  <c r="F129" i="1"/>
  <c r="E56" i="4"/>
  <c r="D29" i="11"/>
  <c r="D31" i="11" s="1"/>
  <c r="E52" i="4"/>
  <c r="E51" i="4"/>
  <c r="E57" i="4" s="1"/>
  <c r="D29" i="6"/>
  <c r="E54" i="4"/>
  <c r="D31" i="9"/>
  <c r="D32" i="9" s="1"/>
  <c r="F32" i="9" s="1"/>
  <c r="F133" i="1" s="1"/>
  <c r="D172" i="2"/>
  <c r="F121" i="1"/>
  <c r="F124" i="1" s="1"/>
  <c r="N20" i="12"/>
  <c r="L30" i="12"/>
  <c r="N30" i="12"/>
  <c r="F18" i="11"/>
  <c r="F19" i="11" s="1"/>
  <c r="F20" i="11" s="1"/>
  <c r="F21" i="11" s="1"/>
  <c r="F22" i="11" s="1"/>
  <c r="F23" i="11" s="1"/>
  <c r="F17" i="11"/>
  <c r="F17" i="10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19" i="9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17" i="9"/>
  <c r="F18" i="9" s="1"/>
  <c r="F17" i="8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18" i="7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17" i="6"/>
  <c r="F18" i="6" s="1"/>
  <c r="F19" i="6" s="1"/>
  <c r="F20" i="6" s="1"/>
  <c r="F21" i="6" s="1"/>
  <c r="F22" i="6" s="1"/>
  <c r="F23" i="6" s="1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I32" i="3"/>
  <c r="M32" i="3" s="1"/>
  <c r="I37" i="3"/>
  <c r="M37" i="3" s="1"/>
  <c r="I34" i="3"/>
  <c r="M34" i="3" s="1"/>
  <c r="I36" i="3"/>
  <c r="M36" i="3" s="1"/>
  <c r="I33" i="3"/>
  <c r="M33" i="3" s="1"/>
  <c r="I35" i="3"/>
  <c r="M35" i="3" s="1"/>
  <c r="E26" i="4"/>
  <c r="L56" i="4"/>
  <c r="N10" i="12"/>
  <c r="M67" i="4"/>
  <c r="L65" i="4"/>
  <c r="L61" i="4"/>
  <c r="L64" i="4"/>
  <c r="L60" i="4"/>
  <c r="L28" i="4"/>
  <c r="L33" i="4"/>
  <c r="L30" i="4"/>
  <c r="L27" i="4"/>
  <c r="L32" i="4"/>
  <c r="F123" i="1"/>
  <c r="M56" i="4"/>
  <c r="C57" i="4"/>
  <c r="F28" i="12"/>
  <c r="L45" i="4"/>
  <c r="L29" i="4"/>
  <c r="L31" i="4"/>
  <c r="L66" i="4"/>
  <c r="I40" i="4"/>
  <c r="M40" i="4" s="1"/>
  <c r="M45" i="4" s="1"/>
  <c r="F24" i="11" l="1"/>
  <c r="F25" i="11" s="1"/>
  <c r="F26" i="11" s="1"/>
  <c r="F27" i="11" s="1"/>
  <c r="F28" i="11" s="1"/>
  <c r="F29" i="11" s="1"/>
  <c r="F30" i="11" s="1"/>
  <c r="L38" i="3"/>
  <c r="F24" i="6"/>
  <c r="F25" i="6" s="1"/>
  <c r="F26" i="6" s="1"/>
  <c r="F27" i="6" s="1"/>
  <c r="F28" i="6" s="1"/>
  <c r="F29" i="6" s="1"/>
  <c r="F30" i="6" s="1"/>
  <c r="D31" i="6"/>
  <c r="F31" i="6" s="1"/>
  <c r="F34" i="6" s="1"/>
  <c r="F130" i="1" s="1"/>
  <c r="F125" i="1"/>
  <c r="F127" i="1" s="1"/>
  <c r="F37" i="12"/>
  <c r="M38" i="3"/>
  <c r="L67" i="4"/>
  <c r="I31" i="4"/>
  <c r="M31" i="4" s="1"/>
  <c r="I28" i="4"/>
  <c r="M28" i="4" s="1"/>
  <c r="I33" i="4"/>
  <c r="M33" i="4" s="1"/>
  <c r="I30" i="4"/>
  <c r="M30" i="4" s="1"/>
  <c r="I27" i="4"/>
  <c r="M27" i="4" s="1"/>
  <c r="M34" i="4" s="1"/>
  <c r="I29" i="4"/>
  <c r="M29" i="4" s="1"/>
  <c r="I32" i="4"/>
  <c r="M32" i="4" s="1"/>
  <c r="F23" i="12"/>
  <c r="F12" i="12"/>
  <c r="F42" i="12"/>
  <c r="F18" i="12"/>
  <c r="L34" i="4"/>
  <c r="F44" i="12" l="1"/>
  <c r="F31" i="11"/>
  <c r="F135" i="1" s="1"/>
  <c r="F136" i="1" s="1"/>
</calcChain>
</file>

<file path=xl/sharedStrings.xml><?xml version="1.0" encoding="utf-8"?>
<sst xmlns="http://schemas.openxmlformats.org/spreadsheetml/2006/main" count="1078" uniqueCount="359">
  <si>
    <t>CONDOMINIO EL FRAMBOYANT</t>
  </si>
  <si>
    <t>Calle 30 de Marzo, Las Terrenas, Samaná, República Dominicana 32200</t>
  </si>
  <si>
    <t>Periodo de 01/01 hasta 23/03/2024</t>
  </si>
  <si>
    <t>Periodo de 01/01 hasta 31/12/2024</t>
  </si>
  <si>
    <t>Estado CAJA CHICA</t>
  </si>
  <si>
    <t>Descripción</t>
  </si>
  <si>
    <t>Fecha</t>
  </si>
  <si>
    <t>Tipo</t>
  </si>
  <si>
    <t>Debito</t>
  </si>
  <si>
    <t>Credito</t>
  </si>
  <si>
    <t>Saldo balance al 31/12/2023</t>
  </si>
  <si>
    <t>CA</t>
  </si>
  <si>
    <t>BQ</t>
  </si>
  <si>
    <t>Honorario Administrador Enero 2024</t>
  </si>
  <si>
    <t>Luz y Fuerza Diciembre 2023</t>
  </si>
  <si>
    <t>INAPA Enero 2024</t>
  </si>
  <si>
    <t>1 camión del agua – El Flaco</t>
  </si>
  <si>
    <t>2 pastillas de cloro para registro agua pluvial</t>
  </si>
  <si>
    <t>Impuesto 0.15% DGII</t>
  </si>
  <si>
    <t>Registro acta AGE 12/01 ayuntamiento LT</t>
  </si>
  <si>
    <t>Rep. cambio de luce spot defectuoso-Crismar</t>
  </si>
  <si>
    <t>Recogida basura Enero 2024</t>
  </si>
  <si>
    <t>Honorario Administrador Febrero 2024</t>
  </si>
  <si>
    <t xml:space="preserve">Materiales plomería y multa demora A7 – Wilner </t>
  </si>
  <si>
    <t>Honorario del Alguacil para notificación a A-1</t>
  </si>
  <si>
    <t>Honorario Administrador para AGE 12-01-2024</t>
  </si>
  <si>
    <t xml:space="preserve">Interés </t>
  </si>
  <si>
    <t>Reembolso a Jeffrey cargo DGII transf banco – A1</t>
  </si>
  <si>
    <t>Impuesto</t>
  </si>
  <si>
    <t>Entrada a caja chica desde cuenta banco</t>
  </si>
  <si>
    <t>Pago GUERIN-A1 (47 720,90+72,56)</t>
  </si>
  <si>
    <t>Pago ENGEL – A5</t>
  </si>
  <si>
    <t>Luz y Fuerza Enero 2024</t>
  </si>
  <si>
    <t>2 camiones de séptico</t>
  </si>
  <si>
    <t>Retiro para caja chica</t>
  </si>
  <si>
    <t>Pago FACQUET – A4</t>
  </si>
  <si>
    <t>Pago ONDELLA – A3</t>
  </si>
  <si>
    <t>Registro acta AGO 13/02 ayuntamiento LT</t>
  </si>
  <si>
    <t>Pago SANTOS – A6</t>
  </si>
  <si>
    <t>Pago a Jeffrey cargo MoneyGram/Deposito – A2</t>
  </si>
  <si>
    <t>Pago HAZELTINE – A7</t>
  </si>
  <si>
    <t>Reembolso a Jeffrey cargo DGII transf banco – A7</t>
  </si>
  <si>
    <t>Pago GUERIN – A1</t>
  </si>
  <si>
    <t>Recogida basura Febrero 2024</t>
  </si>
  <si>
    <t>Pago METAYER-JEAN – A2</t>
  </si>
  <si>
    <t>Honorario Administrador Marzo 2024</t>
  </si>
  <si>
    <t>Pago HAZELTINE – A7 (26,803.85 + 5,221.59)</t>
  </si>
  <si>
    <t>Avance 60% trabajo muro exterior – Edison</t>
  </si>
  <si>
    <t>Avance 60% trabajo área séptico – Edison</t>
  </si>
  <si>
    <t>Recogida basura Marzo 2024</t>
  </si>
  <si>
    <t>Luz y Fuerza Febrero 2024</t>
  </si>
  <si>
    <t>INAPA Febrero 2024</t>
  </si>
  <si>
    <r>
      <rPr>
        <sz val="10"/>
        <rFont val="Arial"/>
        <family val="2"/>
        <charset val="1"/>
      </rPr>
      <t xml:space="preserve">Materiales </t>
    </r>
    <r>
      <rPr>
        <sz val="11"/>
        <rFont val="Arial"/>
        <family val="2"/>
        <charset val="1"/>
      </rPr>
      <t>Trabajo registro aguas pluviales subterráneos – Crismar</t>
    </r>
  </si>
  <si>
    <t>2do avance 20% trabajo muro exterior – Edison</t>
  </si>
  <si>
    <t>2do avance 20% trabajo área séptico – Edison</t>
  </si>
  <si>
    <t>INAPA Marzo 2024</t>
  </si>
  <si>
    <t>TOTAL</t>
  </si>
  <si>
    <t>TOTAL DÉBITO</t>
  </si>
  <si>
    <t>TOTAL CRÉDITO</t>
  </si>
  <si>
    <t>BALANCE AL DÍA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</si>
  <si>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</si>
  <si>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</si>
  <si>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</si>
  <si>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</si>
  <si>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</si>
  <si>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</si>
  <si>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</si>
  <si>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</si>
  <si>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</si>
  <si>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</si>
  <si>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</si>
  <si>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</si>
  <si>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</si>
  <si>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</si>
  <si>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</si>
  <si>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rFont val="Arial"/>
        <family val="2"/>
        <charset val="1"/>
      </rPr>
      <t xml:space="preserve">Inversiones Ter 187 eirl </t>
    </r>
    <r>
      <rPr>
        <sz val="9"/>
        <rFont val="Arial"/>
        <family val="2"/>
        <charset val="1"/>
      </rPr>
      <t>(Karina SANTOS)</t>
    </r>
  </si>
  <si>
    <t>A-6</t>
  </si>
  <si>
    <t>Jonathan HAZELTINE</t>
  </si>
  <si>
    <t>A-7</t>
  </si>
  <si>
    <t xml:space="preserve">TOTAL en Crédito: </t>
  </si>
  <si>
    <t>Estado detallados de gastos</t>
  </si>
  <si>
    <t>INAPA (Contrato 321528) / Agua</t>
  </si>
  <si>
    <t>Monto</t>
  </si>
  <si>
    <r>
      <rPr>
        <sz val="10"/>
        <rFont val="Arial"/>
        <family val="2"/>
        <charset val="1"/>
      </rPr>
      <t xml:space="preserve">1 Camión de agua </t>
    </r>
    <r>
      <rPr>
        <sz val="8"/>
        <rFont val="Arial"/>
        <family val="2"/>
        <charset val="1"/>
      </rPr>
      <t>(interrupción servicio por averías)</t>
    </r>
  </si>
  <si>
    <t>Total</t>
  </si>
  <si>
    <t>LUZ Y FUERZA / Electricidad</t>
  </si>
  <si>
    <t>Luz Diciembre 2023 (55 kwh)</t>
  </si>
  <si>
    <t>Luz Enero 2024 (80 kwh)</t>
  </si>
  <si>
    <t>Luz Febrero 2024 (107 kwh)</t>
  </si>
  <si>
    <t>Reparaciones / Mantenimientos</t>
  </si>
  <si>
    <t>Reparación flota agua Inapa + Mant. Tanque de presión – Crismar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</si>
  <si>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</si>
  <si>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</si>
  <si>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</si>
  <si>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</si>
  <si>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</si>
  <si>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</si>
  <si>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Trabajos decididos en AGE 2023</t>
  </si>
  <si>
    <t>Avance 60% trabajo muro exterior – EDISON</t>
  </si>
  <si>
    <t>2do avance 20% trabajo muro exterior – EDISON</t>
  </si>
  <si>
    <t>Trabajos decididos en AGE 2024</t>
  </si>
  <si>
    <t>Avance 60% trabajo area séptico – EDISON</t>
  </si>
  <si>
    <t>2do avance 20% trabajo area séptico – EDISON</t>
  </si>
  <si>
    <t>MDO Trabajo registro aguas pluviales subterráneos – Crismar</t>
  </si>
  <si>
    <t>Otro gastos diversos</t>
  </si>
  <si>
    <t>Registro Acta AGE 12/01 Ayuntamiento LT</t>
  </si>
  <si>
    <t>Registro Acta AGO 13/02 Ayuntamiento LT</t>
  </si>
  <si>
    <t>Cargo MoneyGram/Deposito Banco (cargo del A2)</t>
  </si>
  <si>
    <t>TOTAL GENERAL GASTOS COMUNES</t>
  </si>
  <si>
    <t>TOTAL GENERAL GASTOS PERSONALES</t>
  </si>
  <si>
    <t>Cuota Extraordinaria del 2024</t>
  </si>
  <si>
    <t>Pedido de fondo para Trabajos decidido en AGE 12/01/2024</t>
  </si>
  <si>
    <t>Trabajo elevación de nivel área de los sépticos</t>
  </si>
  <si>
    <t>Asamblea General Extraordinaria punto 4 (aprobado unanimidad)</t>
  </si>
  <si>
    <t>Voto electrónico realizado durante 19/01 - 24/01/2024 (100% de emitidos : A2/A3/A6/A7)</t>
  </si>
  <si>
    <t>Trabajo registro de aguas pluviales subterráneos</t>
  </si>
  <si>
    <t>Asamblea General Extraordinaria punto 5 (aprobado unanimidad)</t>
  </si>
  <si>
    <t>*Honorarios 10% para seguimientos y supervisores de trabajos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</si>
  <si>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</si>
  <si>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</si>
  <si>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</si>
  <si>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</si>
  <si>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</si>
  <si>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</si>
  <si>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</si>
  <si>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Repartición de Cuota Extraordianaria AGE 12-01-2024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</si>
  <si>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</si>
  <si>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</si>
  <si>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</si>
  <si>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</si>
  <si>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</si>
  <si>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</si>
  <si>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</si>
  <si>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</si>
  <si>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</si>
  <si>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</si>
  <si>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</si>
  <si>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Presupuesto Provisional 2024 aprobado por la AGO del 13/02/2024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</si>
  <si>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</si>
  <si>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</si>
  <si>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</si>
  <si>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</si>
  <si>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</si>
  <si>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</si>
  <si>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</si>
  <si>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r>
      <rPr>
        <sz val="10"/>
        <rFont val="Arial"/>
        <family val="2"/>
        <charset val="1"/>
      </rPr>
      <t>Trabajo tuberías drenaje de agua pluvial (</t>
    </r>
    <r>
      <rPr>
        <b/>
        <sz val="10"/>
        <rFont val="Arial"/>
        <family val="2"/>
        <charset val="1"/>
      </rPr>
      <t>monto adicional</t>
    </r>
    <r>
      <rPr>
        <sz val="10"/>
        <rFont val="Arial"/>
        <family val="2"/>
        <charset val="1"/>
      </rPr>
      <t>)</t>
    </r>
  </si>
  <si>
    <t>Seguro Incendio y R.C. (20/11/2024-2025)</t>
  </si>
  <si>
    <t>Total Anual Gastos Provisional 2024</t>
  </si>
  <si>
    <t>Fondo de Reservas (para completar $80,000)</t>
  </si>
  <si>
    <t>* Fondo de Reservas (diferencia prevista por cancelación trabajo medidor de agua)</t>
  </si>
  <si>
    <t>(* La diferencia exacta será tomada cuenta al cierre del año 2024)</t>
  </si>
  <si>
    <t>Total Fondo de Reservas 2024</t>
  </si>
  <si>
    <t>Se pedirá trimestralmente (4 veces) : $124,809.46RD y $10,000.00RD Total $134,809.46RD</t>
  </si>
  <si>
    <t>Nota: Tenemos una nota de crédito (materiales) con Ferretería The Home Acosta Polanco</t>
  </si>
  <si>
    <t>con un importe de $14,514.18RD (aproximadamente)</t>
  </si>
  <si>
    <t>Calculo presupuesto 2024</t>
  </si>
  <si>
    <t>Repartición de gasto común provisional 2024:</t>
  </si>
  <si>
    <t>por año</t>
  </si>
  <si>
    <t>Herve METAYER</t>
  </si>
  <si>
    <t>Calculo Fondo de Reservas 2024</t>
  </si>
  <si>
    <t>Repartición de Fondo de Reservas 2024:</t>
  </si>
  <si>
    <t>Calculo cierre del 2023</t>
  </si>
  <si>
    <t>MONTO TRIMESTRE 2024</t>
  </si>
  <si>
    <t>Gastos</t>
  </si>
  <si>
    <t>Fdo. Reservas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</si>
  <si>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</si>
  <si>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</si>
  <si>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</si>
  <si>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</si>
  <si>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</si>
  <si>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</si>
  <si>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</si>
  <si>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</si>
  <si>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</si>
  <si>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</si>
  <si>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</si>
  <si>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</si>
  <si>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</si>
  <si>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</si>
  <si>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</si>
  <si>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</si>
  <si>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</si>
  <si>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 xml:space="preserve">TOTAL A1-GUERRIN </t>
  </si>
  <si>
    <t>Apartamento A-2</t>
  </si>
  <si>
    <t>Hervé METAYER / Corine JEAN</t>
  </si>
  <si>
    <t>hmetayer.business@gmail.com; corine.2021@outlook.fr</t>
  </si>
  <si>
    <t>Periodo de 01/05/2023 hasta 31/03/2024</t>
  </si>
  <si>
    <t>Pago METAYER-JEAN</t>
  </si>
  <si>
    <t xml:space="preserve">TOTAL A2-METAYER </t>
  </si>
  <si>
    <t xml:space="preserve">Nota Importante: </t>
  </si>
  <si>
    <t>Apartamento A3</t>
  </si>
  <si>
    <t>ondellaf@yahoo.fr</t>
  </si>
  <si>
    <t>Pago Frédéric ONDELLA</t>
  </si>
  <si>
    <t>TOTAL A3-ONDELLA</t>
  </si>
  <si>
    <t>Su estado de cuenta está en manera provisional hasta que se cierran las contabilidades del 2024.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</si>
  <si>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</si>
  <si>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</si>
  <si>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</si>
  <si>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</si>
  <si>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</si>
  <si>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</si>
  <si>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</si>
  <si>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</si>
  <si>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</si>
  <si>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</si>
  <si>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</si>
  <si>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</si>
  <si>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</si>
  <si>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</si>
  <si>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</si>
  <si>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</si>
  <si>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</si>
  <si>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</si>
  <si>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</si>
  <si>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</si>
  <si>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</si>
  <si>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</si>
  <si>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</si>
  <si>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</si>
  <si>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</si>
  <si>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</si>
  <si>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</si>
  <si>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</si>
  <si>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</si>
  <si>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</si>
  <si>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</si>
  <si>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</si>
  <si>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</si>
  <si>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</si>
  <si>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</si>
  <si>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</si>
  <si>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</si>
  <si>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</si>
  <si>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</si>
  <si>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</si>
  <si>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</si>
  <si>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</si>
  <si>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</si>
  <si>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</si>
  <si>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</si>
  <si>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</si>
  <si>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</si>
  <si>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</si>
  <si>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</si>
  <si>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</si>
  <si>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</si>
  <si>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</si>
  <si>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</si>
  <si>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</si>
  <si>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</si>
  <si>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</si>
  <si>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</si>
  <si>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</si>
  <si>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</si>
  <si>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Honorario Administrador (oficina inapa 2 veces, agua negra)</t>
  </si>
  <si>
    <t>Limpieza frente a la calle y plantas creciendo en drenaje</t>
  </si>
  <si>
    <t>Honorario administrador, reunion ayuntamiento- aguas negras</t>
  </si>
  <si>
    <t>Mantenimiento y rep. Trabajos emergencia, A-1</t>
  </si>
  <si>
    <r>
      <t xml:space="preserve">MDO </t>
    </r>
    <r>
      <rPr>
        <sz val="11"/>
        <rFont val="Arial"/>
        <family val="2"/>
        <charset val="1"/>
      </rPr>
      <t>Trabajo registro aguas pluviales subterráneos + Rep. Flota agua Inapa – Crismar</t>
    </r>
  </si>
  <si>
    <t>Cargo Mensual TD clasica</t>
  </si>
  <si>
    <t>Estado Cuenta Bancaria/ Banco Popular</t>
  </si>
  <si>
    <t>Cargos Bancario / Banco Popular</t>
  </si>
  <si>
    <t>Pago sueldo 20% Trabajo muro exterior-Edison</t>
  </si>
  <si>
    <t xml:space="preserve">MDO drenaje pluvial+penalidad cancelacion AGE 27.09.23 </t>
  </si>
  <si>
    <t>Luz Marzo 2024 (176 kwh)</t>
  </si>
  <si>
    <t>INAPA Abril 2024</t>
  </si>
  <si>
    <t>Pago impuesto 0.15 DGII transferencia de fondos a cuenta popular</t>
  </si>
  <si>
    <t>Pago Honorarios Administrador Mes de Abril 2024</t>
  </si>
  <si>
    <t>Pago sueldo 20% pared cerca AGE 27.09.23, punto 12</t>
  </si>
  <si>
    <t>MDO drenaje pluvial+penalidad cancelacion AGO 24, AGE 27.09.23 Orden #10+mantenimiento y reparacion</t>
  </si>
  <si>
    <t>Luz y fuerza marzo 2024</t>
  </si>
  <si>
    <t>Pago Inapa Abril-2024</t>
  </si>
  <si>
    <t>SALDO ANTERIOR</t>
  </si>
  <si>
    <t>2do Trimestre 2024 (Abril – Junio) / Gastos común provisional</t>
  </si>
  <si>
    <t>2do Trimestre 2024 (Abril – Junio) / Fondo de Reservas 2024</t>
  </si>
  <si>
    <t>Compra 1 camion de agua</t>
  </si>
  <si>
    <t>1 Camion de Agua</t>
  </si>
  <si>
    <t>Swich Flota electrica y mano de obra instalacion</t>
  </si>
  <si>
    <t>Swich flota electrica y mano de obra</t>
  </si>
  <si>
    <t>Materiales y Mdo Obra excepcional, bomba sumergible (crismar)</t>
  </si>
  <si>
    <t>Obra excepcional bomba sumergible (crismar)</t>
  </si>
  <si>
    <t>Compra 1 camion de agua (averia inapa)</t>
  </si>
  <si>
    <t>Honorario supervisor administracion</t>
  </si>
  <si>
    <t>Trabajo Pintura pared cerca entre el terreno al Norte y A-3-Parqueo A3 ambos lados</t>
  </si>
  <si>
    <t>Obra 1:</t>
  </si>
  <si>
    <t>Obra 2:</t>
  </si>
  <si>
    <t>Dos parillas de metal para el pasaje porton principal y entrada A2-A3</t>
  </si>
  <si>
    <t>Periodo de 01/01/2024 hasta 15/04/2024</t>
  </si>
  <si>
    <t>Pedido de fondo para Trabajos decidido en Voto electronico Del  09-04-2024</t>
  </si>
  <si>
    <t>Repartición de Cuota Extraordianaria  Voto electronico del 09-04-24</t>
  </si>
  <si>
    <t>Pedido de fondo – cuota extraordinaria Voto electronico del 09-04-2024</t>
  </si>
  <si>
    <t>Cargo MoneyGram/Deposito Banco-Gasto Personal-A2</t>
  </si>
  <si>
    <t>Cargo Bancario</t>
  </si>
  <si>
    <t>Compra materiales+MDO reparaciones (crismar)</t>
  </si>
  <si>
    <t>Honorario supervisor (administracion)</t>
  </si>
  <si>
    <t>Pago Eddy septico adjuste presupuesto AGE 12.01.24</t>
  </si>
  <si>
    <t>Compra de carretilla y material</t>
  </si>
  <si>
    <t>Limpieza parqueo principal, caños y bomba de relevaje</t>
  </si>
  <si>
    <t>En debito</t>
  </si>
  <si>
    <t>Pago Limpieza cisterna</t>
  </si>
  <si>
    <t>Recogida basura Abril 2024</t>
  </si>
  <si>
    <t>Compra de Codo 32x32 y mano de obra, reparaciones</t>
  </si>
  <si>
    <t>CARGO MENSual TD clasica</t>
  </si>
  <si>
    <t>Devolucion Material NCB0400046722 Obra contadores, Decision AGO 13.02.24 orden 7</t>
  </si>
  <si>
    <t>Materiales Desague Pluvial NCB0400046722</t>
  </si>
  <si>
    <t xml:space="preserve">Recogida  1 camion de Basura </t>
  </si>
  <si>
    <t>Cargo 2% del $10,082.01 (Reglamento Art.33-d)</t>
  </si>
  <si>
    <t>Cargo administrador recordatorio pago 15 dias despues venc.</t>
  </si>
  <si>
    <t xml:space="preserve">Diferencia presupuesto pared cerca y gastos reales de la </t>
  </si>
  <si>
    <t>obra al gasto unico A1-AGE 12.01.24 orden 6</t>
  </si>
  <si>
    <t>TOTAL en debito</t>
  </si>
  <si>
    <t>Luz y fuerza Abril 2024</t>
  </si>
  <si>
    <t>Luz Abril 2024 (112 kwh)</t>
  </si>
  <si>
    <t>INAPA MAYO 2024</t>
  </si>
  <si>
    <t>INAPA Mayo 2024</t>
  </si>
  <si>
    <t>Pago METAYER-JEAN- A2</t>
  </si>
  <si>
    <t>Cargo MoneyGram/Deposito Banco</t>
  </si>
  <si>
    <t>TOTAL en Crédito</t>
  </si>
  <si>
    <t>Manuel Pierre- Adelanto material y MDO obra 2 (voto elec.9.04.24)</t>
  </si>
  <si>
    <t>Andre Wemni-Arreglo y limpieza area A2 y Jardin A2, luego de construccion septico</t>
  </si>
  <si>
    <t>Pago jardinero + limpieza de escombros</t>
  </si>
  <si>
    <t>Cargo 2% de $24,574 (Reglamento Art.33-d)</t>
  </si>
  <si>
    <t>Banco POPULAR</t>
  </si>
  <si>
    <t>Cuenta Corriente - Sra YUNAIRY ENCARNACION - Cedula 134-0005411-3</t>
  </si>
  <si>
    <t>Cuenta : 0839787280</t>
  </si>
  <si>
    <t>Pesos</t>
  </si>
  <si>
    <t>Honorario Administrador (Ferreteria-Emergencia)</t>
  </si>
  <si>
    <t>Honorario Administrador-Emergencia bomba agua luego de tormenta electrica</t>
  </si>
  <si>
    <t>Honorario Administrador (Emergencia-bomba agua)</t>
  </si>
  <si>
    <t>Pago Honorarios Administrador Mes de Mayo 2024</t>
  </si>
  <si>
    <t>Honorarios Administrador-Digitalizacion del reglamento condominio</t>
  </si>
  <si>
    <t>Walner Manuel- Adelanto por material, pintura+MDO Voto elec del 15.04.24</t>
  </si>
  <si>
    <t>Honorario Administrador (Ferreteria-Emergencia- Bomba de agua)</t>
  </si>
  <si>
    <t>Honorarios 10% supervision trabajos AGE ene 24 septicos+ registro agua pluvia</t>
  </si>
  <si>
    <t>Honorario Administrador Abril 2024</t>
  </si>
  <si>
    <t>Honorario Administrador Mayo 2024</t>
  </si>
  <si>
    <t>GASTOS PRIVADO - Aparte de los gastos comunes</t>
  </si>
  <si>
    <t>Andre Wemni-Presupuesto obra B-2 voto elec.31.05.24</t>
  </si>
  <si>
    <t>Andre Wemni-Material preparacion baden Voto Elec.31.05.24 Presupuesto B2</t>
  </si>
  <si>
    <t>Recogida de Basura Mayo 2024</t>
  </si>
  <si>
    <t>Recogida basura Mayo 2024</t>
  </si>
  <si>
    <t>INAPA JUNIO 2024</t>
  </si>
  <si>
    <t>INAPA Junio 2024</t>
  </si>
  <si>
    <t>Luz y fuerza Mayo 2024</t>
  </si>
  <si>
    <t>Manuel Pierre-MDO obra 2 (voto elec.9.04.24)</t>
  </si>
  <si>
    <t>3er Trimestre 2024 (Julio– Septiembre) / Gastos común provisional</t>
  </si>
  <si>
    <t>3er Trimestre 2024 (Julio– Septiembre)  / Fondo de Reservas 2024</t>
  </si>
  <si>
    <t>3er Trimestre 2024 (Julio– Septiembre) / Fondo de Reservas 2024</t>
  </si>
  <si>
    <t>3er Trimestre</t>
  </si>
  <si>
    <t>Mano de obra de limpieza</t>
  </si>
  <si>
    <t>Adiel Tassaint- limpieza de caños puerta principal</t>
  </si>
  <si>
    <t>Recogida basura Junio 2024</t>
  </si>
  <si>
    <t>Recogida de Basura Junio 2024</t>
  </si>
  <si>
    <t>Cargo administrador  segundo recordatorio pago 45 dias despues venc. (cuota 09.04.2024)</t>
  </si>
  <si>
    <t>Cargo administrador segundo recordatorio pago 45 dias despues venc. (Cuota diff presupuesto gastos reales 12.01.24 - Orden6)</t>
  </si>
  <si>
    <t>Fecha limite de pago : 17.07.24</t>
  </si>
  <si>
    <t>Pago Eddy ajuste de presupuesto septico AGE 12.01.24</t>
  </si>
  <si>
    <t>Eddy-Pago sueldo trabajo area septicos AGE12.01.23</t>
  </si>
  <si>
    <t>Mano de obra Manuel Pierre/sueldo obra n2-voto elec 9-04-24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</si>
</sst>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General"/>
    <numFmt numFmtId="170" formatCode="[$-1C0A]0.00%"/>
    <numFmt numFmtId="171" formatCode="[$-1C0A]0%"/>
    <numFmt numFmtId="172" formatCode="[$-409]#,##0"/>
    <numFmt numFmtId="173" formatCode="#,##0.0000"/>
    <numFmt numFmtId="174" formatCode="#,##0.000"/>
    <numFmt numFmtId="175" formatCode="[$-409]#,##0.00;[Red]\-#,##0.00"/>
    <numFmt numFmtId="176" formatCode="[$-409]0.00"/>
    <numFmt numFmtId="177" formatCode="[$RD$-1C0A]\ #,##0.00;[Red]\-[$RD$-1C0A]\ #,##0.00"/>
    <numFmt numFmtId="178" formatCode="0.0000"/>
    <numFmt numFmtId="179" formatCode="#,##0.000000"/>
  </numFmts>
  <fonts count="47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3"/>
      <name val="Arial"/>
      <family val="2"/>
      <charset val="1"/>
    </font>
    <font>
      <b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i/>
      <sz val="11"/>
      <color rgb="FF800080"/>
      <name val="Arial"/>
      <family val="2"/>
      <charset val="1"/>
    </font>
    <font>
      <i/>
      <sz val="11"/>
      <color rgb="FF800080"/>
      <name val="Arial"/>
      <family val="2"/>
      <charset val="1"/>
    </font>
    <font>
      <b/>
      <sz val="12"/>
      <name val="Arial"/>
      <family val="2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i/>
      <sz val="10"/>
      <name val="Arial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i/>
      <sz val="12"/>
      <name val="Calibri"/>
      <family val="2"/>
      <charset val="1"/>
    </font>
    <font>
      <i/>
      <sz val="10"/>
      <name val="Calibri"/>
      <family val="2"/>
      <charset val="1"/>
    </font>
    <font>
      <b/>
      <i/>
      <sz val="10"/>
      <name val="Calibri"/>
      <family val="2"/>
      <charset val="1"/>
    </font>
    <font>
      <sz val="12"/>
      <name val="Arial"/>
      <family val="2"/>
      <charset val="1"/>
    </font>
    <font>
      <i/>
      <sz val="11"/>
      <name val="Arial"/>
      <family val="2"/>
      <charset val="1"/>
    </font>
    <font>
      <i/>
      <sz val="12"/>
      <name val="Arial"/>
      <family val="2"/>
      <charset val="1"/>
    </font>
    <font>
      <sz val="10.5"/>
      <name val="Arial"/>
      <family val="2"/>
      <charset val="1"/>
    </font>
    <font>
      <b/>
      <i/>
      <sz val="11"/>
      <name val="Arial"/>
      <family val="2"/>
      <charset val="1"/>
    </font>
    <font>
      <i/>
      <sz val="10.5"/>
      <name val="Arial"/>
      <family val="2"/>
      <charset val="1"/>
    </font>
    <font>
      <sz val="10"/>
      <color rgb="FF00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b/>
      <i/>
      <sz val="11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355269"/>
      <name val="Arial"/>
      <family val="2"/>
      <charset val="1"/>
    </font>
    <font>
      <b/>
      <i/>
      <sz val="10"/>
      <color rgb="FF355269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"/>
      <family val="2"/>
      <charset val="1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charset val="1"/>
    </font>
    <font>
      <i/>
      <sz val="10"/>
      <name val="Arial"/>
      <family val="2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i/>
      <sz val="10"/>
      <name val="Helvetica"/>
      <family val="2"/>
    </font>
    <font>
      <b/>
      <i/>
      <sz val="10"/>
      <color theme="1"/>
      <name val="Arial"/>
      <family val="2"/>
      <charset val="1"/>
    </font>
    <font>
      <i/>
      <sz val="11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DDDDD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CCCCCC"/>
        <bgColor rgb="FFDDDDDD"/>
      </patternFill>
    </fill>
    <fill>
      <patternFill patternType="solid">
        <fgColor rgb="FFDDDDDD"/>
        <bgColor rgb="FFDDE8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08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 applyAlignment="1">
      <alignment horizontal="left" indent="1"/>
    </xf>
    <xf numFmtId="0" fontId="0" fillId="0" borderId="0" xfId="0" applyFont="1" applyAlignment="1">
      <alignment horizontal="right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left" vertical="center" indent="1"/>
    </xf>
    <xf numFmtId="164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 indent="1"/>
    </xf>
    <xf numFmtId="164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vertical="center"/>
    </xf>
    <xf numFmtId="49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49" fontId="0" fillId="0" borderId="5" xfId="0" applyNumberFormat="1" applyFont="1" applyBorder="1"/>
    <xf numFmtId="164" fontId="0" fillId="0" borderId="6" xfId="0" applyNumberFormat="1" applyBorder="1" applyAlignment="1">
      <alignment horizontal="center"/>
    </xf>
    <xf numFmtId="166" fontId="0" fillId="0" borderId="6" xfId="0" applyNumberFormat="1" applyBorder="1"/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/>
    <xf numFmtId="167" fontId="0" fillId="0" borderId="5" xfId="0" applyNumberFormat="1" applyFont="1" applyBorder="1"/>
    <xf numFmtId="166" fontId="4" fillId="0" borderId="5" xfId="0" applyNumberFormat="1" applyFont="1" applyBorder="1"/>
    <xf numFmtId="164" fontId="0" fillId="0" borderId="7" xfId="0" applyNumberFormat="1" applyBorder="1" applyAlignment="1">
      <alignment horizontal="center"/>
    </xf>
    <xf numFmtId="166" fontId="0" fillId="0" borderId="8" xfId="0" applyNumberFormat="1" applyBorder="1"/>
    <xf numFmtId="167" fontId="0" fillId="0" borderId="5" xfId="0" applyNumberFormat="1" applyFont="1" applyBorder="1" applyAlignment="1">
      <alignment wrapText="1"/>
    </xf>
    <xf numFmtId="167" fontId="0" fillId="0" borderId="9" xfId="0" applyNumberFormat="1" applyFont="1" applyBorder="1"/>
    <xf numFmtId="164" fontId="0" fillId="0" borderId="9" xfId="0" applyNumberFormat="1" applyBorder="1" applyAlignment="1">
      <alignment horizontal="center"/>
    </xf>
    <xf numFmtId="166" fontId="0" fillId="0" borderId="9" xfId="0" applyNumberFormat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0" fillId="0" borderId="0" xfId="0" applyNumberFormat="1"/>
    <xf numFmtId="166" fontId="5" fillId="0" borderId="0" xfId="0" applyNumberFormat="1" applyFont="1"/>
    <xf numFmtId="49" fontId="5" fillId="2" borderId="0" xfId="0" applyNumberFormat="1" applyFont="1" applyFill="1" applyAlignment="1">
      <alignment horizontal="right"/>
    </xf>
    <xf numFmtId="164" fontId="0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166" fontId="5" fillId="2" borderId="0" xfId="0" applyNumberFormat="1" applyFont="1" applyFill="1"/>
    <xf numFmtId="49" fontId="5" fillId="3" borderId="0" xfId="0" applyNumberFormat="1" applyFont="1" applyFill="1" applyAlignment="1">
      <alignment horizontal="right"/>
    </xf>
    <xf numFmtId="164" fontId="0" fillId="3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center"/>
    </xf>
    <xf numFmtId="166" fontId="5" fillId="3" borderId="0" xfId="0" applyNumberFormat="1" applyFont="1" applyFill="1"/>
    <xf numFmtId="165" fontId="5" fillId="0" borderId="0" xfId="0" applyNumberFormat="1" applyFont="1"/>
    <xf numFmtId="49" fontId="5" fillId="0" borderId="10" xfId="0" applyNumberFormat="1" applyFont="1" applyBorder="1" applyAlignment="1">
      <alignment horizontal="right"/>
    </xf>
    <xf numFmtId="164" fontId="0" fillId="0" borderId="11" xfId="0" applyNumberFormat="1" applyBorder="1" applyAlignment="1">
      <alignment horizontal="center"/>
    </xf>
    <xf numFmtId="165" fontId="5" fillId="0" borderId="11" xfId="0" applyNumberFormat="1" applyFont="1" applyBorder="1"/>
    <xf numFmtId="165" fontId="5" fillId="0" borderId="12" xfId="0" applyNumberFormat="1" applyFont="1" applyBorder="1"/>
    <xf numFmtId="49" fontId="5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5" fontId="5" fillId="0" borderId="0" xfId="0" applyNumberFormat="1" applyFont="1" applyBorder="1"/>
    <xf numFmtId="49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/>
    <xf numFmtId="0" fontId="7" fillId="0" borderId="0" xfId="0" applyFont="1"/>
    <xf numFmtId="49" fontId="5" fillId="0" borderId="15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center"/>
    </xf>
    <xf numFmtId="165" fontId="5" fillId="0" borderId="16" xfId="0" applyNumberFormat="1" applyFont="1" applyBorder="1"/>
    <xf numFmtId="165" fontId="6" fillId="0" borderId="17" xfId="0" applyNumberFormat="1" applyFont="1" applyBorder="1"/>
    <xf numFmtId="164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/>
    <xf numFmtId="49" fontId="11" fillId="4" borderId="0" xfId="0" applyNumberFormat="1" applyFont="1" applyFill="1"/>
    <xf numFmtId="164" fontId="0" fillId="4" borderId="0" xfId="0" applyNumberFormat="1" applyFill="1" applyAlignment="1">
      <alignment horizontal="center"/>
    </xf>
    <xf numFmtId="49" fontId="5" fillId="4" borderId="0" xfId="0" applyNumberFormat="1" applyFont="1" applyFill="1" applyBorder="1" applyAlignment="1">
      <alignment horizontal="right"/>
    </xf>
    <xf numFmtId="165" fontId="5" fillId="4" borderId="0" xfId="0" applyNumberFormat="1" applyFont="1" applyFill="1" applyBorder="1" applyAlignment="1">
      <alignment horizontal="center"/>
    </xf>
    <xf numFmtId="168" fontId="5" fillId="4" borderId="0" xfId="0" applyNumberFormat="1" applyFont="1" applyFill="1"/>
    <xf numFmtId="0" fontId="12" fillId="0" borderId="0" xfId="0" applyFont="1"/>
    <xf numFmtId="49" fontId="11" fillId="0" borderId="0" xfId="0" applyNumberFormat="1" applyFont="1"/>
    <xf numFmtId="49" fontId="13" fillId="4" borderId="0" xfId="0" applyNumberFormat="1" applyFont="1" applyFill="1"/>
    <xf numFmtId="164" fontId="13" fillId="4" borderId="0" xfId="0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5" fontId="13" fillId="0" borderId="0" xfId="0" applyNumberFormat="1" applyFont="1"/>
    <xf numFmtId="49" fontId="13" fillId="0" borderId="0" xfId="0" applyNumberFormat="1" applyFont="1"/>
    <xf numFmtId="167" fontId="13" fillId="4" borderId="0" xfId="0" applyNumberFormat="1" applyFont="1" applyFill="1" applyBorder="1"/>
    <xf numFmtId="164" fontId="13" fillId="4" borderId="0" xfId="0" applyNumberFormat="1" applyFont="1" applyFill="1" applyBorder="1" applyAlignment="1">
      <alignment horizontal="center"/>
    </xf>
    <xf numFmtId="167" fontId="13" fillId="0" borderId="0" xfId="0" applyNumberFormat="1" applyFont="1" applyBorder="1"/>
    <xf numFmtId="164" fontId="13" fillId="0" borderId="0" xfId="0" applyNumberFormat="1" applyFont="1" applyBorder="1" applyAlignment="1">
      <alignment horizontal="center"/>
    </xf>
    <xf numFmtId="165" fontId="13" fillId="0" borderId="0" xfId="0" applyNumberFormat="1" applyFont="1" applyBorder="1"/>
    <xf numFmtId="164" fontId="0" fillId="0" borderId="0" xfId="0" applyNumberFormat="1" applyFont="1" applyAlignment="1">
      <alignment horizontal="center"/>
    </xf>
    <xf numFmtId="49" fontId="0" fillId="4" borderId="0" xfId="0" applyNumberFormat="1" applyFill="1"/>
    <xf numFmtId="165" fontId="3" fillId="4" borderId="0" xfId="0" applyNumberFormat="1" applyFont="1" applyFill="1" applyAlignment="1">
      <alignment horizontal="right"/>
    </xf>
    <xf numFmtId="168" fontId="6" fillId="4" borderId="0" xfId="0" applyNumberFormat="1" applyFont="1" applyFill="1"/>
    <xf numFmtId="168" fontId="5" fillId="0" borderId="0" xfId="0" applyNumberFormat="1" applyFont="1"/>
    <xf numFmtId="165" fontId="0" fillId="0" borderId="0" xfId="0" applyNumberFormat="1" applyFont="1"/>
    <xf numFmtId="0" fontId="0" fillId="0" borderId="0" xfId="0" applyFont="1"/>
    <xf numFmtId="49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/>
    <xf numFmtId="0" fontId="16" fillId="0" borderId="0" xfId="0" applyFont="1"/>
    <xf numFmtId="49" fontId="16" fillId="0" borderId="0" xfId="0" applyNumberFormat="1" applyFont="1"/>
    <xf numFmtId="0" fontId="17" fillId="0" borderId="0" xfId="0" applyFont="1"/>
    <xf numFmtId="165" fontId="16" fillId="0" borderId="0" xfId="0" applyNumberFormat="1" applyFont="1" applyAlignment="1">
      <alignment horizontal="right"/>
    </xf>
    <xf numFmtId="165" fontId="15" fillId="0" borderId="0" xfId="0" applyNumberFormat="1" applyFont="1"/>
    <xf numFmtId="49" fontId="2" fillId="6" borderId="1" xfId="0" applyNumberFormat="1" applyFont="1" applyFill="1" applyBorder="1" applyAlignment="1">
      <alignment horizontal="left" vertical="center" indent="1"/>
    </xf>
    <xf numFmtId="164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vertical="center"/>
    </xf>
    <xf numFmtId="164" fontId="0" fillId="0" borderId="4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165" fontId="0" fillId="0" borderId="6" xfId="0" applyNumberFormat="1" applyBorder="1"/>
    <xf numFmtId="165" fontId="0" fillId="0" borderId="5" xfId="0" applyNumberFormat="1" applyBorder="1"/>
    <xf numFmtId="167" fontId="0" fillId="0" borderId="4" xfId="0" applyNumberFormat="1" applyFont="1" applyBorder="1"/>
    <xf numFmtId="165" fontId="3" fillId="0" borderId="4" xfId="0" applyNumberFormat="1" applyFont="1" applyBorder="1"/>
    <xf numFmtId="167" fontId="0" fillId="0" borderId="0" xfId="0" applyNumberFormat="1"/>
    <xf numFmtId="49" fontId="0" fillId="0" borderId="6" xfId="0" applyNumberFormat="1" applyFont="1" applyBorder="1"/>
    <xf numFmtId="167" fontId="0" fillId="0" borderId="7" xfId="0" applyNumberFormat="1" applyFont="1" applyBorder="1"/>
    <xf numFmtId="165" fontId="0" fillId="0" borderId="8" xfId="0" applyNumberFormat="1" applyBorder="1"/>
    <xf numFmtId="49" fontId="0" fillId="0" borderId="18" xfId="0" applyNumberFormat="1" applyFont="1" applyBorder="1"/>
    <xf numFmtId="165" fontId="0" fillId="0" borderId="19" xfId="0" applyNumberFormat="1" applyBorder="1"/>
    <xf numFmtId="164" fontId="0" fillId="0" borderId="4" xfId="0" applyNumberFormat="1" applyBorder="1" applyAlignment="1">
      <alignment horizontal="center"/>
    </xf>
    <xf numFmtId="167" fontId="0" fillId="0" borderId="6" xfId="0" applyNumberFormat="1" applyFont="1" applyBorder="1"/>
    <xf numFmtId="164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/>
    <xf numFmtId="164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wrapText="1"/>
    </xf>
    <xf numFmtId="167" fontId="0" fillId="0" borderId="0" xfId="0" applyNumberFormat="1" applyFont="1" applyBorder="1"/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0" fontId="18" fillId="0" borderId="6" xfId="0" applyFont="1" applyBorder="1" applyAlignment="1">
      <alignment vertical="center"/>
    </xf>
    <xf numFmtId="164" fontId="18" fillId="0" borderId="6" xfId="0" applyNumberFormat="1" applyFont="1" applyBorder="1" applyAlignment="1">
      <alignment horizontal="center"/>
    </xf>
    <xf numFmtId="165" fontId="18" fillId="0" borderId="19" xfId="0" applyNumberFormat="1" applyFont="1" applyBorder="1"/>
    <xf numFmtId="167" fontId="18" fillId="0" borderId="4" xfId="0" applyNumberFormat="1" applyFont="1" applyBorder="1"/>
    <xf numFmtId="164" fontId="18" fillId="0" borderId="4" xfId="0" applyNumberFormat="1" applyFont="1" applyBorder="1" applyAlignment="1">
      <alignment horizontal="center"/>
    </xf>
    <xf numFmtId="165" fontId="19" fillId="0" borderId="4" xfId="0" applyNumberFormat="1" applyFont="1" applyBorder="1"/>
    <xf numFmtId="165" fontId="0" fillId="0" borderId="0" xfId="0" applyNumberFormat="1" applyBorder="1"/>
    <xf numFmtId="49" fontId="5" fillId="0" borderId="0" xfId="0" applyNumberFormat="1" applyFont="1"/>
    <xf numFmtId="165" fontId="6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49" fontId="2" fillId="6" borderId="20" xfId="0" applyNumberFormat="1" applyFont="1" applyFill="1" applyBorder="1" applyAlignment="1">
      <alignment horizontal="left" vertical="center" indent="1"/>
    </xf>
    <xf numFmtId="165" fontId="0" fillId="6" borderId="21" xfId="0" applyNumberFormat="1" applyFill="1" applyBorder="1" applyAlignment="1">
      <alignment vertical="center"/>
    </xf>
    <xf numFmtId="165" fontId="0" fillId="6" borderId="22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9" fontId="3" fillId="0" borderId="20" xfId="0" applyNumberFormat="1" applyFont="1" applyBorder="1"/>
    <xf numFmtId="167" fontId="3" fillId="0" borderId="21" xfId="0" applyNumberFormat="1" applyFont="1" applyBorder="1" applyAlignment="1">
      <alignment horizontal="center" vertical="center"/>
    </xf>
    <xf numFmtId="167" fontId="3" fillId="0" borderId="22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/>
    <xf numFmtId="165" fontId="0" fillId="0" borderId="23" xfId="0" applyNumberFormat="1" applyBorder="1" applyAlignment="1"/>
    <xf numFmtId="165" fontId="0" fillId="0" borderId="19" xfId="0" applyNumberFormat="1" applyBorder="1" applyAlignment="1"/>
    <xf numFmtId="165" fontId="0" fillId="0" borderId="8" xfId="0" applyNumberFormat="1" applyBorder="1" applyAlignment="1"/>
    <xf numFmtId="167" fontId="6" fillId="0" borderId="7" xfId="0" applyNumberFormat="1" applyFont="1" applyBorder="1" applyAlignment="1"/>
    <xf numFmtId="165" fontId="3" fillId="0" borderId="0" xfId="0" applyNumberFormat="1" applyFont="1" applyBorder="1" applyAlignment="1"/>
    <xf numFmtId="165" fontId="3" fillId="0" borderId="8" xfId="0" applyNumberFormat="1" applyFont="1" applyBorder="1" applyAlignment="1">
      <alignment horizontal="right"/>
    </xf>
    <xf numFmtId="165" fontId="6" fillId="0" borderId="8" xfId="0" applyNumberFormat="1" applyFont="1" applyBorder="1" applyAlignment="1"/>
    <xf numFmtId="167" fontId="14" fillId="0" borderId="7" xfId="0" applyNumberFormat="1" applyFont="1" applyBorder="1" applyAlignment="1"/>
    <xf numFmtId="165" fontId="0" fillId="0" borderId="0" xfId="0" applyNumberFormat="1" applyBorder="1" applyAlignment="1"/>
    <xf numFmtId="165" fontId="0" fillId="0" borderId="8" xfId="0" applyNumberFormat="1" applyBorder="1" applyAlignment="1">
      <alignment horizontal="right"/>
    </xf>
    <xf numFmtId="167" fontId="0" fillId="0" borderId="7" xfId="0" applyNumberFormat="1" applyFont="1" applyBorder="1" applyAlignment="1"/>
    <xf numFmtId="165" fontId="3" fillId="0" borderId="8" xfId="0" applyNumberFormat="1" applyFont="1" applyBorder="1" applyAlignment="1"/>
    <xf numFmtId="167" fontId="0" fillId="0" borderId="24" xfId="0" applyNumberFormat="1" applyFont="1" applyBorder="1" applyAlignment="1"/>
    <xf numFmtId="165" fontId="0" fillId="0" borderId="25" xfId="0" applyNumberFormat="1" applyBorder="1" applyAlignment="1"/>
    <xf numFmtId="165" fontId="0" fillId="0" borderId="26" xfId="0" applyNumberFormat="1" applyBorder="1" applyAlignment="1"/>
    <xf numFmtId="167" fontId="5" fillId="6" borderId="20" xfId="0" applyNumberFormat="1" applyFont="1" applyFill="1" applyBorder="1" applyAlignment="1">
      <alignment horizontal="center"/>
    </xf>
    <xf numFmtId="165" fontId="21" fillId="6" borderId="21" xfId="0" applyNumberFormat="1" applyFont="1" applyFill="1" applyBorder="1"/>
    <xf numFmtId="165" fontId="5" fillId="6" borderId="22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3" fillId="0" borderId="0" xfId="0" applyNumberFormat="1" applyFont="1" applyBorder="1" applyAlignment="1">
      <alignment horizontal="left"/>
    </xf>
    <xf numFmtId="165" fontId="21" fillId="0" borderId="0" xfId="0" applyNumberFormat="1" applyFont="1" applyBorder="1"/>
    <xf numFmtId="167" fontId="3" fillId="0" borderId="0" xfId="0" applyNumberFormat="1" applyFont="1"/>
    <xf numFmtId="167" fontId="11" fillId="0" borderId="0" xfId="0" applyNumberFormat="1" applyFont="1"/>
    <xf numFmtId="49" fontId="22" fillId="5" borderId="20" xfId="0" applyNumberFormat="1" applyFont="1" applyFill="1" applyBorder="1" applyAlignment="1">
      <alignment horizontal="left" vertical="center"/>
    </xf>
    <xf numFmtId="165" fontId="0" fillId="5" borderId="21" xfId="0" applyNumberFormat="1" applyFont="1" applyFill="1" applyBorder="1"/>
    <xf numFmtId="165" fontId="23" fillId="5" borderId="21" xfId="0" applyNumberFormat="1" applyFont="1" applyFill="1" applyBorder="1" applyAlignment="1">
      <alignment horizontal="right"/>
    </xf>
    <xf numFmtId="165" fontId="20" fillId="5" borderId="22" xfId="0" applyNumberFormat="1" applyFont="1" applyFill="1" applyBorder="1"/>
    <xf numFmtId="0" fontId="0" fillId="0" borderId="18" xfId="0" applyFont="1" applyBorder="1"/>
    <xf numFmtId="4" fontId="0" fillId="0" borderId="23" xfId="0" applyNumberFormat="1" applyFont="1" applyBorder="1" applyAlignment="1">
      <alignment horizontal="center"/>
    </xf>
    <xf numFmtId="4" fontId="0" fillId="0" borderId="23" xfId="0" applyNumberFormat="1" applyFont="1" applyBorder="1"/>
    <xf numFmtId="4" fontId="12" fillId="0" borderId="23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19" xfId="0" applyBorder="1"/>
    <xf numFmtId="10" fontId="0" fillId="0" borderId="0" xfId="0" applyNumberForma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8" xfId="0" applyNumberForma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70" fontId="5" fillId="0" borderId="5" xfId="0" applyNumberFormat="1" applyFont="1" applyBorder="1"/>
    <xf numFmtId="165" fontId="5" fillId="0" borderId="5" xfId="0" applyNumberFormat="1" applyFont="1" applyBorder="1"/>
    <xf numFmtId="0" fontId="0" fillId="0" borderId="24" xfId="0" applyBorder="1"/>
    <xf numFmtId="4" fontId="0" fillId="0" borderId="25" xfId="0" applyNumberFormat="1" applyBorder="1"/>
    <xf numFmtId="4" fontId="14" fillId="6" borderId="25" xfId="0" applyNumberFormat="1" applyFont="1" applyFill="1" applyBorder="1"/>
    <xf numFmtId="4" fontId="0" fillId="6" borderId="26" xfId="0" applyNumberFormat="1" applyFill="1" applyBorder="1"/>
    <xf numFmtId="49" fontId="5" fillId="6" borderId="20" xfId="0" applyNumberFormat="1" applyFont="1" applyFill="1" applyBorder="1" applyAlignment="1">
      <alignment horizontal="center"/>
    </xf>
    <xf numFmtId="165" fontId="5" fillId="6" borderId="22" xfId="0" applyNumberFormat="1" applyFont="1" applyFill="1" applyBorder="1"/>
    <xf numFmtId="171" fontId="21" fillId="6" borderId="4" xfId="0" applyNumberFormat="1" applyFont="1" applyFill="1" applyBorder="1"/>
    <xf numFmtId="165" fontId="24" fillId="6" borderId="4" xfId="0" applyNumberFormat="1" applyFont="1" applyFill="1" applyBorder="1"/>
    <xf numFmtId="49" fontId="5" fillId="0" borderId="0" xfId="0" applyNumberFormat="1" applyFont="1" applyBorder="1" applyAlignment="1">
      <alignment horizontal="center"/>
    </xf>
    <xf numFmtId="171" fontId="21" fillId="0" borderId="0" xfId="0" applyNumberFormat="1" applyFont="1" applyBorder="1"/>
    <xf numFmtId="0" fontId="3" fillId="0" borderId="0" xfId="0" applyFont="1" applyAlignment="1">
      <alignment horizontal="right" vertical="top"/>
    </xf>
    <xf numFmtId="167" fontId="0" fillId="0" borderId="6" xfId="0" applyNumberFormat="1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72" fontId="0" fillId="0" borderId="6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72" fontId="0" fillId="0" borderId="5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 wrapText="1"/>
    </xf>
    <xf numFmtId="165" fontId="0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7" fontId="0" fillId="0" borderId="9" xfId="0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72" fontId="0" fillId="0" borderId="9" xfId="0" applyNumberFormat="1" applyBorder="1" applyAlignment="1">
      <alignment horizontal="center" vertical="center"/>
    </xf>
    <xf numFmtId="167" fontId="24" fillId="6" borderId="4" xfId="0" applyNumberFormat="1" applyFont="1" applyFill="1" applyBorder="1" applyAlignment="1">
      <alignment horizontal="center"/>
    </xf>
    <xf numFmtId="165" fontId="11" fillId="6" borderId="4" xfId="0" applyNumberFormat="1" applyFont="1" applyFill="1" applyBorder="1"/>
    <xf numFmtId="165" fontId="21" fillId="6" borderId="4" xfId="0" applyNumberFormat="1" applyFont="1" applyFill="1" applyBorder="1"/>
    <xf numFmtId="165" fontId="0" fillId="0" borderId="8" xfId="0" applyNumberFormat="1" applyBorder="1" applyAlignment="1">
      <alignment vertical="center"/>
    </xf>
    <xf numFmtId="172" fontId="0" fillId="0" borderId="8" xfId="0" applyNumberFormat="1" applyBorder="1" applyAlignment="1">
      <alignment horizontal="center" vertical="center"/>
    </xf>
    <xf numFmtId="167" fontId="25" fillId="0" borderId="0" xfId="0" applyNumberFormat="1" applyFont="1" applyBorder="1" applyAlignment="1">
      <alignment horizontal="left" vertical="top"/>
    </xf>
    <xf numFmtId="165" fontId="25" fillId="0" borderId="0" xfId="0" applyNumberFormat="1" applyFont="1" applyBorder="1" applyAlignment="1">
      <alignment vertical="top"/>
    </xf>
    <xf numFmtId="167" fontId="25" fillId="0" borderId="0" xfId="0" applyNumberFormat="1" applyFont="1" applyAlignment="1">
      <alignment vertical="top"/>
    </xf>
    <xf numFmtId="165" fontId="23" fillId="0" borderId="0" xfId="0" applyNumberFormat="1" applyFont="1" applyAlignment="1">
      <alignment vertical="top"/>
    </xf>
    <xf numFmtId="0" fontId="3" fillId="0" borderId="0" xfId="0" applyFont="1"/>
    <xf numFmtId="49" fontId="22" fillId="6" borderId="20" xfId="0" applyNumberFormat="1" applyFont="1" applyFill="1" applyBorder="1" applyAlignment="1">
      <alignment horizontal="left" vertical="center"/>
    </xf>
    <xf numFmtId="165" fontId="0" fillId="6" borderId="21" xfId="0" applyNumberFormat="1" applyFont="1" applyFill="1" applyBorder="1"/>
    <xf numFmtId="165" fontId="23" fillId="6" borderId="21" xfId="0" applyNumberFormat="1" applyFont="1" applyFill="1" applyBorder="1" applyAlignment="1">
      <alignment horizontal="right" vertical="center"/>
    </xf>
    <xf numFmtId="165" fontId="10" fillId="6" borderId="22" xfId="0" applyNumberFormat="1" applyFont="1" applyFill="1" applyBorder="1"/>
    <xf numFmtId="4" fontId="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4" fontId="5" fillId="0" borderId="6" xfId="0" applyNumberFormat="1" applyFont="1" applyBorder="1"/>
    <xf numFmtId="4" fontId="5" fillId="0" borderId="5" xfId="0" applyNumberFormat="1" applyFont="1" applyBorder="1"/>
    <xf numFmtId="4" fontId="5" fillId="0" borderId="9" xfId="0" applyNumberFormat="1" applyFont="1" applyBorder="1"/>
    <xf numFmtId="4" fontId="14" fillId="6" borderId="0" xfId="0" applyNumberFormat="1" applyFont="1" applyFill="1"/>
    <xf numFmtId="173" fontId="14" fillId="6" borderId="0" xfId="0" applyNumberFormat="1" applyFont="1" applyFill="1"/>
    <xf numFmtId="0" fontId="3" fillId="7" borderId="20" xfId="0" applyFont="1" applyFill="1" applyBorder="1" applyAlignment="1">
      <alignment horizontal="right"/>
    </xf>
    <xf numFmtId="0" fontId="3" fillId="7" borderId="21" xfId="0" applyFont="1" applyFill="1" applyBorder="1" applyAlignment="1">
      <alignment horizontal="right"/>
    </xf>
    <xf numFmtId="165" fontId="0" fillId="7" borderId="21" xfId="0" applyNumberFormat="1" applyFont="1" applyFill="1" applyBorder="1" applyAlignment="1">
      <alignment horizontal="center" vertical="center"/>
    </xf>
    <xf numFmtId="0" fontId="0" fillId="7" borderId="22" xfId="0" applyFill="1" applyBorder="1"/>
    <xf numFmtId="0" fontId="0" fillId="0" borderId="6" xfId="0" applyFont="1" applyBorder="1" applyAlignment="1">
      <alignment horizontal="right"/>
    </xf>
    <xf numFmtId="0" fontId="0" fillId="0" borderId="6" xfId="0" applyFont="1" applyBorder="1" applyAlignment="1">
      <alignment horizontal="center"/>
    </xf>
    <xf numFmtId="165" fontId="0" fillId="0" borderId="5" xfId="0" applyNumberFormat="1" applyFont="1" applyBorder="1" applyAlignment="1">
      <alignment horizontal="right"/>
    </xf>
    <xf numFmtId="165" fontId="0" fillId="0" borderId="5" xfId="0" applyNumberFormat="1" applyFont="1" applyBorder="1" applyAlignment="1"/>
    <xf numFmtId="165" fontId="0" fillId="0" borderId="5" xfId="0" applyNumberFormat="1" applyFont="1" applyBorder="1" applyAlignment="1">
      <alignment vertical="center"/>
    </xf>
    <xf numFmtId="165" fontId="0" fillId="0" borderId="9" xfId="0" applyNumberFormat="1" applyFont="1" applyBorder="1" applyAlignment="1">
      <alignment horizontal="right"/>
    </xf>
    <xf numFmtId="165" fontId="0" fillId="0" borderId="9" xfId="0" applyNumberFormat="1" applyFont="1" applyBorder="1" applyAlignment="1"/>
    <xf numFmtId="165" fontId="0" fillId="0" borderId="9" xfId="0" applyNumberFormat="1" applyFont="1" applyBorder="1" applyAlignment="1">
      <alignment vertical="center"/>
    </xf>
    <xf numFmtId="165" fontId="3" fillId="0" borderId="4" xfId="0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4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7" fontId="0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75" fontId="0" fillId="0" borderId="4" xfId="0" applyNumberFormat="1" applyBorder="1" applyAlignment="1">
      <alignment vertical="center"/>
    </xf>
    <xf numFmtId="167" fontId="13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vertical="center"/>
    </xf>
    <xf numFmtId="165" fontId="0" fillId="0" borderId="4" xfId="0" applyNumberFormat="1" applyFont="1" applyBorder="1" applyAlignment="1">
      <alignment vertical="center"/>
    </xf>
    <xf numFmtId="167" fontId="0" fillId="0" borderId="4" xfId="0" applyNumberFormat="1" applyFont="1" applyBorder="1" applyAlignment="1">
      <alignment vertical="center" wrapText="1"/>
    </xf>
    <xf numFmtId="164" fontId="0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67" fontId="0" fillId="0" borderId="20" xfId="0" applyNumberFormat="1" applyBorder="1" applyAlignment="1">
      <alignment horizontal="center" vertical="center"/>
    </xf>
    <xf numFmtId="164" fontId="14" fillId="0" borderId="22" xfId="0" applyNumberFormat="1" applyFont="1" applyBorder="1" applyAlignment="1">
      <alignment horizontal="right" vertical="center"/>
    </xf>
    <xf numFmtId="175" fontId="3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right"/>
    </xf>
    <xf numFmtId="164" fontId="0" fillId="0" borderId="23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26" fillId="0" borderId="7" xfId="0" applyFont="1" applyBorder="1"/>
    <xf numFmtId="164" fontId="0" fillId="0" borderId="8" xfId="0" applyNumberFormat="1" applyBorder="1" applyAlignment="1">
      <alignment horizontal="center"/>
    </xf>
    <xf numFmtId="0" fontId="26" fillId="0" borderId="24" xfId="0" applyFont="1" applyBorder="1"/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7" fontId="27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5" fontId="24" fillId="0" borderId="4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167" fontId="0" fillId="0" borderId="20" xfId="0" applyNumberFormat="1" applyBorder="1" applyAlignment="1">
      <alignment horizontal="center"/>
    </xf>
    <xf numFmtId="164" fontId="14" fillId="0" borderId="22" xfId="0" applyNumberFormat="1" applyFont="1" applyBorder="1" applyAlignment="1">
      <alignment horizontal="right"/>
    </xf>
    <xf numFmtId="165" fontId="14" fillId="0" borderId="4" xfId="0" applyNumberFormat="1" applyFont="1" applyBorder="1"/>
    <xf numFmtId="175" fontId="11" fillId="0" borderId="4" xfId="0" applyNumberFormat="1" applyFont="1" applyBorder="1"/>
    <xf numFmtId="175" fontId="11" fillId="0" borderId="4" xfId="0" applyNumberFormat="1" applyFont="1" applyBorder="1" applyAlignment="1">
      <alignment vertical="center"/>
    </xf>
    <xf numFmtId="165" fontId="0" fillId="0" borderId="4" xfId="0" applyNumberFormat="1" applyBorder="1"/>
    <xf numFmtId="175" fontId="0" fillId="0" borderId="4" xfId="0" applyNumberFormat="1" applyBorder="1"/>
    <xf numFmtId="167" fontId="0" fillId="0" borderId="4" xfId="0" applyNumberFormat="1" applyFont="1" applyBorder="1" applyAlignment="1">
      <alignment wrapText="1"/>
    </xf>
    <xf numFmtId="164" fontId="0" fillId="0" borderId="4" xfId="0" applyNumberFormat="1" applyFont="1" applyBorder="1" applyAlignment="1">
      <alignment horizontal="center" wrapText="1"/>
    </xf>
    <xf numFmtId="165" fontId="0" fillId="0" borderId="4" xfId="0" applyNumberFormat="1" applyFont="1" applyBorder="1"/>
    <xf numFmtId="0" fontId="25" fillId="0" borderId="0" xfId="0" applyFont="1" applyAlignment="1">
      <alignment vertical="center"/>
    </xf>
    <xf numFmtId="165" fontId="28" fillId="0" borderId="4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0" fontId="0" fillId="0" borderId="0" xfId="0" applyFont="1" applyAlignment="1">
      <alignment horizontal="center"/>
    </xf>
    <xf numFmtId="4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165" fontId="0" fillId="0" borderId="0" xfId="0" applyNumberFormat="1" applyFont="1" applyBorder="1" applyAlignment="1">
      <alignment horizontal="center"/>
    </xf>
    <xf numFmtId="4" fontId="0" fillId="0" borderId="0" xfId="0" applyNumberFormat="1" applyBorder="1"/>
    <xf numFmtId="173" fontId="3" fillId="0" borderId="0" xfId="0" applyNumberFormat="1" applyFont="1"/>
    <xf numFmtId="3" fontId="30" fillId="0" borderId="0" xfId="0" applyNumberFormat="1" applyFont="1"/>
    <xf numFmtId="0" fontId="14" fillId="0" borderId="0" xfId="0" applyFont="1"/>
    <xf numFmtId="165" fontId="14" fillId="0" borderId="0" xfId="0" applyNumberFormat="1" applyFont="1" applyBorder="1" applyAlignment="1">
      <alignment horizontal="center"/>
    </xf>
    <xf numFmtId="0" fontId="0" fillId="0" borderId="0" xfId="0" applyBorder="1"/>
    <xf numFmtId="165" fontId="21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4" fontId="3" fillId="0" borderId="0" xfId="0" applyNumberFormat="1" applyFont="1"/>
    <xf numFmtId="10" fontId="3" fillId="0" borderId="0" xfId="0" applyNumberFormat="1" applyFont="1"/>
    <xf numFmtId="173" fontId="11" fillId="6" borderId="0" xfId="0" applyNumberFormat="1" applyFont="1" applyFill="1"/>
    <xf numFmtId="3" fontId="31" fillId="6" borderId="0" xfId="0" applyNumberFormat="1" applyFont="1" applyFill="1"/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74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4" fontId="0" fillId="7" borderId="0" xfId="0" applyNumberFormat="1" applyFill="1"/>
    <xf numFmtId="174" fontId="0" fillId="7" borderId="0" xfId="0" applyNumberFormat="1" applyFill="1"/>
    <xf numFmtId="178" fontId="3" fillId="7" borderId="0" xfId="0" applyNumberFormat="1" applyFont="1" applyFill="1"/>
    <xf numFmtId="4" fontId="32" fillId="0" borderId="0" xfId="0" applyNumberFormat="1" applyFont="1"/>
    <xf numFmtId="179" fontId="0" fillId="0" borderId="0" xfId="0" applyNumberFormat="1"/>
    <xf numFmtId="178" fontId="0" fillId="0" borderId="0" xfId="0" applyNumberFormat="1"/>
    <xf numFmtId="167" fontId="13" fillId="8" borderId="4" xfId="0" applyNumberFormat="1" applyFont="1" applyFill="1" applyBorder="1" applyAlignment="1">
      <alignment vertical="center" wrapText="1"/>
    </xf>
    <xf numFmtId="164" fontId="14" fillId="8" borderId="4" xfId="0" applyNumberFormat="1" applyFont="1" applyFill="1" applyBorder="1" applyAlignment="1">
      <alignment horizontal="center" vertical="center"/>
    </xf>
    <xf numFmtId="165" fontId="14" fillId="8" borderId="4" xfId="0" applyNumberFormat="1" applyFont="1" applyFill="1" applyBorder="1" applyAlignment="1">
      <alignment vertical="center"/>
    </xf>
    <xf numFmtId="165" fontId="0" fillId="8" borderId="4" xfId="0" applyNumberFormat="1" applyFont="1" applyFill="1" applyBorder="1" applyAlignment="1">
      <alignment vertical="center"/>
    </xf>
    <xf numFmtId="175" fontId="0" fillId="8" borderId="4" xfId="0" applyNumberFormat="1" applyFill="1" applyBorder="1" applyAlignment="1">
      <alignment vertical="center"/>
    </xf>
    <xf numFmtId="167" fontId="0" fillId="8" borderId="4" xfId="0" applyNumberFormat="1" applyFont="1" applyFill="1" applyBorder="1" applyAlignment="1">
      <alignment vertical="center"/>
    </xf>
    <xf numFmtId="164" fontId="0" fillId="8" borderId="4" xfId="0" applyNumberFormat="1" applyFill="1" applyBorder="1" applyAlignment="1">
      <alignment horizontal="center" vertical="center"/>
    </xf>
    <xf numFmtId="165" fontId="0" fillId="8" borderId="4" xfId="0" applyNumberFormat="1" applyFill="1" applyBorder="1" applyAlignment="1">
      <alignment vertical="center"/>
    </xf>
    <xf numFmtId="165" fontId="0" fillId="8" borderId="4" xfId="0" applyNumberFormat="1" applyFill="1" applyBorder="1"/>
    <xf numFmtId="175" fontId="0" fillId="8" borderId="4" xfId="0" applyNumberFormat="1" applyFill="1" applyBorder="1"/>
    <xf numFmtId="0" fontId="0" fillId="0" borderId="0" xfId="0" applyBorder="1" applyAlignment="1">
      <alignment horizontal="center" vertical="center"/>
    </xf>
    <xf numFmtId="165" fontId="35" fillId="0" borderId="8" xfId="0" applyNumberFormat="1" applyFont="1" applyBorder="1" applyAlignment="1"/>
    <xf numFmtId="49" fontId="34" fillId="0" borderId="20" xfId="0" applyNumberFormat="1" applyFont="1" applyBorder="1"/>
    <xf numFmtId="0" fontId="0" fillId="0" borderId="0" xfId="0" applyNumberFormat="1"/>
    <xf numFmtId="165" fontId="34" fillId="0" borderId="0" xfId="0" applyNumberFormat="1" applyFont="1"/>
    <xf numFmtId="165" fontId="36" fillId="0" borderId="0" xfId="0" applyNumberFormat="1" applyFont="1"/>
    <xf numFmtId="2" fontId="5" fillId="0" borderId="5" xfId="0" applyNumberFormat="1" applyFont="1" applyBorder="1"/>
    <xf numFmtId="2" fontId="5" fillId="0" borderId="6" xfId="1" applyNumberFormat="1" applyFont="1" applyBorder="1"/>
    <xf numFmtId="165" fontId="34" fillId="0" borderId="4" xfId="0" applyNumberFormat="1" applyFont="1" applyBorder="1" applyAlignment="1">
      <alignment vertical="center"/>
    </xf>
    <xf numFmtId="164" fontId="37" fillId="0" borderId="4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4" fontId="38" fillId="0" borderId="4" xfId="0" applyNumberFormat="1" applyFont="1" applyBorder="1" applyAlignment="1">
      <alignment horizontal="center" vertical="center"/>
    </xf>
    <xf numFmtId="165" fontId="38" fillId="0" borderId="4" xfId="0" applyNumberFormat="1" applyFont="1" applyBorder="1" applyAlignment="1">
      <alignment vertical="center"/>
    </xf>
    <xf numFmtId="164" fontId="0" fillId="0" borderId="22" xfId="0" applyNumberFormat="1" applyFont="1" applyBorder="1" applyAlignment="1">
      <alignment horizontal="center" vertical="center"/>
    </xf>
    <xf numFmtId="167" fontId="39" fillId="0" borderId="18" xfId="0" applyNumberFormat="1" applyFont="1" applyBorder="1" applyAlignment="1"/>
    <xf numFmtId="167" fontId="40" fillId="0" borderId="7" xfId="0" applyNumberFormat="1" applyFont="1" applyBorder="1" applyAlignment="1"/>
    <xf numFmtId="167" fontId="41" fillId="0" borderId="7" xfId="0" applyNumberFormat="1" applyFont="1" applyBorder="1" applyAlignment="1"/>
    <xf numFmtId="165" fontId="36" fillId="0" borderId="0" xfId="0" applyNumberFormat="1" applyFont="1" applyBorder="1" applyAlignment="1"/>
    <xf numFmtId="165" fontId="36" fillId="0" borderId="8" xfId="0" applyNumberFormat="1" applyFont="1" applyBorder="1" applyAlignment="1">
      <alignment horizontal="right"/>
    </xf>
    <xf numFmtId="43" fontId="34" fillId="0" borderId="0" xfId="2" applyFont="1"/>
    <xf numFmtId="164" fontId="38" fillId="0" borderId="22" xfId="0" applyNumberFormat="1" applyFont="1" applyBorder="1" applyAlignment="1">
      <alignment horizontal="center" vertical="center"/>
    </xf>
    <xf numFmtId="167" fontId="42" fillId="0" borderId="5" xfId="0" applyNumberFormat="1" applyFont="1" applyBorder="1"/>
    <xf numFmtId="164" fontId="42" fillId="0" borderId="5" xfId="0" applyNumberFormat="1" applyFont="1" applyBorder="1" applyAlignment="1">
      <alignment horizontal="center"/>
    </xf>
    <xf numFmtId="166" fontId="42" fillId="0" borderId="5" xfId="0" applyNumberFormat="1" applyFont="1" applyBorder="1"/>
    <xf numFmtId="168" fontId="43" fillId="4" borderId="0" xfId="0" applyNumberFormat="1" applyFont="1" applyFill="1"/>
    <xf numFmtId="164" fontId="0" fillId="9" borderId="5" xfId="0" applyNumberFormat="1" applyFill="1" applyBorder="1" applyAlignment="1">
      <alignment horizontal="center"/>
    </xf>
    <xf numFmtId="166" fontId="0" fillId="9" borderId="5" xfId="0" applyNumberFormat="1" applyFill="1" applyBorder="1"/>
    <xf numFmtId="175" fontId="42" fillId="0" borderId="4" xfId="0" applyNumberFormat="1" applyFont="1" applyBorder="1"/>
    <xf numFmtId="175" fontId="24" fillId="0" borderId="0" xfId="0" applyNumberFormat="1" applyFont="1" applyBorder="1" applyAlignment="1">
      <alignment vertical="center"/>
    </xf>
    <xf numFmtId="165" fontId="35" fillId="0" borderId="0" xfId="0" applyNumberFormat="1" applyFont="1"/>
    <xf numFmtId="43" fontId="0" fillId="0" borderId="0" xfId="2" applyFont="1"/>
    <xf numFmtId="0" fontId="44" fillId="0" borderId="0" xfId="0" applyFont="1"/>
    <xf numFmtId="0" fontId="44" fillId="0" borderId="18" xfId="0" applyFont="1" applyBorder="1"/>
    <xf numFmtId="0" fontId="44" fillId="0" borderId="7" xfId="0" applyFont="1" applyBorder="1"/>
    <xf numFmtId="0" fontId="44" fillId="0" borderId="24" xfId="0" applyFont="1" applyBorder="1"/>
    <xf numFmtId="49" fontId="34" fillId="0" borderId="0" xfId="0" applyNumberFormat="1" applyFont="1"/>
    <xf numFmtId="16" fontId="0" fillId="0" borderId="0" xfId="0" applyNumberFormat="1"/>
    <xf numFmtId="49" fontId="0" fillId="0" borderId="4" xfId="0" applyNumberFormat="1" applyBorder="1"/>
    <xf numFmtId="164" fontId="0" fillId="9" borderId="4" xfId="0" applyNumberFormat="1" applyFill="1" applyBorder="1" applyAlignment="1">
      <alignment horizontal="center"/>
    </xf>
    <xf numFmtId="166" fontId="0" fillId="9" borderId="0" xfId="0" applyNumberFormat="1" applyFill="1" applyBorder="1"/>
    <xf numFmtId="167" fontId="0" fillId="9" borderId="0" xfId="0" applyNumberFormat="1" applyFont="1" applyFill="1" applyBorder="1"/>
    <xf numFmtId="167" fontId="0" fillId="9" borderId="5" xfId="0" applyNumberFormat="1" applyFont="1" applyFill="1" applyBorder="1"/>
    <xf numFmtId="0" fontId="3" fillId="0" borderId="4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4" xfId="0" applyBorder="1"/>
    <xf numFmtId="177" fontId="27" fillId="0" borderId="4" xfId="0" applyNumberFormat="1" applyFont="1" applyBorder="1" applyAlignment="1">
      <alignment vertical="center"/>
    </xf>
    <xf numFmtId="164" fontId="38" fillId="0" borderId="21" xfId="0" applyNumberFormat="1" applyFont="1" applyBorder="1" applyAlignment="1">
      <alignment horizontal="center" vertical="center"/>
    </xf>
    <xf numFmtId="2" fontId="45" fillId="0" borderId="0" xfId="0" applyNumberFormat="1" applyFont="1" applyAlignment="1">
      <alignment vertical="center"/>
    </xf>
    <xf numFmtId="0" fontId="46" fillId="0" borderId="0" xfId="0" applyFont="1"/>
    <xf numFmtId="0" fontId="0" fillId="0" borderId="0" xfId="0" applyBorder="1" applyAlignment="1">
      <alignment horizontal="center" vertical="center"/>
    </xf>
    <xf numFmtId="165" fontId="14" fillId="0" borderId="8" xfId="0" applyNumberFormat="1" applyFont="1" applyBorder="1" applyAlignment="1">
      <alignment horizontal="left" vertical="center" wrapText="1"/>
    </xf>
    <xf numFmtId="164" fontId="34" fillId="0" borderId="0" xfId="0" applyNumberFormat="1" applyFont="1" applyAlignment="1">
      <alignment horizontal="center"/>
    </xf>
    <xf numFmtId="164" fontId="0" fillId="0" borderId="8" xfId="0" applyNumberFormat="1" applyFont="1" applyBorder="1" applyAlignment="1">
      <alignment horizontal="center" wrapText="1"/>
    </xf>
    <xf numFmtId="49" fontId="0" fillId="0" borderId="5" xfId="0" applyNumberFormat="1" applyBorder="1"/>
    <xf numFmtId="49" fontId="0" fillId="9" borderId="7" xfId="0" applyNumberFormat="1" applyFill="1" applyBorder="1"/>
    <xf numFmtId="166" fontId="0" fillId="9" borderId="8" xfId="0" applyNumberFormat="1" applyFill="1" applyBorder="1"/>
    <xf numFmtId="0" fontId="0" fillId="0" borderId="8" xfId="0" applyBorder="1"/>
    <xf numFmtId="165" fontId="0" fillId="0" borderId="5" xfId="0" applyNumberFormat="1" applyFont="1" applyBorder="1"/>
    <xf numFmtId="165" fontId="0" fillId="9" borderId="5" xfId="0" applyNumberFormat="1" applyFill="1" applyBorder="1"/>
    <xf numFmtId="49" fontId="0" fillId="9" borderId="5" xfId="0" applyNumberForma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552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316440</xdr:colOff>
      <xdr:row>0</xdr:row>
      <xdr:rowOff>1440</xdr:rowOff>
    </xdr:from>
    <xdr:to>
      <xdr:col>8</xdr:col>
      <xdr:colOff>767520</xdr:colOff>
      <xdr:row>0</xdr:row>
      <xdr:rowOff>668880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27316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22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14400</xdr:colOff>
      <xdr:row>0</xdr:row>
      <xdr:rowOff>10800</xdr:rowOff>
    </xdr:from>
    <xdr:to>
      <xdr:col>4</xdr:col>
      <xdr:colOff>952200</xdr:colOff>
      <xdr:row>3</xdr:row>
      <xdr:rowOff>123840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04640" y="10800"/>
          <a:ext cx="937800" cy="70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2" name="Image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3" name="Image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8" name="Image 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0" name="Image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1" name="Image 1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2" name="Image 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O146"/>
  <sheetViews>
    <sheetView tabSelected="1" topLeftCell="A60" zoomScale="90" zoomScaleNormal="90" workbookViewId="0">
      <selection activeCell="G85" sqref="G85"/>
    </sheetView>
  </sheetViews>
  <sheetFormatPr baseColWidth="10" defaultColWidth="12.6640625" defaultRowHeight="13"/>
  <cols>
    <col min="1" max="1" width="4.5" customWidth="1"/>
    <col min="2" max="2" width="54.33203125" style="1" customWidth="1"/>
    <col min="3" max="3" width="13" style="2" customWidth="1"/>
    <col min="4" max="4" width="6.5" style="2" customWidth="1"/>
    <col min="5" max="5" width="15.5" style="3" customWidth="1"/>
    <col min="6" max="6" width="15.5" customWidth="1"/>
    <col min="8" max="8" width="4.5" customWidth="1"/>
    <col min="9" max="9" width="55.33203125" style="1" customWidth="1"/>
    <col min="10" max="10" width="13" style="2" customWidth="1"/>
    <col min="11" max="11" width="6.5" style="2" customWidth="1"/>
    <col min="12" max="12" width="15.5" style="3" customWidth="1"/>
    <col min="13" max="13" width="15.5" customWidth="1"/>
  </cols>
  <sheetData>
    <row r="1" spans="1:13" ht="54.5" customHeight="1">
      <c r="A1" s="397"/>
      <c r="B1" s="397"/>
      <c r="C1" s="397"/>
      <c r="D1" s="397"/>
      <c r="E1" s="397"/>
      <c r="H1" s="397"/>
      <c r="I1" s="397"/>
      <c r="J1" s="397"/>
      <c r="K1" s="397"/>
      <c r="L1" s="397"/>
    </row>
    <row r="3" spans="1:13" ht="18.75" customHeight="1">
      <c r="A3" s="5" t="s">
        <v>0</v>
      </c>
      <c r="B3"/>
      <c r="H3" s="5" t="s">
        <v>0</v>
      </c>
      <c r="I3"/>
    </row>
    <row r="4" spans="1:13">
      <c r="A4" s="1" t="s">
        <v>1</v>
      </c>
      <c r="B4"/>
      <c r="H4" s="1" t="s">
        <v>1</v>
      </c>
      <c r="I4"/>
    </row>
    <row r="6" spans="1:13">
      <c r="B6" s="6"/>
      <c r="F6" s="7" t="s">
        <v>2</v>
      </c>
      <c r="I6" s="6"/>
      <c r="M6" s="7" t="s">
        <v>3</v>
      </c>
    </row>
    <row r="7" spans="1:13" s="8" customFormat="1" ht="17.25" customHeight="1">
      <c r="B7" s="9" t="s">
        <v>4</v>
      </c>
      <c r="C7" s="10"/>
      <c r="D7" s="10"/>
      <c r="E7" s="11"/>
      <c r="F7" s="11"/>
      <c r="I7" s="12" t="s">
        <v>260</v>
      </c>
      <c r="J7" s="13"/>
      <c r="K7" s="13"/>
      <c r="L7" s="14"/>
      <c r="M7" s="14"/>
    </row>
    <row r="9" spans="1:13" ht="15.25" customHeight="1">
      <c r="B9" s="15" t="s">
        <v>5</v>
      </c>
      <c r="C9" s="16" t="s">
        <v>6</v>
      </c>
      <c r="D9" s="16" t="s">
        <v>7</v>
      </c>
      <c r="E9" s="17" t="s">
        <v>8</v>
      </c>
      <c r="F9" s="17" t="s">
        <v>9</v>
      </c>
      <c r="I9" s="15" t="s">
        <v>5</v>
      </c>
      <c r="J9" s="16" t="s">
        <v>6</v>
      </c>
      <c r="K9" s="16" t="s">
        <v>7</v>
      </c>
      <c r="L9" s="17" t="s">
        <v>8</v>
      </c>
      <c r="M9" s="17" t="s">
        <v>9</v>
      </c>
    </row>
    <row r="10" spans="1:13" ht="15.25" customHeight="1">
      <c r="B10" s="18" t="s">
        <v>10</v>
      </c>
      <c r="C10" s="19">
        <v>45292</v>
      </c>
      <c r="D10" s="19" t="s">
        <v>11</v>
      </c>
      <c r="E10" s="20"/>
      <c r="F10" s="20">
        <v>38550.46</v>
      </c>
      <c r="I10" s="18" t="s">
        <v>10</v>
      </c>
      <c r="J10" s="21">
        <v>45292</v>
      </c>
      <c r="K10" s="21" t="s">
        <v>12</v>
      </c>
      <c r="L10" s="22"/>
      <c r="M10" s="22">
        <v>284157.42</v>
      </c>
    </row>
    <row r="11" spans="1:13" ht="15.25" customHeight="1">
      <c r="B11" s="23" t="s">
        <v>13</v>
      </c>
      <c r="C11" s="21">
        <v>45293</v>
      </c>
      <c r="D11" s="21" t="s">
        <v>11</v>
      </c>
      <c r="E11" s="22">
        <v>-15000</v>
      </c>
      <c r="F11" s="22"/>
      <c r="I11" s="18" t="s">
        <v>14</v>
      </c>
      <c r="J11" s="21">
        <v>45296</v>
      </c>
      <c r="K11" s="21" t="s">
        <v>12</v>
      </c>
      <c r="L11" s="22">
        <v>-523.82000000000005</v>
      </c>
      <c r="M11" s="22"/>
    </row>
    <row r="12" spans="1:13" ht="15.25" customHeight="1">
      <c r="B12" s="18" t="s">
        <v>15</v>
      </c>
      <c r="C12" s="21">
        <v>45303</v>
      </c>
      <c r="D12" s="21" t="s">
        <v>11</v>
      </c>
      <c r="E12" s="22">
        <v>-3600</v>
      </c>
      <c r="F12" s="22"/>
      <c r="I12" s="18" t="s">
        <v>16</v>
      </c>
      <c r="J12" s="21">
        <v>45296</v>
      </c>
      <c r="K12" s="21" t="s">
        <v>12</v>
      </c>
      <c r="L12" s="22">
        <v>-1500</v>
      </c>
      <c r="M12" s="24"/>
    </row>
    <row r="13" spans="1:13" ht="15.25" customHeight="1">
      <c r="B13" s="18" t="s">
        <v>17</v>
      </c>
      <c r="C13" s="21">
        <v>45303</v>
      </c>
      <c r="D13" s="21" t="s">
        <v>11</v>
      </c>
      <c r="E13" s="22">
        <v>-100</v>
      </c>
      <c r="F13" s="22"/>
      <c r="I13" s="23" t="s">
        <v>18</v>
      </c>
      <c r="J13" s="21">
        <v>45296</v>
      </c>
      <c r="K13" s="21" t="s">
        <v>12</v>
      </c>
      <c r="L13" s="22">
        <v>-2.25</v>
      </c>
      <c r="M13" s="24"/>
    </row>
    <row r="14" spans="1:13" ht="15.25" customHeight="1">
      <c r="B14" s="18" t="s">
        <v>19</v>
      </c>
      <c r="C14" s="25">
        <v>45310</v>
      </c>
      <c r="D14" s="21" t="s">
        <v>11</v>
      </c>
      <c r="E14" s="22">
        <v>-200</v>
      </c>
      <c r="F14" s="26"/>
      <c r="I14" s="18" t="s">
        <v>20</v>
      </c>
      <c r="J14" s="21">
        <v>45302</v>
      </c>
      <c r="K14" s="21" t="s">
        <v>12</v>
      </c>
      <c r="L14" s="22">
        <v>-2140</v>
      </c>
      <c r="M14" s="22"/>
    </row>
    <row r="15" spans="1:13" ht="15.25" customHeight="1">
      <c r="B15" s="23" t="s">
        <v>21</v>
      </c>
      <c r="C15" s="21">
        <v>45322</v>
      </c>
      <c r="D15" s="21" t="s">
        <v>11</v>
      </c>
      <c r="E15" s="22">
        <v>-1000</v>
      </c>
      <c r="F15" s="22"/>
      <c r="I15" s="23" t="s">
        <v>18</v>
      </c>
      <c r="J15" s="21">
        <v>45302</v>
      </c>
      <c r="K15" s="21" t="s">
        <v>12</v>
      </c>
      <c r="L15" s="22">
        <v>-3.21</v>
      </c>
      <c r="M15" s="22"/>
    </row>
    <row r="16" spans="1:13" ht="15.25" customHeight="1">
      <c r="B16" s="18" t="s">
        <v>22</v>
      </c>
      <c r="C16" s="25">
        <v>45323</v>
      </c>
      <c r="D16" s="21" t="s">
        <v>11</v>
      </c>
      <c r="E16" s="22">
        <v>-15000</v>
      </c>
      <c r="F16" s="26"/>
      <c r="I16" s="18" t="s">
        <v>23</v>
      </c>
      <c r="J16" s="21">
        <v>45310</v>
      </c>
      <c r="K16" s="21" t="s">
        <v>12</v>
      </c>
      <c r="L16" s="22">
        <v>-6538.23</v>
      </c>
      <c r="M16" s="22"/>
    </row>
    <row r="17" spans="2:13" ht="15.25" customHeight="1">
      <c r="B17" s="23" t="s">
        <v>24</v>
      </c>
      <c r="C17" s="25">
        <v>45330</v>
      </c>
      <c r="D17" s="21" t="s">
        <v>11</v>
      </c>
      <c r="E17" s="22">
        <v>-4000</v>
      </c>
      <c r="F17" s="26"/>
      <c r="I17" s="23" t="s">
        <v>18</v>
      </c>
      <c r="J17" s="21">
        <v>45310</v>
      </c>
      <c r="K17" s="21" t="s">
        <v>12</v>
      </c>
      <c r="L17" s="22">
        <v>-9.81</v>
      </c>
      <c r="M17" s="22"/>
    </row>
    <row r="18" spans="2:13" ht="15.25" customHeight="1">
      <c r="B18" s="18" t="s">
        <v>25</v>
      </c>
      <c r="C18" s="21">
        <v>45331</v>
      </c>
      <c r="D18" s="21" t="s">
        <v>11</v>
      </c>
      <c r="E18" s="22">
        <v>-2500</v>
      </c>
      <c r="F18" s="22"/>
      <c r="I18" s="18" t="s">
        <v>26</v>
      </c>
      <c r="J18" s="21">
        <v>45322</v>
      </c>
      <c r="K18" s="21" t="s">
        <v>12</v>
      </c>
      <c r="L18" s="22"/>
      <c r="M18" s="22">
        <v>60.02</v>
      </c>
    </row>
    <row r="19" spans="2:13" ht="15.25" customHeight="1">
      <c r="B19" s="23" t="s">
        <v>27</v>
      </c>
      <c r="C19" s="21">
        <v>45331</v>
      </c>
      <c r="D19" s="21" t="s">
        <v>11</v>
      </c>
      <c r="E19" s="22">
        <v>-72.56</v>
      </c>
      <c r="F19" s="22"/>
      <c r="I19" s="23" t="s">
        <v>28</v>
      </c>
      <c r="J19" s="21">
        <v>45322</v>
      </c>
      <c r="K19" s="21" t="s">
        <v>12</v>
      </c>
      <c r="L19" s="22">
        <v>-6</v>
      </c>
      <c r="M19" s="22"/>
    </row>
    <row r="20" spans="2:13" ht="15.25" customHeight="1">
      <c r="B20" s="18" t="s">
        <v>29</v>
      </c>
      <c r="C20" s="21">
        <v>45334</v>
      </c>
      <c r="D20" s="21" t="s">
        <v>11</v>
      </c>
      <c r="E20" s="22"/>
      <c r="F20" s="22">
        <v>20000</v>
      </c>
      <c r="I20" s="23" t="s">
        <v>30</v>
      </c>
      <c r="J20" s="21">
        <v>45331</v>
      </c>
      <c r="K20" s="21" t="s">
        <v>12</v>
      </c>
      <c r="L20" s="22"/>
      <c r="M20" s="22">
        <v>47793.46</v>
      </c>
    </row>
    <row r="21" spans="2:13" ht="15.25" customHeight="1">
      <c r="B21" s="23" t="s">
        <v>31</v>
      </c>
      <c r="C21" s="21">
        <v>45336</v>
      </c>
      <c r="D21" s="21" t="s">
        <v>11</v>
      </c>
      <c r="E21" s="22"/>
      <c r="F21" s="22">
        <v>15000</v>
      </c>
      <c r="I21" s="23" t="s">
        <v>32</v>
      </c>
      <c r="J21" s="21">
        <v>45331</v>
      </c>
      <c r="K21" s="21" t="s">
        <v>12</v>
      </c>
      <c r="L21" s="22">
        <v>-710.7</v>
      </c>
      <c r="M21" s="22"/>
    </row>
    <row r="22" spans="2:13" ht="15.25" customHeight="1">
      <c r="B22" s="23" t="s">
        <v>33</v>
      </c>
      <c r="C22" s="21">
        <v>45337</v>
      </c>
      <c r="D22" s="21" t="s">
        <v>11</v>
      </c>
      <c r="E22" s="22">
        <v>-14000</v>
      </c>
      <c r="F22" s="22"/>
      <c r="I22" s="23" t="s">
        <v>34</v>
      </c>
      <c r="J22" s="21">
        <v>45334</v>
      </c>
      <c r="K22" s="21" t="s">
        <v>12</v>
      </c>
      <c r="L22" s="22">
        <v>-20000</v>
      </c>
      <c r="M22" s="22"/>
    </row>
    <row r="23" spans="2:13" ht="15.25" customHeight="1">
      <c r="B23" s="18" t="s">
        <v>35</v>
      </c>
      <c r="C23" s="21">
        <v>45342</v>
      </c>
      <c r="D23" s="21" t="s">
        <v>11</v>
      </c>
      <c r="E23" s="22"/>
      <c r="F23" s="22">
        <v>12230</v>
      </c>
      <c r="I23" s="23" t="s">
        <v>36</v>
      </c>
      <c r="J23" s="21">
        <v>45335</v>
      </c>
      <c r="K23" s="21" t="s">
        <v>12</v>
      </c>
      <c r="L23" s="22"/>
      <c r="M23" s="22">
        <v>24134</v>
      </c>
    </row>
    <row r="24" spans="2:13" ht="15.25" customHeight="1">
      <c r="B24" s="23" t="s">
        <v>37</v>
      </c>
      <c r="C24" s="21">
        <v>45342</v>
      </c>
      <c r="D24" s="21" t="s">
        <v>11</v>
      </c>
      <c r="E24" s="22">
        <v>-200</v>
      </c>
      <c r="F24" s="22"/>
      <c r="I24" s="23" t="s">
        <v>38</v>
      </c>
      <c r="J24" s="21">
        <v>45334</v>
      </c>
      <c r="K24" s="21" t="s">
        <v>12</v>
      </c>
      <c r="L24" s="22"/>
      <c r="M24" s="22">
        <v>24787</v>
      </c>
    </row>
    <row r="25" spans="2:13" ht="15.25" customHeight="1">
      <c r="B25" s="23" t="s">
        <v>39</v>
      </c>
      <c r="C25" s="21">
        <v>45342</v>
      </c>
      <c r="D25" s="21" t="s">
        <v>11</v>
      </c>
      <c r="E25" s="22">
        <v>-1000</v>
      </c>
      <c r="F25" s="22"/>
      <c r="I25" s="18" t="s">
        <v>40</v>
      </c>
      <c r="J25" s="21">
        <v>45338</v>
      </c>
      <c r="K25" s="21" t="s">
        <v>12</v>
      </c>
      <c r="L25" s="22"/>
      <c r="M25" s="22">
        <v>44170.7</v>
      </c>
    </row>
    <row r="26" spans="2:13" ht="15.25" customHeight="1">
      <c r="B26" s="23" t="s">
        <v>41</v>
      </c>
      <c r="C26" s="283">
        <v>45343</v>
      </c>
      <c r="D26" s="21" t="s">
        <v>11</v>
      </c>
      <c r="E26" s="22">
        <v>-221.59</v>
      </c>
      <c r="F26" s="22"/>
      <c r="I26" s="23" t="s">
        <v>42</v>
      </c>
      <c r="J26" s="21">
        <v>45339</v>
      </c>
      <c r="K26" s="21" t="s">
        <v>12</v>
      </c>
      <c r="L26" s="22"/>
      <c r="M26" s="22">
        <v>35005.599999999999</v>
      </c>
    </row>
    <row r="27" spans="2:13" ht="15.25" customHeight="1">
      <c r="B27" s="23" t="s">
        <v>303</v>
      </c>
      <c r="C27" s="283">
        <v>45348</v>
      </c>
      <c r="D27" s="21" t="s">
        <v>11</v>
      </c>
      <c r="E27" s="22"/>
      <c r="F27" s="22">
        <v>36150.69</v>
      </c>
      <c r="I27" s="23"/>
      <c r="J27" s="21"/>
      <c r="K27" s="21"/>
      <c r="L27" s="22"/>
      <c r="M27" s="22"/>
    </row>
    <row r="28" spans="2:13" ht="15.25" customHeight="1">
      <c r="B28" s="18" t="s">
        <v>43</v>
      </c>
      <c r="C28" s="283">
        <v>45351</v>
      </c>
      <c r="D28" s="21" t="s">
        <v>11</v>
      </c>
      <c r="E28" s="22">
        <v>-1000</v>
      </c>
      <c r="F28" s="22"/>
      <c r="I28" s="18" t="s">
        <v>44</v>
      </c>
      <c r="J28" s="21">
        <v>45342</v>
      </c>
      <c r="K28" s="21" t="s">
        <v>12</v>
      </c>
      <c r="L28" s="22"/>
      <c r="M28" s="22">
        <v>38625</v>
      </c>
    </row>
    <row r="29" spans="2:13" ht="15.25" customHeight="1">
      <c r="B29" s="18" t="s">
        <v>45</v>
      </c>
      <c r="C29" s="52">
        <v>45352</v>
      </c>
      <c r="D29" s="21" t="s">
        <v>11</v>
      </c>
      <c r="E29" s="22">
        <v>-15000</v>
      </c>
      <c r="F29" s="22"/>
      <c r="I29" s="23" t="s">
        <v>46</v>
      </c>
      <c r="J29" s="21">
        <v>45343</v>
      </c>
      <c r="K29" s="21" t="s">
        <v>12</v>
      </c>
      <c r="L29" s="22"/>
      <c r="M29" s="22">
        <v>32025.439999999999</v>
      </c>
    </row>
    <row r="30" spans="2:13" ht="15.25" customHeight="1">
      <c r="B30" s="23" t="s">
        <v>36</v>
      </c>
      <c r="C30" s="283">
        <v>45358</v>
      </c>
      <c r="D30" s="21" t="s">
        <v>11</v>
      </c>
      <c r="E30" s="22"/>
      <c r="F30" s="22">
        <v>17600</v>
      </c>
      <c r="I30" s="23" t="s">
        <v>47</v>
      </c>
      <c r="J30" s="21">
        <v>45343</v>
      </c>
      <c r="K30" s="21" t="s">
        <v>12</v>
      </c>
      <c r="L30" s="22">
        <v>-126944.4</v>
      </c>
      <c r="M30" s="22"/>
    </row>
    <row r="31" spans="2:13" ht="15.25" customHeight="1">
      <c r="B31" s="23" t="s">
        <v>31</v>
      </c>
      <c r="C31" s="283">
        <v>45358</v>
      </c>
      <c r="D31" s="21" t="s">
        <v>11</v>
      </c>
      <c r="E31" s="22"/>
      <c r="F31" s="22">
        <v>8900</v>
      </c>
      <c r="I31" s="23" t="s">
        <v>18</v>
      </c>
      <c r="J31" s="21">
        <v>45343</v>
      </c>
      <c r="K31" s="21" t="s">
        <v>12</v>
      </c>
      <c r="L31" s="22">
        <v>-190.42</v>
      </c>
      <c r="M31" s="22"/>
    </row>
    <row r="32" spans="2:13" ht="15.25" customHeight="1">
      <c r="B32" s="23" t="s">
        <v>35</v>
      </c>
      <c r="C32" s="283">
        <v>45359</v>
      </c>
      <c r="D32" s="21" t="s">
        <v>11</v>
      </c>
      <c r="E32" s="22"/>
      <c r="F32" s="22">
        <v>6015</v>
      </c>
      <c r="I32" s="23" t="s">
        <v>48</v>
      </c>
      <c r="J32" s="21">
        <v>45343</v>
      </c>
      <c r="K32" s="21" t="s">
        <v>12</v>
      </c>
      <c r="L32" s="22">
        <v>-82584</v>
      </c>
      <c r="M32" s="22"/>
    </row>
    <row r="33" spans="2:13" ht="15.25" customHeight="1">
      <c r="B33" s="401" t="s">
        <v>304</v>
      </c>
      <c r="C33" s="283">
        <v>45364</v>
      </c>
      <c r="D33" s="21" t="s">
        <v>11</v>
      </c>
      <c r="E33" s="22">
        <v>-21368.35</v>
      </c>
      <c r="F33" s="22"/>
      <c r="I33" s="23"/>
      <c r="J33" s="21"/>
      <c r="K33" s="21"/>
      <c r="L33" s="22"/>
      <c r="M33" s="22"/>
    </row>
    <row r="34" spans="2:13" ht="15.25" customHeight="1">
      <c r="B34" s="23" t="s">
        <v>254</v>
      </c>
      <c r="C34" s="283">
        <v>45371</v>
      </c>
      <c r="D34" s="21" t="s">
        <v>11</v>
      </c>
      <c r="E34" s="22">
        <v>-2500</v>
      </c>
      <c r="F34" s="22"/>
      <c r="I34" s="23"/>
      <c r="J34" s="21"/>
      <c r="K34" s="21"/>
      <c r="L34" s="22"/>
      <c r="M34" s="22"/>
    </row>
    <row r="35" spans="2:13" ht="15.25" customHeight="1">
      <c r="B35" s="23" t="s">
        <v>255</v>
      </c>
      <c r="C35" s="283">
        <v>45371</v>
      </c>
      <c r="D35" s="21" t="s">
        <v>11</v>
      </c>
      <c r="E35" s="22">
        <v>-500</v>
      </c>
      <c r="F35" s="22"/>
      <c r="I35" s="23"/>
      <c r="J35" s="21"/>
      <c r="K35" s="21"/>
      <c r="L35" s="22"/>
      <c r="M35" s="22"/>
    </row>
    <row r="36" spans="2:13" ht="15.25" customHeight="1">
      <c r="B36" s="401" t="s">
        <v>304</v>
      </c>
      <c r="C36" s="283">
        <v>45371</v>
      </c>
      <c r="D36" s="21" t="s">
        <v>11</v>
      </c>
      <c r="E36" s="22">
        <v>-1351.01</v>
      </c>
      <c r="F36" s="26"/>
      <c r="I36" s="23"/>
      <c r="J36" s="21"/>
      <c r="K36" s="21"/>
      <c r="L36" s="22"/>
      <c r="M36" s="22"/>
    </row>
    <row r="37" spans="2:13" ht="15.25" customHeight="1">
      <c r="B37" s="23" t="s">
        <v>49</v>
      </c>
      <c r="C37" s="283">
        <v>45373</v>
      </c>
      <c r="D37" s="21" t="s">
        <v>11</v>
      </c>
      <c r="E37" s="22">
        <v>-1000</v>
      </c>
      <c r="F37" s="26"/>
      <c r="I37" s="23" t="s">
        <v>18</v>
      </c>
      <c r="J37" s="21">
        <v>45343</v>
      </c>
      <c r="K37" s="21" t="s">
        <v>12</v>
      </c>
      <c r="L37" s="22">
        <v>-123.88</v>
      </c>
      <c r="M37" s="22"/>
    </row>
    <row r="38" spans="2:13" ht="15.25" customHeight="1">
      <c r="B38" s="401" t="s">
        <v>304</v>
      </c>
      <c r="C38" s="52">
        <v>45373</v>
      </c>
      <c r="D38" s="21" t="s">
        <v>11</v>
      </c>
      <c r="E38" s="22">
        <v>-219.64</v>
      </c>
      <c r="F38" s="26"/>
      <c r="I38" s="23"/>
      <c r="J38" s="21"/>
      <c r="K38" s="21"/>
      <c r="L38" s="22"/>
      <c r="M38" s="22"/>
    </row>
    <row r="39" spans="2:13" ht="15.25" customHeight="1">
      <c r="B39" s="401" t="s">
        <v>304</v>
      </c>
      <c r="C39" s="52">
        <v>45374</v>
      </c>
      <c r="D39" s="21" t="s">
        <v>11</v>
      </c>
      <c r="E39" s="22">
        <v>-399.02</v>
      </c>
      <c r="F39" s="26"/>
      <c r="I39" s="23"/>
      <c r="J39" s="21"/>
      <c r="K39" s="21"/>
      <c r="L39" s="22"/>
      <c r="M39" s="22"/>
    </row>
    <row r="40" spans="2:13" ht="15.25" customHeight="1">
      <c r="B40" s="401" t="s">
        <v>295</v>
      </c>
      <c r="C40" s="21">
        <v>45376</v>
      </c>
      <c r="D40" s="21" t="s">
        <v>11</v>
      </c>
      <c r="E40" s="22">
        <v>-14000</v>
      </c>
      <c r="F40" s="26"/>
      <c r="I40" s="18" t="s">
        <v>26</v>
      </c>
      <c r="J40" s="21">
        <v>45351</v>
      </c>
      <c r="K40" s="21" t="s">
        <v>12</v>
      </c>
      <c r="L40" s="22"/>
      <c r="M40" s="22">
        <v>63.95</v>
      </c>
    </row>
    <row r="41" spans="2:13" ht="15.25" customHeight="1">
      <c r="B41" s="401" t="s">
        <v>304</v>
      </c>
      <c r="C41" s="21">
        <v>45376</v>
      </c>
      <c r="D41" s="21" t="s">
        <v>11</v>
      </c>
      <c r="E41" s="22">
        <v>-1543.05</v>
      </c>
      <c r="F41" s="26"/>
      <c r="I41" s="18"/>
      <c r="J41" s="21"/>
      <c r="K41" s="21"/>
      <c r="L41" s="22"/>
      <c r="M41" s="22"/>
    </row>
    <row r="42" spans="2:13" ht="15.25" customHeight="1">
      <c r="B42" s="23" t="s">
        <v>256</v>
      </c>
      <c r="C42" s="21">
        <v>45377</v>
      </c>
      <c r="D42" s="21" t="s">
        <v>11</v>
      </c>
      <c r="E42" s="22">
        <v>-2500</v>
      </c>
      <c r="F42" s="26"/>
      <c r="I42" s="23" t="s">
        <v>28</v>
      </c>
      <c r="J42" s="21">
        <v>45351</v>
      </c>
      <c r="K42" s="21" t="s">
        <v>12</v>
      </c>
      <c r="L42" s="22">
        <v>-6.4</v>
      </c>
      <c r="M42" s="22"/>
    </row>
    <row r="43" spans="2:13" ht="15.25" customHeight="1">
      <c r="B43" s="23" t="s">
        <v>257</v>
      </c>
      <c r="C43" s="21">
        <v>45377</v>
      </c>
      <c r="D43" s="21" t="s">
        <v>11</v>
      </c>
      <c r="E43" s="22">
        <v>-3000</v>
      </c>
      <c r="F43" s="26"/>
      <c r="I43" s="23" t="s">
        <v>38</v>
      </c>
      <c r="J43" s="21">
        <v>45358</v>
      </c>
      <c r="K43" s="21" t="s">
        <v>12</v>
      </c>
      <c r="L43" s="22"/>
      <c r="M43" s="22">
        <v>18230.03</v>
      </c>
    </row>
    <row r="44" spans="2:13" ht="15.25" customHeight="1">
      <c r="B44" s="401" t="s">
        <v>304</v>
      </c>
      <c r="C44" s="21">
        <v>45378</v>
      </c>
      <c r="D44" s="21" t="s">
        <v>11</v>
      </c>
      <c r="E44" s="22">
        <v>-702.99</v>
      </c>
      <c r="F44" s="26"/>
      <c r="I44" s="23"/>
      <c r="J44" s="21"/>
      <c r="K44" s="21"/>
      <c r="L44" s="22"/>
      <c r="M44" s="22"/>
    </row>
    <row r="45" spans="2:13" ht="15.25" customHeight="1">
      <c r="B45" s="401" t="s">
        <v>266</v>
      </c>
      <c r="C45" s="21">
        <v>45385</v>
      </c>
      <c r="D45" s="21" t="s">
        <v>11</v>
      </c>
      <c r="E45" s="405">
        <v>-314.11</v>
      </c>
      <c r="F45" s="26"/>
      <c r="I45" s="23" t="s">
        <v>50</v>
      </c>
      <c r="J45" s="21">
        <v>45359</v>
      </c>
      <c r="K45" s="21" t="s">
        <v>12</v>
      </c>
      <c r="L45" s="22">
        <v>-912.52</v>
      </c>
      <c r="M45" s="22"/>
    </row>
    <row r="46" spans="2:13" ht="15.25" customHeight="1">
      <c r="B46" s="401" t="s">
        <v>267</v>
      </c>
      <c r="C46" s="21">
        <v>45385</v>
      </c>
      <c r="D46" s="21" t="s">
        <v>11</v>
      </c>
      <c r="E46" s="405">
        <v>-15000</v>
      </c>
      <c r="F46" s="26"/>
      <c r="I46" s="23" t="s">
        <v>51</v>
      </c>
      <c r="J46" s="21">
        <v>45359</v>
      </c>
      <c r="K46" s="21" t="s">
        <v>12</v>
      </c>
      <c r="L46" s="22">
        <v>-3600</v>
      </c>
      <c r="M46" s="22"/>
    </row>
    <row r="47" spans="2:13" ht="15.25" customHeight="1">
      <c r="B47" s="401" t="s">
        <v>304</v>
      </c>
      <c r="C47" s="21">
        <v>45394</v>
      </c>
      <c r="D47" s="21" t="s">
        <v>11</v>
      </c>
      <c r="E47" s="405">
        <v>-15071.96</v>
      </c>
      <c r="F47" s="26"/>
      <c r="I47" s="23"/>
      <c r="J47" s="21"/>
      <c r="K47" s="21"/>
      <c r="L47" s="22"/>
      <c r="M47" s="22"/>
    </row>
    <row r="48" spans="2:13" ht="15.25" customHeight="1">
      <c r="B48" s="401" t="s">
        <v>332</v>
      </c>
      <c r="C48" s="373">
        <v>45396</v>
      </c>
      <c r="D48" s="373"/>
      <c r="E48" s="406">
        <v>-2500</v>
      </c>
      <c r="F48" s="404"/>
      <c r="I48" s="23" t="s">
        <v>18</v>
      </c>
      <c r="J48" s="21">
        <v>45359</v>
      </c>
      <c r="K48" s="21" t="s">
        <v>12</v>
      </c>
      <c r="L48" s="22">
        <v>-5.4</v>
      </c>
      <c r="M48" s="22"/>
    </row>
    <row r="49" spans="2:13" ht="30">
      <c r="B49" s="23" t="s">
        <v>31</v>
      </c>
      <c r="C49" s="373">
        <v>45404</v>
      </c>
      <c r="D49" s="373" t="s">
        <v>11</v>
      </c>
      <c r="E49" s="22"/>
      <c r="F49" s="26">
        <v>18600</v>
      </c>
      <c r="I49" s="27" t="s">
        <v>52</v>
      </c>
      <c r="J49" s="21">
        <v>45363</v>
      </c>
      <c r="K49" s="21" t="s">
        <v>12</v>
      </c>
      <c r="L49" s="22">
        <v>-13261</v>
      </c>
      <c r="M49" s="22"/>
    </row>
    <row r="50" spans="2:13" ht="15.25" customHeight="1">
      <c r="B50" s="23" t="s">
        <v>305</v>
      </c>
      <c r="C50" s="21">
        <v>45404</v>
      </c>
      <c r="D50" s="21" t="s">
        <v>11</v>
      </c>
      <c r="E50" s="374">
        <v>-1500</v>
      </c>
      <c r="F50" s="26"/>
      <c r="I50" s="23" t="s">
        <v>18</v>
      </c>
      <c r="J50" s="21">
        <v>45363</v>
      </c>
      <c r="K50" s="21" t="s">
        <v>12</v>
      </c>
      <c r="L50" s="22">
        <v>-19.89</v>
      </c>
      <c r="M50" s="22"/>
    </row>
    <row r="51" spans="2:13" ht="15.25" customHeight="1">
      <c r="B51" s="23" t="s">
        <v>297</v>
      </c>
      <c r="C51" s="21">
        <v>45404</v>
      </c>
      <c r="D51" s="21" t="s">
        <v>11</v>
      </c>
      <c r="E51" s="403">
        <v>-2500</v>
      </c>
      <c r="F51" s="22"/>
      <c r="I51" s="23" t="s">
        <v>53</v>
      </c>
      <c r="J51" s="21">
        <v>45367</v>
      </c>
      <c r="K51" s="21" t="s">
        <v>12</v>
      </c>
      <c r="L51" s="22">
        <v>-42314.8</v>
      </c>
      <c r="M51" s="22"/>
    </row>
    <row r="52" spans="2:13" ht="15.25" customHeight="1">
      <c r="B52" s="23" t="s">
        <v>296</v>
      </c>
      <c r="C52" s="21">
        <v>45404</v>
      </c>
      <c r="D52" s="21" t="s">
        <v>11</v>
      </c>
      <c r="E52" s="403">
        <v>-7962.95</v>
      </c>
      <c r="F52" s="22"/>
      <c r="I52" s="23" t="s">
        <v>18</v>
      </c>
      <c r="J52" s="21">
        <v>45367</v>
      </c>
      <c r="K52" s="21" t="s">
        <v>12</v>
      </c>
      <c r="L52" s="22">
        <v>-63.47</v>
      </c>
      <c r="M52" s="22"/>
    </row>
    <row r="53" spans="2:13" ht="15.25" customHeight="1">
      <c r="B53" s="271" t="s">
        <v>315</v>
      </c>
      <c r="C53" s="21">
        <v>45408</v>
      </c>
      <c r="D53" s="283" t="s">
        <v>11</v>
      </c>
      <c r="E53" s="374"/>
      <c r="F53" s="22">
        <v>22556.560000000001</v>
      </c>
      <c r="I53" s="23"/>
      <c r="J53" s="21"/>
      <c r="K53" s="21"/>
      <c r="L53" s="22"/>
      <c r="M53" s="22"/>
    </row>
    <row r="54" spans="2:13" ht="15.25" customHeight="1">
      <c r="B54" s="23" t="s">
        <v>39</v>
      </c>
      <c r="C54" s="283">
        <v>45408</v>
      </c>
      <c r="D54" s="21" t="s">
        <v>11</v>
      </c>
      <c r="E54" s="374">
        <v>-1000</v>
      </c>
      <c r="F54" s="22"/>
      <c r="I54" s="23"/>
      <c r="J54" s="21"/>
      <c r="K54" s="21"/>
      <c r="L54" s="22"/>
      <c r="M54" s="22"/>
    </row>
    <row r="55" spans="2:13" ht="15.25" customHeight="1">
      <c r="B55" s="23" t="s">
        <v>36</v>
      </c>
      <c r="C55" s="21">
        <v>45412</v>
      </c>
      <c r="D55" s="21" t="s">
        <v>11</v>
      </c>
      <c r="E55" s="22"/>
      <c r="F55" s="22">
        <v>33000</v>
      </c>
      <c r="I55" s="23" t="s">
        <v>54</v>
      </c>
      <c r="J55" s="21">
        <v>45367</v>
      </c>
      <c r="K55" s="21" t="s">
        <v>12</v>
      </c>
      <c r="L55" s="22">
        <v>-27528</v>
      </c>
      <c r="M55" s="22"/>
    </row>
    <row r="56" spans="2:13" ht="15.25" customHeight="1">
      <c r="B56" s="23" t="s">
        <v>299</v>
      </c>
      <c r="C56" s="21">
        <v>45412</v>
      </c>
      <c r="D56" s="21" t="s">
        <v>11</v>
      </c>
      <c r="E56" s="374">
        <v>-3000</v>
      </c>
      <c r="F56" s="22"/>
      <c r="I56" s="23" t="s">
        <v>18</v>
      </c>
      <c r="J56" s="21">
        <v>45367</v>
      </c>
      <c r="K56" s="21" t="s">
        <v>12</v>
      </c>
      <c r="L56" s="22">
        <v>-41.29</v>
      </c>
      <c r="M56" s="22"/>
    </row>
    <row r="57" spans="2:13" ht="15.25" customHeight="1">
      <c r="B57" s="23" t="s">
        <v>300</v>
      </c>
      <c r="C57" s="21">
        <v>45412</v>
      </c>
      <c r="D57" s="21" t="s">
        <v>11</v>
      </c>
      <c r="E57" s="374">
        <v>-1000</v>
      </c>
      <c r="F57" s="22"/>
      <c r="I57" s="23" t="s">
        <v>55</v>
      </c>
      <c r="J57" s="21">
        <v>45367</v>
      </c>
      <c r="K57" s="21" t="s">
        <v>12</v>
      </c>
      <c r="L57" s="22">
        <v>-3600</v>
      </c>
      <c r="M57" s="22"/>
    </row>
    <row r="58" spans="2:13" ht="15.25" customHeight="1">
      <c r="B58" s="23" t="s">
        <v>357</v>
      </c>
      <c r="C58" s="21">
        <v>45412</v>
      </c>
      <c r="D58" s="21" t="s">
        <v>11</v>
      </c>
      <c r="E58" s="374">
        <v>-27528</v>
      </c>
      <c r="F58" s="22"/>
      <c r="I58" s="23" t="s">
        <v>18</v>
      </c>
      <c r="J58" s="21">
        <v>45367</v>
      </c>
      <c r="K58" s="21" t="s">
        <v>12</v>
      </c>
      <c r="L58" s="22">
        <v>-5.4</v>
      </c>
      <c r="M58" s="22"/>
    </row>
    <row r="59" spans="2:13" ht="30">
      <c r="B59" s="23" t="s">
        <v>301</v>
      </c>
      <c r="C59" s="21">
        <v>45413</v>
      </c>
      <c r="D59" s="21" t="s">
        <v>11</v>
      </c>
      <c r="E59" s="374">
        <v>-1772</v>
      </c>
      <c r="F59" s="22"/>
      <c r="I59" s="27" t="s">
        <v>258</v>
      </c>
      <c r="J59" s="21">
        <v>45372</v>
      </c>
      <c r="K59" s="21" t="s">
        <v>12</v>
      </c>
      <c r="L59" s="22">
        <v>-7000</v>
      </c>
      <c r="M59" s="22"/>
    </row>
    <row r="60" spans="2:13" ht="15.25" customHeight="1">
      <c r="B60" s="23" t="s">
        <v>31</v>
      </c>
      <c r="C60" s="21">
        <v>45414</v>
      </c>
      <c r="D60" s="21" t="s">
        <v>11</v>
      </c>
      <c r="E60" s="22"/>
      <c r="F60" s="22">
        <v>2000</v>
      </c>
      <c r="I60" s="23" t="s">
        <v>18</v>
      </c>
      <c r="J60" s="21">
        <v>45372</v>
      </c>
      <c r="K60" s="21" t="s">
        <v>12</v>
      </c>
      <c r="L60" s="22">
        <v>-10.5</v>
      </c>
      <c r="M60" s="22"/>
    </row>
    <row r="61" spans="2:13" ht="15.25" hidden="1" customHeight="1">
      <c r="B61" s="23"/>
      <c r="C61" s="21"/>
      <c r="D61" s="21"/>
      <c r="E61" s="22"/>
      <c r="F61" s="22"/>
      <c r="I61" s="23"/>
      <c r="J61" s="21"/>
      <c r="K61" s="21"/>
      <c r="L61" s="22"/>
      <c r="M61" s="22"/>
    </row>
    <row r="62" spans="2:13" ht="15.25" hidden="1" customHeight="1">
      <c r="B62" s="23"/>
      <c r="C62" s="21"/>
      <c r="D62" s="21"/>
      <c r="E62" s="22"/>
      <c r="F62" s="22"/>
      <c r="I62" s="23"/>
      <c r="J62" s="21"/>
      <c r="K62" s="21"/>
      <c r="L62" s="22"/>
      <c r="M62" s="22"/>
    </row>
    <row r="63" spans="2:13" ht="15.25" hidden="1" customHeight="1">
      <c r="B63" s="23"/>
      <c r="C63" s="21"/>
      <c r="D63" s="21"/>
      <c r="E63" s="22"/>
      <c r="F63" s="22"/>
      <c r="I63" s="23"/>
      <c r="J63" s="21"/>
      <c r="K63" s="21"/>
      <c r="L63" s="22"/>
      <c r="M63" s="22"/>
    </row>
    <row r="64" spans="2:13" ht="15.25" hidden="1" customHeight="1">
      <c r="B64" s="23"/>
      <c r="C64" s="21"/>
      <c r="D64" s="21"/>
      <c r="E64" s="22"/>
      <c r="F64" s="22"/>
      <c r="I64" s="23"/>
      <c r="J64" s="21"/>
      <c r="K64" s="21"/>
      <c r="L64" s="22"/>
      <c r="M64" s="22"/>
    </row>
    <row r="65" spans="2:15" ht="15.25" hidden="1" customHeight="1">
      <c r="B65" s="23"/>
      <c r="C65" s="21"/>
      <c r="D65" s="21"/>
      <c r="E65" s="22"/>
      <c r="F65" s="22"/>
      <c r="I65" s="23"/>
      <c r="J65" s="21"/>
      <c r="K65" s="21"/>
      <c r="L65" s="22"/>
      <c r="M65" s="22"/>
    </row>
    <row r="66" spans="2:15" ht="15.25" hidden="1" customHeight="1">
      <c r="B66" s="23"/>
      <c r="C66" s="21"/>
      <c r="D66" s="21"/>
      <c r="E66" s="22"/>
      <c r="F66" s="22"/>
      <c r="I66" s="23"/>
      <c r="J66" s="21"/>
      <c r="K66" s="21"/>
      <c r="L66" s="22"/>
      <c r="M66" s="22"/>
    </row>
    <row r="67" spans="2:15" ht="15.25" hidden="1" customHeight="1">
      <c r="B67" s="23"/>
      <c r="C67" s="21"/>
      <c r="D67" s="21"/>
      <c r="E67" s="22"/>
      <c r="F67" s="22"/>
      <c r="I67" s="23"/>
      <c r="J67" s="21"/>
      <c r="K67" s="21"/>
      <c r="L67" s="22"/>
      <c r="M67" s="22"/>
    </row>
    <row r="68" spans="2:15" ht="15.25" hidden="1" customHeight="1">
      <c r="B68" s="18"/>
      <c r="C68" s="21"/>
      <c r="D68" s="21"/>
      <c r="E68" s="22"/>
      <c r="F68" s="22"/>
      <c r="I68" s="18"/>
      <c r="J68" s="21"/>
      <c r="K68" s="21"/>
      <c r="L68" s="22"/>
      <c r="M68" s="22"/>
    </row>
    <row r="69" spans="2:15" ht="15.25" hidden="1" customHeight="1">
      <c r="B69" s="23"/>
      <c r="C69" s="21"/>
      <c r="D69" s="21"/>
      <c r="E69" s="22"/>
      <c r="F69" s="22"/>
      <c r="I69" s="23"/>
      <c r="J69" s="21"/>
      <c r="K69" s="21"/>
      <c r="L69" s="22"/>
      <c r="M69" s="22"/>
    </row>
    <row r="70" spans="2:15" ht="15.25" hidden="1" customHeight="1">
      <c r="B70" s="23"/>
      <c r="C70" s="21"/>
      <c r="D70" s="21"/>
      <c r="E70" s="22"/>
      <c r="F70" s="22"/>
      <c r="I70" s="23"/>
      <c r="J70" s="21"/>
      <c r="K70" s="21"/>
      <c r="L70" s="22"/>
      <c r="M70" s="22"/>
    </row>
    <row r="71" spans="2:15" ht="15.25" customHeight="1">
      <c r="B71" s="23" t="s">
        <v>35</v>
      </c>
      <c r="C71" s="21">
        <v>45415</v>
      </c>
      <c r="D71" s="21" t="s">
        <v>11</v>
      </c>
      <c r="E71" s="22"/>
      <c r="F71" s="22">
        <v>16750.580000000002</v>
      </c>
      <c r="I71" s="23" t="s">
        <v>268</v>
      </c>
      <c r="J71" s="21">
        <v>45384</v>
      </c>
      <c r="K71" s="21" t="s">
        <v>12</v>
      </c>
      <c r="L71" s="22">
        <v>-42314.8</v>
      </c>
      <c r="M71" s="22"/>
    </row>
    <row r="72" spans="2:15" ht="33" customHeight="1">
      <c r="B72" s="23" t="s">
        <v>318</v>
      </c>
      <c r="C72" s="21">
        <v>45421</v>
      </c>
      <c r="D72" s="21" t="s">
        <v>11</v>
      </c>
      <c r="E72" s="22">
        <v>-45000</v>
      </c>
      <c r="F72" s="22"/>
      <c r="I72" s="27" t="s">
        <v>269</v>
      </c>
      <c r="J72" s="21">
        <v>45384</v>
      </c>
      <c r="K72" s="21" t="s">
        <v>12</v>
      </c>
      <c r="L72" s="22">
        <v>-23000</v>
      </c>
      <c r="M72" s="22"/>
    </row>
    <row r="73" spans="2:15" ht="15.25" customHeight="1">
      <c r="B73" s="23" t="s">
        <v>319</v>
      </c>
      <c r="C73" s="21">
        <v>45435</v>
      </c>
      <c r="D73" s="21" t="s">
        <v>11</v>
      </c>
      <c r="E73" s="22">
        <v>-5000</v>
      </c>
      <c r="F73" s="22"/>
      <c r="I73" s="23" t="s">
        <v>259</v>
      </c>
      <c r="J73" s="21">
        <v>45384</v>
      </c>
      <c r="K73" s="21" t="s">
        <v>12</v>
      </c>
      <c r="L73" s="22">
        <v>-65</v>
      </c>
      <c r="M73" s="22"/>
    </row>
    <row r="74" spans="2:15" ht="15.25" customHeight="1">
      <c r="B74" s="23" t="s">
        <v>327</v>
      </c>
      <c r="C74" s="21">
        <v>45437</v>
      </c>
      <c r="D74" s="21" t="s">
        <v>11</v>
      </c>
      <c r="E74" s="22">
        <v>-2500</v>
      </c>
      <c r="F74" s="22"/>
      <c r="I74" s="23" t="s">
        <v>270</v>
      </c>
      <c r="J74" s="21">
        <v>45385</v>
      </c>
      <c r="K74" s="21" t="s">
        <v>12</v>
      </c>
      <c r="L74" s="22">
        <v>-1428.3</v>
      </c>
      <c r="M74" s="22"/>
    </row>
    <row r="75" spans="2:15" ht="15.25" customHeight="1">
      <c r="B75" s="23" t="s">
        <v>320</v>
      </c>
      <c r="C75" s="21">
        <v>45439</v>
      </c>
      <c r="D75" s="21" t="s">
        <v>11</v>
      </c>
      <c r="E75" s="22">
        <v>-2500</v>
      </c>
      <c r="F75" s="22"/>
      <c r="I75" s="23" t="s">
        <v>271</v>
      </c>
      <c r="J75" s="21">
        <v>45385</v>
      </c>
      <c r="K75" s="21" t="s">
        <v>12</v>
      </c>
      <c r="L75" s="22">
        <v>-3600</v>
      </c>
      <c r="M75" s="22"/>
    </row>
    <row r="76" spans="2:15" ht="15.25" customHeight="1">
      <c r="B76" s="18" t="s">
        <v>29</v>
      </c>
      <c r="C76" s="21">
        <v>45449</v>
      </c>
      <c r="D76" s="21" t="s">
        <v>11</v>
      </c>
      <c r="E76" s="22"/>
      <c r="F76" s="22">
        <v>18773.599999999999</v>
      </c>
      <c r="I76" s="23" t="s">
        <v>275</v>
      </c>
      <c r="J76" s="21">
        <v>45387</v>
      </c>
      <c r="K76" s="21" t="s">
        <v>12</v>
      </c>
      <c r="L76" s="22">
        <v>-1000</v>
      </c>
      <c r="M76" s="22"/>
    </row>
    <row r="77" spans="2:15" ht="15.25" customHeight="1">
      <c r="B77" s="389" t="s">
        <v>331</v>
      </c>
      <c r="C77" s="21">
        <v>45450</v>
      </c>
      <c r="D77" s="21" t="s">
        <v>11</v>
      </c>
      <c r="E77" s="22">
        <v>-10000</v>
      </c>
      <c r="F77" s="22"/>
      <c r="I77" s="23" t="s">
        <v>18</v>
      </c>
      <c r="J77" s="21">
        <v>45387</v>
      </c>
      <c r="K77" s="21" t="s">
        <v>12</v>
      </c>
      <c r="L77" s="22">
        <v>-103.37</v>
      </c>
      <c r="M77" s="22"/>
    </row>
    <row r="78" spans="2:15" ht="15.25" customHeight="1">
      <c r="B78" s="389" t="s">
        <v>338</v>
      </c>
      <c r="C78" s="21">
        <v>45453</v>
      </c>
      <c r="D78" s="21" t="s">
        <v>11</v>
      </c>
      <c r="E78" s="22">
        <v>-3000</v>
      </c>
      <c r="F78" s="22"/>
      <c r="I78" s="369" t="s">
        <v>277</v>
      </c>
      <c r="J78" s="370">
        <v>45387</v>
      </c>
      <c r="K78" s="370" t="s">
        <v>12</v>
      </c>
      <c r="L78" s="371">
        <v>-2265</v>
      </c>
      <c r="M78" s="22"/>
      <c r="O78" s="36"/>
    </row>
    <row r="79" spans="2:15" ht="15.25" customHeight="1">
      <c r="B79" s="389" t="s">
        <v>337</v>
      </c>
      <c r="C79" s="21">
        <v>45455</v>
      </c>
      <c r="D79" s="21" t="s">
        <v>11</v>
      </c>
      <c r="E79" s="22">
        <v>-3886</v>
      </c>
      <c r="F79" s="22"/>
      <c r="I79" s="23" t="s">
        <v>275</v>
      </c>
      <c r="J79" s="21">
        <v>45394</v>
      </c>
      <c r="K79" s="21" t="s">
        <v>12</v>
      </c>
      <c r="L79" s="22">
        <v>-1000</v>
      </c>
      <c r="M79" s="22"/>
    </row>
    <row r="80" spans="2:15" ht="15.25" customHeight="1">
      <c r="B80" s="18" t="s">
        <v>29</v>
      </c>
      <c r="C80" s="21">
        <v>45460</v>
      </c>
      <c r="D80" s="21" t="s">
        <v>11</v>
      </c>
      <c r="E80" s="22"/>
      <c r="F80" s="22">
        <v>15000</v>
      </c>
      <c r="I80" s="23" t="s">
        <v>18</v>
      </c>
      <c r="J80" s="21">
        <v>45394</v>
      </c>
      <c r="K80" s="21" t="s">
        <v>12</v>
      </c>
      <c r="L80" s="22">
        <v>1.5</v>
      </c>
      <c r="M80" s="22"/>
    </row>
    <row r="81" spans="2:13" ht="15.25" customHeight="1">
      <c r="B81" s="18" t="s">
        <v>349</v>
      </c>
      <c r="C81" s="21">
        <v>45469</v>
      </c>
      <c r="D81" s="21" t="s">
        <v>11</v>
      </c>
      <c r="E81" s="22">
        <v>-2000</v>
      </c>
      <c r="F81" s="22"/>
      <c r="I81" s="23"/>
      <c r="J81" s="21"/>
      <c r="K81" s="21"/>
      <c r="L81" s="22"/>
      <c r="M81" s="22"/>
    </row>
    <row r="82" spans="2:13" ht="15.25" customHeight="1">
      <c r="B82" s="18" t="s">
        <v>29</v>
      </c>
      <c r="C82" s="21">
        <v>45467</v>
      </c>
      <c r="D82" s="21" t="s">
        <v>11</v>
      </c>
      <c r="E82" s="22"/>
      <c r="F82" s="22">
        <v>10000</v>
      </c>
      <c r="I82" s="369" t="s">
        <v>279</v>
      </c>
      <c r="J82" s="370">
        <v>45394</v>
      </c>
      <c r="K82" s="370" t="s">
        <v>12</v>
      </c>
      <c r="L82" s="371">
        <v>-8550</v>
      </c>
      <c r="M82" s="22"/>
    </row>
    <row r="83" spans="2:13" ht="15.25" customHeight="1">
      <c r="B83" s="23" t="s">
        <v>358</v>
      </c>
      <c r="C83" s="21">
        <v>45467</v>
      </c>
      <c r="D83" s="21" t="s">
        <v>11</v>
      </c>
      <c r="E83" s="22">
        <v>-12000</v>
      </c>
      <c r="F83" s="22"/>
      <c r="I83" s="23" t="s">
        <v>281</v>
      </c>
      <c r="J83" s="21">
        <v>45397</v>
      </c>
      <c r="K83" s="21" t="s">
        <v>12</v>
      </c>
      <c r="L83" s="22">
        <v>-1000</v>
      </c>
      <c r="M83" s="22"/>
    </row>
    <row r="84" spans="2:13" ht="15.25" customHeight="1">
      <c r="B84" s="23" t="s">
        <v>350</v>
      </c>
      <c r="C84" s="21">
        <v>45469</v>
      </c>
      <c r="D84" s="21" t="s">
        <v>11</v>
      </c>
      <c r="E84" s="22">
        <v>-1000</v>
      </c>
      <c r="F84" s="22"/>
      <c r="I84" s="23" t="s">
        <v>282</v>
      </c>
      <c r="J84" s="21">
        <v>45397</v>
      </c>
      <c r="K84" s="21" t="s">
        <v>12</v>
      </c>
      <c r="L84" s="22">
        <v>-32318</v>
      </c>
      <c r="M84" s="22"/>
    </row>
    <row r="85" spans="2:13" ht="15.25" customHeight="1">
      <c r="B85" s="23"/>
      <c r="C85" s="21"/>
      <c r="D85" s="21"/>
      <c r="E85" s="22"/>
      <c r="F85" s="22"/>
      <c r="I85" s="23" t="s">
        <v>292</v>
      </c>
      <c r="J85" s="21">
        <v>45400</v>
      </c>
      <c r="K85" s="21" t="s">
        <v>12</v>
      </c>
      <c r="L85" s="22">
        <v>-55</v>
      </c>
      <c r="M85" s="22"/>
    </row>
    <row r="86" spans="2:13" ht="15.25" customHeight="1">
      <c r="B86" s="23"/>
      <c r="C86" s="21"/>
      <c r="D86" s="21"/>
      <c r="E86" s="22"/>
      <c r="F86" s="22"/>
      <c r="I86" s="23" t="s">
        <v>18</v>
      </c>
      <c r="J86" s="21">
        <v>45401</v>
      </c>
      <c r="K86" s="21" t="s">
        <v>12</v>
      </c>
      <c r="L86" s="22">
        <v>-51.48</v>
      </c>
      <c r="M86" s="22"/>
    </row>
    <row r="87" spans="2:13" ht="15.25" customHeight="1">
      <c r="B87" s="23"/>
      <c r="C87" s="21"/>
      <c r="D87" s="21"/>
      <c r="E87" s="22"/>
      <c r="F87" s="22"/>
      <c r="I87" s="23" t="s">
        <v>281</v>
      </c>
      <c r="J87" s="21">
        <v>45407</v>
      </c>
      <c r="K87" s="21" t="s">
        <v>12</v>
      </c>
      <c r="L87" s="22">
        <v>-1000</v>
      </c>
      <c r="M87" s="22"/>
    </row>
    <row r="88" spans="2:13" ht="15.25" customHeight="1">
      <c r="B88" s="23"/>
      <c r="C88" s="21"/>
      <c r="D88" s="21"/>
      <c r="E88" s="22"/>
      <c r="F88" s="22"/>
      <c r="I88" s="23" t="s">
        <v>293</v>
      </c>
      <c r="J88" s="21">
        <v>45407</v>
      </c>
      <c r="K88" s="21" t="s">
        <v>12</v>
      </c>
      <c r="L88" s="22">
        <v>-2775</v>
      </c>
      <c r="M88" s="22"/>
    </row>
    <row r="89" spans="2:13" ht="15.25" customHeight="1">
      <c r="B89" s="23"/>
      <c r="C89" s="21"/>
      <c r="D89" s="21"/>
      <c r="E89" s="22"/>
      <c r="F89" s="22"/>
      <c r="I89" s="23" t="s">
        <v>18</v>
      </c>
      <c r="J89" s="21">
        <v>45408</v>
      </c>
      <c r="K89" s="21" t="s">
        <v>12</v>
      </c>
      <c r="L89" s="374">
        <v>-5.66</v>
      </c>
      <c r="M89" s="22"/>
    </row>
    <row r="90" spans="2:13" ht="15.25" customHeight="1">
      <c r="B90" s="23"/>
      <c r="C90" s="21"/>
      <c r="D90" s="21"/>
      <c r="E90" s="22"/>
      <c r="F90" s="22"/>
      <c r="I90" s="18" t="s">
        <v>40</v>
      </c>
      <c r="J90" s="21">
        <v>45411</v>
      </c>
      <c r="K90" s="21" t="s">
        <v>12</v>
      </c>
      <c r="L90" s="22"/>
      <c r="M90" s="22">
        <v>53225.89</v>
      </c>
    </row>
    <row r="91" spans="2:13" ht="15.25" customHeight="1">
      <c r="B91" s="23"/>
      <c r="C91" s="21"/>
      <c r="D91" s="21"/>
      <c r="E91" s="22"/>
      <c r="F91" s="22"/>
      <c r="I91" s="23" t="s">
        <v>38</v>
      </c>
      <c r="J91" s="21">
        <v>45412</v>
      </c>
      <c r="K91" s="21" t="s">
        <v>12</v>
      </c>
      <c r="L91" s="22"/>
      <c r="M91" s="22">
        <v>33871.61</v>
      </c>
    </row>
    <row r="92" spans="2:13" ht="15.25" customHeight="1">
      <c r="B92" s="23"/>
      <c r="C92" s="21"/>
      <c r="D92" s="21"/>
      <c r="E92" s="22"/>
      <c r="F92" s="22"/>
      <c r="I92" s="23" t="s">
        <v>281</v>
      </c>
      <c r="J92" s="21">
        <v>45412</v>
      </c>
      <c r="K92" s="21" t="s">
        <v>12</v>
      </c>
      <c r="L92" s="374">
        <v>-1000</v>
      </c>
      <c r="M92" s="22"/>
    </row>
    <row r="93" spans="2:13" ht="15.25" customHeight="1">
      <c r="B93" s="23"/>
      <c r="C93" s="21"/>
      <c r="D93" s="21"/>
      <c r="E93" s="22"/>
      <c r="F93" s="22"/>
      <c r="I93" s="23" t="s">
        <v>281</v>
      </c>
      <c r="J93" s="21">
        <v>45413</v>
      </c>
      <c r="K93" s="21" t="s">
        <v>12</v>
      </c>
      <c r="L93" s="374">
        <v>-1000</v>
      </c>
      <c r="M93" s="22"/>
    </row>
    <row r="94" spans="2:13" ht="15.25" customHeight="1">
      <c r="B94" s="23"/>
      <c r="C94" s="21"/>
      <c r="D94" s="21"/>
      <c r="E94" s="22"/>
      <c r="F94" s="22"/>
      <c r="I94" s="23" t="s">
        <v>302</v>
      </c>
      <c r="J94" s="21">
        <v>45413</v>
      </c>
      <c r="K94" s="21" t="s">
        <v>12</v>
      </c>
      <c r="L94" s="374">
        <v>-65</v>
      </c>
      <c r="M94" s="22"/>
    </row>
    <row r="95" spans="2:13" ht="15.25" customHeight="1">
      <c r="B95" s="23"/>
      <c r="C95" s="21"/>
      <c r="D95" s="21"/>
      <c r="E95" s="22"/>
      <c r="F95" s="22"/>
      <c r="I95" s="23" t="s">
        <v>18</v>
      </c>
      <c r="J95" s="283">
        <v>45415</v>
      </c>
      <c r="K95" s="21" t="s">
        <v>12</v>
      </c>
      <c r="L95" s="374">
        <v>-3</v>
      </c>
      <c r="M95" s="22"/>
    </row>
    <row r="96" spans="2:13" ht="15.25" customHeight="1">
      <c r="B96" s="23"/>
      <c r="C96" s="21"/>
      <c r="D96" s="21"/>
      <c r="E96" s="22"/>
      <c r="F96" s="22"/>
      <c r="I96" s="23" t="s">
        <v>311</v>
      </c>
      <c r="J96" s="283">
        <v>45418</v>
      </c>
      <c r="K96" s="21" t="s">
        <v>12</v>
      </c>
      <c r="L96" s="374">
        <v>-949.9</v>
      </c>
      <c r="M96" s="22"/>
    </row>
    <row r="97" spans="2:15" ht="15.25" customHeight="1">
      <c r="B97" s="23"/>
      <c r="C97" s="21"/>
      <c r="D97" s="21"/>
      <c r="E97" s="22"/>
      <c r="F97" s="22"/>
      <c r="I97" s="23" t="s">
        <v>314</v>
      </c>
      <c r="J97" s="52">
        <v>45418</v>
      </c>
      <c r="K97" s="21" t="s">
        <v>12</v>
      </c>
      <c r="L97" s="403">
        <v>-3600</v>
      </c>
      <c r="M97" s="22"/>
    </row>
    <row r="98" spans="2:15" ht="15.25" customHeight="1">
      <c r="B98" s="23"/>
      <c r="C98" s="21"/>
      <c r="D98" s="21"/>
      <c r="E98" s="22"/>
      <c r="F98" s="22"/>
      <c r="I98" s="23" t="s">
        <v>18</v>
      </c>
      <c r="J98" s="52">
        <v>45422</v>
      </c>
      <c r="K98" s="21" t="s">
        <v>12</v>
      </c>
      <c r="L98" s="403">
        <v>-5.4</v>
      </c>
      <c r="M98" s="22"/>
    </row>
    <row r="99" spans="2:15" ht="15.25" customHeight="1">
      <c r="B99" s="23"/>
      <c r="C99" s="21"/>
      <c r="D99" s="21"/>
      <c r="E99" s="22"/>
      <c r="F99" s="22"/>
      <c r="I99" s="23" t="s">
        <v>18</v>
      </c>
      <c r="J99" s="52">
        <v>45433</v>
      </c>
      <c r="K99" s="21" t="s">
        <v>12</v>
      </c>
      <c r="L99" s="403">
        <v>-55</v>
      </c>
      <c r="M99" s="22"/>
      <c r="O99" s="36"/>
    </row>
    <row r="100" spans="2:15" ht="15.25" customHeight="1">
      <c r="B100" s="23"/>
      <c r="C100" s="21"/>
      <c r="D100" s="21"/>
      <c r="E100" s="22"/>
      <c r="F100" s="22"/>
      <c r="I100" s="23" t="s">
        <v>281</v>
      </c>
      <c r="J100" s="52">
        <v>45437</v>
      </c>
      <c r="K100" s="21" t="s">
        <v>12</v>
      </c>
      <c r="L100" s="403">
        <v>-1000</v>
      </c>
      <c r="M100" s="22"/>
    </row>
    <row r="101" spans="2:15" ht="15.25" customHeight="1">
      <c r="B101" s="23"/>
      <c r="C101" s="21"/>
      <c r="D101" s="21"/>
      <c r="E101" s="22"/>
      <c r="F101" s="22"/>
      <c r="I101" s="389" t="s">
        <v>333</v>
      </c>
      <c r="J101" s="52">
        <v>45439</v>
      </c>
      <c r="K101" s="21" t="s">
        <v>12</v>
      </c>
      <c r="L101" s="387">
        <v>-16931.400000000001</v>
      </c>
      <c r="M101" s="22"/>
    </row>
    <row r="102" spans="2:15" ht="15.25" customHeight="1">
      <c r="B102" s="23"/>
      <c r="C102" s="21"/>
      <c r="D102" s="21"/>
      <c r="E102" s="22"/>
      <c r="F102" s="22"/>
      <c r="I102" s="389" t="s">
        <v>330</v>
      </c>
      <c r="J102" s="52">
        <v>45440</v>
      </c>
      <c r="K102" s="21" t="s">
        <v>12</v>
      </c>
      <c r="L102" s="387">
        <v>-8000</v>
      </c>
      <c r="M102" s="22"/>
    </row>
    <row r="103" spans="2:15" ht="15.25" customHeight="1">
      <c r="B103" s="23"/>
      <c r="C103" s="21"/>
      <c r="D103" s="21"/>
      <c r="E103" s="22"/>
      <c r="F103" s="22"/>
      <c r="I103" s="407" t="s">
        <v>18</v>
      </c>
      <c r="J103" s="2">
        <v>45443</v>
      </c>
      <c r="K103" s="21" t="s">
        <v>12</v>
      </c>
      <c r="L103" s="3">
        <v>-1.5</v>
      </c>
      <c r="M103" s="22"/>
    </row>
    <row r="104" spans="2:15" ht="15.25" customHeight="1">
      <c r="B104" s="23"/>
      <c r="C104" s="21"/>
      <c r="D104" s="21"/>
      <c r="E104" s="22"/>
      <c r="F104" s="22"/>
      <c r="I104" s="401" t="s">
        <v>259</v>
      </c>
      <c r="J104" s="2">
        <v>45446</v>
      </c>
      <c r="K104" s="21" t="s">
        <v>12</v>
      </c>
      <c r="L104" s="3">
        <v>-65</v>
      </c>
      <c r="M104" s="22"/>
      <c r="O104" s="36"/>
    </row>
    <row r="105" spans="2:15" ht="15.25" customHeight="1">
      <c r="B105" s="23"/>
      <c r="C105" s="21"/>
      <c r="D105" s="21"/>
      <c r="E105" s="22"/>
      <c r="F105" s="22"/>
      <c r="I105" s="401" t="s">
        <v>329</v>
      </c>
      <c r="J105" s="52">
        <v>45449</v>
      </c>
      <c r="K105" s="21" t="s">
        <v>12</v>
      </c>
      <c r="L105" s="403">
        <v>-15000</v>
      </c>
      <c r="M105" s="22"/>
    </row>
    <row r="106" spans="2:15" ht="15.25" customHeight="1">
      <c r="B106" s="23"/>
      <c r="C106" s="21"/>
      <c r="D106" s="21"/>
      <c r="E106" s="22"/>
      <c r="F106" s="22"/>
      <c r="I106" s="23" t="s">
        <v>34</v>
      </c>
      <c r="J106" s="52">
        <v>45449</v>
      </c>
      <c r="K106" s="21" t="s">
        <v>12</v>
      </c>
      <c r="L106" s="403">
        <v>-18773.599999999999</v>
      </c>
      <c r="M106" s="22"/>
    </row>
    <row r="107" spans="2:15" ht="15.25" customHeight="1">
      <c r="B107" s="23"/>
      <c r="C107" s="21"/>
      <c r="D107" s="21"/>
      <c r="E107" s="22"/>
      <c r="F107" s="22"/>
      <c r="I107" s="23" t="s">
        <v>339</v>
      </c>
      <c r="J107" s="52">
        <v>45455</v>
      </c>
      <c r="K107" s="21" t="s">
        <v>12</v>
      </c>
      <c r="L107" s="403">
        <v>-1000</v>
      </c>
      <c r="M107" s="22"/>
    </row>
    <row r="108" spans="2:15" ht="15.25" customHeight="1">
      <c r="B108" s="23"/>
      <c r="C108" s="21"/>
      <c r="D108" s="21"/>
      <c r="E108" s="22"/>
      <c r="F108" s="22"/>
      <c r="I108" s="23" t="s">
        <v>342</v>
      </c>
      <c r="J108" s="52">
        <v>45455</v>
      </c>
      <c r="K108" s="21" t="s">
        <v>12</v>
      </c>
      <c r="L108" s="403">
        <v>-3600</v>
      </c>
      <c r="M108" s="22"/>
    </row>
    <row r="109" spans="2:15" ht="15.25" customHeight="1">
      <c r="B109" s="23"/>
      <c r="C109" s="21"/>
      <c r="D109" s="21"/>
      <c r="E109" s="22"/>
      <c r="F109" s="22"/>
      <c r="I109" s="23" t="s">
        <v>343</v>
      </c>
      <c r="J109" s="25">
        <v>45455</v>
      </c>
      <c r="K109" s="21" t="s">
        <v>12</v>
      </c>
      <c r="L109" s="403">
        <v>-748.07</v>
      </c>
      <c r="M109" s="22"/>
    </row>
    <row r="110" spans="2:15" ht="15.25" customHeight="1">
      <c r="B110" s="23"/>
      <c r="C110" s="21"/>
      <c r="D110" s="21"/>
      <c r="E110" s="22"/>
      <c r="F110" s="22"/>
      <c r="I110" s="402" t="s">
        <v>18</v>
      </c>
      <c r="J110" s="25">
        <v>45457</v>
      </c>
      <c r="K110" s="21" t="s">
        <v>12</v>
      </c>
      <c r="L110" s="403">
        <v>-6.9</v>
      </c>
      <c r="M110" s="22"/>
    </row>
    <row r="111" spans="2:15" ht="15.25" customHeight="1">
      <c r="B111" s="23"/>
      <c r="C111" s="21"/>
      <c r="D111" s="21"/>
      <c r="E111" s="22"/>
      <c r="F111" s="22"/>
      <c r="I111" s="23" t="s">
        <v>34</v>
      </c>
      <c r="J111" s="25">
        <v>45460</v>
      </c>
      <c r="K111" s="21" t="s">
        <v>12</v>
      </c>
      <c r="L111" s="403">
        <v>-15000</v>
      </c>
      <c r="M111" s="22"/>
    </row>
    <row r="112" spans="2:15" ht="15.25" customHeight="1">
      <c r="B112" s="23"/>
      <c r="C112" s="21"/>
      <c r="D112" s="21"/>
      <c r="E112" s="22"/>
      <c r="F112" s="22"/>
      <c r="I112" s="402" t="s">
        <v>18</v>
      </c>
      <c r="J112" s="21">
        <v>45461</v>
      </c>
      <c r="K112" s="21" t="s">
        <v>12</v>
      </c>
      <c r="L112" s="374">
        <v>-55</v>
      </c>
      <c r="M112" s="22"/>
    </row>
    <row r="113" spans="2:13" ht="15.25" customHeight="1">
      <c r="B113" s="23"/>
      <c r="C113" s="21"/>
      <c r="D113" s="21"/>
      <c r="E113" s="22"/>
      <c r="F113" s="22"/>
      <c r="I113" s="23" t="s">
        <v>34</v>
      </c>
      <c r="J113" s="21">
        <v>45467</v>
      </c>
      <c r="K113" s="21" t="s">
        <v>12</v>
      </c>
      <c r="L113" s="374">
        <v>-10000</v>
      </c>
      <c r="M113" s="22"/>
    </row>
    <row r="114" spans="2:13" ht="15.25" customHeight="1">
      <c r="B114" s="23"/>
      <c r="C114" s="21"/>
      <c r="D114" s="21"/>
      <c r="E114" s="22"/>
      <c r="F114" s="22"/>
      <c r="I114" s="23" t="s">
        <v>352</v>
      </c>
      <c r="J114" s="21">
        <v>45474</v>
      </c>
      <c r="K114" s="21" t="s">
        <v>12</v>
      </c>
      <c r="L114" s="374">
        <v>-1000</v>
      </c>
      <c r="M114" s="22"/>
    </row>
    <row r="115" spans="2:13" ht="15.25" customHeight="1">
      <c r="B115" s="23"/>
      <c r="C115" s="21"/>
      <c r="D115" s="21"/>
      <c r="E115" s="22"/>
      <c r="F115" s="22"/>
      <c r="I115" s="23"/>
      <c r="J115" s="21"/>
      <c r="K115" s="21"/>
      <c r="L115" s="374"/>
      <c r="M115" s="22"/>
    </row>
    <row r="116" spans="2:13" ht="15.25" customHeight="1">
      <c r="B116" s="28"/>
      <c r="C116" s="29"/>
      <c r="D116" s="29"/>
      <c r="E116" s="30"/>
      <c r="F116" s="30"/>
      <c r="I116" s="23"/>
      <c r="J116" s="21"/>
      <c r="K116" s="21"/>
      <c r="L116" s="374"/>
      <c r="M116" s="22"/>
    </row>
    <row r="117" spans="2:13" s="31" customFormat="1" ht="15.25" customHeight="1">
      <c r="B117" s="32"/>
      <c r="C117" s="33"/>
      <c r="D117" s="34" t="s">
        <v>56</v>
      </c>
      <c r="E117" s="35">
        <f>SUBTOTAL(109,E10:E116)</f>
        <v>-288013.23</v>
      </c>
      <c r="F117" s="35">
        <f>SUBTOTAL(109,F10:F116)</f>
        <v>291126.88999999996</v>
      </c>
      <c r="I117" s="32"/>
      <c r="J117" s="33"/>
      <c r="K117" s="34" t="s">
        <v>56</v>
      </c>
      <c r="L117" s="35">
        <f>SUBTOTAL(109,L10:L116)</f>
        <v>-558035.2699999999</v>
      </c>
      <c r="M117" s="35">
        <f>SUBTOTAL(109,M10:M116)</f>
        <v>636150.12</v>
      </c>
    </row>
    <row r="118" spans="2:13" ht="15.25" customHeight="1">
      <c r="E118" s="36"/>
      <c r="F118" s="36"/>
      <c r="L118" s="36"/>
      <c r="M118" s="36"/>
    </row>
    <row r="119" spans="2:13" ht="15.25" customHeight="1">
      <c r="B119" s="32" t="s">
        <v>57</v>
      </c>
      <c r="E119" s="37">
        <f>E117</f>
        <v>-288013.23</v>
      </c>
      <c r="F119" s="36"/>
      <c r="I119" s="32" t="s">
        <v>57</v>
      </c>
      <c r="L119" s="37">
        <f>L117</f>
        <v>-558035.2699999999</v>
      </c>
      <c r="M119" s="36"/>
    </row>
    <row r="120" spans="2:13" ht="15.25" customHeight="1">
      <c r="B120" s="32" t="s">
        <v>58</v>
      </c>
      <c r="E120" s="37"/>
      <c r="F120" s="37">
        <f>F117</f>
        <v>291126.88999999996</v>
      </c>
      <c r="I120" s="32" t="s">
        <v>58</v>
      </c>
      <c r="L120" s="37"/>
      <c r="M120" s="37">
        <f>M117</f>
        <v>636150.12</v>
      </c>
    </row>
    <row r="121" spans="2:13" ht="14">
      <c r="B121" s="38" t="s">
        <v>59</v>
      </c>
      <c r="C121" s="39"/>
      <c r="D121" s="40"/>
      <c r="E121" s="41"/>
      <c r="F121" s="41">
        <f>F120+E119</f>
        <v>3113.6599999999744</v>
      </c>
      <c r="I121" s="42" t="s">
        <v>59</v>
      </c>
      <c r="J121" s="43"/>
      <c r="K121" s="44"/>
      <c r="L121" s="45"/>
      <c r="M121" s="45">
        <f>M120+L119</f>
        <v>78114.850000000093</v>
      </c>
    </row>
    <row r="122" spans="2:13" ht="14">
      <c r="B122" s="32"/>
      <c r="E122" s="46"/>
      <c r="F122" s="46"/>
      <c r="I122" s="32"/>
      <c r="L122" s="46"/>
      <c r="M122" s="46"/>
    </row>
    <row r="123" spans="2:13" ht="14">
      <c r="B123" s="47" t="s">
        <v>60</v>
      </c>
      <c r="C123" s="48">
        <v>45474</v>
      </c>
      <c r="D123" s="48"/>
      <c r="E123" s="49"/>
      <c r="F123" s="50">
        <f>M121</f>
        <v>78114.850000000093</v>
      </c>
      <c r="I123" s="51"/>
      <c r="J123" s="52"/>
      <c r="K123" s="52"/>
      <c r="L123" s="53"/>
      <c r="M123" s="53"/>
    </row>
    <row r="124" spans="2:13" ht="14">
      <c r="B124" s="54" t="s">
        <v>61</v>
      </c>
      <c r="C124" s="2">
        <v>45474</v>
      </c>
      <c r="E124" s="46"/>
      <c r="F124" s="55">
        <f>F121</f>
        <v>3113.6599999999744</v>
      </c>
      <c r="G124" s="56"/>
      <c r="I124" s="51"/>
      <c r="L124" s="46"/>
      <c r="M124" s="53"/>
    </row>
    <row r="125" spans="2:13" ht="14">
      <c r="B125" s="57"/>
      <c r="C125" s="58" t="s">
        <v>62</v>
      </c>
      <c r="D125" s="59"/>
      <c r="E125" s="60"/>
      <c r="F125" s="61">
        <f>SUM(F123:F124)</f>
        <v>81228.510000000068</v>
      </c>
      <c r="I125" s="51"/>
      <c r="J125" s="62"/>
      <c r="K125" s="63"/>
      <c r="L125" s="53"/>
      <c r="M125" s="64"/>
    </row>
    <row r="126" spans="2:13" ht="14">
      <c r="B126" s="32"/>
      <c r="E126" s="65" t="s">
        <v>63</v>
      </c>
      <c r="F126" s="66">
        <f>40530.98+40000</f>
        <v>80530.98000000001</v>
      </c>
      <c r="I126" s="32"/>
      <c r="L126" s="67"/>
      <c r="M126" s="68"/>
    </row>
    <row r="127" spans="2:13" ht="16">
      <c r="B127" s="32"/>
      <c r="E127" s="69" t="s">
        <v>64</v>
      </c>
      <c r="F127" s="70">
        <f>F125-F126</f>
        <v>697.53000000005704</v>
      </c>
      <c r="I127" s="32"/>
      <c r="L127" s="69"/>
      <c r="M127" s="70"/>
    </row>
    <row r="129" spans="2:13" ht="14">
      <c r="B129" s="71"/>
      <c r="C129" s="72"/>
      <c r="D129" s="73" t="s">
        <v>65</v>
      </c>
      <c r="E129" s="74" t="s">
        <v>66</v>
      </c>
      <c r="F129" s="75">
        <f>'A1'!F39</f>
        <v>-31884.603235182061</v>
      </c>
      <c r="G129" s="76" t="s">
        <v>298</v>
      </c>
      <c r="I129" s="77"/>
    </row>
    <row r="130" spans="2:13" ht="14">
      <c r="B130" s="78"/>
      <c r="C130" s="79"/>
      <c r="D130" s="73" t="s">
        <v>67</v>
      </c>
      <c r="E130" s="74" t="s">
        <v>68</v>
      </c>
      <c r="F130" s="75">
        <f>'A2'!F34</f>
        <v>-17672.937832213123</v>
      </c>
      <c r="G130" s="76" t="s">
        <v>298</v>
      </c>
      <c r="I130"/>
      <c r="J130" s="80"/>
      <c r="K130" s="81"/>
      <c r="L130" s="2"/>
      <c r="M130" s="82"/>
    </row>
    <row r="131" spans="2:13" ht="14">
      <c r="B131" s="78"/>
      <c r="C131" s="79"/>
      <c r="D131" s="73" t="s">
        <v>69</v>
      </c>
      <c r="E131" s="74" t="s">
        <v>70</v>
      </c>
      <c r="F131" s="75">
        <f>'A3'!F32</f>
        <v>-20855.171652568883</v>
      </c>
      <c r="G131" s="76" t="s">
        <v>298</v>
      </c>
      <c r="I131" s="83"/>
      <c r="J131" s="80"/>
      <c r="K131" s="81"/>
      <c r="L131" s="2"/>
      <c r="M131" s="82"/>
    </row>
    <row r="132" spans="2:13" ht="14">
      <c r="B132" s="78"/>
      <c r="C132" s="79"/>
      <c r="D132" s="73" t="s">
        <v>71</v>
      </c>
      <c r="E132" s="74" t="s">
        <v>72</v>
      </c>
      <c r="F132" s="75">
        <f>'A4'!F31</f>
        <v>-10590.031838964802</v>
      </c>
      <c r="G132" s="76" t="s">
        <v>298</v>
      </c>
      <c r="I132" s="83"/>
      <c r="J132" s="80"/>
      <c r="K132" s="81"/>
      <c r="L132" s="2"/>
      <c r="M132" s="82"/>
    </row>
    <row r="133" spans="2:13" ht="14">
      <c r="B133" s="84"/>
      <c r="C133" s="85"/>
      <c r="D133" s="73" t="s">
        <v>73</v>
      </c>
      <c r="E133" s="74" t="s">
        <v>74</v>
      </c>
      <c r="F133" s="75">
        <f>'A5'!F32</f>
        <v>-13023.891628488258</v>
      </c>
      <c r="G133" s="76" t="s">
        <v>298</v>
      </c>
      <c r="I133" s="86"/>
      <c r="J133" s="87"/>
      <c r="K133" s="88"/>
      <c r="L133" s="89"/>
      <c r="M133" s="82"/>
    </row>
    <row r="134" spans="2:13" ht="14">
      <c r="B134" s="84"/>
      <c r="C134" s="85"/>
      <c r="D134" s="73" t="s">
        <v>75</v>
      </c>
      <c r="E134" s="74" t="s">
        <v>76</v>
      </c>
      <c r="F134" s="372">
        <f>'A6'!F31</f>
        <v>-21445.208730967919</v>
      </c>
      <c r="G134" s="76" t="s">
        <v>298</v>
      </c>
      <c r="I134" s="86"/>
      <c r="J134" s="87"/>
      <c r="K134" s="88"/>
      <c r="L134" s="89"/>
      <c r="M134" s="82"/>
    </row>
    <row r="135" spans="2:13" ht="14">
      <c r="B135" s="84"/>
      <c r="C135" s="85"/>
      <c r="D135" s="73" t="s">
        <v>77</v>
      </c>
      <c r="E135" s="74" t="s">
        <v>78</v>
      </c>
      <c r="F135" s="75">
        <f>'A7'!F31</f>
        <v>-33699.025590660342</v>
      </c>
      <c r="G135" s="76" t="s">
        <v>298</v>
      </c>
      <c r="I135" s="86"/>
      <c r="J135" s="87"/>
      <c r="K135" s="88"/>
      <c r="L135" s="89"/>
      <c r="M135" s="82"/>
    </row>
    <row r="136" spans="2:13" ht="14">
      <c r="B136" s="90"/>
      <c r="C136" s="72"/>
      <c r="D136" s="72"/>
      <c r="E136" s="91" t="s">
        <v>79</v>
      </c>
      <c r="F136" s="92">
        <f>SUM(F129:F135)</f>
        <v>-149170.87050904537</v>
      </c>
      <c r="G136" t="s">
        <v>348</v>
      </c>
    </row>
    <row r="137" spans="2:13" ht="14">
      <c r="F137" s="93"/>
    </row>
    <row r="138" spans="2:13">
      <c r="G138" s="94"/>
    </row>
    <row r="142" spans="2:13" ht="16">
      <c r="B142" s="96"/>
      <c r="C142" s="97"/>
      <c r="D142" s="97"/>
      <c r="E142" s="98"/>
      <c r="F142" s="99"/>
    </row>
    <row r="143" spans="2:13" ht="16">
      <c r="B143" s="100"/>
      <c r="C143" s="97"/>
      <c r="D143" s="97"/>
      <c r="E143" s="98"/>
      <c r="F143" s="99"/>
    </row>
    <row r="144" spans="2:13" ht="16">
      <c r="B144" s="100"/>
      <c r="C144" s="97"/>
      <c r="D144" s="97"/>
      <c r="E144" s="98"/>
      <c r="F144" s="101"/>
    </row>
    <row r="145" spans="2:6" ht="16">
      <c r="B145" s="100"/>
      <c r="C145" s="97"/>
      <c r="D145" s="97"/>
      <c r="E145" s="102"/>
      <c r="F145" s="99"/>
    </row>
    <row r="146" spans="2:6" ht="16">
      <c r="B146" s="100"/>
      <c r="C146" s="97"/>
      <c r="D146" s="97"/>
      <c r="E146" s="103"/>
      <c r="F146" s="99"/>
    </row>
  </sheetData>
  <autoFilter ref="B9:F117" xr:uid="{00000000-0009-0000-0000-000000000000}"/>
  <mergeCells count="2">
    <mergeCell ref="A1:E1"/>
    <mergeCell ref="H1:L1"/>
  </mergeCells>
  <pageMargins left="0.78749999999999998" right="0.78749999999999998" top="1.05277777777778" bottom="1.05277777777778" header="0.78749999999999998" footer="0.78749999999999998"/>
  <pageSetup scale="32" orientation="portrait" horizontalDpi="300" verticalDpi="300" r:id="rId1"/>
  <headerFooter>
    <oddHeader>&amp;C&amp;"Times New Roman,Regular"&amp;12&amp;A</oddHeader>
    <oddFooter>&amp;C&amp;"Times New Roman,Regular"&amp;12Page &amp;P</oddFooter>
  </headerFooter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MJ176"/>
  <sheetViews>
    <sheetView zoomScaleNormal="100" workbookViewId="0">
      <selection activeCell="H140" sqref="H140"/>
    </sheetView>
  </sheetViews>
  <sheetFormatPr baseColWidth="10" defaultColWidth="12.6640625" defaultRowHeight="13"/>
  <cols>
    <col min="1" max="1" width="4.5" customWidth="1"/>
    <col min="2" max="2" width="69" style="1" customWidth="1"/>
    <col min="3" max="3" width="14.33203125" style="2" customWidth="1"/>
    <col min="4" max="4" width="15.5" style="3" customWidth="1"/>
    <col min="5" max="5" width="4.5" customWidth="1"/>
    <col min="1014" max="1024" width="11.5" customWidth="1"/>
  </cols>
  <sheetData>
    <row r="1" spans="1:1024" ht="54.5" customHeight="1">
      <c r="A1" s="397"/>
      <c r="B1" s="397"/>
      <c r="C1" s="397"/>
      <c r="D1" s="397"/>
    </row>
    <row r="3" spans="1:1024" ht="18.75" customHeight="1">
      <c r="A3" s="5" t="s">
        <v>0</v>
      </c>
      <c r="B3"/>
    </row>
    <row r="4" spans="1:1024">
      <c r="A4" s="1" t="s">
        <v>1</v>
      </c>
      <c r="B4"/>
    </row>
    <row r="6" spans="1:1024">
      <c r="B6" s="6"/>
      <c r="E6" s="7" t="s">
        <v>3</v>
      </c>
    </row>
    <row r="7" spans="1:1024" s="8" customFormat="1" ht="17.25" customHeight="1">
      <c r="B7" s="104" t="s">
        <v>80</v>
      </c>
      <c r="C7" s="105"/>
      <c r="D7" s="106"/>
      <c r="ALZ7"/>
      <c r="AMA7"/>
      <c r="AMB7"/>
      <c r="AMC7"/>
      <c r="AMD7"/>
      <c r="AME7"/>
      <c r="AMF7"/>
      <c r="AMG7"/>
      <c r="AMH7"/>
      <c r="AMI7"/>
      <c r="AMJ7"/>
    </row>
    <row r="9" spans="1:1024" ht="15.25" customHeight="1">
      <c r="B9" s="15" t="s">
        <v>81</v>
      </c>
      <c r="C9" s="107" t="s">
        <v>6</v>
      </c>
      <c r="D9" s="108" t="s">
        <v>82</v>
      </c>
    </row>
    <row r="10" spans="1:1024" ht="15.25" customHeight="1">
      <c r="B10" s="23" t="s">
        <v>83</v>
      </c>
      <c r="C10" s="19">
        <v>45296</v>
      </c>
      <c r="D10" s="109">
        <v>1500</v>
      </c>
    </row>
    <row r="11" spans="1:1024" ht="15.25" customHeight="1">
      <c r="B11" s="23" t="s">
        <v>15</v>
      </c>
      <c r="C11" s="21">
        <v>45303</v>
      </c>
      <c r="D11" s="110">
        <v>3600</v>
      </c>
    </row>
    <row r="12" spans="1:1024" ht="15.25" customHeight="1">
      <c r="B12" s="23" t="s">
        <v>51</v>
      </c>
      <c r="C12" s="21">
        <v>45359</v>
      </c>
      <c r="D12" s="110">
        <v>3600</v>
      </c>
    </row>
    <row r="13" spans="1:1024" ht="15.25" customHeight="1">
      <c r="B13" s="23" t="s">
        <v>55</v>
      </c>
      <c r="C13" s="21">
        <v>45367</v>
      </c>
      <c r="D13" s="110">
        <v>3600</v>
      </c>
    </row>
    <row r="14" spans="1:1024" ht="15.25" customHeight="1">
      <c r="B14" s="23" t="s">
        <v>265</v>
      </c>
      <c r="C14" s="21">
        <v>45385</v>
      </c>
      <c r="D14" s="110">
        <v>3600</v>
      </c>
    </row>
    <row r="15" spans="1:1024" ht="15.25" customHeight="1">
      <c r="B15" s="23" t="s">
        <v>276</v>
      </c>
      <c r="C15" s="21">
        <v>45387</v>
      </c>
      <c r="D15" s="110">
        <v>1000</v>
      </c>
    </row>
    <row r="16" spans="1:1024" ht="15.25" customHeight="1">
      <c r="B16" s="23" t="s">
        <v>83</v>
      </c>
      <c r="C16" s="21">
        <v>45394</v>
      </c>
      <c r="D16" s="110">
        <v>1000</v>
      </c>
    </row>
    <row r="17" spans="2:4" ht="15.25" customHeight="1">
      <c r="B17" s="23" t="s">
        <v>83</v>
      </c>
      <c r="C17" s="21">
        <v>45397</v>
      </c>
      <c r="D17" s="110">
        <v>1000</v>
      </c>
    </row>
    <row r="18" spans="2:4" ht="15.25" customHeight="1">
      <c r="B18" s="23" t="s">
        <v>83</v>
      </c>
      <c r="C18" s="21">
        <v>45407</v>
      </c>
      <c r="D18" s="110">
        <v>1000</v>
      </c>
    </row>
    <row r="19" spans="2:4" ht="15.25" customHeight="1">
      <c r="B19" s="23" t="s">
        <v>83</v>
      </c>
      <c r="C19" s="21">
        <v>45412</v>
      </c>
      <c r="D19" s="110">
        <v>1000</v>
      </c>
    </row>
    <row r="20" spans="2:4" ht="15.25" customHeight="1">
      <c r="B20" s="23" t="s">
        <v>83</v>
      </c>
      <c r="C20" s="21">
        <v>45413</v>
      </c>
      <c r="D20" s="110">
        <v>1000</v>
      </c>
    </row>
    <row r="21" spans="2:4" ht="15.25" customHeight="1">
      <c r="B21" s="23" t="s">
        <v>313</v>
      </c>
      <c r="C21" s="21">
        <v>45418</v>
      </c>
      <c r="D21" s="110">
        <v>3600</v>
      </c>
    </row>
    <row r="22" spans="2:4" ht="15.25" customHeight="1">
      <c r="B22" s="23" t="s">
        <v>83</v>
      </c>
      <c r="C22" s="21">
        <v>45437</v>
      </c>
      <c r="D22" s="110">
        <v>1000</v>
      </c>
    </row>
    <row r="23" spans="2:4" ht="15.25" customHeight="1">
      <c r="B23" s="23" t="s">
        <v>341</v>
      </c>
      <c r="C23" s="21">
        <v>45455</v>
      </c>
      <c r="D23" s="110">
        <v>3600</v>
      </c>
    </row>
    <row r="24" spans="2:4" ht="15.25" customHeight="1">
      <c r="B24" s="111" t="s">
        <v>84</v>
      </c>
      <c r="C24" s="107"/>
      <c r="D24" s="112">
        <f>SUM(D10:D23)</f>
        <v>30100</v>
      </c>
    </row>
    <row r="25" spans="2:4" ht="15.25" customHeight="1">
      <c r="B25" s="113"/>
    </row>
    <row r="26" spans="2:4" ht="15.25" customHeight="1">
      <c r="B26" s="15" t="s">
        <v>85</v>
      </c>
      <c r="C26" s="107" t="s">
        <v>6</v>
      </c>
      <c r="D26" s="108" t="s">
        <v>82</v>
      </c>
    </row>
    <row r="27" spans="2:4" ht="15.25" customHeight="1">
      <c r="B27" s="114" t="s">
        <v>86</v>
      </c>
      <c r="C27" s="19">
        <v>45296</v>
      </c>
      <c r="D27" s="109">
        <v>523.82000000000005</v>
      </c>
    </row>
    <row r="28" spans="2:4" ht="15.25" customHeight="1">
      <c r="B28" s="18" t="s">
        <v>87</v>
      </c>
      <c r="C28" s="21">
        <v>45331</v>
      </c>
      <c r="D28" s="110">
        <v>710.7</v>
      </c>
    </row>
    <row r="29" spans="2:4" ht="15.25" customHeight="1">
      <c r="B29" s="23" t="s">
        <v>88</v>
      </c>
      <c r="C29" s="21">
        <v>45359</v>
      </c>
      <c r="D29" s="110">
        <v>912.52</v>
      </c>
    </row>
    <row r="30" spans="2:4" ht="15.25" customHeight="1">
      <c r="B30" s="23" t="s">
        <v>264</v>
      </c>
      <c r="C30" s="21">
        <v>45385</v>
      </c>
      <c r="D30" s="110">
        <v>1428.3</v>
      </c>
    </row>
    <row r="31" spans="2:4" ht="15.25" customHeight="1">
      <c r="B31" s="23" t="s">
        <v>312</v>
      </c>
      <c r="C31" s="21">
        <v>45418</v>
      </c>
      <c r="D31" s="110">
        <v>949.9</v>
      </c>
    </row>
    <row r="32" spans="2:4" ht="15.25" customHeight="1">
      <c r="B32" s="111" t="s">
        <v>84</v>
      </c>
      <c r="C32" s="107"/>
      <c r="D32" s="112">
        <f>SUM(D27:D31)</f>
        <v>4525.24</v>
      </c>
    </row>
    <row r="33" spans="2:4" ht="15.25" customHeight="1">
      <c r="B33" s="113"/>
    </row>
    <row r="34" spans="2:4" ht="15.25" customHeight="1">
      <c r="B34" s="15" t="s">
        <v>261</v>
      </c>
      <c r="C34" s="107" t="s">
        <v>6</v>
      </c>
      <c r="D34" s="108" t="s">
        <v>82</v>
      </c>
    </row>
    <row r="35" spans="2:4" ht="15.25" customHeight="1">
      <c r="B35" s="18" t="s">
        <v>18</v>
      </c>
      <c r="C35" s="21">
        <v>45296</v>
      </c>
      <c r="D35" s="110">
        <v>2.25</v>
      </c>
    </row>
    <row r="36" spans="2:4" ht="15.25" customHeight="1">
      <c r="B36" s="18" t="s">
        <v>18</v>
      </c>
      <c r="C36" s="21">
        <v>45302</v>
      </c>
      <c r="D36" s="110">
        <v>3.21</v>
      </c>
    </row>
    <row r="37" spans="2:4" ht="15.25" customHeight="1">
      <c r="B37" s="18" t="s">
        <v>18</v>
      </c>
      <c r="C37" s="21">
        <v>45310</v>
      </c>
      <c r="D37" s="110">
        <v>9.81</v>
      </c>
    </row>
    <row r="38" spans="2:4" ht="15.25" customHeight="1">
      <c r="B38" s="115" t="s">
        <v>26</v>
      </c>
      <c r="C38" s="21">
        <v>45322</v>
      </c>
      <c r="D38" s="116">
        <v>-60.02</v>
      </c>
    </row>
    <row r="39" spans="2:4" ht="15.25" customHeight="1">
      <c r="B39" s="115" t="s">
        <v>28</v>
      </c>
      <c r="C39" s="21">
        <v>45322</v>
      </c>
      <c r="D39" s="116">
        <v>6</v>
      </c>
    </row>
    <row r="40" spans="2:4" ht="15.25" customHeight="1">
      <c r="B40" s="115" t="s">
        <v>18</v>
      </c>
      <c r="C40" s="21">
        <v>45343</v>
      </c>
      <c r="D40" s="116">
        <v>190.42</v>
      </c>
    </row>
    <row r="41" spans="2:4" ht="15.25" customHeight="1">
      <c r="B41" s="115" t="s">
        <v>18</v>
      </c>
      <c r="C41" s="21">
        <v>45343</v>
      </c>
      <c r="D41" s="116">
        <v>123.88</v>
      </c>
    </row>
    <row r="42" spans="2:4" ht="15.25" customHeight="1">
      <c r="B42" s="115" t="s">
        <v>26</v>
      </c>
      <c r="C42" s="21">
        <v>45351</v>
      </c>
      <c r="D42" s="116">
        <v>-63.95</v>
      </c>
    </row>
    <row r="43" spans="2:4" ht="15.25" customHeight="1">
      <c r="B43" s="115" t="s">
        <v>28</v>
      </c>
      <c r="C43" s="21">
        <v>45351</v>
      </c>
      <c r="D43" s="116">
        <v>6.4</v>
      </c>
    </row>
    <row r="44" spans="2:4" ht="15.25" customHeight="1">
      <c r="B44" s="115" t="s">
        <v>18</v>
      </c>
      <c r="C44" s="21">
        <v>45359</v>
      </c>
      <c r="D44" s="116">
        <v>5.4</v>
      </c>
    </row>
    <row r="45" spans="2:4" ht="15.25" customHeight="1">
      <c r="B45" s="115" t="s">
        <v>18</v>
      </c>
      <c r="C45" s="21">
        <v>45363</v>
      </c>
      <c r="D45" s="116">
        <v>19.89</v>
      </c>
    </row>
    <row r="46" spans="2:4" ht="15.25" customHeight="1">
      <c r="B46" s="115" t="s">
        <v>18</v>
      </c>
      <c r="C46" s="21">
        <v>45367</v>
      </c>
      <c r="D46" s="116">
        <v>63.47</v>
      </c>
    </row>
    <row r="47" spans="2:4" ht="15.25" customHeight="1">
      <c r="B47" s="115" t="s">
        <v>18</v>
      </c>
      <c r="C47" s="21">
        <v>45367</v>
      </c>
      <c r="D47" s="116">
        <v>41.29</v>
      </c>
    </row>
    <row r="48" spans="2:4" ht="15.25" customHeight="1">
      <c r="B48" s="115" t="s">
        <v>18</v>
      </c>
      <c r="C48" s="21">
        <v>45367</v>
      </c>
      <c r="D48" s="116">
        <v>5.4</v>
      </c>
    </row>
    <row r="49" spans="2:4" ht="15.25" customHeight="1">
      <c r="B49" s="115" t="s">
        <v>18</v>
      </c>
      <c r="C49" s="21">
        <v>45372</v>
      </c>
      <c r="D49" s="116">
        <v>10.5</v>
      </c>
    </row>
    <row r="50" spans="2:4" ht="15.25" customHeight="1">
      <c r="B50" s="23" t="s">
        <v>259</v>
      </c>
      <c r="C50" s="21">
        <v>45384</v>
      </c>
      <c r="D50" s="116">
        <v>65</v>
      </c>
    </row>
    <row r="51" spans="2:4" ht="15.25" customHeight="1">
      <c r="B51" s="23" t="s">
        <v>18</v>
      </c>
      <c r="C51" s="21">
        <v>45385</v>
      </c>
      <c r="D51" s="116">
        <v>314.11</v>
      </c>
    </row>
    <row r="52" spans="2:4" ht="15.25" customHeight="1">
      <c r="B52" s="23" t="s">
        <v>18</v>
      </c>
      <c r="C52" s="21">
        <v>45387</v>
      </c>
      <c r="D52" s="116">
        <v>103.37</v>
      </c>
    </row>
    <row r="53" spans="2:4" ht="15.25" customHeight="1">
      <c r="B53" s="23" t="s">
        <v>18</v>
      </c>
      <c r="C53" s="21">
        <v>45394</v>
      </c>
      <c r="D53" s="116">
        <v>1.5</v>
      </c>
    </row>
    <row r="54" spans="2:4" ht="15.25" customHeight="1">
      <c r="B54" s="23" t="s">
        <v>292</v>
      </c>
      <c r="C54" s="21">
        <v>45400</v>
      </c>
      <c r="D54" s="116">
        <v>55</v>
      </c>
    </row>
    <row r="55" spans="2:4" ht="15.25" customHeight="1">
      <c r="B55" s="23" t="s">
        <v>18</v>
      </c>
      <c r="C55" s="21">
        <v>45401</v>
      </c>
      <c r="D55" s="116">
        <v>51.48</v>
      </c>
    </row>
    <row r="56" spans="2:4" ht="15.25" customHeight="1">
      <c r="B56" s="23" t="s">
        <v>18</v>
      </c>
      <c r="C56" s="21">
        <v>45408</v>
      </c>
      <c r="D56" s="116">
        <v>5.66</v>
      </c>
    </row>
    <row r="57" spans="2:4" ht="15.25" customHeight="1">
      <c r="B57" s="23" t="s">
        <v>302</v>
      </c>
      <c r="C57" s="21">
        <v>45413</v>
      </c>
      <c r="D57" s="116">
        <v>65</v>
      </c>
    </row>
    <row r="58" spans="2:4" ht="15.25" customHeight="1">
      <c r="B58" s="23" t="s">
        <v>18</v>
      </c>
      <c r="C58" s="21">
        <v>45415</v>
      </c>
      <c r="D58" s="116">
        <v>3</v>
      </c>
    </row>
    <row r="59" spans="2:4" ht="15.25" customHeight="1">
      <c r="B59" s="23" t="s">
        <v>18</v>
      </c>
      <c r="C59" s="21">
        <v>45422</v>
      </c>
      <c r="D59" s="116">
        <v>5.4</v>
      </c>
    </row>
    <row r="60" spans="2:4" ht="15.25" customHeight="1">
      <c r="B60" s="23" t="s">
        <v>18</v>
      </c>
      <c r="C60" s="21">
        <v>45433</v>
      </c>
      <c r="D60" s="116">
        <v>55</v>
      </c>
    </row>
    <row r="61" spans="2:4" ht="15.25" customHeight="1">
      <c r="B61" s="23" t="s">
        <v>18</v>
      </c>
      <c r="C61" s="21">
        <v>45443</v>
      </c>
      <c r="D61" s="116">
        <v>1.5</v>
      </c>
    </row>
    <row r="62" spans="2:4" ht="15.25" customHeight="1">
      <c r="B62" s="23" t="s">
        <v>302</v>
      </c>
      <c r="C62" s="21">
        <v>45446</v>
      </c>
      <c r="D62" s="116">
        <v>65</v>
      </c>
    </row>
    <row r="63" spans="2:4" ht="15.25" customHeight="1">
      <c r="B63" s="23" t="s">
        <v>18</v>
      </c>
      <c r="C63" s="21">
        <v>45457</v>
      </c>
      <c r="D63" s="116">
        <v>6.9</v>
      </c>
    </row>
    <row r="64" spans="2:4" ht="15.25" customHeight="1">
      <c r="B64" s="23" t="s">
        <v>18</v>
      </c>
      <c r="C64" s="21">
        <v>45461</v>
      </c>
      <c r="D64" s="116">
        <v>55</v>
      </c>
    </row>
    <row r="65" spans="2:4" ht="15.25" customHeight="1">
      <c r="B65" s="23"/>
      <c r="C65" s="21"/>
      <c r="D65" s="116"/>
    </row>
    <row r="66" spans="2:4" ht="15.25" customHeight="1">
      <c r="B66" s="111" t="s">
        <v>84</v>
      </c>
      <c r="C66" s="107"/>
      <c r="D66" s="112">
        <f>SUM(D35:D64)</f>
        <v>1216.8700000000001</v>
      </c>
    </row>
    <row r="67" spans="2:4" ht="15.25" customHeight="1">
      <c r="B67" s="113"/>
    </row>
    <row r="68" spans="2:4" ht="15.25" customHeight="1">
      <c r="B68" s="15" t="s">
        <v>89</v>
      </c>
      <c r="C68" s="107" t="s">
        <v>6</v>
      </c>
      <c r="D68" s="108" t="s">
        <v>82</v>
      </c>
    </row>
    <row r="69" spans="2:4" ht="15.25" customHeight="1">
      <c r="B69" s="114" t="s">
        <v>17</v>
      </c>
      <c r="C69" s="19">
        <v>45303</v>
      </c>
      <c r="D69" s="109">
        <v>100</v>
      </c>
    </row>
    <row r="70" spans="2:4" ht="15.25" customHeight="1">
      <c r="B70" s="18" t="s">
        <v>20</v>
      </c>
      <c r="C70" s="21">
        <v>45302</v>
      </c>
      <c r="D70" s="110">
        <v>2140</v>
      </c>
    </row>
    <row r="71" spans="2:4" ht="15.25" customHeight="1">
      <c r="B71" s="23" t="s">
        <v>33</v>
      </c>
      <c r="C71" s="21">
        <v>45337</v>
      </c>
      <c r="D71" s="110">
        <v>14000</v>
      </c>
    </row>
    <row r="72" spans="2:4" ht="14">
      <c r="B72" s="27" t="s">
        <v>90</v>
      </c>
      <c r="C72" s="21">
        <v>45372</v>
      </c>
      <c r="D72" s="110">
        <v>1000</v>
      </c>
    </row>
    <row r="73" spans="2:4">
      <c r="B73" s="23" t="s">
        <v>255</v>
      </c>
      <c r="C73" s="21">
        <v>45371</v>
      </c>
      <c r="D73" s="110">
        <v>500</v>
      </c>
    </row>
    <row r="74" spans="2:4">
      <c r="B74" s="23" t="s">
        <v>257</v>
      </c>
      <c r="C74" s="21">
        <v>45377</v>
      </c>
      <c r="D74" s="110">
        <v>3000</v>
      </c>
    </row>
    <row r="75" spans="2:4">
      <c r="B75" s="23" t="s">
        <v>278</v>
      </c>
      <c r="C75" s="21">
        <v>45387</v>
      </c>
      <c r="D75" s="110">
        <v>2265</v>
      </c>
    </row>
    <row r="76" spans="2:4" ht="14">
      <c r="B76" s="27" t="s">
        <v>280</v>
      </c>
      <c r="C76" s="21">
        <v>45394</v>
      </c>
      <c r="D76" s="110">
        <v>8550</v>
      </c>
    </row>
    <row r="77" spans="2:4">
      <c r="B77" s="23" t="s">
        <v>297</v>
      </c>
      <c r="C77" s="21">
        <v>45404</v>
      </c>
      <c r="D77" s="110">
        <v>2500</v>
      </c>
    </row>
    <row r="78" spans="2:4">
      <c r="B78" s="23" t="s">
        <v>296</v>
      </c>
      <c r="C78" s="21">
        <v>45404</v>
      </c>
      <c r="D78" s="110">
        <v>7962.95</v>
      </c>
    </row>
    <row r="79" spans="2:4">
      <c r="B79" s="23" t="s">
        <v>293</v>
      </c>
      <c r="C79" s="21">
        <v>45407</v>
      </c>
      <c r="D79" s="110">
        <v>2775</v>
      </c>
    </row>
    <row r="80" spans="2:4">
      <c r="B80" s="23" t="s">
        <v>299</v>
      </c>
      <c r="C80" s="21">
        <v>45412</v>
      </c>
      <c r="D80" s="110">
        <v>3000</v>
      </c>
    </row>
    <row r="81" spans="2:4">
      <c r="B81" s="23" t="s">
        <v>301</v>
      </c>
      <c r="C81" s="21">
        <v>45413</v>
      </c>
      <c r="D81" s="110">
        <v>1772</v>
      </c>
    </row>
    <row r="82" spans="2:4">
      <c r="B82" s="23" t="s">
        <v>319</v>
      </c>
      <c r="C82" s="21">
        <v>45435</v>
      </c>
      <c r="D82" s="110">
        <v>5000</v>
      </c>
    </row>
    <row r="83" spans="2:4">
      <c r="B83" s="23" t="s">
        <v>320</v>
      </c>
      <c r="C83" s="21">
        <v>45439</v>
      </c>
      <c r="D83" s="110">
        <v>2500</v>
      </c>
    </row>
    <row r="84" spans="2:4">
      <c r="B84" s="389" t="s">
        <v>331</v>
      </c>
      <c r="C84" s="21">
        <v>45450</v>
      </c>
      <c r="D84" s="110">
        <v>10000</v>
      </c>
    </row>
    <row r="85" spans="2:4">
      <c r="B85" s="389" t="s">
        <v>338</v>
      </c>
      <c r="C85" s="21">
        <v>45453</v>
      </c>
      <c r="D85" s="22">
        <v>3000</v>
      </c>
    </row>
    <row r="86" spans="2:4">
      <c r="B86" s="389" t="s">
        <v>337</v>
      </c>
      <c r="C86" s="21">
        <v>45455</v>
      </c>
      <c r="D86" s="22">
        <v>6886</v>
      </c>
    </row>
    <row r="87" spans="2:4">
      <c r="B87" s="18" t="s">
        <v>349</v>
      </c>
      <c r="C87" s="21">
        <v>45466</v>
      </c>
      <c r="D87" s="22">
        <v>2000</v>
      </c>
    </row>
    <row r="88" spans="2:4">
      <c r="B88" s="23" t="s">
        <v>350</v>
      </c>
      <c r="C88" s="21">
        <v>45469</v>
      </c>
      <c r="D88" s="22">
        <v>1000</v>
      </c>
    </row>
    <row r="89" spans="2:4">
      <c r="B89" s="389"/>
      <c r="C89" s="21"/>
      <c r="D89" s="22"/>
    </row>
    <row r="90" spans="2:4">
      <c r="B90" s="23"/>
      <c r="C90" s="21"/>
      <c r="D90" s="110"/>
    </row>
    <row r="91" spans="2:4" ht="15.25" customHeight="1">
      <c r="B91" s="111" t="s">
        <v>84</v>
      </c>
      <c r="C91" s="107"/>
      <c r="D91" s="112">
        <f>SUM(D69:D88)</f>
        <v>79950.95</v>
      </c>
    </row>
    <row r="92" spans="2:4" ht="15.25" hidden="1" customHeight="1">
      <c r="B92" s="113"/>
    </row>
    <row r="93" spans="2:4" ht="15.25" hidden="1" customHeight="1">
      <c r="B93" s="15" t="s">
        <v>91</v>
      </c>
      <c r="C93" s="107" t="s">
        <v>6</v>
      </c>
      <c r="D93" s="108" t="s">
        <v>82</v>
      </c>
    </row>
    <row r="94" spans="2:4" ht="15.25" hidden="1" customHeight="1">
      <c r="B94" s="114" t="s">
        <v>92</v>
      </c>
      <c r="C94" s="19"/>
      <c r="D94" s="109"/>
    </row>
    <row r="95" spans="2:4" ht="15.25" hidden="1" customHeight="1">
      <c r="B95" s="111" t="s">
        <v>84</v>
      </c>
      <c r="C95" s="107"/>
      <c r="D95" s="112">
        <f>SUM(D94)</f>
        <v>0</v>
      </c>
    </row>
    <row r="96" spans="2:4" ht="15.25" customHeight="1">
      <c r="B96" s="113"/>
    </row>
    <row r="97" spans="2:4" ht="15.25" customHeight="1">
      <c r="B97" s="15" t="s">
        <v>93</v>
      </c>
      <c r="C97" s="107" t="s">
        <v>6</v>
      </c>
      <c r="D97" s="108" t="s">
        <v>82</v>
      </c>
    </row>
    <row r="98" spans="2:4" ht="15.25" customHeight="1">
      <c r="B98" s="114" t="s">
        <v>21</v>
      </c>
      <c r="C98" s="19">
        <v>45322</v>
      </c>
      <c r="D98" s="109">
        <v>1000</v>
      </c>
    </row>
    <row r="99" spans="2:4" ht="15.25" customHeight="1">
      <c r="B99" s="18" t="s">
        <v>43</v>
      </c>
      <c r="C99" s="21">
        <v>45351</v>
      </c>
      <c r="D99" s="110">
        <v>1000</v>
      </c>
    </row>
    <row r="100" spans="2:4" ht="15.25" customHeight="1">
      <c r="B100" s="23" t="s">
        <v>49</v>
      </c>
      <c r="C100" s="21">
        <v>45373</v>
      </c>
      <c r="D100" s="110">
        <v>1000</v>
      </c>
    </row>
    <row r="101" spans="2:4" ht="15.25" customHeight="1">
      <c r="B101" s="23" t="s">
        <v>305</v>
      </c>
      <c r="C101" s="21">
        <v>45404</v>
      </c>
      <c r="D101" s="110">
        <v>1500</v>
      </c>
    </row>
    <row r="102" spans="2:4" ht="15.25" customHeight="1">
      <c r="B102" s="23" t="s">
        <v>300</v>
      </c>
      <c r="C102" s="21">
        <v>45412</v>
      </c>
      <c r="D102" s="110">
        <v>1000</v>
      </c>
    </row>
    <row r="103" spans="2:4" ht="15.25" customHeight="1">
      <c r="B103" s="23" t="s">
        <v>340</v>
      </c>
      <c r="C103" s="21">
        <v>45455</v>
      </c>
      <c r="D103" s="110">
        <v>1000</v>
      </c>
    </row>
    <row r="104" spans="2:4" ht="15.25" customHeight="1">
      <c r="B104" s="23" t="s">
        <v>351</v>
      </c>
      <c r="C104" s="21">
        <v>45474</v>
      </c>
      <c r="D104" s="110">
        <v>1000</v>
      </c>
    </row>
    <row r="105" spans="2:4" ht="15.25" customHeight="1">
      <c r="B105" s="111" t="s">
        <v>84</v>
      </c>
      <c r="C105" s="107"/>
      <c r="D105" s="112">
        <f>SUM(D98:D104)</f>
        <v>7500</v>
      </c>
    </row>
    <row r="106" spans="2:4" ht="15.25" customHeight="1">
      <c r="B106" s="113"/>
    </row>
    <row r="107" spans="2:4" ht="15.25" customHeight="1">
      <c r="B107" s="15" t="s">
        <v>94</v>
      </c>
      <c r="C107" s="107" t="s">
        <v>6</v>
      </c>
      <c r="D107" s="108" t="s">
        <v>82</v>
      </c>
    </row>
    <row r="108" spans="2:4" ht="15.25" customHeight="1">
      <c r="B108" s="114" t="s">
        <v>13</v>
      </c>
      <c r="C108" s="19">
        <v>45293</v>
      </c>
      <c r="D108" s="109">
        <v>15000</v>
      </c>
    </row>
    <row r="109" spans="2:4" ht="15.25" customHeight="1">
      <c r="B109" s="18" t="s">
        <v>22</v>
      </c>
      <c r="C109" s="21">
        <v>45323</v>
      </c>
      <c r="D109" s="110">
        <v>15000</v>
      </c>
    </row>
    <row r="110" spans="2:4" ht="15.25" customHeight="1">
      <c r="B110" s="18" t="s">
        <v>45</v>
      </c>
      <c r="C110" s="21">
        <v>45352</v>
      </c>
      <c r="D110" s="110">
        <v>15000</v>
      </c>
    </row>
    <row r="111" spans="2:4" ht="15.25" customHeight="1">
      <c r="B111" s="18" t="s">
        <v>334</v>
      </c>
      <c r="C111" s="21">
        <v>45385</v>
      </c>
      <c r="D111" s="110">
        <v>15000</v>
      </c>
    </row>
    <row r="112" spans="2:4" ht="15.25" customHeight="1">
      <c r="B112" s="23" t="s">
        <v>294</v>
      </c>
      <c r="C112" s="21">
        <v>45397</v>
      </c>
      <c r="D112" s="110">
        <v>32318</v>
      </c>
    </row>
    <row r="113" spans="2:4" ht="15.25" customHeight="1">
      <c r="B113" s="18" t="s">
        <v>335</v>
      </c>
      <c r="C113" s="21">
        <v>45449</v>
      </c>
      <c r="D113" s="110">
        <v>15000</v>
      </c>
    </row>
    <row r="114" spans="2:4" ht="15.25" customHeight="1">
      <c r="B114" s="23"/>
      <c r="C114" s="21"/>
      <c r="D114" s="110"/>
    </row>
    <row r="115" spans="2:4" ht="15.25" customHeight="1">
      <c r="B115" s="111" t="s">
        <v>84</v>
      </c>
      <c r="C115" s="107"/>
      <c r="D115" s="112">
        <f>SUM(D108:D113)</f>
        <v>107318</v>
      </c>
    </row>
    <row r="116" spans="2:4" ht="15.25" customHeight="1"/>
    <row r="117" spans="2:4" ht="15.25" customHeight="1">
      <c r="B117" s="15" t="s">
        <v>95</v>
      </c>
      <c r="C117" s="107" t="s">
        <v>6</v>
      </c>
      <c r="D117" s="108" t="s">
        <v>82</v>
      </c>
    </row>
    <row r="118" spans="2:4" ht="15.25" customHeight="1">
      <c r="B118" s="114" t="s">
        <v>25</v>
      </c>
      <c r="C118" s="19">
        <v>45331</v>
      </c>
      <c r="D118" s="109">
        <v>2500</v>
      </c>
    </row>
    <row r="119" spans="2:4" ht="15.25" customHeight="1">
      <c r="B119" s="23" t="s">
        <v>254</v>
      </c>
      <c r="C119" s="21">
        <v>45371</v>
      </c>
      <c r="D119" s="109">
        <v>2500</v>
      </c>
    </row>
    <row r="120" spans="2:4" ht="15.25" customHeight="1">
      <c r="B120" s="23" t="s">
        <v>256</v>
      </c>
      <c r="C120" s="21">
        <v>45377</v>
      </c>
      <c r="D120" s="109">
        <v>2500</v>
      </c>
    </row>
    <row r="121" spans="2:4" ht="15.25" customHeight="1">
      <c r="B121" s="385" t="s">
        <v>326</v>
      </c>
      <c r="C121" s="386">
        <v>45396</v>
      </c>
      <c r="D121" s="299">
        <v>2500</v>
      </c>
    </row>
    <row r="122" spans="2:4" ht="15.25" customHeight="1">
      <c r="B122" s="385" t="s">
        <v>328</v>
      </c>
      <c r="C122" s="386">
        <v>45437</v>
      </c>
      <c r="D122" s="299">
        <v>2500</v>
      </c>
    </row>
    <row r="123" spans="2:4" ht="15.25" customHeight="1">
      <c r="B123" s="388" t="s">
        <v>330</v>
      </c>
      <c r="C123" s="386">
        <v>45440</v>
      </c>
      <c r="D123" s="299">
        <v>8000</v>
      </c>
    </row>
    <row r="124" spans="2:4" ht="15.25" customHeight="1">
      <c r="B124" s="385"/>
      <c r="C124" s="386"/>
      <c r="D124" s="299"/>
    </row>
    <row r="125" spans="2:4" ht="15.25" customHeight="1">
      <c r="B125" s="111" t="s">
        <v>84</v>
      </c>
      <c r="C125" s="107"/>
      <c r="D125" s="112">
        <f>SUM(D118:D123)</f>
        <v>20500</v>
      </c>
    </row>
    <row r="126" spans="2:4" ht="15.25" hidden="1" customHeight="1"/>
    <row r="127" spans="2:4" ht="15.25" hidden="1" customHeight="1">
      <c r="B127" s="15" t="s">
        <v>96</v>
      </c>
      <c r="C127" s="107" t="s">
        <v>6</v>
      </c>
      <c r="D127" s="108" t="s">
        <v>82</v>
      </c>
    </row>
    <row r="128" spans="2:4" ht="15.25" hidden="1" customHeight="1">
      <c r="B128" s="117"/>
      <c r="C128" s="19"/>
      <c r="D128" s="118"/>
    </row>
    <row r="129" spans="2:4" ht="15.25" hidden="1" customHeight="1">
      <c r="B129" s="111" t="s">
        <v>84</v>
      </c>
      <c r="C129" s="119"/>
      <c r="D129" s="112">
        <f>SUM(D128:D128)</f>
        <v>0</v>
      </c>
    </row>
    <row r="130" spans="2:4" ht="15.25" customHeight="1"/>
    <row r="131" spans="2:4" ht="15.25" customHeight="1">
      <c r="B131" s="15" t="s">
        <v>97</v>
      </c>
      <c r="C131" s="107" t="s">
        <v>6</v>
      </c>
      <c r="D131" s="108" t="s">
        <v>82</v>
      </c>
    </row>
    <row r="132" spans="2:4" ht="15.25" customHeight="1">
      <c r="B132" s="120" t="s">
        <v>23</v>
      </c>
      <c r="C132" s="121">
        <v>45310</v>
      </c>
      <c r="D132" s="122">
        <v>6538.23</v>
      </c>
    </row>
    <row r="133" spans="2:4" ht="15.25" customHeight="1">
      <c r="B133" s="23" t="s">
        <v>98</v>
      </c>
      <c r="C133" s="123">
        <v>45343</v>
      </c>
      <c r="D133" s="110">
        <v>126944.4</v>
      </c>
    </row>
    <row r="134" spans="2:4" ht="15.25" customHeight="1">
      <c r="B134" s="23" t="s">
        <v>99</v>
      </c>
      <c r="C134" s="123">
        <v>45367</v>
      </c>
      <c r="D134" s="110">
        <v>42314.8</v>
      </c>
    </row>
    <row r="135" spans="2:4" ht="15.25" customHeight="1">
      <c r="B135" s="23" t="s">
        <v>262</v>
      </c>
      <c r="C135" s="21">
        <v>45384</v>
      </c>
      <c r="D135" s="110">
        <v>42314.8</v>
      </c>
    </row>
    <row r="136" spans="2:4" ht="15.25" customHeight="1">
      <c r="B136" s="23" t="s">
        <v>263</v>
      </c>
      <c r="C136" s="21">
        <v>45384</v>
      </c>
      <c r="D136" s="110">
        <v>23000</v>
      </c>
    </row>
    <row r="137" spans="2:4" ht="15.25" customHeight="1">
      <c r="B137" s="23"/>
      <c r="C137" s="21"/>
      <c r="D137" s="110"/>
    </row>
    <row r="138" spans="2:4" ht="15.25" customHeight="1">
      <c r="B138" s="28"/>
      <c r="C138" s="29"/>
      <c r="D138" s="112">
        <f>SUM(D132:D137)</f>
        <v>241112.22999999998</v>
      </c>
    </row>
    <row r="139" spans="2:4" ht="15.25" customHeight="1">
      <c r="B139" s="23"/>
    </row>
    <row r="140" spans="2:4" ht="15.25" customHeight="1">
      <c r="B140" s="15" t="s">
        <v>100</v>
      </c>
      <c r="C140" s="107" t="s">
        <v>6</v>
      </c>
      <c r="D140" s="108" t="s">
        <v>82</v>
      </c>
    </row>
    <row r="141" spans="2:4" ht="15.25" customHeight="1">
      <c r="B141" s="120" t="s">
        <v>101</v>
      </c>
      <c r="C141" s="121">
        <v>45343</v>
      </c>
      <c r="D141" s="122">
        <v>82584</v>
      </c>
    </row>
    <row r="142" spans="2:4" ht="15">
      <c r="B142" s="27" t="s">
        <v>52</v>
      </c>
      <c r="C142" s="123">
        <v>45363</v>
      </c>
      <c r="D142" s="110">
        <v>13261</v>
      </c>
    </row>
    <row r="143" spans="2:4">
      <c r="B143" s="401" t="s">
        <v>304</v>
      </c>
      <c r="C143" s="123">
        <v>45364</v>
      </c>
      <c r="D143" s="110">
        <v>21368.35</v>
      </c>
    </row>
    <row r="144" spans="2:4" ht="15.25" customHeight="1">
      <c r="B144" s="23" t="s">
        <v>102</v>
      </c>
      <c r="C144" s="123">
        <v>45367</v>
      </c>
      <c r="D144" s="110">
        <v>27528</v>
      </c>
    </row>
    <row r="145" spans="2:4">
      <c r="B145" s="401" t="s">
        <v>304</v>
      </c>
      <c r="C145" s="21">
        <v>45371</v>
      </c>
      <c r="D145" s="110">
        <v>1351.01</v>
      </c>
    </row>
    <row r="146" spans="2:4" ht="14">
      <c r="B146" s="27" t="s">
        <v>103</v>
      </c>
      <c r="C146" s="124">
        <v>45372</v>
      </c>
      <c r="D146" s="110">
        <v>6000</v>
      </c>
    </row>
    <row r="147" spans="2:4">
      <c r="B147" s="401" t="s">
        <v>304</v>
      </c>
      <c r="C147" s="21">
        <v>45373</v>
      </c>
      <c r="D147" s="110">
        <v>219.64</v>
      </c>
    </row>
    <row r="148" spans="2:4">
      <c r="B148" s="401" t="s">
        <v>304</v>
      </c>
      <c r="C148" s="21">
        <v>45374</v>
      </c>
      <c r="D148" s="110">
        <v>399.02</v>
      </c>
    </row>
    <row r="149" spans="2:4">
      <c r="B149" s="401" t="s">
        <v>304</v>
      </c>
      <c r="C149" s="21">
        <v>45376</v>
      </c>
      <c r="D149" s="110">
        <v>1543.05</v>
      </c>
    </row>
    <row r="150" spans="2:4">
      <c r="B150" s="401" t="s">
        <v>356</v>
      </c>
      <c r="C150" s="124">
        <v>45376</v>
      </c>
      <c r="D150" s="110">
        <v>14000</v>
      </c>
    </row>
    <row r="151" spans="2:4">
      <c r="B151" s="401" t="s">
        <v>304</v>
      </c>
      <c r="C151" s="21">
        <v>45378</v>
      </c>
      <c r="D151" s="110">
        <v>702.99</v>
      </c>
    </row>
    <row r="152" spans="2:4">
      <c r="B152" s="401" t="s">
        <v>304</v>
      </c>
      <c r="C152" s="124">
        <v>45394</v>
      </c>
      <c r="D152" s="110">
        <v>15071.96</v>
      </c>
    </row>
    <row r="153" spans="2:4">
      <c r="B153" s="23" t="s">
        <v>357</v>
      </c>
      <c r="C153" s="21">
        <v>45412</v>
      </c>
      <c r="D153" s="110">
        <v>27528</v>
      </c>
    </row>
    <row r="154" spans="2:4">
      <c r="B154" s="23" t="s">
        <v>318</v>
      </c>
      <c r="C154" s="124">
        <v>45421</v>
      </c>
      <c r="D154" s="110">
        <v>45000</v>
      </c>
    </row>
    <row r="155" spans="2:4">
      <c r="B155" s="389" t="s">
        <v>333</v>
      </c>
      <c r="C155" s="400">
        <v>45439</v>
      </c>
      <c r="D155" s="110">
        <v>16931.400000000001</v>
      </c>
    </row>
    <row r="156" spans="2:4">
      <c r="B156" s="23" t="s">
        <v>344</v>
      </c>
      <c r="C156" s="124">
        <v>45436</v>
      </c>
      <c r="D156" s="110">
        <v>12000</v>
      </c>
    </row>
    <row r="157" spans="2:4">
      <c r="C157" s="124"/>
      <c r="D157" s="110"/>
    </row>
    <row r="158" spans="2:4" ht="15.25" customHeight="1">
      <c r="B158" s="111" t="s">
        <v>84</v>
      </c>
      <c r="C158" s="107"/>
      <c r="D158" s="112">
        <f>SUM(D141:D157)</f>
        <v>285488.42</v>
      </c>
    </row>
    <row r="159" spans="2:4" ht="15.25" customHeight="1"/>
    <row r="160" spans="2:4" ht="15.25" customHeight="1">
      <c r="B160" s="15" t="s">
        <v>104</v>
      </c>
      <c r="C160" s="107" t="s">
        <v>6</v>
      </c>
      <c r="D160" s="108" t="s">
        <v>82</v>
      </c>
    </row>
    <row r="161" spans="2:4" ht="15.25" customHeight="1">
      <c r="B161" s="120" t="s">
        <v>105</v>
      </c>
      <c r="C161" s="121">
        <v>45310</v>
      </c>
      <c r="D161" s="122">
        <v>200</v>
      </c>
    </row>
    <row r="162" spans="2:4" ht="15.25" customHeight="1">
      <c r="B162" s="23" t="s">
        <v>106</v>
      </c>
      <c r="C162" s="123">
        <v>45342</v>
      </c>
      <c r="D162" s="110">
        <v>200</v>
      </c>
    </row>
    <row r="163" spans="2:4" ht="15.25" customHeight="1">
      <c r="B163" s="23"/>
      <c r="C163" s="123"/>
      <c r="D163" s="110"/>
    </row>
    <row r="164" spans="2:4" ht="15.25" customHeight="1">
      <c r="B164" s="23"/>
      <c r="C164" s="123"/>
      <c r="D164" s="110"/>
    </row>
    <row r="165" spans="2:4" ht="15.25" customHeight="1">
      <c r="B165" s="111" t="s">
        <v>84</v>
      </c>
      <c r="C165" s="107"/>
      <c r="D165" s="112">
        <f>SUM(D161:D162)</f>
        <v>400</v>
      </c>
    </row>
    <row r="166" spans="2:4" ht="15.25" customHeight="1">
      <c r="B166" s="125"/>
      <c r="C166" s="126"/>
      <c r="D166" s="127"/>
    </row>
    <row r="167" spans="2:4" ht="15.25" customHeight="1">
      <c r="B167" s="128" t="s">
        <v>24</v>
      </c>
      <c r="C167" s="129">
        <v>45330</v>
      </c>
      <c r="D167" s="130">
        <v>4000</v>
      </c>
    </row>
    <row r="168" spans="2:4" ht="15.25" customHeight="1">
      <c r="B168" s="128" t="s">
        <v>107</v>
      </c>
      <c r="C168" s="129">
        <v>45342</v>
      </c>
      <c r="D168" s="130">
        <v>1000</v>
      </c>
    </row>
    <row r="169" spans="2:4" ht="15.25" customHeight="1">
      <c r="B169" s="128" t="s">
        <v>107</v>
      </c>
      <c r="C169" s="129">
        <v>45408</v>
      </c>
      <c r="D169" s="130">
        <v>1000</v>
      </c>
    </row>
    <row r="170" spans="2:4" ht="15.25" customHeight="1">
      <c r="B170" s="131" t="s">
        <v>84</v>
      </c>
      <c r="C170" s="132"/>
      <c r="D170" s="133">
        <f>SUM(D167:D169)</f>
        <v>6000</v>
      </c>
    </row>
    <row r="171" spans="2:4" ht="15.25" customHeight="1">
      <c r="B171" s="125"/>
      <c r="C171" s="126"/>
      <c r="D171" s="134"/>
    </row>
    <row r="172" spans="2:4" ht="15.25" customHeight="1">
      <c r="B172" s="135" t="s">
        <v>108</v>
      </c>
      <c r="D172" s="136">
        <f>D24+D32+D66+D91+D95+D105+D115+D125+D129+D129+D138+D158+D165</f>
        <v>778111.71</v>
      </c>
    </row>
    <row r="174" spans="2:4" ht="15.25" customHeight="1">
      <c r="B174" s="135" t="s">
        <v>109</v>
      </c>
      <c r="D174" s="136">
        <f>D170</f>
        <v>6000</v>
      </c>
    </row>
    <row r="176" spans="2:4" ht="14">
      <c r="B176" s="135"/>
      <c r="D176" s="46"/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rowBreaks count="2" manualBreakCount="2">
    <brk id="66" max="16383" man="1"/>
    <brk id="15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topLeftCell="A22" zoomScale="90" zoomScaleNormal="90" workbookViewId="0">
      <selection activeCell="E11" sqref="E11:E15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4"/>
      <c r="B1" s="138"/>
      <c r="C1" s="138"/>
      <c r="D1" s="138"/>
      <c r="E1" s="138"/>
      <c r="F1" s="4"/>
      <c r="G1" s="4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110</v>
      </c>
      <c r="G6" s="140"/>
    </row>
    <row r="7" spans="1:12" s="8" customFormat="1" ht="17.25" customHeight="1">
      <c r="B7" s="141" t="s">
        <v>111</v>
      </c>
      <c r="C7" s="142"/>
      <c r="D7" s="142"/>
      <c r="E7" s="143"/>
      <c r="I7" s="144"/>
      <c r="J7" s="144"/>
      <c r="K7" s="144"/>
      <c r="L7" s="144"/>
    </row>
    <row r="9" spans="1:12" ht="15.25" customHeight="1">
      <c r="B9" s="145"/>
      <c r="C9" s="146"/>
      <c r="D9" s="147"/>
      <c r="E9" s="148" t="s">
        <v>84</v>
      </c>
    </row>
    <row r="10" spans="1:12" ht="8" customHeight="1">
      <c r="B10" s="149"/>
      <c r="C10" s="150"/>
      <c r="D10" s="151"/>
      <c r="E10" s="152"/>
    </row>
    <row r="11" spans="1:12" ht="15.25" customHeight="1">
      <c r="A11" s="7"/>
      <c r="B11" s="153" t="s">
        <v>112</v>
      </c>
      <c r="C11" s="154"/>
      <c r="D11" s="155"/>
      <c r="E11" s="156">
        <v>124000</v>
      </c>
    </row>
    <row r="12" spans="1:12" ht="15.25" customHeight="1">
      <c r="A12" s="7"/>
      <c r="B12" s="157" t="s">
        <v>113</v>
      </c>
      <c r="C12" s="158"/>
      <c r="D12" s="159"/>
      <c r="E12" s="152"/>
    </row>
    <row r="13" spans="1:12" ht="15.25" customHeight="1">
      <c r="A13" s="7"/>
      <c r="B13" s="157" t="s">
        <v>114</v>
      </c>
      <c r="C13" s="158"/>
      <c r="D13" s="159"/>
      <c r="E13" s="152"/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153" t="s">
        <v>115</v>
      </c>
      <c r="C15" s="154"/>
      <c r="D15" s="161"/>
      <c r="E15" s="156">
        <v>17647.18</v>
      </c>
    </row>
    <row r="16" spans="1:12" ht="15.25" customHeight="1">
      <c r="A16" s="7"/>
      <c r="B16" s="157" t="s">
        <v>116</v>
      </c>
      <c r="C16" s="158"/>
      <c r="D16" s="152"/>
      <c r="E16" s="152"/>
    </row>
    <row r="17" spans="1:15" ht="15.25" customHeight="1">
      <c r="A17" s="7"/>
      <c r="B17" s="157" t="s">
        <v>114</v>
      </c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 t="s">
        <v>117</v>
      </c>
      <c r="C19" s="158"/>
      <c r="D19" s="152"/>
      <c r="E19" s="156">
        <f>(E11+E15)*0.1</f>
        <v>14164.718000000001</v>
      </c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118</v>
      </c>
      <c r="E21" s="168">
        <f>SUM(E10:E20)</f>
        <v>155811.89799999999</v>
      </c>
    </row>
    <row r="22" spans="1:15" ht="15.25" customHeight="1">
      <c r="B22" s="169" t="s">
        <v>119</v>
      </c>
      <c r="C22" s="170"/>
      <c r="D22" s="170"/>
      <c r="E22" s="170"/>
    </row>
    <row r="23" spans="1:15" ht="15.25" customHeight="1">
      <c r="B23" s="169" t="s">
        <v>120</v>
      </c>
      <c r="C23" s="170"/>
      <c r="D23" s="170"/>
      <c r="E23" s="170"/>
    </row>
    <row r="24" spans="1:15" ht="15.25" customHeight="1">
      <c r="B24" s="171" t="s">
        <v>121</v>
      </c>
    </row>
    <row r="25" spans="1:15" ht="15.25" customHeight="1">
      <c r="B25" s="171" t="s">
        <v>122</v>
      </c>
    </row>
    <row r="26" spans="1:15" ht="15.25" customHeight="1">
      <c r="B26" s="172"/>
    </row>
    <row r="27" spans="1:15" ht="15.25" customHeight="1">
      <c r="B27" s="172" t="s">
        <v>123</v>
      </c>
    </row>
    <row r="28" spans="1:15" ht="15.25" customHeight="1">
      <c r="B28" s="172" t="s">
        <v>124</v>
      </c>
    </row>
    <row r="29" spans="1:15" ht="15.25" customHeight="1">
      <c r="B29" s="172"/>
    </row>
    <row r="30" spans="1:15" ht="15.25" customHeight="1">
      <c r="B30" s="173" t="s">
        <v>125</v>
      </c>
      <c r="C30" s="174"/>
      <c r="D30" s="175"/>
      <c r="E30" s="176">
        <f>E21</f>
        <v>155811.89799999999</v>
      </c>
      <c r="H30" s="177" t="s">
        <v>126</v>
      </c>
      <c r="I30" s="178" t="s">
        <v>127</v>
      </c>
      <c r="J30" s="179" t="s">
        <v>128</v>
      </c>
      <c r="K30" s="179" t="s">
        <v>129</v>
      </c>
      <c r="L30" s="180" t="s">
        <v>130</v>
      </c>
      <c r="M30" s="181" t="s">
        <v>131</v>
      </c>
      <c r="N30" s="182"/>
      <c r="O30" s="183"/>
    </row>
    <row r="31" spans="1:15" ht="15.25" customHeight="1">
      <c r="B31" s="184" t="s">
        <v>132</v>
      </c>
      <c r="C31" s="185" t="s">
        <v>133</v>
      </c>
      <c r="D31" s="186" t="s">
        <v>134</v>
      </c>
      <c r="E31" s="185" t="s">
        <v>135</v>
      </c>
      <c r="H31" s="187">
        <v>1</v>
      </c>
      <c r="I31" s="137">
        <f>E30</f>
        <v>155811.89799999999</v>
      </c>
      <c r="J31" s="137">
        <v>3386200</v>
      </c>
      <c r="K31" s="137">
        <v>26236200</v>
      </c>
      <c r="L31" s="137">
        <f>(J31/J38)*100</f>
        <v>12.906594705025881</v>
      </c>
      <c r="M31" s="137">
        <f>(I31*J31/K31)</f>
        <v>20110.010177068325</v>
      </c>
      <c r="N31" s="188">
        <v>20110.009999999998</v>
      </c>
    </row>
    <row r="32" spans="1:15" ht="15.25" customHeight="1">
      <c r="B32" s="189" t="s">
        <v>65</v>
      </c>
      <c r="C32" s="190" t="s">
        <v>66</v>
      </c>
      <c r="D32" s="191">
        <v>0.12909999999999999</v>
      </c>
      <c r="E32" s="192">
        <v>20110.009999999998</v>
      </c>
      <c r="H32" s="187">
        <v>2</v>
      </c>
      <c r="I32" s="137">
        <f>E30</f>
        <v>155811.89799999999</v>
      </c>
      <c r="J32" s="137">
        <v>3453400</v>
      </c>
      <c r="K32" s="137">
        <v>26236200</v>
      </c>
      <c r="L32" s="137">
        <f>(J32/J38)*100</f>
        <v>13.162729358672367</v>
      </c>
      <c r="M32" s="137">
        <f t="shared" ref="M32:M37" si="0">(I32*J32/K32)</f>
        <v>20509.098442350645</v>
      </c>
      <c r="N32" s="188">
        <v>20509.099999999999</v>
      </c>
    </row>
    <row r="33" spans="2:14" ht="14">
      <c r="B33" s="193" t="s">
        <v>67</v>
      </c>
      <c r="C33" s="194" t="s">
        <v>68</v>
      </c>
      <c r="D33" s="195">
        <v>0.13159999999999999</v>
      </c>
      <c r="E33" s="196">
        <v>20509.099999999999</v>
      </c>
      <c r="H33" s="187">
        <v>3</v>
      </c>
      <c r="I33" s="137">
        <f>E30</f>
        <v>155811.89799999999</v>
      </c>
      <c r="J33" s="137">
        <v>4063600</v>
      </c>
      <c r="K33" s="137">
        <v>26236200</v>
      </c>
      <c r="L33" s="137">
        <f>(J33/J38)*100</f>
        <v>15.4885234904445</v>
      </c>
      <c r="M33" s="137">
        <f t="shared" si="0"/>
        <v>24132.962422637422</v>
      </c>
      <c r="N33" s="188">
        <v>24132.959999999999</v>
      </c>
    </row>
    <row r="34" spans="2:14" ht="14">
      <c r="B34" s="193" t="s">
        <v>69</v>
      </c>
      <c r="C34" s="194" t="s">
        <v>70</v>
      </c>
      <c r="D34" s="195">
        <v>0.15490000000000001</v>
      </c>
      <c r="E34" s="196">
        <v>24132.959999999999</v>
      </c>
      <c r="H34" s="187">
        <v>4</v>
      </c>
      <c r="I34" s="137">
        <f>E30</f>
        <v>155811.89799999999</v>
      </c>
      <c r="J34" s="137">
        <v>2061000</v>
      </c>
      <c r="K34" s="137">
        <v>26236200</v>
      </c>
      <c r="L34" s="137">
        <f>(J34/J38)*100</f>
        <v>7.8555583506757838</v>
      </c>
      <c r="M34" s="137">
        <f t="shared" si="0"/>
        <v>12239.894564685435</v>
      </c>
      <c r="N34" s="188">
        <v>12239.9</v>
      </c>
    </row>
    <row r="35" spans="2:14" ht="14">
      <c r="B35" s="193" t="s">
        <v>71</v>
      </c>
      <c r="C35" s="194" t="s">
        <v>72</v>
      </c>
      <c r="D35" s="195">
        <v>7.8600000000000003E-2</v>
      </c>
      <c r="E35" s="196">
        <v>12239.9</v>
      </c>
      <c r="H35" s="187">
        <v>5</v>
      </c>
      <c r="I35" s="137">
        <f>E30</f>
        <v>155811.89799999999</v>
      </c>
      <c r="J35" s="137">
        <v>2540000</v>
      </c>
      <c r="K35" s="137">
        <v>26236200</v>
      </c>
      <c r="L35" s="137">
        <f>(J35/J38)*100</f>
        <v>9.6812800634238201</v>
      </c>
      <c r="M35" s="137">
        <f t="shared" si="0"/>
        <v>15084.586217516255</v>
      </c>
      <c r="N35" s="188">
        <v>15084.59</v>
      </c>
    </row>
    <row r="36" spans="2:14" ht="14">
      <c r="B36" s="193" t="s">
        <v>136</v>
      </c>
      <c r="C36" s="194" t="s">
        <v>74</v>
      </c>
      <c r="D36" s="195">
        <v>9.6799999999999997E-2</v>
      </c>
      <c r="E36" s="196">
        <v>15084.59</v>
      </c>
      <c r="H36" s="187">
        <v>6</v>
      </c>
      <c r="I36" s="137">
        <f>E30</f>
        <v>155811.89799999999</v>
      </c>
      <c r="J36" s="137">
        <v>4173600</v>
      </c>
      <c r="K36" s="137">
        <v>26236200</v>
      </c>
      <c r="L36" s="137">
        <f>(J36/J38)*100</f>
        <v>15.907791524687266</v>
      </c>
      <c r="M36" s="137">
        <f t="shared" si="0"/>
        <v>24786.231904498363</v>
      </c>
      <c r="N36" s="188">
        <v>24786.23</v>
      </c>
    </row>
    <row r="37" spans="2:14" ht="14">
      <c r="B37" s="193" t="s">
        <v>75</v>
      </c>
      <c r="C37" s="194" t="s">
        <v>76</v>
      </c>
      <c r="D37" s="195">
        <v>0.15909999999999999</v>
      </c>
      <c r="E37" s="196">
        <v>24786.23</v>
      </c>
      <c r="H37" s="187">
        <v>7</v>
      </c>
      <c r="I37" s="137">
        <f>E30</f>
        <v>155811.89799999999</v>
      </c>
      <c r="J37" s="137">
        <v>6558400</v>
      </c>
      <c r="K37" s="137">
        <v>26236200</v>
      </c>
      <c r="L37" s="137">
        <f>(J37/J38)*100</f>
        <v>24.997522507070382</v>
      </c>
      <c r="M37" s="137">
        <f t="shared" si="0"/>
        <v>38949.114271243547</v>
      </c>
      <c r="N37" s="188">
        <v>38949.11</v>
      </c>
    </row>
    <row r="38" spans="2:14" ht="14">
      <c r="B38" s="193" t="s">
        <v>77</v>
      </c>
      <c r="C38" s="194" t="s">
        <v>78</v>
      </c>
      <c r="D38" s="195">
        <v>0.25</v>
      </c>
      <c r="E38" s="196">
        <v>38949.11</v>
      </c>
      <c r="H38" s="197"/>
      <c r="I38" s="198"/>
      <c r="J38" s="199">
        <f>SUM(J31:J37)</f>
        <v>26236200</v>
      </c>
      <c r="K38" s="199"/>
      <c r="L38" s="199">
        <f>SUM(L31:L37)</f>
        <v>100</v>
      </c>
      <c r="M38" s="199">
        <f>SUM(M31:M37)</f>
        <v>155811.89799999999</v>
      </c>
      <c r="N38" s="200">
        <f>SUM(N31:N37)</f>
        <v>155811.9</v>
      </c>
    </row>
    <row r="39" spans="2:14" ht="14">
      <c r="B39" s="201" t="s">
        <v>84</v>
      </c>
      <c r="C39" s="202"/>
      <c r="D39" s="203">
        <f>SUM(D32:D38)</f>
        <v>1.0001</v>
      </c>
      <c r="E39" s="204">
        <f>SUM(E32:E38)</f>
        <v>155811.9</v>
      </c>
    </row>
    <row r="40" spans="2:14" ht="14">
      <c r="B40" s="205"/>
      <c r="C40" s="53"/>
      <c r="D40" s="206"/>
      <c r="E40" s="170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/>
  <colBreaks count="1" manualBreakCount="1">
    <brk id="6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topLeftCell="C22" zoomScale="90" zoomScaleNormal="90" workbookViewId="0">
      <selection activeCell="E38" sqref="E38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3" width="13" style="3" customWidth="1"/>
    <col min="4" max="4" width="29.83203125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348"/>
      <c r="B1" s="138"/>
      <c r="C1" s="138"/>
      <c r="D1" s="138"/>
      <c r="E1" s="138"/>
      <c r="F1" s="348"/>
      <c r="G1" s="348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110</v>
      </c>
      <c r="G6" s="140"/>
    </row>
    <row r="7" spans="1:12" s="8" customFormat="1" ht="17.25" customHeight="1">
      <c r="B7" s="141" t="s">
        <v>288</v>
      </c>
      <c r="C7" s="142"/>
      <c r="D7" s="142"/>
      <c r="E7" s="143"/>
      <c r="I7" s="144"/>
      <c r="J7" s="144"/>
      <c r="K7" s="144"/>
      <c r="L7" s="144"/>
    </row>
    <row r="9" spans="1:12" ht="17" customHeight="1">
      <c r="B9" s="350"/>
      <c r="C9" s="146"/>
      <c r="D9" s="147"/>
      <c r="E9" s="148" t="s">
        <v>84</v>
      </c>
    </row>
    <row r="10" spans="1:12" ht="13.5" customHeight="1">
      <c r="B10" s="362" t="s">
        <v>284</v>
      </c>
      <c r="C10" s="150"/>
      <c r="D10" s="151"/>
      <c r="E10" s="152"/>
    </row>
    <row r="11" spans="1:12" ht="15.25" customHeight="1">
      <c r="A11" s="7"/>
      <c r="B11" s="153" t="s">
        <v>283</v>
      </c>
      <c r="C11" s="154"/>
      <c r="D11" s="155"/>
      <c r="E11" s="156">
        <v>19220</v>
      </c>
    </row>
    <row r="12" spans="1:12" ht="15.25" customHeight="1">
      <c r="A12" s="7"/>
      <c r="B12" s="157"/>
      <c r="C12" s="158"/>
      <c r="D12" s="159"/>
      <c r="E12" s="152"/>
    </row>
    <row r="13" spans="1:12" ht="15.25" customHeight="1">
      <c r="A13" s="7"/>
      <c r="B13" s="364" t="s">
        <v>117</v>
      </c>
      <c r="C13" s="365"/>
      <c r="D13" s="366"/>
      <c r="E13" s="349">
        <f>E11*0.1</f>
        <v>1922</v>
      </c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363" t="s">
        <v>285</v>
      </c>
      <c r="C15" s="154"/>
      <c r="D15" s="161"/>
    </row>
    <row r="16" spans="1:12" ht="15.25" customHeight="1">
      <c r="A16" s="7"/>
      <c r="B16" s="153" t="s">
        <v>286</v>
      </c>
      <c r="C16" s="158"/>
      <c r="D16" s="152"/>
      <c r="E16" s="156">
        <v>57000</v>
      </c>
    </row>
    <row r="17" spans="1:15" ht="15.25" customHeight="1">
      <c r="A17" s="7"/>
      <c r="B17" s="157"/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/>
      <c r="C19" s="158"/>
      <c r="D19" s="152"/>
      <c r="E19" s="156"/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118</v>
      </c>
      <c r="E21" s="168">
        <f>SUM(E10:E20)</f>
        <v>78142</v>
      </c>
    </row>
    <row r="22" spans="1:15" ht="15.25" customHeight="1">
      <c r="B22" s="169" t="s">
        <v>119</v>
      </c>
      <c r="C22" s="170"/>
      <c r="D22" s="170"/>
      <c r="E22" s="170"/>
    </row>
    <row r="23" spans="1:15" ht="15.25" customHeight="1">
      <c r="B23" s="169" t="s">
        <v>120</v>
      </c>
      <c r="C23" s="170"/>
      <c r="D23" s="170"/>
      <c r="E23" s="170"/>
    </row>
    <row r="24" spans="1:15" ht="15.25" customHeight="1">
      <c r="B24" s="171" t="s">
        <v>121</v>
      </c>
    </row>
    <row r="25" spans="1:15" ht="15.25" customHeight="1">
      <c r="B25" s="171" t="s">
        <v>122</v>
      </c>
    </row>
    <row r="26" spans="1:15" ht="15.25" customHeight="1">
      <c r="B26" s="172"/>
    </row>
    <row r="27" spans="1:15" ht="15.25" customHeight="1">
      <c r="B27" s="172" t="s">
        <v>123</v>
      </c>
    </row>
    <row r="28" spans="1:15" ht="15.25" customHeight="1">
      <c r="B28" s="172" t="s">
        <v>124</v>
      </c>
    </row>
    <row r="29" spans="1:15" ht="15.25" customHeight="1">
      <c r="B29" s="172"/>
    </row>
    <row r="30" spans="1:15" ht="15.25" customHeight="1">
      <c r="B30" s="173" t="s">
        <v>289</v>
      </c>
      <c r="C30" s="174"/>
      <c r="D30" s="175"/>
      <c r="E30" s="176">
        <f>E21</f>
        <v>78142</v>
      </c>
      <c r="H30" s="177" t="s">
        <v>126</v>
      </c>
      <c r="I30" s="178" t="s">
        <v>127</v>
      </c>
      <c r="J30" s="179" t="s">
        <v>128</v>
      </c>
      <c r="K30" s="179" t="s">
        <v>129</v>
      </c>
      <c r="L30" s="180" t="s">
        <v>130</v>
      </c>
      <c r="M30" s="181" t="s">
        <v>131</v>
      </c>
      <c r="N30" s="182"/>
      <c r="O30" s="183"/>
    </row>
    <row r="31" spans="1:15" ht="15.25" customHeight="1">
      <c r="B31" s="184" t="s">
        <v>132</v>
      </c>
      <c r="C31" s="185" t="s">
        <v>133</v>
      </c>
      <c r="D31" s="186" t="s">
        <v>134</v>
      </c>
      <c r="E31" s="185" t="s">
        <v>135</v>
      </c>
      <c r="H31" s="187">
        <v>1</v>
      </c>
      <c r="I31" s="137">
        <f>E30</f>
        <v>78142</v>
      </c>
      <c r="J31" s="137">
        <v>3385038.8048100215</v>
      </c>
      <c r="K31" s="137">
        <v>26236200</v>
      </c>
      <c r="L31" s="355">
        <f>J31/J38*100</f>
        <v>12.902168777528845</v>
      </c>
      <c r="M31" s="137">
        <f>(I31*J31/K31)</f>
        <v>10082.012726136585</v>
      </c>
      <c r="N31" s="188">
        <f>M31</f>
        <v>10082.012726136585</v>
      </c>
    </row>
    <row r="32" spans="1:15" ht="15.25" customHeight="1">
      <c r="B32" s="189" t="s">
        <v>65</v>
      </c>
      <c r="C32" s="190" t="s">
        <v>66</v>
      </c>
      <c r="D32" s="191">
        <v>0.129</v>
      </c>
      <c r="E32" s="192">
        <f t="shared" ref="E32:E38" si="0">M31</f>
        <v>10082.012726136585</v>
      </c>
      <c r="H32" s="187">
        <v>2</v>
      </c>
      <c r="I32" s="137">
        <f>E30</f>
        <v>78142</v>
      </c>
      <c r="J32" s="137">
        <v>3452215.7605962222</v>
      </c>
      <c r="K32" s="137">
        <v>26236200</v>
      </c>
      <c r="L32" s="354">
        <f>J32/J38*100</f>
        <v>13.158215597518785</v>
      </c>
      <c r="M32" s="137">
        <f t="shared" ref="M32:M37" si="1">(I32*J32/K32)</f>
        <v>10282.092832213126</v>
      </c>
      <c r="N32" s="188">
        <f t="shared" ref="N32:N37" si="2">M32</f>
        <v>10282.092832213126</v>
      </c>
    </row>
    <row r="33" spans="2:14" ht="14">
      <c r="B33" s="193" t="s">
        <v>67</v>
      </c>
      <c r="C33" s="194" t="s">
        <v>68</v>
      </c>
      <c r="D33" s="195">
        <v>0.13159999999999999</v>
      </c>
      <c r="E33" s="196">
        <f t="shared" si="0"/>
        <v>10282.092832213126</v>
      </c>
      <c r="H33" s="187">
        <v>3</v>
      </c>
      <c r="I33" s="137">
        <f>E30</f>
        <v>78142</v>
      </c>
      <c r="J33" s="137">
        <v>4062206.5109048504</v>
      </c>
      <c r="K33" s="137">
        <v>26236200</v>
      </c>
      <c r="L33" s="354">
        <f>J33/J38*100</f>
        <v>15.483212168320303</v>
      </c>
      <c r="M33" s="137">
        <f t="shared" si="1"/>
        <v>12098.891652568849</v>
      </c>
      <c r="N33" s="188">
        <f t="shared" si="2"/>
        <v>12098.891652568849</v>
      </c>
    </row>
    <row r="34" spans="2:14" ht="14">
      <c r="B34" s="193" t="s">
        <v>69</v>
      </c>
      <c r="C34" s="194" t="s">
        <v>70</v>
      </c>
      <c r="D34" s="195">
        <v>0.15479999999999999</v>
      </c>
      <c r="E34" s="196">
        <f t="shared" si="0"/>
        <v>12098.891652568849</v>
      </c>
      <c r="H34" s="187">
        <v>4</v>
      </c>
      <c r="I34" s="137">
        <f>E30</f>
        <v>78142</v>
      </c>
      <c r="J34" s="137">
        <v>2069290.155914224</v>
      </c>
      <c r="K34" s="137">
        <v>26236200</v>
      </c>
      <c r="L34" s="354">
        <f>J34/J38*100</f>
        <v>7.8871565086187196</v>
      </c>
      <c r="M34" s="137">
        <f t="shared" si="1"/>
        <v>6163.1818389648379</v>
      </c>
      <c r="N34" s="188">
        <f t="shared" si="2"/>
        <v>6163.1818389648379</v>
      </c>
    </row>
    <row r="35" spans="2:14" ht="14">
      <c r="B35" s="193" t="s">
        <v>71</v>
      </c>
      <c r="C35" s="194" t="s">
        <v>72</v>
      </c>
      <c r="D35" s="195">
        <v>7.8899999999999998E-2</v>
      </c>
      <c r="E35" s="196">
        <f t="shared" si="0"/>
        <v>6163.1818389648379</v>
      </c>
      <c r="H35" s="187">
        <v>5</v>
      </c>
      <c r="I35" s="137">
        <f>E30</f>
        <v>78142</v>
      </c>
      <c r="J35" s="137">
        <v>2539128.9835855695</v>
      </c>
      <c r="K35" s="137">
        <v>26236200</v>
      </c>
      <c r="L35" s="354">
        <f>J35/J38*100</f>
        <v>9.6779601603340808</v>
      </c>
      <c r="M35" s="137">
        <f t="shared" si="1"/>
        <v>7562.5516284882551</v>
      </c>
      <c r="N35" s="188">
        <f t="shared" si="2"/>
        <v>7562.5516284882551</v>
      </c>
    </row>
    <row r="36" spans="2:14" ht="14">
      <c r="B36" s="193" t="s">
        <v>136</v>
      </c>
      <c r="C36" s="194" t="s">
        <v>74</v>
      </c>
      <c r="D36" s="195">
        <v>9.6799999999999997E-2</v>
      </c>
      <c r="E36" s="196">
        <f t="shared" si="0"/>
        <v>7562.5516284882551</v>
      </c>
      <c r="H36" s="187">
        <v>6</v>
      </c>
      <c r="I36" s="137">
        <f>E30</f>
        <v>78142</v>
      </c>
      <c r="J36" s="137">
        <v>4172168.7897215486</v>
      </c>
      <c r="K36" s="137">
        <v>26236200</v>
      </c>
      <c r="L36" s="354">
        <f>J36/J38*100</f>
        <v>15.902336427232411</v>
      </c>
      <c r="M36" s="137">
        <f t="shared" si="1"/>
        <v>12426.403730967948</v>
      </c>
      <c r="N36" s="188">
        <f t="shared" si="2"/>
        <v>12426.403730967948</v>
      </c>
    </row>
    <row r="37" spans="2:14" ht="14">
      <c r="B37" s="193" t="s">
        <v>75</v>
      </c>
      <c r="C37" s="194" t="s">
        <v>76</v>
      </c>
      <c r="D37" s="195">
        <v>0.159</v>
      </c>
      <c r="E37" s="196">
        <f t="shared" si="0"/>
        <v>12426.403730967948</v>
      </c>
      <c r="H37" s="187">
        <v>7</v>
      </c>
      <c r="I37" s="137">
        <f>E30</f>
        <v>78142</v>
      </c>
      <c r="J37" s="137">
        <v>6556150.9944675583</v>
      </c>
      <c r="K37" s="137">
        <v>26236200</v>
      </c>
      <c r="L37" s="354">
        <f>J37/J38*100</f>
        <v>24.988950360446864</v>
      </c>
      <c r="M37" s="137">
        <f t="shared" si="1"/>
        <v>19526.865590660385</v>
      </c>
      <c r="N37" s="188">
        <f t="shared" si="2"/>
        <v>19526.865590660385</v>
      </c>
    </row>
    <row r="38" spans="2:14" ht="14">
      <c r="B38" s="193" t="s">
        <v>77</v>
      </c>
      <c r="C38" s="194" t="s">
        <v>78</v>
      </c>
      <c r="D38" s="195">
        <v>0.24990000000000001</v>
      </c>
      <c r="E38" s="196">
        <f t="shared" si="0"/>
        <v>19526.865590660385</v>
      </c>
      <c r="H38" s="197"/>
      <c r="I38" s="198"/>
      <c r="J38" s="199">
        <f>SUM(J31:J37)</f>
        <v>26236199.999999993</v>
      </c>
      <c r="K38" s="199"/>
      <c r="L38" s="199">
        <f>SUM(L31:L37)</f>
        <v>100.00000000000001</v>
      </c>
      <c r="M38" s="199">
        <f>SUM(M31:M37)</f>
        <v>78141.999999999985</v>
      </c>
      <c r="N38" s="200">
        <f>SUM(N31:N37)</f>
        <v>78141.999999999985</v>
      </c>
    </row>
    <row r="39" spans="2:14" ht="14">
      <c r="B39" s="201" t="s">
        <v>84</v>
      </c>
      <c r="C39" s="202"/>
      <c r="D39" s="203">
        <f>SUM(D32:D38)</f>
        <v>1</v>
      </c>
      <c r="E39" s="204">
        <f>SUM(E32:E38)</f>
        <v>78141.999999999985</v>
      </c>
    </row>
    <row r="40" spans="2:14" ht="14">
      <c r="B40" s="205"/>
      <c r="C40" s="53"/>
      <c r="D40" s="206"/>
      <c r="E40" s="170"/>
    </row>
    <row r="43" spans="2:14" ht="14">
      <c r="B43" s="351"/>
      <c r="C43" s="137"/>
      <c r="D43" s="353"/>
      <c r="E43" s="191"/>
      <c r="M43" s="137"/>
    </row>
    <row r="44" spans="2:14" ht="14">
      <c r="B44" s="351"/>
      <c r="C44" s="137"/>
      <c r="D44" s="353"/>
      <c r="E44" s="195"/>
    </row>
    <row r="45" spans="2:14" ht="14">
      <c r="B45" s="351"/>
      <c r="C45" s="137"/>
      <c r="D45" s="353"/>
      <c r="E45" s="195"/>
    </row>
    <row r="46" spans="2:14" ht="14">
      <c r="B46" s="351"/>
      <c r="C46" s="137"/>
      <c r="D46" s="353"/>
      <c r="E46" s="195"/>
    </row>
    <row r="47" spans="2:14" ht="14">
      <c r="B47" s="351"/>
      <c r="C47" s="137"/>
      <c r="D47" s="353"/>
      <c r="E47" s="195"/>
    </row>
    <row r="48" spans="2:14" ht="14">
      <c r="B48" s="351"/>
      <c r="C48" s="137"/>
      <c r="D48" s="353"/>
      <c r="E48" s="195"/>
    </row>
    <row r="49" spans="2:5" ht="14">
      <c r="B49" s="351"/>
      <c r="C49" s="137"/>
      <c r="D49" s="353"/>
      <c r="E49" s="195"/>
    </row>
    <row r="50" spans="2:5">
      <c r="C50" s="352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 r:id="rId1"/>
  <colBreaks count="1" manualBreakCount="1">
    <brk id="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67"/>
  <sheetViews>
    <sheetView topLeftCell="B1" zoomScale="90" zoomScaleNormal="90" workbookViewId="0">
      <selection activeCell="C12" sqref="C12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  <col min="13" max="13" width="14.83203125" customWidth="1"/>
  </cols>
  <sheetData>
    <row r="2" spans="1:14" ht="18.75" customHeight="1">
      <c r="A2" s="5" t="s">
        <v>0</v>
      </c>
      <c r="B2"/>
      <c r="F2" s="5"/>
      <c r="G2" s="5"/>
    </row>
    <row r="3" spans="1:14">
      <c r="A3" s="1" t="s">
        <v>1</v>
      </c>
      <c r="B3"/>
      <c r="F3" s="1"/>
      <c r="G3" s="1"/>
    </row>
    <row r="5" spans="1:14">
      <c r="B5" s="6"/>
      <c r="F5" s="207" t="s">
        <v>3</v>
      </c>
      <c r="G5" s="140"/>
    </row>
    <row r="6" spans="1:14" s="8" customFormat="1" ht="17.25" customHeight="1">
      <c r="B6" s="141" t="s">
        <v>137</v>
      </c>
      <c r="C6" s="142"/>
      <c r="D6" s="142"/>
      <c r="E6" s="143"/>
      <c r="H6"/>
      <c r="I6"/>
      <c r="J6"/>
      <c r="K6"/>
      <c r="L6"/>
      <c r="M6"/>
      <c r="N6"/>
    </row>
    <row r="7" spans="1:14">
      <c r="I7"/>
      <c r="J7"/>
      <c r="K7"/>
      <c r="L7"/>
    </row>
    <row r="8" spans="1:14" ht="15.25" customHeight="1">
      <c r="B8" s="15"/>
      <c r="C8" s="148" t="s">
        <v>138</v>
      </c>
      <c r="D8" s="148" t="s">
        <v>139</v>
      </c>
      <c r="E8" s="148" t="s">
        <v>140</v>
      </c>
      <c r="I8"/>
      <c r="J8"/>
      <c r="K8"/>
      <c r="L8"/>
    </row>
    <row r="9" spans="1:14" s="8" customFormat="1" ht="15.25" customHeight="1">
      <c r="B9" s="208" t="s">
        <v>141</v>
      </c>
      <c r="C9" s="209">
        <v>3600</v>
      </c>
      <c r="D9" s="210">
        <v>12</v>
      </c>
      <c r="E9" s="209">
        <f t="shared" ref="E9:E15" si="0">C9*D9</f>
        <v>43200</v>
      </c>
      <c r="H9"/>
      <c r="I9"/>
      <c r="J9"/>
      <c r="K9"/>
      <c r="L9"/>
      <c r="M9"/>
      <c r="N9"/>
    </row>
    <row r="10" spans="1:14" s="8" customFormat="1" ht="15.25" customHeight="1">
      <c r="B10" s="211" t="s">
        <v>142</v>
      </c>
      <c r="C10" s="212">
        <v>1500</v>
      </c>
      <c r="D10" s="213">
        <v>12</v>
      </c>
      <c r="E10" s="212">
        <f t="shared" si="0"/>
        <v>18000</v>
      </c>
      <c r="H10"/>
      <c r="I10"/>
      <c r="J10"/>
      <c r="K10"/>
      <c r="L10"/>
      <c r="M10"/>
      <c r="N10"/>
    </row>
    <row r="11" spans="1:14" s="8" customFormat="1" ht="15.25" customHeight="1">
      <c r="B11" s="211" t="s">
        <v>85</v>
      </c>
      <c r="C11" s="212">
        <v>800</v>
      </c>
      <c r="D11" s="213">
        <v>12</v>
      </c>
      <c r="E11" s="212">
        <f t="shared" si="0"/>
        <v>9600</v>
      </c>
      <c r="H11"/>
      <c r="I11"/>
      <c r="J11"/>
      <c r="K11"/>
      <c r="L11"/>
      <c r="M11"/>
      <c r="N11"/>
    </row>
    <row r="12" spans="1:14" s="8" customFormat="1" ht="15.25" customHeight="1">
      <c r="B12" s="211" t="s">
        <v>89</v>
      </c>
      <c r="C12" s="212">
        <v>3500</v>
      </c>
      <c r="D12" s="213">
        <v>12</v>
      </c>
      <c r="E12" s="212">
        <f t="shared" si="0"/>
        <v>42000</v>
      </c>
      <c r="H12"/>
      <c r="I12"/>
      <c r="J12"/>
      <c r="K12"/>
      <c r="L12"/>
      <c r="M12"/>
      <c r="N12"/>
    </row>
    <row r="13" spans="1:14" s="8" customFormat="1" ht="15.25" customHeight="1">
      <c r="B13" s="211" t="s">
        <v>93</v>
      </c>
      <c r="C13" s="212">
        <v>1000</v>
      </c>
      <c r="D13" s="213">
        <v>12</v>
      </c>
      <c r="E13" s="212">
        <f t="shared" si="0"/>
        <v>12000</v>
      </c>
      <c r="H13"/>
      <c r="I13"/>
      <c r="J13"/>
      <c r="K13"/>
      <c r="L13"/>
      <c r="M13"/>
      <c r="N13"/>
    </row>
    <row r="14" spans="1:14" s="8" customFormat="1" ht="15.25" customHeight="1">
      <c r="B14" s="211" t="s">
        <v>143</v>
      </c>
      <c r="C14" s="212">
        <v>15000</v>
      </c>
      <c r="D14" s="213">
        <v>12</v>
      </c>
      <c r="E14" s="212">
        <f t="shared" si="0"/>
        <v>180000</v>
      </c>
      <c r="H14"/>
      <c r="I14"/>
      <c r="J14"/>
      <c r="K14"/>
      <c r="L14"/>
      <c r="M14"/>
      <c r="N14"/>
    </row>
    <row r="15" spans="1:14" s="8" customFormat="1" ht="15.25" customHeight="1">
      <c r="B15" s="211" t="s">
        <v>144</v>
      </c>
      <c r="C15" s="212">
        <v>150</v>
      </c>
      <c r="D15" s="213">
        <v>12</v>
      </c>
      <c r="E15" s="212">
        <f t="shared" si="0"/>
        <v>1800</v>
      </c>
      <c r="H15"/>
      <c r="I15"/>
      <c r="J15"/>
      <c r="K15"/>
      <c r="L15"/>
      <c r="M15"/>
      <c r="N15"/>
    </row>
    <row r="16" spans="1:14" s="8" customFormat="1" ht="28">
      <c r="B16" s="214" t="s">
        <v>145</v>
      </c>
      <c r="C16" s="212"/>
      <c r="D16" s="212"/>
      <c r="E16" s="215">
        <v>30237.82</v>
      </c>
      <c r="F16" s="216"/>
      <c r="I16" s="144"/>
      <c r="J16" s="144"/>
      <c r="K16" s="144"/>
      <c r="L16" s="144"/>
    </row>
    <row r="17" spans="2:14" s="8" customFormat="1" ht="15.25" customHeight="1">
      <c r="B17" s="217" t="s">
        <v>146</v>
      </c>
      <c r="C17" s="218"/>
      <c r="D17" s="219"/>
      <c r="E17" s="218">
        <v>162400</v>
      </c>
      <c r="I17" s="144"/>
      <c r="J17" s="144"/>
      <c r="K17" s="144"/>
      <c r="L17" s="144"/>
    </row>
    <row r="18" spans="2:14" s="8" customFormat="1" ht="15.25" customHeight="1">
      <c r="B18" s="220" t="s">
        <v>147</v>
      </c>
      <c r="C18" s="221">
        <f>SUM(C9:C17)</f>
        <v>25550</v>
      </c>
      <c r="D18" s="222"/>
      <c r="E18" s="204">
        <f>SUM(E9:E17)</f>
        <v>499237.82</v>
      </c>
      <c r="I18" s="144"/>
      <c r="J18" s="144"/>
      <c r="K18" s="144"/>
      <c r="L18" s="144"/>
    </row>
    <row r="19" spans="2:14" s="8" customFormat="1" ht="15.25" customHeight="1">
      <c r="B19" s="211" t="s">
        <v>148</v>
      </c>
      <c r="C19" s="223"/>
      <c r="D19" s="224"/>
      <c r="E19" s="212">
        <v>16030.55</v>
      </c>
      <c r="I19" s="144"/>
      <c r="J19" s="144"/>
      <c r="K19" s="144"/>
      <c r="L19" s="144"/>
    </row>
    <row r="20" spans="2:14" s="8" customFormat="1" ht="36.5" customHeight="1">
      <c r="B20" s="214" t="s">
        <v>149</v>
      </c>
      <c r="C20" s="398" t="s">
        <v>150</v>
      </c>
      <c r="D20" s="398"/>
      <c r="E20" s="212">
        <v>23969.45</v>
      </c>
      <c r="I20" s="144"/>
      <c r="J20" s="144"/>
      <c r="K20" s="144"/>
      <c r="L20" s="144"/>
    </row>
    <row r="21" spans="2:14" ht="15.25" customHeight="1">
      <c r="B21" s="220" t="s">
        <v>151</v>
      </c>
      <c r="C21" s="204"/>
      <c r="D21" s="222"/>
      <c r="E21" s="204">
        <f>E19+E20</f>
        <v>40000</v>
      </c>
    </row>
    <row r="22" spans="2:14" ht="15.25" customHeight="1">
      <c r="B22" s="220"/>
      <c r="C22" s="204"/>
      <c r="D22" s="222"/>
      <c r="E22" s="204">
        <f>E18+E21</f>
        <v>539237.82000000007</v>
      </c>
    </row>
    <row r="23" spans="2:14" ht="15.25" customHeight="1">
      <c r="B23" s="225" t="s">
        <v>152</v>
      </c>
      <c r="C23" s="226"/>
      <c r="D23" s="226"/>
      <c r="E23" s="226"/>
    </row>
    <row r="24" spans="2:14" ht="15.25" customHeight="1">
      <c r="B24" s="227" t="s">
        <v>153</v>
      </c>
    </row>
    <row r="25" spans="2:14" ht="15.25" customHeight="1">
      <c r="B25" s="227" t="s">
        <v>154</v>
      </c>
      <c r="C25" s="228"/>
      <c r="D25" s="228"/>
      <c r="E25" s="228"/>
      <c r="H25" s="229" t="s">
        <v>155</v>
      </c>
    </row>
    <row r="26" spans="2:14" ht="15.25" customHeight="1">
      <c r="B26" s="230" t="s">
        <v>156</v>
      </c>
      <c r="C26" s="231"/>
      <c r="D26" s="232" t="s">
        <v>157</v>
      </c>
      <c r="E26" s="233">
        <f>E18</f>
        <v>499237.82</v>
      </c>
      <c r="H26" t="s">
        <v>126</v>
      </c>
      <c r="I26" s="234" t="s">
        <v>127</v>
      </c>
      <c r="J26" s="137" t="s">
        <v>128</v>
      </c>
      <c r="K26" s="137" t="s">
        <v>129</v>
      </c>
      <c r="L26" s="235" t="s">
        <v>130</v>
      </c>
      <c r="M26" t="s">
        <v>131</v>
      </c>
    </row>
    <row r="27" spans="2:14" ht="15.25" customHeight="1">
      <c r="B27" s="184" t="s">
        <v>132</v>
      </c>
      <c r="C27" s="185" t="s">
        <v>133</v>
      </c>
      <c r="D27" s="186" t="s">
        <v>134</v>
      </c>
      <c r="E27" s="185" t="s">
        <v>135</v>
      </c>
      <c r="H27" s="236">
        <v>1</v>
      </c>
      <c r="I27" s="137">
        <f>E26</f>
        <v>499237.82</v>
      </c>
      <c r="J27" s="137">
        <v>3386200</v>
      </c>
      <c r="K27" s="137">
        <v>26236200</v>
      </c>
      <c r="L27" s="237">
        <f>(J27/J34)*100</f>
        <v>12.906594705025881</v>
      </c>
      <c r="M27" s="238">
        <f t="shared" ref="M27:M33" si="1">(I27*J27/K27)</f>
        <v>64434.602041606639</v>
      </c>
      <c r="N27" s="137">
        <v>64434.6</v>
      </c>
    </row>
    <row r="28" spans="2:14" ht="15.25" customHeight="1">
      <c r="B28" s="189" t="s">
        <v>65</v>
      </c>
      <c r="C28" s="190" t="s">
        <v>66</v>
      </c>
      <c r="D28" s="191">
        <v>0.129</v>
      </c>
      <c r="E28" s="239">
        <v>64434.6</v>
      </c>
      <c r="H28" s="236">
        <v>2</v>
      </c>
      <c r="I28" s="137">
        <f>E26</f>
        <v>499237.82</v>
      </c>
      <c r="J28" s="137">
        <v>3453400</v>
      </c>
      <c r="K28" s="137">
        <v>26236200</v>
      </c>
      <c r="L28" s="237">
        <f>(J28/J34)*100</f>
        <v>13.162729358672367</v>
      </c>
      <c r="M28" s="238">
        <f t="shared" si="1"/>
        <v>65713.323102735914</v>
      </c>
      <c r="N28" s="137">
        <v>65713.320000000007</v>
      </c>
    </row>
    <row r="29" spans="2:14" ht="14">
      <c r="B29" s="193" t="s">
        <v>158</v>
      </c>
      <c r="C29" s="194" t="s">
        <v>68</v>
      </c>
      <c r="D29" s="195">
        <v>0.13159999999999999</v>
      </c>
      <c r="E29" s="240">
        <v>65713.320000000007</v>
      </c>
      <c r="H29" s="236">
        <v>3</v>
      </c>
      <c r="I29" s="137">
        <f>E26</f>
        <v>499237.82</v>
      </c>
      <c r="J29" s="137">
        <v>4063600</v>
      </c>
      <c r="K29" s="137">
        <v>26236200</v>
      </c>
      <c r="L29" s="237">
        <f>(J29/J34)*100</f>
        <v>15.4885234904445</v>
      </c>
      <c r="M29" s="238">
        <f t="shared" si="1"/>
        <v>77324.567023883035</v>
      </c>
      <c r="N29" s="137">
        <v>77324.570000000007</v>
      </c>
    </row>
    <row r="30" spans="2:14" ht="14">
      <c r="B30" s="193" t="s">
        <v>69</v>
      </c>
      <c r="C30" s="194" t="s">
        <v>70</v>
      </c>
      <c r="D30" s="195">
        <v>0.15490000000000001</v>
      </c>
      <c r="E30" s="240">
        <v>77324.570000000007</v>
      </c>
      <c r="H30" s="236">
        <v>4</v>
      </c>
      <c r="I30" s="137">
        <f>E26</f>
        <v>499237.82</v>
      </c>
      <c r="J30" s="137">
        <v>2061000</v>
      </c>
      <c r="K30" s="137">
        <v>26236200</v>
      </c>
      <c r="L30" s="237">
        <f>(J30/J34)*100</f>
        <v>7.8555583506757838</v>
      </c>
      <c r="M30" s="238">
        <f t="shared" si="1"/>
        <v>39217.918258741738</v>
      </c>
      <c r="N30" s="137">
        <v>39217.919999999998</v>
      </c>
    </row>
    <row r="31" spans="2:14" ht="14">
      <c r="B31" s="193" t="s">
        <v>71</v>
      </c>
      <c r="C31" s="194" t="s">
        <v>72</v>
      </c>
      <c r="D31" s="195">
        <v>7.8600000000000003E-2</v>
      </c>
      <c r="E31" s="240">
        <v>39217.919999999998</v>
      </c>
      <c r="H31" s="236">
        <v>5</v>
      </c>
      <c r="I31" s="137">
        <f>E26</f>
        <v>499237.82</v>
      </c>
      <c r="J31" s="137">
        <v>2540000</v>
      </c>
      <c r="K31" s="137">
        <v>26236200</v>
      </c>
      <c r="L31" s="237">
        <f>(J31/J34)*100</f>
        <v>9.6812800634238201</v>
      </c>
      <c r="M31" s="238">
        <f t="shared" si="1"/>
        <v>48332.611536731689</v>
      </c>
      <c r="N31" s="137">
        <v>48332.61</v>
      </c>
    </row>
    <row r="32" spans="2:14" ht="14">
      <c r="B32" s="193" t="s">
        <v>136</v>
      </c>
      <c r="C32" s="194" t="s">
        <v>74</v>
      </c>
      <c r="D32" s="195">
        <v>9.6799999999999997E-2</v>
      </c>
      <c r="E32" s="240">
        <v>48332.61</v>
      </c>
      <c r="H32" s="236">
        <v>6</v>
      </c>
      <c r="I32" s="137">
        <f>E26</f>
        <v>499237.82</v>
      </c>
      <c r="J32" s="137">
        <v>4173600</v>
      </c>
      <c r="K32" s="137">
        <v>26236200</v>
      </c>
      <c r="L32" s="237">
        <f>(J32/J34)*100</f>
        <v>15.907791524687266</v>
      </c>
      <c r="M32" s="238">
        <f t="shared" si="1"/>
        <v>79417.711617993453</v>
      </c>
      <c r="N32" s="137">
        <v>79417.710000000006</v>
      </c>
    </row>
    <row r="33" spans="2:14" ht="14">
      <c r="B33" s="193" t="s">
        <v>75</v>
      </c>
      <c r="C33" s="194" t="s">
        <v>76</v>
      </c>
      <c r="D33" s="195">
        <v>0.15909999999999999</v>
      </c>
      <c r="E33" s="240">
        <v>79417.710000000006</v>
      </c>
      <c r="H33" s="236">
        <v>7</v>
      </c>
      <c r="I33" s="137">
        <f>E26</f>
        <v>499237.82</v>
      </c>
      <c r="J33" s="137">
        <v>6558400</v>
      </c>
      <c r="K33" s="137">
        <v>26236200</v>
      </c>
      <c r="L33" s="237">
        <f>(J33/J34)*100</f>
        <v>24.997522507070382</v>
      </c>
      <c r="M33" s="238">
        <f t="shared" si="1"/>
        <v>124797.08641830753</v>
      </c>
      <c r="N33" s="137">
        <v>124797.09</v>
      </c>
    </row>
    <row r="34" spans="2:14" ht="14">
      <c r="B34" s="193" t="s">
        <v>77</v>
      </c>
      <c r="C34" s="194" t="s">
        <v>78</v>
      </c>
      <c r="D34" s="195">
        <v>0.25</v>
      </c>
      <c r="E34" s="241">
        <v>124797.09</v>
      </c>
      <c r="J34" s="242">
        <f>SUM(J27:J33)</f>
        <v>26236200</v>
      </c>
      <c r="K34" s="242"/>
      <c r="L34" s="243">
        <f>SUM(L27:L33)</f>
        <v>100</v>
      </c>
      <c r="M34" s="242">
        <f>SUM(M27:M33)</f>
        <v>499237.81999999995</v>
      </c>
      <c r="N34" s="137">
        <f>SUM(N27:N33)</f>
        <v>499237.82000000007</v>
      </c>
    </row>
    <row r="35" spans="2:14" ht="14">
      <c r="B35" s="201" t="s">
        <v>84</v>
      </c>
      <c r="C35" s="202"/>
      <c r="D35" s="203">
        <f>SUM(D28:D34)</f>
        <v>1</v>
      </c>
      <c r="E35" s="222">
        <f>SUM(E28:E34)</f>
        <v>499237.82000000007</v>
      </c>
      <c r="I35"/>
      <c r="J35"/>
      <c r="K35"/>
      <c r="L35"/>
    </row>
    <row r="36" spans="2:14">
      <c r="H36" s="229" t="s">
        <v>159</v>
      </c>
    </row>
    <row r="37" spans="2:14" ht="16">
      <c r="B37" s="230" t="s">
        <v>160</v>
      </c>
      <c r="C37" s="231"/>
      <c r="D37" s="232" t="s">
        <v>157</v>
      </c>
      <c r="E37" s="233">
        <f>E19+E20</f>
        <v>40000</v>
      </c>
      <c r="H37" t="s">
        <v>126</v>
      </c>
      <c r="I37" s="234" t="s">
        <v>127</v>
      </c>
      <c r="J37" s="137" t="s">
        <v>128</v>
      </c>
      <c r="K37" s="137" t="s">
        <v>129</v>
      </c>
      <c r="L37" s="235" t="s">
        <v>130</v>
      </c>
      <c r="M37" t="s">
        <v>131</v>
      </c>
    </row>
    <row r="38" spans="2:14" ht="14">
      <c r="B38" s="184" t="s">
        <v>132</v>
      </c>
      <c r="C38" s="185" t="s">
        <v>133</v>
      </c>
      <c r="D38" s="186" t="s">
        <v>134</v>
      </c>
      <c r="E38" s="185" t="s">
        <v>135</v>
      </c>
      <c r="H38" s="236">
        <v>1</v>
      </c>
      <c r="I38" s="137">
        <f>E37</f>
        <v>40000</v>
      </c>
      <c r="J38" s="137">
        <v>3386200</v>
      </c>
      <c r="K38" s="137">
        <v>26236200</v>
      </c>
      <c r="L38" s="237">
        <f>(J38/J45)*100</f>
        <v>12.906594705025881</v>
      </c>
      <c r="M38" s="238">
        <f t="shared" ref="M38:M44" si="2">(I38*J38/K38)</f>
        <v>5162.6378820103519</v>
      </c>
      <c r="N38" s="137">
        <v>5162.6400000000003</v>
      </c>
    </row>
    <row r="39" spans="2:14" ht="14">
      <c r="B39" s="189" t="s">
        <v>65</v>
      </c>
      <c r="C39" s="190" t="s">
        <v>66</v>
      </c>
      <c r="D39" s="191">
        <v>0.129</v>
      </c>
      <c r="E39" s="239">
        <v>5162.6400000000003</v>
      </c>
      <c r="H39" s="236">
        <v>2</v>
      </c>
      <c r="I39" s="137">
        <f>E37</f>
        <v>40000</v>
      </c>
      <c r="J39" s="137">
        <v>3453400</v>
      </c>
      <c r="K39" s="137">
        <v>26236200</v>
      </c>
      <c r="L39" s="237">
        <f>(J39/J45)*100</f>
        <v>13.162729358672367</v>
      </c>
      <c r="M39" s="238">
        <f t="shared" si="2"/>
        <v>5265.0917434689472</v>
      </c>
      <c r="N39" s="137">
        <v>5265.09</v>
      </c>
    </row>
    <row r="40" spans="2:14" ht="14">
      <c r="B40" s="193" t="s">
        <v>158</v>
      </c>
      <c r="C40" s="194" t="s">
        <v>68</v>
      </c>
      <c r="D40" s="195">
        <v>0.13159999999999999</v>
      </c>
      <c r="E40" s="240">
        <v>5265.09</v>
      </c>
      <c r="H40" s="236">
        <v>3</v>
      </c>
      <c r="I40" s="137">
        <f>E37</f>
        <v>40000</v>
      </c>
      <c r="J40" s="137">
        <v>4063600</v>
      </c>
      <c r="K40" s="137">
        <v>26236200</v>
      </c>
      <c r="L40" s="237">
        <f>(J40/J45)*100</f>
        <v>15.4885234904445</v>
      </c>
      <c r="M40" s="238">
        <f t="shared" si="2"/>
        <v>6195.4093961777999</v>
      </c>
      <c r="N40" s="137">
        <v>6195.41</v>
      </c>
    </row>
    <row r="41" spans="2:14" ht="14">
      <c r="B41" s="193" t="s">
        <v>69</v>
      </c>
      <c r="C41" s="194" t="s">
        <v>70</v>
      </c>
      <c r="D41" s="195">
        <v>0.15490000000000001</v>
      </c>
      <c r="E41" s="240">
        <v>6195.41</v>
      </c>
      <c r="H41" s="236">
        <v>4</v>
      </c>
      <c r="I41" s="137">
        <f>E37</f>
        <v>40000</v>
      </c>
      <c r="J41" s="137">
        <v>2061000</v>
      </c>
      <c r="K41" s="137">
        <v>26236200</v>
      </c>
      <c r="L41" s="237">
        <f>(J41/J45)*100</f>
        <v>7.8555583506757838</v>
      </c>
      <c r="M41" s="238">
        <f t="shared" si="2"/>
        <v>3142.2233402703137</v>
      </c>
      <c r="N41" s="137">
        <v>3142.22</v>
      </c>
    </row>
    <row r="42" spans="2:14" ht="14">
      <c r="B42" s="193" t="s">
        <v>71</v>
      </c>
      <c r="C42" s="194" t="s">
        <v>72</v>
      </c>
      <c r="D42" s="195">
        <v>7.8600000000000003E-2</v>
      </c>
      <c r="E42" s="240">
        <v>3142.22</v>
      </c>
      <c r="H42" s="236">
        <v>5</v>
      </c>
      <c r="I42" s="137">
        <f>E37</f>
        <v>40000</v>
      </c>
      <c r="J42" s="137">
        <v>2540000</v>
      </c>
      <c r="K42" s="137">
        <v>26236200</v>
      </c>
      <c r="L42" s="237">
        <f>(J42/J45)*100</f>
        <v>9.6812800634238201</v>
      </c>
      <c r="M42" s="238">
        <f t="shared" si="2"/>
        <v>3872.5120253695277</v>
      </c>
      <c r="N42" s="137">
        <v>3872.51</v>
      </c>
    </row>
    <row r="43" spans="2:14" ht="14">
      <c r="B43" s="193" t="s">
        <v>136</v>
      </c>
      <c r="C43" s="194" t="s">
        <v>74</v>
      </c>
      <c r="D43" s="195">
        <v>9.6799999999999997E-2</v>
      </c>
      <c r="E43" s="240">
        <v>3872.51</v>
      </c>
      <c r="H43" s="236">
        <v>6</v>
      </c>
      <c r="I43" s="137">
        <f>E37</f>
        <v>40000</v>
      </c>
      <c r="J43" s="137">
        <v>4173600</v>
      </c>
      <c r="K43" s="137">
        <v>26236200</v>
      </c>
      <c r="L43" s="237">
        <f>(J43/J45)*100</f>
        <v>15.907791524687266</v>
      </c>
      <c r="M43" s="238">
        <f t="shared" si="2"/>
        <v>6363.1166098749054</v>
      </c>
      <c r="N43" s="137">
        <v>6363.12</v>
      </c>
    </row>
    <row r="44" spans="2:14" ht="14">
      <c r="B44" s="193" t="s">
        <v>75</v>
      </c>
      <c r="C44" s="194" t="s">
        <v>76</v>
      </c>
      <c r="D44" s="195">
        <v>0.15909999999999999</v>
      </c>
      <c r="E44" s="240">
        <v>6363.12</v>
      </c>
      <c r="H44" s="236">
        <v>7</v>
      </c>
      <c r="I44" s="137">
        <f>E37</f>
        <v>40000</v>
      </c>
      <c r="J44" s="137">
        <v>6558400</v>
      </c>
      <c r="K44" s="137">
        <v>26236200</v>
      </c>
      <c r="L44" s="237">
        <f>(J44/J45)*100</f>
        <v>24.997522507070382</v>
      </c>
      <c r="M44" s="238">
        <f t="shared" si="2"/>
        <v>9999.0090028281538</v>
      </c>
      <c r="N44" s="137">
        <v>9999.01</v>
      </c>
    </row>
    <row r="45" spans="2:14" ht="14">
      <c r="B45" s="193" t="s">
        <v>77</v>
      </c>
      <c r="C45" s="194" t="s">
        <v>78</v>
      </c>
      <c r="D45" s="195">
        <v>0.25</v>
      </c>
      <c r="E45" s="241">
        <v>9999.01</v>
      </c>
      <c r="J45" s="242">
        <f>SUM(J38:J44)</f>
        <v>26236200</v>
      </c>
      <c r="K45" s="242"/>
      <c r="L45" s="243">
        <f>SUM(L38:L44)</f>
        <v>100</v>
      </c>
      <c r="M45" s="242">
        <f>SUM(M38:M44)</f>
        <v>40000</v>
      </c>
      <c r="N45" s="137">
        <f>SUM(N38:N44)</f>
        <v>40000</v>
      </c>
    </row>
    <row r="46" spans="2:14" ht="14">
      <c r="B46" s="201" t="s">
        <v>84</v>
      </c>
      <c r="C46" s="202"/>
      <c r="D46" s="203">
        <f>SUM(D39:D45)</f>
        <v>1</v>
      </c>
      <c r="E46" s="222">
        <f>SUM(E39:E45)</f>
        <v>40000</v>
      </c>
      <c r="H46" s="236"/>
      <c r="I46"/>
      <c r="J46"/>
      <c r="K46"/>
      <c r="L46"/>
    </row>
    <row r="47" spans="2:14">
      <c r="H47" s="229" t="s">
        <v>161</v>
      </c>
    </row>
    <row r="48" spans="2:14">
      <c r="B48" s="244"/>
      <c r="C48" s="245" t="s">
        <v>162</v>
      </c>
      <c r="D48" s="246"/>
      <c r="E48" s="247"/>
      <c r="H48" t="s">
        <v>126</v>
      </c>
      <c r="I48" s="234" t="s">
        <v>127</v>
      </c>
      <c r="J48" s="137" t="s">
        <v>128</v>
      </c>
      <c r="K48" s="137" t="s">
        <v>129</v>
      </c>
      <c r="L48" s="235" t="s">
        <v>130</v>
      </c>
      <c r="M48" t="s">
        <v>131</v>
      </c>
    </row>
    <row r="49" spans="2:14">
      <c r="B49" s="248" t="s">
        <v>126</v>
      </c>
      <c r="C49" s="249" t="s">
        <v>163</v>
      </c>
      <c r="D49" s="249" t="s">
        <v>164</v>
      </c>
      <c r="E49" s="249" t="s">
        <v>84</v>
      </c>
      <c r="H49" s="236">
        <v>1</v>
      </c>
      <c r="I49" s="137">
        <v>807965.5</v>
      </c>
      <c r="J49" s="137">
        <v>3386200</v>
      </c>
      <c r="K49" s="137">
        <v>26236200</v>
      </c>
      <c r="L49" s="237">
        <f>(J49/J56)*100</f>
        <v>12.906594705025881</v>
      </c>
      <c r="M49" s="238">
        <f t="shared" ref="M49:M55" si="3">(I49*J49/K49)</f>
        <v>104280.83244143588</v>
      </c>
      <c r="N49" s="137">
        <v>104280.83</v>
      </c>
    </row>
    <row r="50" spans="2:14">
      <c r="B50" s="250" t="s">
        <v>66</v>
      </c>
      <c r="C50" s="251">
        <f>E28/4</f>
        <v>16108.65</v>
      </c>
      <c r="D50" s="252">
        <f t="shared" ref="D50:D56" si="4">E39/4</f>
        <v>1290.6600000000001</v>
      </c>
      <c r="E50" s="252">
        <f t="shared" ref="E50:E56" si="5">C50+D50</f>
        <v>17399.310000000001</v>
      </c>
      <c r="H50" s="236">
        <v>2</v>
      </c>
      <c r="I50" s="137">
        <v>807965.5</v>
      </c>
      <c r="J50" s="137">
        <v>3453400</v>
      </c>
      <c r="K50" s="137">
        <v>26236200</v>
      </c>
      <c r="L50" s="237">
        <f>(J50/J56)*100</f>
        <v>13.162729358672367</v>
      </c>
      <c r="M50" s="238">
        <f t="shared" si="3"/>
        <v>106350.312076444</v>
      </c>
      <c r="N50" s="137">
        <v>106350.31</v>
      </c>
    </row>
    <row r="51" spans="2:14">
      <c r="B51" s="250" t="s">
        <v>68</v>
      </c>
      <c r="C51" s="251">
        <f t="shared" ref="C51:C56" si="6">E29/4</f>
        <v>16428.330000000002</v>
      </c>
      <c r="D51" s="252">
        <f t="shared" si="4"/>
        <v>1316.2725</v>
      </c>
      <c r="E51" s="252">
        <f t="shared" si="5"/>
        <v>17744.602500000001</v>
      </c>
      <c r="H51" s="236">
        <v>3</v>
      </c>
      <c r="I51" s="137">
        <v>807965.5</v>
      </c>
      <c r="J51" s="137">
        <v>4063600</v>
      </c>
      <c r="K51" s="137">
        <v>26236200</v>
      </c>
      <c r="L51" s="237">
        <f>(J51/J56)*100</f>
        <v>15.4885234904445</v>
      </c>
      <c r="M51" s="238">
        <f t="shared" si="3"/>
        <v>125141.92626218736</v>
      </c>
      <c r="N51" s="137">
        <v>125141.93</v>
      </c>
    </row>
    <row r="52" spans="2:14">
      <c r="B52" s="250" t="s">
        <v>70</v>
      </c>
      <c r="C52" s="251">
        <f t="shared" si="6"/>
        <v>19331.142500000002</v>
      </c>
      <c r="D52" s="252">
        <f t="shared" si="4"/>
        <v>1548.8525</v>
      </c>
      <c r="E52" s="252">
        <f t="shared" si="5"/>
        <v>20879.995000000003</v>
      </c>
      <c r="H52" s="236">
        <v>4</v>
      </c>
      <c r="I52" s="137">
        <v>807965.5</v>
      </c>
      <c r="J52" s="137">
        <v>2061000</v>
      </c>
      <c r="K52" s="137">
        <v>26236200</v>
      </c>
      <c r="L52" s="237">
        <f>(J52/J56)*100</f>
        <v>7.8555583506757838</v>
      </c>
      <c r="M52" s="238">
        <f t="shared" si="3"/>
        <v>63470.201305829352</v>
      </c>
      <c r="N52" s="137">
        <v>63470.2</v>
      </c>
    </row>
    <row r="53" spans="2:14">
      <c r="B53" s="250" t="s">
        <v>72</v>
      </c>
      <c r="C53" s="251">
        <f t="shared" si="6"/>
        <v>9804.48</v>
      </c>
      <c r="D53" s="252">
        <f t="shared" si="4"/>
        <v>785.55499999999995</v>
      </c>
      <c r="E53" s="252">
        <f t="shared" si="5"/>
        <v>10590.035</v>
      </c>
      <c r="H53" s="236">
        <v>5</v>
      </c>
      <c r="I53" s="137">
        <v>807965.5</v>
      </c>
      <c r="J53" s="137">
        <v>2540000</v>
      </c>
      <c r="K53" s="137">
        <v>26236200</v>
      </c>
      <c r="L53" s="237">
        <f>(J53/J56)*100</f>
        <v>9.6812800634238201</v>
      </c>
      <c r="M53" s="238">
        <f t="shared" si="3"/>
        <v>78221.402870842576</v>
      </c>
      <c r="N53" s="137">
        <v>78221.399999999994</v>
      </c>
    </row>
    <row r="54" spans="2:14">
      <c r="B54" s="250" t="s">
        <v>74</v>
      </c>
      <c r="C54" s="251">
        <f t="shared" si="6"/>
        <v>12083.1525</v>
      </c>
      <c r="D54" s="252">
        <f t="shared" si="4"/>
        <v>968.12750000000005</v>
      </c>
      <c r="E54" s="252">
        <f t="shared" si="5"/>
        <v>13051.28</v>
      </c>
      <c r="H54" s="236">
        <v>6</v>
      </c>
      <c r="I54" s="137">
        <v>807965.5</v>
      </c>
      <c r="J54" s="137">
        <v>4173600</v>
      </c>
      <c r="K54" s="137">
        <v>26236200</v>
      </c>
      <c r="L54" s="237">
        <f>(J54/J56)*100</f>
        <v>15.907791524687266</v>
      </c>
      <c r="M54" s="238">
        <f t="shared" si="3"/>
        <v>128529.46733139707</v>
      </c>
      <c r="N54" s="137">
        <v>128529.47</v>
      </c>
    </row>
    <row r="55" spans="2:14">
      <c r="B55" s="250" t="s">
        <v>76</v>
      </c>
      <c r="C55" s="251">
        <f t="shared" si="6"/>
        <v>19854.427500000002</v>
      </c>
      <c r="D55" s="252">
        <f t="shared" si="4"/>
        <v>1590.78</v>
      </c>
      <c r="E55" s="252">
        <f t="shared" si="5"/>
        <v>21445.2075</v>
      </c>
      <c r="H55" s="236">
        <v>7</v>
      </c>
      <c r="I55" s="137">
        <v>807965.5</v>
      </c>
      <c r="J55" s="137">
        <v>6558400</v>
      </c>
      <c r="K55" s="137">
        <v>26236200</v>
      </c>
      <c r="L55" s="237">
        <f>(J55/J56)*100</f>
        <v>24.997522507070382</v>
      </c>
      <c r="M55" s="238">
        <f t="shared" si="3"/>
        <v>201971.35771186376</v>
      </c>
      <c r="N55" s="137">
        <v>201971.36</v>
      </c>
    </row>
    <row r="56" spans="2:14">
      <c r="B56" s="253" t="s">
        <v>78</v>
      </c>
      <c r="C56" s="254">
        <f t="shared" si="6"/>
        <v>31199.272499999999</v>
      </c>
      <c r="D56" s="255">
        <f t="shared" si="4"/>
        <v>2499.7525000000001</v>
      </c>
      <c r="E56" s="255">
        <f t="shared" si="5"/>
        <v>33699.025000000001</v>
      </c>
      <c r="J56" s="242">
        <f>SUM(J49:J55)</f>
        <v>26236200</v>
      </c>
      <c r="K56" s="242"/>
      <c r="L56" s="243">
        <f>SUM(L49:L55)</f>
        <v>100</v>
      </c>
      <c r="M56" s="242">
        <f>SUM(M49:M55)</f>
        <v>807965.5</v>
      </c>
      <c r="N56" s="137">
        <f>SUM(N49:N55)</f>
        <v>807965.5</v>
      </c>
    </row>
    <row r="57" spans="2:14">
      <c r="C57" s="256">
        <f>SUM(C50:C56)</f>
        <v>124809.45500000002</v>
      </c>
      <c r="D57" s="256">
        <f>SUM(D50:D56)</f>
        <v>10000</v>
      </c>
      <c r="E57" s="256">
        <f>SUM(E50:E56)</f>
        <v>134809.45500000002</v>
      </c>
      <c r="I57"/>
      <c r="J57"/>
      <c r="K57"/>
      <c r="L57"/>
    </row>
    <row r="58" spans="2:14">
      <c r="C58"/>
      <c r="D58"/>
      <c r="E58"/>
      <c r="H58" s="229" t="s">
        <v>161</v>
      </c>
    </row>
    <row r="59" spans="2:14">
      <c r="C59"/>
      <c r="D59"/>
      <c r="E59"/>
      <c r="H59" t="s">
        <v>126</v>
      </c>
      <c r="I59" s="234" t="s">
        <v>127</v>
      </c>
      <c r="J59" s="137" t="s">
        <v>128</v>
      </c>
      <c r="K59" s="137" t="s">
        <v>129</v>
      </c>
      <c r="L59" s="235" t="s">
        <v>130</v>
      </c>
      <c r="M59" t="s">
        <v>131</v>
      </c>
    </row>
    <row r="60" spans="2:14">
      <c r="C60"/>
      <c r="D60"/>
      <c r="E60"/>
      <c r="H60" s="236">
        <v>1</v>
      </c>
      <c r="I60" s="137">
        <v>40000</v>
      </c>
      <c r="J60" s="137">
        <v>3386200</v>
      </c>
      <c r="K60" s="137">
        <v>26236200</v>
      </c>
      <c r="L60" s="237">
        <f>(J60/J67)*100</f>
        <v>12.906594705025881</v>
      </c>
      <c r="M60" s="238">
        <f t="shared" ref="M60:M66" si="7">(I60*J60/K60)</f>
        <v>5162.6378820103519</v>
      </c>
      <c r="N60" s="137">
        <v>5162.6400000000003</v>
      </c>
    </row>
    <row r="61" spans="2:14">
      <c r="C61"/>
      <c r="D61"/>
      <c r="E61"/>
      <c r="H61" s="236">
        <v>2</v>
      </c>
      <c r="I61" s="137">
        <v>40000</v>
      </c>
      <c r="J61" s="137">
        <v>3453400</v>
      </c>
      <c r="K61" s="137">
        <v>26236200</v>
      </c>
      <c r="L61" s="237">
        <f>(J61/J67)*100</f>
        <v>13.162729358672367</v>
      </c>
      <c r="M61" s="238">
        <f t="shared" si="7"/>
        <v>5265.0917434689472</v>
      </c>
      <c r="N61" s="137">
        <v>5265.09</v>
      </c>
    </row>
    <row r="62" spans="2:14">
      <c r="C62"/>
      <c r="D62"/>
      <c r="E62"/>
      <c r="H62" s="236">
        <v>3</v>
      </c>
      <c r="I62" s="137">
        <v>40000</v>
      </c>
      <c r="J62" s="137">
        <v>4063600</v>
      </c>
      <c r="K62" s="137">
        <v>26236200</v>
      </c>
      <c r="L62" s="237">
        <f>(J62/J67)*100</f>
        <v>15.4885234904445</v>
      </c>
      <c r="M62" s="238">
        <f t="shared" si="7"/>
        <v>6195.4093961777999</v>
      </c>
      <c r="N62" s="137">
        <v>6195.41</v>
      </c>
    </row>
    <row r="63" spans="2:14">
      <c r="H63" s="236">
        <v>4</v>
      </c>
      <c r="I63" s="137">
        <v>40000</v>
      </c>
      <c r="J63" s="137">
        <v>2061000</v>
      </c>
      <c r="K63" s="137">
        <v>26236200</v>
      </c>
      <c r="L63" s="237">
        <f>(J63/J67)*100</f>
        <v>7.8555583506757838</v>
      </c>
      <c r="M63" s="238">
        <f t="shared" si="7"/>
        <v>3142.2233402703137</v>
      </c>
      <c r="N63" s="137">
        <v>3142.22</v>
      </c>
    </row>
    <row r="64" spans="2:14">
      <c r="H64" s="236">
        <v>5</v>
      </c>
      <c r="I64" s="137">
        <v>40000</v>
      </c>
      <c r="J64" s="137">
        <v>2540000</v>
      </c>
      <c r="K64" s="137">
        <v>26236200</v>
      </c>
      <c r="L64" s="237">
        <f>(J64/J67)*100</f>
        <v>9.6812800634238201</v>
      </c>
      <c r="M64" s="238">
        <f t="shared" si="7"/>
        <v>3872.5120253695277</v>
      </c>
      <c r="N64" s="137">
        <v>3872.51</v>
      </c>
    </row>
    <row r="65" spans="8:14">
      <c r="H65" s="236">
        <v>6</v>
      </c>
      <c r="I65" s="137">
        <v>40000</v>
      </c>
      <c r="J65" s="137">
        <v>4173600</v>
      </c>
      <c r="K65" s="137">
        <v>26236200</v>
      </c>
      <c r="L65" s="237">
        <f>(J65/J67)*100</f>
        <v>15.907791524687266</v>
      </c>
      <c r="M65" s="238">
        <f t="shared" si="7"/>
        <v>6363.1166098749054</v>
      </c>
      <c r="N65" s="137">
        <v>6363.12</v>
      </c>
    </row>
    <row r="66" spans="8:14">
      <c r="H66" s="236">
        <v>7</v>
      </c>
      <c r="I66" s="137">
        <v>40000</v>
      </c>
      <c r="J66" s="137">
        <v>6558400</v>
      </c>
      <c r="K66" s="137">
        <v>26236200</v>
      </c>
      <c r="L66" s="237">
        <f>(J66/J67)*100</f>
        <v>24.997522507070382</v>
      </c>
      <c r="M66" s="238">
        <f t="shared" si="7"/>
        <v>9999.0090028281538</v>
      </c>
      <c r="N66" s="137">
        <v>9999.01</v>
      </c>
    </row>
    <row r="67" spans="8:14">
      <c r="J67" s="242">
        <f>SUM(J60:J66)</f>
        <v>26236200</v>
      </c>
      <c r="K67" s="242"/>
      <c r="L67" s="243">
        <f>SUM(L60:L66)</f>
        <v>100</v>
      </c>
      <c r="M67" s="242">
        <f>SUM(M60:M66)</f>
        <v>40000</v>
      </c>
      <c r="N67" s="137">
        <f>SUM(N60:N66)</f>
        <v>40000</v>
      </c>
    </row>
  </sheetData>
  <mergeCells count="1">
    <mergeCell ref="C20:D20"/>
  </mergeCells>
  <printOptions horizontalCentered="1"/>
  <pageMargins left="0.47222222222222199" right="0.47222222222222199" top="0.61944444444444402" bottom="0.35416666666666702" header="0.35416666666666702" footer="0.511811023622047"/>
  <pageSetup scale="81" orientation="portrait" horizontalDpi="300" verticalDpi="300"/>
  <headerFooter>
    <oddHeader>&amp;C&amp;"Times New Roman,Regular"&amp;12&amp;A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  <pageSetUpPr fitToPage="1"/>
  </sheetPr>
  <dimension ref="A1:J57"/>
  <sheetViews>
    <sheetView zoomScale="90" zoomScaleNormal="90" workbookViewId="0">
      <selection activeCell="Q44" sqref="Q44"/>
    </sheetView>
  </sheetViews>
  <sheetFormatPr baseColWidth="10" defaultColWidth="12.6640625" defaultRowHeight="13"/>
  <cols>
    <col min="1" max="1" width="4.5" customWidth="1"/>
    <col min="2" max="2" width="49.1640625" style="1" customWidth="1"/>
    <col min="3" max="3" width="13.1640625" style="2" customWidth="1"/>
    <col min="4" max="4" width="16.83203125" style="2" customWidth="1"/>
    <col min="5" max="5" width="13" style="2" customWidth="1"/>
    <col min="6" max="6" width="13" style="3" customWidth="1"/>
    <col min="7" max="7" width="4.5" customWidth="1"/>
  </cols>
  <sheetData>
    <row r="1" spans="1:7" ht="54.5" customHeight="1">
      <c r="A1" s="397"/>
      <c r="B1" s="397"/>
      <c r="C1" s="397"/>
      <c r="D1" s="397"/>
      <c r="E1" s="397"/>
      <c r="F1" s="397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165</v>
      </c>
    </row>
    <row r="6" spans="1:7" ht="15">
      <c r="A6" s="1"/>
      <c r="B6" s="258" t="s">
        <v>166</v>
      </c>
      <c r="C6" s="399" t="s">
        <v>355</v>
      </c>
      <c r="D6" s="399"/>
      <c r="E6" s="396"/>
    </row>
    <row r="7" spans="1:7">
      <c r="A7" s="1"/>
      <c r="B7" t="s">
        <v>167</v>
      </c>
    </row>
    <row r="9" spans="1:7">
      <c r="B9" s="6"/>
      <c r="G9" s="259" t="s">
        <v>287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4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t="10.5" hidden="1" customHeight="1">
      <c r="B13" s="263" t="s">
        <v>172</v>
      </c>
      <c r="C13" s="264">
        <v>45117</v>
      </c>
      <c r="D13" s="265"/>
      <c r="E13" s="265">
        <v>5900</v>
      </c>
      <c r="F13" s="266">
        <f>E13</f>
        <v>5900</v>
      </c>
    </row>
    <row r="14" spans="1:7" ht="25" hidden="1" customHeight="1">
      <c r="B14" s="263" t="s">
        <v>172</v>
      </c>
      <c r="C14" s="264">
        <v>45117</v>
      </c>
      <c r="D14" s="265"/>
      <c r="E14" s="265">
        <v>5901</v>
      </c>
      <c r="F14" s="266">
        <f t="shared" ref="F14:F31" si="0">F13-D14+E14</f>
        <v>11801</v>
      </c>
    </row>
    <row r="15" spans="1:7" ht="19.5" hidden="1" customHeight="1">
      <c r="B15" s="263" t="s">
        <v>172</v>
      </c>
      <c r="C15" s="264">
        <v>45205</v>
      </c>
      <c r="D15" s="265"/>
      <c r="E15" s="265">
        <v>25100</v>
      </c>
      <c r="F15" s="266">
        <f t="shared" si="0"/>
        <v>36901</v>
      </c>
    </row>
    <row r="16" spans="1:7" ht="13.5" hidden="1" customHeight="1">
      <c r="B16" s="263" t="s">
        <v>172</v>
      </c>
      <c r="C16" s="264">
        <v>45266</v>
      </c>
      <c r="D16" s="265"/>
      <c r="E16" s="265">
        <v>48373</v>
      </c>
      <c r="F16" s="266">
        <f t="shared" si="0"/>
        <v>85274</v>
      </c>
    </row>
    <row r="17" spans="2:6" ht="19.5" hidden="1" customHeight="1">
      <c r="B17" s="263" t="s">
        <v>172</v>
      </c>
      <c r="C17" s="264">
        <v>45266</v>
      </c>
      <c r="D17" s="265"/>
      <c r="E17" s="265">
        <v>1341</v>
      </c>
      <c r="F17" s="266">
        <f t="shared" si="0"/>
        <v>86615</v>
      </c>
    </row>
    <row r="18" spans="2:6" ht="25" hidden="1" customHeight="1">
      <c r="B18" s="267" t="s">
        <v>173</v>
      </c>
      <c r="C18" s="268">
        <v>45266</v>
      </c>
      <c r="D18" s="269">
        <v>530.98</v>
      </c>
      <c r="E18" s="270"/>
      <c r="F18" s="266">
        <f>F17-D18+E18</f>
        <v>86084.02</v>
      </c>
    </row>
    <row r="19" spans="2:6">
      <c r="B19" s="338" t="s">
        <v>272</v>
      </c>
      <c r="C19" s="339">
        <v>45657</v>
      </c>
      <c r="D19" s="340"/>
      <c r="E19" s="341"/>
      <c r="F19" s="342">
        <v>86084.02</v>
      </c>
    </row>
    <row r="20" spans="2:6">
      <c r="B20" s="267" t="s">
        <v>173</v>
      </c>
      <c r="C20" s="268">
        <v>45297</v>
      </c>
      <c r="D20" s="269">
        <v>530.98</v>
      </c>
      <c r="E20" s="270"/>
      <c r="F20" s="266">
        <f>F18-D20+E20</f>
        <v>85553.040000000008</v>
      </c>
    </row>
    <row r="21" spans="2:6" ht="14">
      <c r="B21" s="271" t="s">
        <v>174</v>
      </c>
      <c r="C21" s="272">
        <v>45321</v>
      </c>
      <c r="D21" s="270">
        <v>20110.009999999998</v>
      </c>
      <c r="E21" s="270"/>
      <c r="F21" s="266">
        <f t="shared" si="0"/>
        <v>65443.030000000013</v>
      </c>
    </row>
    <row r="22" spans="2:6" ht="14">
      <c r="B22" s="271" t="s">
        <v>175</v>
      </c>
      <c r="C22" s="272">
        <v>45330</v>
      </c>
      <c r="D22" s="270">
        <v>4000</v>
      </c>
      <c r="E22" s="270"/>
      <c r="F22" s="266">
        <f t="shared" si="0"/>
        <v>61443.030000000013</v>
      </c>
    </row>
    <row r="23" spans="2:6" ht="14">
      <c r="B23" s="271" t="s">
        <v>176</v>
      </c>
      <c r="C23" s="272">
        <v>45331</v>
      </c>
      <c r="D23" s="270"/>
      <c r="E23" s="270">
        <v>47720.9</v>
      </c>
      <c r="F23" s="266">
        <f t="shared" si="0"/>
        <v>109163.93000000002</v>
      </c>
    </row>
    <row r="24" spans="2:6" ht="28">
      <c r="B24" s="271" t="s">
        <v>177</v>
      </c>
      <c r="C24" s="272">
        <v>45335</v>
      </c>
      <c r="D24" s="270">
        <v>104280.83</v>
      </c>
      <c r="E24" s="270"/>
      <c r="F24" s="266">
        <f t="shared" si="0"/>
        <v>4883.1000000000204</v>
      </c>
    </row>
    <row r="25" spans="2:6" ht="28">
      <c r="B25" s="271" t="s">
        <v>178</v>
      </c>
      <c r="C25" s="272">
        <v>45335</v>
      </c>
      <c r="D25" s="270">
        <v>5162.6400000000003</v>
      </c>
      <c r="E25" s="270"/>
      <c r="F25" s="266">
        <f t="shared" si="0"/>
        <v>-279.53999999997995</v>
      </c>
    </row>
    <row r="26" spans="2:6" ht="28">
      <c r="B26" s="271" t="s">
        <v>179</v>
      </c>
      <c r="C26" s="272">
        <v>45336</v>
      </c>
      <c r="D26" s="270">
        <v>16108.65</v>
      </c>
      <c r="E26" s="270"/>
      <c r="F26" s="266">
        <f t="shared" si="0"/>
        <v>-16388.189999999981</v>
      </c>
    </row>
    <row r="27" spans="2:6" ht="28">
      <c r="B27" s="271" t="s">
        <v>180</v>
      </c>
      <c r="C27" s="272">
        <v>45336</v>
      </c>
      <c r="D27" s="270">
        <v>1290.6600000000001</v>
      </c>
      <c r="E27" s="270"/>
      <c r="F27" s="266">
        <f t="shared" si="0"/>
        <v>-17678.84999999998</v>
      </c>
    </row>
    <row r="28" spans="2:6" ht="14">
      <c r="B28" s="271" t="s">
        <v>172</v>
      </c>
      <c r="C28" s="272">
        <v>45339</v>
      </c>
      <c r="D28" s="270"/>
      <c r="E28" s="270">
        <v>35005.599999999999</v>
      </c>
      <c r="F28" s="266">
        <f t="shared" si="0"/>
        <v>17326.750000000018</v>
      </c>
    </row>
    <row r="29" spans="2:6">
      <c r="B29" s="267" t="s">
        <v>181</v>
      </c>
      <c r="C29" s="273">
        <v>45343</v>
      </c>
      <c r="D29" s="274"/>
      <c r="E29" s="274">
        <v>72.56</v>
      </c>
      <c r="F29" s="266">
        <f t="shared" si="0"/>
        <v>17399.310000000019</v>
      </c>
    </row>
    <row r="30" spans="2:6" ht="28">
      <c r="B30" s="271" t="s">
        <v>273</v>
      </c>
      <c r="C30" s="357">
        <v>45383</v>
      </c>
      <c r="D30" s="358">
        <v>16108.65</v>
      </c>
      <c r="E30" s="356"/>
      <c r="F30" s="266">
        <f t="shared" si="0"/>
        <v>1290.6600000000199</v>
      </c>
    </row>
    <row r="31" spans="2:6" ht="28">
      <c r="B31" s="271" t="s">
        <v>274</v>
      </c>
      <c r="C31" s="359">
        <v>45383</v>
      </c>
      <c r="D31" s="360">
        <v>1290.6600000000001</v>
      </c>
      <c r="E31" s="270"/>
      <c r="F31" s="275">
        <f t="shared" si="0"/>
        <v>1.9781509763561189E-11</v>
      </c>
    </row>
    <row r="32" spans="2:6" ht="28">
      <c r="B32" s="271" t="s">
        <v>290</v>
      </c>
      <c r="C32" s="368">
        <v>45397</v>
      </c>
      <c r="D32" s="360">
        <v>10082.012726136585</v>
      </c>
      <c r="E32" s="270"/>
      <c r="F32" s="266">
        <f>F31-D32+E32</f>
        <v>-10082.012726136565</v>
      </c>
    </row>
    <row r="33" spans="2:6">
      <c r="B33" s="267" t="s">
        <v>306</v>
      </c>
      <c r="C33" s="368">
        <v>45418</v>
      </c>
      <c r="D33" s="360">
        <f>D32*2%</f>
        <v>201.64025452273171</v>
      </c>
      <c r="E33" s="270"/>
      <c r="F33" s="266">
        <f>F32-D33+E33</f>
        <v>-10283.652980659297</v>
      </c>
    </row>
    <row r="34" spans="2:6">
      <c r="B34" s="267" t="s">
        <v>307</v>
      </c>
      <c r="C34" s="368">
        <v>45418</v>
      </c>
      <c r="D34" s="360">
        <v>1000</v>
      </c>
      <c r="E34" s="270"/>
      <c r="F34" s="266">
        <f>F33-D34+E34</f>
        <v>-11283.652980659297</v>
      </c>
    </row>
    <row r="35" spans="2:6">
      <c r="B35" s="267" t="s">
        <v>306</v>
      </c>
      <c r="C35" s="368">
        <v>45449</v>
      </c>
      <c r="D35" s="360">
        <f>D32*2%</f>
        <v>201.64025452273171</v>
      </c>
      <c r="E35" s="270"/>
      <c r="F35" s="266">
        <f>F34-D35+E35</f>
        <v>-11485.293235182029</v>
      </c>
    </row>
    <row r="36" spans="2:6" ht="34" customHeight="1">
      <c r="B36" s="267" t="s">
        <v>353</v>
      </c>
      <c r="C36" s="368">
        <v>45473</v>
      </c>
      <c r="D36" s="360">
        <v>3000</v>
      </c>
      <c r="E36" s="270"/>
      <c r="F36" s="266">
        <f>F35-D36+E36</f>
        <v>-14485.293235182029</v>
      </c>
    </row>
    <row r="37" spans="2:6" ht="28">
      <c r="B37" s="271" t="s">
        <v>345</v>
      </c>
      <c r="C37" s="368">
        <v>45474</v>
      </c>
      <c r="D37" s="251">
        <f>'Presupuesto 2024 Aprobado'!C50</f>
        <v>16108.65</v>
      </c>
      <c r="E37" s="270"/>
      <c r="F37" s="266">
        <f t="shared" ref="F37:F38" si="1">F36-D37+E37</f>
        <v>-30593.943235182029</v>
      </c>
    </row>
    <row r="38" spans="2:6" ht="28">
      <c r="B38" s="271" t="s">
        <v>346</v>
      </c>
      <c r="C38" s="368">
        <v>45474</v>
      </c>
      <c r="D38" s="360">
        <f>'Presupuesto 2024 Aprobado'!D50</f>
        <v>1290.6600000000001</v>
      </c>
      <c r="E38" s="270"/>
      <c r="F38" s="266">
        <f t="shared" si="1"/>
        <v>-31884.603235182029</v>
      </c>
    </row>
    <row r="39" spans="2:6" ht="15.25" customHeight="1">
      <c r="B39" s="276"/>
      <c r="C39" s="277" t="s">
        <v>182</v>
      </c>
      <c r="D39" s="269">
        <f>SUM(D13:D38)</f>
        <v>201298.66323518206</v>
      </c>
      <c r="E39" s="269">
        <f>SUM(E13:E38)</f>
        <v>169414.06</v>
      </c>
      <c r="F39" s="278">
        <f>E39-D39</f>
        <v>-31884.603235182061</v>
      </c>
    </row>
    <row r="40" spans="2:6">
      <c r="B40"/>
      <c r="C40"/>
      <c r="D40"/>
      <c r="E40"/>
      <c r="F40" s="279"/>
    </row>
    <row r="41" spans="2:6">
      <c r="B41"/>
      <c r="C41"/>
      <c r="D41"/>
      <c r="E41"/>
      <c r="F41" s="279"/>
    </row>
    <row r="42" spans="2:6">
      <c r="B42" s="390" t="s">
        <v>336</v>
      </c>
      <c r="C42" s="8"/>
      <c r="D42" s="8"/>
      <c r="E42" s="8"/>
      <c r="F42" s="8"/>
    </row>
    <row r="43" spans="2:6" ht="14">
      <c r="B43" s="391" t="s">
        <v>308</v>
      </c>
      <c r="C43" s="368">
        <v>45425</v>
      </c>
      <c r="D43" s="393">
        <v>-24574</v>
      </c>
      <c r="E43" s="291"/>
      <c r="F43" s="376"/>
    </row>
    <row r="44" spans="2:6" ht="14">
      <c r="B44" s="392" t="s">
        <v>309</v>
      </c>
      <c r="C44" s="384"/>
      <c r="D44"/>
      <c r="E44"/>
      <c r="F44" s="293"/>
    </row>
    <row r="45" spans="2:6" ht="14">
      <c r="B45" s="267" t="s">
        <v>321</v>
      </c>
      <c r="C45" s="394">
        <v>45443</v>
      </c>
      <c r="D45" s="393">
        <f>D43*2%</f>
        <v>-491.48</v>
      </c>
      <c r="E45"/>
      <c r="F45" s="293"/>
    </row>
    <row r="46" spans="2:6">
      <c r="B46" s="267" t="s">
        <v>307</v>
      </c>
      <c r="C46" s="394">
        <v>45443</v>
      </c>
      <c r="D46" s="393">
        <v>-1000</v>
      </c>
    </row>
    <row r="47" spans="2:6" ht="26">
      <c r="B47" s="267" t="s">
        <v>354</v>
      </c>
      <c r="C47" s="359">
        <v>45473</v>
      </c>
      <c r="D47" s="393">
        <v>-3000</v>
      </c>
    </row>
    <row r="48" spans="2:6" ht="14">
      <c r="B48" s="282"/>
      <c r="D48" s="283"/>
      <c r="F48" s="292">
        <f>F39+D43+D45+D46+D47</f>
        <v>-60950.083235182065</v>
      </c>
    </row>
    <row r="49" spans="2:10" ht="14">
      <c r="B49" s="383" t="s">
        <v>189</v>
      </c>
      <c r="F49" s="377" t="s">
        <v>310</v>
      </c>
    </row>
    <row r="50" spans="2:10">
      <c r="B50" s="1" t="s">
        <v>194</v>
      </c>
    </row>
    <row r="51" spans="2:10">
      <c r="B51" s="379"/>
    </row>
    <row r="52" spans="2:10">
      <c r="B52" s="380" t="s">
        <v>322</v>
      </c>
      <c r="C52" s="280"/>
      <c r="D52" s="281"/>
    </row>
    <row r="53" spans="2:10">
      <c r="B53" s="381" t="s">
        <v>323</v>
      </c>
      <c r="C53" s="52"/>
      <c r="D53" s="283"/>
    </row>
    <row r="54" spans="2:10">
      <c r="B54" s="381" t="s">
        <v>324</v>
      </c>
      <c r="C54" s="52"/>
      <c r="D54" s="283"/>
      <c r="J54" s="378"/>
    </row>
    <row r="55" spans="2:10">
      <c r="B55" s="382" t="s">
        <v>325</v>
      </c>
      <c r="C55" s="285"/>
      <c r="D55" s="286"/>
      <c r="J55" s="378"/>
    </row>
    <row r="56" spans="2:10">
      <c r="J56" s="378"/>
    </row>
    <row r="57" spans="2:10">
      <c r="J57" s="378"/>
    </row>
  </sheetData>
  <mergeCells count="2">
    <mergeCell ref="A1:F1"/>
    <mergeCell ref="C6:D6"/>
  </mergeCells>
  <pageMargins left="0.78749999999999998" right="0.78749999999999998" top="0.78749999999999998" bottom="0.78749999999999998" header="0.511811023622047" footer="0.511811023622047"/>
  <pageSetup scale="74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  <pageSetUpPr fitToPage="1"/>
  </sheetPr>
  <dimension ref="A1:G42"/>
  <sheetViews>
    <sheetView zoomScale="90" zoomScaleNormal="90" workbookViewId="0">
      <selection activeCell="Q44" sqref="Q44"/>
    </sheetView>
  </sheetViews>
  <sheetFormatPr baseColWidth="10" defaultColWidth="12.6640625" defaultRowHeight="13"/>
  <cols>
    <col min="1" max="1" width="4.5" customWidth="1"/>
    <col min="2" max="2" width="4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7"/>
      <c r="B1" s="397"/>
      <c r="C1" s="397"/>
      <c r="D1" s="397"/>
      <c r="E1" s="397"/>
      <c r="F1" s="397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183</v>
      </c>
    </row>
    <row r="6" spans="1:7">
      <c r="A6" s="1"/>
      <c r="B6" s="258" t="s">
        <v>184</v>
      </c>
      <c r="D6" s="399" t="s">
        <v>355</v>
      </c>
      <c r="E6" s="399"/>
    </row>
    <row r="7" spans="1:7">
      <c r="A7" s="1"/>
      <c r="B7" t="s">
        <v>185</v>
      </c>
    </row>
    <row r="9" spans="1:7">
      <c r="B9" s="6"/>
      <c r="G9" s="259" t="s">
        <v>287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187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187</v>
      </c>
      <c r="C14" s="264">
        <v>45117</v>
      </c>
      <c r="D14" s="265"/>
      <c r="E14" s="265">
        <v>6015</v>
      </c>
      <c r="F14" s="266">
        <f t="shared" ref="F14:F21" si="0">F13-D14+E14</f>
        <v>11915</v>
      </c>
    </row>
    <row r="15" spans="1:7" s="8" customFormat="1" hidden="1">
      <c r="B15" s="263" t="s">
        <v>187</v>
      </c>
      <c r="C15" s="264">
        <v>45210</v>
      </c>
      <c r="D15" s="265"/>
      <c r="E15" s="265">
        <v>25600</v>
      </c>
      <c r="F15" s="266">
        <f t="shared" si="0"/>
        <v>37515</v>
      </c>
    </row>
    <row r="16" spans="1:7" s="8" customFormat="1" hidden="1">
      <c r="B16" s="263" t="s">
        <v>187</v>
      </c>
      <c r="C16" s="264">
        <v>45262</v>
      </c>
      <c r="D16" s="265"/>
      <c r="E16" s="265">
        <v>78000</v>
      </c>
      <c r="F16" s="266">
        <f t="shared" si="0"/>
        <v>115515</v>
      </c>
    </row>
    <row r="17" spans="2:6" s="8" customFormat="1">
      <c r="B17" s="343" t="s">
        <v>272</v>
      </c>
      <c r="C17" s="344">
        <v>45291</v>
      </c>
      <c r="D17" s="345"/>
      <c r="E17" s="345"/>
      <c r="F17" s="342">
        <f t="shared" si="0"/>
        <v>115515</v>
      </c>
    </row>
    <row r="18" spans="2:6" s="8" customFormat="1" ht="28">
      <c r="B18" s="271" t="s">
        <v>174</v>
      </c>
      <c r="C18" s="287">
        <v>45321</v>
      </c>
      <c r="D18" s="270">
        <v>20509.099999999999</v>
      </c>
      <c r="E18" s="265"/>
      <c r="F18" s="266">
        <f>F17-D18+E18</f>
        <v>95005.9</v>
      </c>
    </row>
    <row r="19" spans="2:6" s="8" customFormat="1" ht="28">
      <c r="B19" s="271" t="s">
        <v>177</v>
      </c>
      <c r="C19" s="272">
        <v>45335</v>
      </c>
      <c r="D19" s="270">
        <v>106350.31</v>
      </c>
      <c r="E19" s="265"/>
      <c r="F19" s="266">
        <f t="shared" si="0"/>
        <v>-11344.410000000003</v>
      </c>
    </row>
    <row r="20" spans="2:6" s="8" customFormat="1" ht="28">
      <c r="B20" s="271" t="s">
        <v>178</v>
      </c>
      <c r="C20" s="272">
        <v>45335</v>
      </c>
      <c r="D20" s="270">
        <v>5265.09</v>
      </c>
      <c r="E20" s="265"/>
      <c r="F20" s="266">
        <f t="shared" si="0"/>
        <v>-16609.500000000004</v>
      </c>
    </row>
    <row r="21" spans="2:6" s="8" customFormat="1" ht="28">
      <c r="B21" s="271" t="s">
        <v>179</v>
      </c>
      <c r="C21" s="272">
        <v>45336</v>
      </c>
      <c r="D21" s="270">
        <v>16428.330000000002</v>
      </c>
      <c r="E21" s="265"/>
      <c r="F21" s="266">
        <f t="shared" si="0"/>
        <v>-33037.83</v>
      </c>
    </row>
    <row r="22" spans="2:6" s="8" customFormat="1" ht="28">
      <c r="B22" s="271" t="s">
        <v>180</v>
      </c>
      <c r="C22" s="272">
        <v>45336</v>
      </c>
      <c r="D22" s="270">
        <v>1316.27</v>
      </c>
      <c r="E22" s="265"/>
      <c r="F22" s="266">
        <f>F21-D22+E22</f>
        <v>-34354.1</v>
      </c>
    </row>
    <row r="23" spans="2:6" s="8" customFormat="1" ht="14">
      <c r="B23" s="271" t="s">
        <v>187</v>
      </c>
      <c r="C23" s="272">
        <v>45342</v>
      </c>
      <c r="D23" s="270"/>
      <c r="E23" s="265">
        <v>38625</v>
      </c>
      <c r="F23" s="266">
        <f>F22-D23+E23</f>
        <v>4270.9000000000015</v>
      </c>
    </row>
    <row r="24" spans="2:6" s="8" customFormat="1">
      <c r="B24" s="289" t="s">
        <v>291</v>
      </c>
      <c r="C24" s="361">
        <v>45342</v>
      </c>
      <c r="D24" s="270">
        <v>1000</v>
      </c>
      <c r="E24" s="265"/>
      <c r="F24" s="266">
        <f t="shared" ref="F24:F25" si="1">F23-D24+E24</f>
        <v>3270.9000000000015</v>
      </c>
    </row>
    <row r="25" spans="2:6" s="8" customFormat="1" ht="28">
      <c r="B25" s="271" t="s">
        <v>273</v>
      </c>
      <c r="C25" s="361">
        <v>45397</v>
      </c>
      <c r="D25" s="270">
        <v>16428.330000000002</v>
      </c>
      <c r="E25" s="265">
        <v>3270.9</v>
      </c>
      <c r="F25" s="266">
        <f t="shared" si="1"/>
        <v>-9886.5300000000007</v>
      </c>
    </row>
    <row r="26" spans="2:6" s="8" customFormat="1" ht="28">
      <c r="B26" s="271" t="s">
        <v>274</v>
      </c>
      <c r="C26" s="361">
        <v>45397</v>
      </c>
      <c r="D26" s="270">
        <v>1316.2725</v>
      </c>
      <c r="E26" s="265"/>
      <c r="F26" s="266">
        <f>F25-D26+E26</f>
        <v>-11202.802500000002</v>
      </c>
    </row>
    <row r="27" spans="2:6" s="8" customFormat="1" ht="28">
      <c r="B27" s="271" t="s">
        <v>290</v>
      </c>
      <c r="C27" s="368">
        <v>45397</v>
      </c>
      <c r="D27" s="270">
        <v>10282.092832213126</v>
      </c>
      <c r="E27" s="265"/>
      <c r="F27" s="266">
        <f>F26-D27+E27</f>
        <v>-21484.895332213127</v>
      </c>
    </row>
    <row r="28" spans="2:6" s="8" customFormat="1" ht="14">
      <c r="B28" s="271" t="s">
        <v>187</v>
      </c>
      <c r="C28" s="368">
        <v>45408</v>
      </c>
      <c r="D28" s="270"/>
      <c r="E28" s="265">
        <v>22556.560000000001</v>
      </c>
      <c r="F28" s="266">
        <f>F27-D28+E28</f>
        <v>1071.6646677868739</v>
      </c>
    </row>
    <row r="29" spans="2:6" s="8" customFormat="1" ht="28">
      <c r="B29" s="271" t="s">
        <v>345</v>
      </c>
      <c r="C29" s="368">
        <v>45474</v>
      </c>
      <c r="D29" s="270">
        <f>'Presupuesto 2024 Aprobado'!C51</f>
        <v>16428.330000000002</v>
      </c>
      <c r="E29" s="265"/>
      <c r="F29" s="266">
        <f t="shared" ref="F29:F30" si="2">F28-D29+E29</f>
        <v>-15356.665332213128</v>
      </c>
    </row>
    <row r="30" spans="2:6" s="8" customFormat="1" ht="28">
      <c r="B30" s="271" t="s">
        <v>347</v>
      </c>
      <c r="C30" s="368">
        <v>45474</v>
      </c>
      <c r="D30" s="270">
        <f>'Presupuesto 2024 Aprobado'!D51</f>
        <v>1316.2725</v>
      </c>
      <c r="E30" s="265"/>
      <c r="F30" s="266">
        <f t="shared" si="2"/>
        <v>-16672.937832213127</v>
      </c>
    </row>
    <row r="31" spans="2:6" s="8" customFormat="1" ht="15.25" customHeight="1">
      <c r="B31" s="276"/>
      <c r="C31" s="277" t="s">
        <v>188</v>
      </c>
      <c r="D31" s="269">
        <f>SUM(D13:D30)</f>
        <v>196640.39783221312</v>
      </c>
      <c r="E31" s="269">
        <f>SUM(E13:E30)</f>
        <v>179967.46</v>
      </c>
      <c r="F31" s="278">
        <f>E31-D31</f>
        <v>-16672.937832213123</v>
      </c>
    </row>
    <row r="33" spans="2:6" s="8" customFormat="1">
      <c r="B33" s="288" t="s">
        <v>336</v>
      </c>
    </row>
    <row r="34" spans="2:6" s="8" customFormat="1" ht="14">
      <c r="B34" s="289" t="s">
        <v>316</v>
      </c>
      <c r="D34" s="395">
        <v>-1000</v>
      </c>
      <c r="E34" s="291"/>
      <c r="F34" s="292">
        <f>F31+D33+D34</f>
        <v>-17672.937832213123</v>
      </c>
    </row>
    <row r="35" spans="2:6" ht="14">
      <c r="B35"/>
      <c r="C35"/>
      <c r="D35"/>
      <c r="E35"/>
      <c r="F35" s="293" t="s">
        <v>317</v>
      </c>
    </row>
    <row r="36" spans="2:6">
      <c r="B36" s="383" t="s">
        <v>189</v>
      </c>
    </row>
    <row r="37" spans="2:6">
      <c r="B37" s="1" t="s">
        <v>194</v>
      </c>
    </row>
    <row r="38" spans="2:6">
      <c r="B38" s="379"/>
    </row>
    <row r="39" spans="2:6">
      <c r="B39" s="380" t="s">
        <v>322</v>
      </c>
      <c r="C39" s="280"/>
      <c r="D39" s="281"/>
    </row>
    <row r="40" spans="2:6">
      <c r="B40" s="381" t="s">
        <v>323</v>
      </c>
      <c r="C40" s="52"/>
      <c r="D40" s="283"/>
    </row>
    <row r="41" spans="2:6">
      <c r="B41" s="381" t="s">
        <v>324</v>
      </c>
      <c r="C41" s="52"/>
      <c r="D41" s="283"/>
    </row>
    <row r="42" spans="2:6">
      <c r="B42" s="382" t="s">
        <v>325</v>
      </c>
      <c r="C42" s="285"/>
      <c r="D42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78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  <pageSetUpPr fitToPage="1"/>
  </sheetPr>
  <dimension ref="A1:G40"/>
  <sheetViews>
    <sheetView topLeftCell="B1" zoomScale="90" zoomScaleNormal="90" workbookViewId="0">
      <selection activeCell="Q44" sqref="Q44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7"/>
      <c r="B1" s="397"/>
      <c r="C1" s="397"/>
      <c r="D1" s="397"/>
      <c r="E1" s="397"/>
      <c r="F1" s="397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190</v>
      </c>
    </row>
    <row r="6" spans="1:7">
      <c r="A6" s="1"/>
      <c r="B6" s="258" t="s">
        <v>69</v>
      </c>
      <c r="D6" s="399" t="s">
        <v>355</v>
      </c>
      <c r="E6" s="399"/>
    </row>
    <row r="7" spans="1:7">
      <c r="A7" s="1"/>
      <c r="B7" t="s">
        <v>191</v>
      </c>
    </row>
    <row r="9" spans="1:7">
      <c r="B9" s="6"/>
      <c r="G9" s="259" t="s">
        <v>186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idden="1">
      <c r="B13" s="263" t="s">
        <v>192</v>
      </c>
      <c r="C13" s="264">
        <v>45111</v>
      </c>
      <c r="D13" s="265"/>
      <c r="E13" s="265">
        <v>7080</v>
      </c>
      <c r="F13" s="266">
        <f>E13</f>
        <v>7080</v>
      </c>
    </row>
    <row r="14" spans="1:7" hidden="1">
      <c r="B14" s="263" t="s">
        <v>192</v>
      </c>
      <c r="C14" s="264">
        <v>45117</v>
      </c>
      <c r="D14" s="265"/>
      <c r="E14" s="265">
        <v>5900</v>
      </c>
      <c r="F14" s="266">
        <f t="shared" ref="F14:F31" si="0">F13-D14+E14</f>
        <v>12980</v>
      </c>
    </row>
    <row r="15" spans="1:7" hidden="1">
      <c r="B15" s="263" t="s">
        <v>192</v>
      </c>
      <c r="C15" s="264">
        <v>45219</v>
      </c>
      <c r="D15" s="265"/>
      <c r="E15" s="265">
        <v>30110</v>
      </c>
      <c r="F15" s="266">
        <f t="shared" si="0"/>
        <v>43090</v>
      </c>
    </row>
    <row r="16" spans="1:7" hidden="1">
      <c r="B16" s="263" t="s">
        <v>192</v>
      </c>
      <c r="C16" s="264">
        <v>45238</v>
      </c>
      <c r="D16" s="265"/>
      <c r="E16" s="265">
        <v>88000</v>
      </c>
      <c r="F16" s="266">
        <f t="shared" si="0"/>
        <v>131090</v>
      </c>
    </row>
    <row r="17" spans="2:6" hidden="1">
      <c r="B17" s="263" t="s">
        <v>192</v>
      </c>
      <c r="C17" s="264">
        <v>45250</v>
      </c>
      <c r="D17" s="265"/>
      <c r="E17" s="265">
        <v>3530</v>
      </c>
      <c r="F17" s="266">
        <f t="shared" si="0"/>
        <v>134620</v>
      </c>
    </row>
    <row r="18" spans="2:6">
      <c r="B18" s="343" t="s">
        <v>272</v>
      </c>
      <c r="C18" s="344">
        <v>45291</v>
      </c>
      <c r="D18" s="345"/>
      <c r="E18" s="345"/>
      <c r="F18" s="342">
        <f t="shared" si="0"/>
        <v>134620</v>
      </c>
    </row>
    <row r="19" spans="2:6" ht="28">
      <c r="B19" s="271" t="s">
        <v>174</v>
      </c>
      <c r="C19" s="287">
        <v>45321</v>
      </c>
      <c r="D19" s="270">
        <v>24132.959999999999</v>
      </c>
      <c r="E19" s="265"/>
      <c r="F19" s="266">
        <f>F18-D19+E19</f>
        <v>110487.04000000001</v>
      </c>
    </row>
    <row r="20" spans="2:6" ht="14">
      <c r="B20" s="271" t="s">
        <v>192</v>
      </c>
      <c r="C20" s="287">
        <v>45335</v>
      </c>
      <c r="D20" s="270"/>
      <c r="E20" s="265">
        <v>24134</v>
      </c>
      <c r="F20" s="266">
        <f t="shared" si="0"/>
        <v>134621.04</v>
      </c>
    </row>
    <row r="21" spans="2:6" ht="28">
      <c r="B21" s="271" t="s">
        <v>177</v>
      </c>
      <c r="C21" s="272">
        <v>45335</v>
      </c>
      <c r="D21" s="270">
        <v>125141.93</v>
      </c>
      <c r="E21" s="265"/>
      <c r="F21" s="266">
        <f t="shared" si="0"/>
        <v>9479.1100000000151</v>
      </c>
    </row>
    <row r="22" spans="2:6" ht="28">
      <c r="B22" s="271" t="s">
        <v>178</v>
      </c>
      <c r="C22" s="272">
        <v>45335</v>
      </c>
      <c r="D22" s="270">
        <v>6195.41</v>
      </c>
      <c r="E22" s="265"/>
      <c r="F22" s="266">
        <f t="shared" si="0"/>
        <v>3283.7000000000153</v>
      </c>
    </row>
    <row r="23" spans="2:6" ht="28">
      <c r="B23" s="271" t="s">
        <v>179</v>
      </c>
      <c r="C23" s="272">
        <v>45336</v>
      </c>
      <c r="D23" s="270">
        <v>19331.14</v>
      </c>
      <c r="E23" s="265"/>
      <c r="F23" s="266">
        <f t="shared" si="0"/>
        <v>-16047.439999999984</v>
      </c>
    </row>
    <row r="24" spans="2:6" ht="28">
      <c r="B24" s="271" t="s">
        <v>180</v>
      </c>
      <c r="C24" s="272">
        <v>45336</v>
      </c>
      <c r="D24" s="270">
        <v>1548.85</v>
      </c>
      <c r="E24" s="265"/>
      <c r="F24" s="266">
        <f t="shared" si="0"/>
        <v>-17596.289999999983</v>
      </c>
    </row>
    <row r="25" spans="2:6" ht="14">
      <c r="B25" s="271" t="s">
        <v>192</v>
      </c>
      <c r="C25" s="272">
        <v>45358</v>
      </c>
      <c r="D25" s="270"/>
      <c r="E25" s="265">
        <v>17600</v>
      </c>
      <c r="F25" s="266">
        <f t="shared" si="0"/>
        <v>3.7100000000173168</v>
      </c>
    </row>
    <row r="26" spans="2:6" ht="28">
      <c r="B26" s="271" t="s">
        <v>273</v>
      </c>
      <c r="C26" s="361">
        <v>45397</v>
      </c>
      <c r="D26" s="270">
        <v>19331.142500000002</v>
      </c>
      <c r="E26" s="265"/>
      <c r="F26" s="266">
        <f t="shared" si="0"/>
        <v>-19327.432499999984</v>
      </c>
    </row>
    <row r="27" spans="2:6" ht="28">
      <c r="B27" s="271" t="s">
        <v>274</v>
      </c>
      <c r="C27" s="361">
        <v>45397</v>
      </c>
      <c r="D27" s="270">
        <v>1548.8525</v>
      </c>
      <c r="E27" s="265"/>
      <c r="F27" s="266">
        <f t="shared" si="0"/>
        <v>-20876.284999999985</v>
      </c>
    </row>
    <row r="28" spans="2:6" ht="28">
      <c r="B28" s="271" t="s">
        <v>290</v>
      </c>
      <c r="C28" s="368">
        <v>45397</v>
      </c>
      <c r="D28" s="270">
        <v>12098.891652568849</v>
      </c>
      <c r="E28" s="265"/>
      <c r="F28" s="266">
        <f t="shared" si="0"/>
        <v>-32975.176652568836</v>
      </c>
    </row>
    <row r="29" spans="2:6" ht="14">
      <c r="B29" s="271" t="s">
        <v>192</v>
      </c>
      <c r="C29" s="368">
        <v>45412</v>
      </c>
      <c r="D29" s="270"/>
      <c r="E29" s="265">
        <v>33000</v>
      </c>
      <c r="F29" s="266">
        <f t="shared" si="0"/>
        <v>24.823347431163711</v>
      </c>
    </row>
    <row r="30" spans="2:6" ht="28">
      <c r="B30" s="271" t="s">
        <v>345</v>
      </c>
      <c r="C30" s="368">
        <v>45474</v>
      </c>
      <c r="D30" s="270">
        <f>'Presupuesto 2024 Aprobado'!C52</f>
        <v>19331.142500000002</v>
      </c>
      <c r="E30" s="265"/>
      <c r="F30" s="266">
        <f t="shared" si="0"/>
        <v>-19306.319152568838</v>
      </c>
    </row>
    <row r="31" spans="2:6" ht="28">
      <c r="B31" s="271" t="s">
        <v>347</v>
      </c>
      <c r="C31" s="368">
        <v>45474</v>
      </c>
      <c r="D31" s="270">
        <f>'Presupuesto 2024 Aprobado'!D52</f>
        <v>1548.8525</v>
      </c>
      <c r="E31" s="265"/>
      <c r="F31" s="266">
        <f t="shared" si="0"/>
        <v>-20855.171652568839</v>
      </c>
    </row>
    <row r="32" spans="2:6" ht="15.25" customHeight="1">
      <c r="B32" s="294"/>
      <c r="C32" s="295" t="s">
        <v>193</v>
      </c>
      <c r="D32" s="296">
        <f>SUM(D13:D31)</f>
        <v>230209.17165256888</v>
      </c>
      <c r="E32" s="296">
        <f>SUM(E13:E31)</f>
        <v>209354</v>
      </c>
      <c r="F32" s="297">
        <f>E32-D32</f>
        <v>-20855.171652568883</v>
      </c>
    </row>
    <row r="34" spans="2:4">
      <c r="B34" s="383" t="s">
        <v>189</v>
      </c>
    </row>
    <row r="35" spans="2:4">
      <c r="B35" s="1" t="s">
        <v>194</v>
      </c>
    </row>
    <row r="36" spans="2:4">
      <c r="B36" s="379"/>
    </row>
    <row r="37" spans="2:4">
      <c r="B37" s="380" t="s">
        <v>322</v>
      </c>
      <c r="C37" s="280"/>
      <c r="D37" s="281"/>
    </row>
    <row r="38" spans="2:4">
      <c r="B38" s="381" t="s">
        <v>323</v>
      </c>
      <c r="C38" s="52"/>
      <c r="D38" s="283"/>
    </row>
    <row r="39" spans="2:4">
      <c r="B39" s="381" t="s">
        <v>324</v>
      </c>
      <c r="C39" s="52"/>
      <c r="D39" s="283"/>
    </row>
    <row r="40" spans="2:4">
      <c r="B40" s="382" t="s">
        <v>325</v>
      </c>
      <c r="C40" s="285"/>
      <c r="D40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  <pageSetUpPr fitToPage="1"/>
  </sheetPr>
  <dimension ref="A1:G39"/>
  <sheetViews>
    <sheetView zoomScale="90" zoomScaleNormal="90" workbookViewId="0">
      <selection activeCell="Q44" sqref="Q44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7"/>
      <c r="B1" s="397"/>
      <c r="C1" s="397"/>
      <c r="D1" s="397"/>
      <c r="E1" s="397"/>
      <c r="F1" s="397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195</v>
      </c>
    </row>
    <row r="6" spans="1:7">
      <c r="A6" s="1"/>
      <c r="B6" s="258" t="s">
        <v>71</v>
      </c>
      <c r="D6" s="399" t="s">
        <v>355</v>
      </c>
      <c r="E6" s="399"/>
    </row>
    <row r="7" spans="1:7">
      <c r="A7" s="1"/>
      <c r="B7" t="s">
        <v>196</v>
      </c>
    </row>
    <row r="9" spans="1:7">
      <c r="B9" s="6"/>
      <c r="G9" s="259" t="s">
        <v>287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idden="1">
      <c r="B13" s="263" t="s">
        <v>197</v>
      </c>
      <c r="C13" s="264">
        <v>45117</v>
      </c>
      <c r="D13" s="265"/>
      <c r="E13" s="265">
        <v>5900</v>
      </c>
      <c r="F13" s="266">
        <f>E13</f>
        <v>5900</v>
      </c>
    </row>
    <row r="14" spans="1:7" hidden="1">
      <c r="B14" s="263" t="s">
        <v>198</v>
      </c>
      <c r="C14" s="264">
        <v>45197</v>
      </c>
      <c r="D14" s="265"/>
      <c r="E14" s="265">
        <v>3600</v>
      </c>
      <c r="F14" s="266">
        <f t="shared" ref="F14:F27" si="0">F13-D14+E14</f>
        <v>9500</v>
      </c>
    </row>
    <row r="15" spans="1:7" hidden="1">
      <c r="B15" s="263" t="s">
        <v>198</v>
      </c>
      <c r="C15" s="264">
        <v>45229</v>
      </c>
      <c r="D15" s="265"/>
      <c r="E15" s="265">
        <v>15300</v>
      </c>
      <c r="F15" s="266">
        <f t="shared" si="0"/>
        <v>24800</v>
      </c>
    </row>
    <row r="16" spans="1:7" hidden="1">
      <c r="B16" s="263" t="s">
        <v>199</v>
      </c>
      <c r="C16" s="264">
        <v>45258</v>
      </c>
      <c r="D16" s="265"/>
      <c r="E16" s="265">
        <v>46400</v>
      </c>
      <c r="F16" s="266">
        <f t="shared" si="0"/>
        <v>71200</v>
      </c>
    </row>
    <row r="17" spans="2:6">
      <c r="B17" s="343" t="s">
        <v>272</v>
      </c>
      <c r="C17" s="344">
        <v>45291</v>
      </c>
      <c r="D17" s="345"/>
      <c r="E17" s="345"/>
      <c r="F17" s="342">
        <f t="shared" si="0"/>
        <v>71200</v>
      </c>
    </row>
    <row r="18" spans="2:6" ht="28">
      <c r="B18" s="271" t="s">
        <v>174</v>
      </c>
      <c r="C18" s="287">
        <v>45321</v>
      </c>
      <c r="D18" s="270">
        <v>12239.9</v>
      </c>
      <c r="E18" s="265"/>
      <c r="F18" s="266">
        <f>F17-D18+E18</f>
        <v>58960.1</v>
      </c>
    </row>
    <row r="19" spans="2:6" ht="28">
      <c r="B19" s="271" t="s">
        <v>177</v>
      </c>
      <c r="C19" s="272">
        <v>45335</v>
      </c>
      <c r="D19" s="270">
        <v>63470.2</v>
      </c>
      <c r="E19" s="265"/>
      <c r="F19" s="266">
        <f t="shared" si="0"/>
        <v>-4510.0999999999985</v>
      </c>
    </row>
    <row r="20" spans="2:6" ht="28">
      <c r="B20" s="271" t="s">
        <v>178</v>
      </c>
      <c r="C20" s="272">
        <v>45335</v>
      </c>
      <c r="D20" s="270">
        <v>3142.22</v>
      </c>
      <c r="E20" s="265"/>
      <c r="F20" s="266">
        <f t="shared" si="0"/>
        <v>-7652.3199999999979</v>
      </c>
    </row>
    <row r="21" spans="2:6" ht="28">
      <c r="B21" s="271" t="s">
        <v>179</v>
      </c>
      <c r="C21" s="272">
        <v>45336</v>
      </c>
      <c r="D21" s="270">
        <v>9804.48</v>
      </c>
      <c r="E21" s="265"/>
      <c r="F21" s="266">
        <f t="shared" si="0"/>
        <v>-17456.799999999996</v>
      </c>
    </row>
    <row r="22" spans="2:6" ht="28">
      <c r="B22" s="271" t="s">
        <v>180</v>
      </c>
      <c r="C22" s="272">
        <v>45336</v>
      </c>
      <c r="D22" s="270">
        <v>785.56</v>
      </c>
      <c r="E22" s="265"/>
      <c r="F22" s="266">
        <f t="shared" si="0"/>
        <v>-18242.359999999997</v>
      </c>
    </row>
    <row r="23" spans="2:6" ht="14">
      <c r="B23" s="271" t="s">
        <v>197</v>
      </c>
      <c r="C23" s="272">
        <v>45342</v>
      </c>
      <c r="D23" s="270"/>
      <c r="E23" s="265">
        <v>12230</v>
      </c>
      <c r="F23" s="266">
        <f t="shared" si="0"/>
        <v>-6012.3599999999969</v>
      </c>
    </row>
    <row r="24" spans="2:6" ht="14">
      <c r="B24" s="271" t="s">
        <v>197</v>
      </c>
      <c r="C24" s="272">
        <v>45359</v>
      </c>
      <c r="D24" s="270"/>
      <c r="E24" s="265">
        <v>6015</v>
      </c>
      <c r="F24" s="266">
        <f t="shared" si="0"/>
        <v>2.6400000000030559</v>
      </c>
    </row>
    <row r="25" spans="2:6" ht="28">
      <c r="B25" s="271" t="s">
        <v>273</v>
      </c>
      <c r="C25" s="361">
        <v>45397</v>
      </c>
      <c r="D25" s="270">
        <v>9804.48</v>
      </c>
      <c r="E25" s="265"/>
      <c r="F25" s="266">
        <f t="shared" si="0"/>
        <v>-9801.8399999999965</v>
      </c>
    </row>
    <row r="26" spans="2:6" ht="28">
      <c r="B26" s="271" t="s">
        <v>274</v>
      </c>
      <c r="C26" s="361">
        <v>45397</v>
      </c>
      <c r="D26" s="270">
        <v>785.55499999999995</v>
      </c>
      <c r="E26" s="265"/>
      <c r="F26" s="266">
        <f t="shared" si="0"/>
        <v>-10587.394999999997</v>
      </c>
    </row>
    <row r="27" spans="2:6" ht="28">
      <c r="B27" s="271" t="s">
        <v>290</v>
      </c>
      <c r="C27" s="368">
        <v>45397</v>
      </c>
      <c r="D27" s="270">
        <v>6163.1818389648379</v>
      </c>
      <c r="E27" s="265"/>
      <c r="F27" s="266">
        <f t="shared" si="0"/>
        <v>-16750.576838964836</v>
      </c>
    </row>
    <row r="28" spans="2:6" ht="14">
      <c r="B28" s="271" t="s">
        <v>197</v>
      </c>
      <c r="C28" s="368">
        <v>45415</v>
      </c>
      <c r="D28" s="270"/>
      <c r="E28" s="265">
        <v>16750.580000000002</v>
      </c>
      <c r="F28" s="266">
        <f>F27-D28+E28</f>
        <v>3.1610351652489044E-3</v>
      </c>
    </row>
    <row r="29" spans="2:6" ht="28">
      <c r="B29" s="271" t="s">
        <v>345</v>
      </c>
      <c r="C29" s="368">
        <v>45474</v>
      </c>
      <c r="D29" s="270">
        <f>'Presupuesto 2024 Aprobado'!C53</f>
        <v>9804.48</v>
      </c>
      <c r="E29" s="265"/>
      <c r="F29" s="266">
        <f t="shared" ref="F29" si="1">F28-D29+E29</f>
        <v>-9804.4768389648343</v>
      </c>
    </row>
    <row r="30" spans="2:6" ht="28">
      <c r="B30" s="271" t="s">
        <v>347</v>
      </c>
      <c r="C30" s="368">
        <v>45474</v>
      </c>
      <c r="D30" s="270">
        <f>'Presupuesto 2024 Aprobado'!D53</f>
        <v>785.55499999999995</v>
      </c>
      <c r="E30" s="265"/>
      <c r="F30" s="266">
        <f>F29-D30+E30</f>
        <v>-10590.031838964835</v>
      </c>
    </row>
    <row r="31" spans="2:6" ht="15.25" customHeight="1">
      <c r="B31" s="276"/>
      <c r="C31" s="277" t="s">
        <v>200</v>
      </c>
      <c r="D31" s="269">
        <f>SUM(D13:D30)</f>
        <v>116785.6118389648</v>
      </c>
      <c r="E31" s="269">
        <f>SUM(E13:E30)</f>
        <v>106195.58</v>
      </c>
      <c r="F31" s="298">
        <f>E31-D31</f>
        <v>-10590.031838964802</v>
      </c>
    </row>
    <row r="33" spans="2:4">
      <c r="B33" s="383" t="s">
        <v>189</v>
      </c>
    </row>
    <row r="34" spans="2:4">
      <c r="B34" s="1" t="s">
        <v>194</v>
      </c>
    </row>
    <row r="35" spans="2:4">
      <c r="B35" s="379"/>
    </row>
    <row r="36" spans="2:4">
      <c r="B36" s="380" t="s">
        <v>322</v>
      </c>
      <c r="C36" s="280"/>
      <c r="D36" s="281"/>
    </row>
    <row r="37" spans="2:4">
      <c r="B37" s="381" t="s">
        <v>323</v>
      </c>
      <c r="C37" s="52"/>
      <c r="D37" s="283"/>
    </row>
    <row r="38" spans="2:4">
      <c r="B38" s="381" t="s">
        <v>324</v>
      </c>
      <c r="C38" s="52"/>
      <c r="D38" s="283"/>
    </row>
    <row r="39" spans="2:4">
      <c r="B39" s="382" t="s">
        <v>325</v>
      </c>
      <c r="C39" s="285"/>
      <c r="D39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  <pageSetUpPr fitToPage="1"/>
  </sheetPr>
  <dimension ref="A1:G40"/>
  <sheetViews>
    <sheetView zoomScale="90" zoomScaleNormal="90" workbookViewId="0">
      <selection activeCell="Q44" sqref="Q44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7"/>
      <c r="B1" s="397"/>
      <c r="C1" s="397"/>
      <c r="D1" s="397"/>
      <c r="E1" s="397"/>
      <c r="F1" s="397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201</v>
      </c>
    </row>
    <row r="6" spans="1:7">
      <c r="A6" s="1"/>
      <c r="B6" s="258" t="s">
        <v>73</v>
      </c>
      <c r="D6" s="399" t="s">
        <v>355</v>
      </c>
      <c r="E6" s="399"/>
    </row>
    <row r="7" spans="1:7">
      <c r="A7" s="1"/>
      <c r="B7" t="s">
        <v>202</v>
      </c>
    </row>
    <row r="9" spans="1:7">
      <c r="B9" s="6"/>
      <c r="G9" s="259" t="s">
        <v>287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203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203</v>
      </c>
      <c r="C14" s="264">
        <v>45117</v>
      </c>
      <c r="D14" s="265"/>
      <c r="E14" s="265">
        <v>4425</v>
      </c>
      <c r="F14" s="266">
        <f t="shared" ref="F14:F28" si="0">F13-D14+E14</f>
        <v>10325</v>
      </c>
    </row>
    <row r="15" spans="1:7" s="8" customFormat="1" hidden="1">
      <c r="B15" s="263" t="s">
        <v>203</v>
      </c>
      <c r="C15" s="264">
        <v>45208</v>
      </c>
      <c r="D15" s="265"/>
      <c r="E15" s="265">
        <v>18821</v>
      </c>
      <c r="F15" s="266">
        <f t="shared" si="0"/>
        <v>29146</v>
      </c>
    </row>
    <row r="16" spans="1:7" s="8" customFormat="1" hidden="1">
      <c r="B16" s="263" t="s">
        <v>203</v>
      </c>
      <c r="C16" s="264">
        <v>45245</v>
      </c>
      <c r="D16" s="265"/>
      <c r="E16" s="265">
        <v>57225</v>
      </c>
      <c r="F16" s="266">
        <f t="shared" si="0"/>
        <v>86371</v>
      </c>
    </row>
    <row r="17" spans="2:6" s="8" customFormat="1">
      <c r="B17" s="343" t="s">
        <v>272</v>
      </c>
      <c r="C17" s="344">
        <v>45291</v>
      </c>
      <c r="D17" s="345"/>
      <c r="E17" s="345"/>
      <c r="F17" s="342">
        <f t="shared" si="0"/>
        <v>86371</v>
      </c>
    </row>
    <row r="18" spans="2:6" s="8" customFormat="1" ht="28">
      <c r="B18" s="271" t="s">
        <v>174</v>
      </c>
      <c r="C18" s="287">
        <v>45321</v>
      </c>
      <c r="D18" s="270">
        <v>15084.59</v>
      </c>
      <c r="E18" s="265"/>
      <c r="F18" s="266">
        <f>F17-D18+E18</f>
        <v>71286.41</v>
      </c>
    </row>
    <row r="19" spans="2:6" s="8" customFormat="1" ht="28">
      <c r="B19" s="271" t="s">
        <v>177</v>
      </c>
      <c r="C19" s="272">
        <v>45335</v>
      </c>
      <c r="D19" s="270">
        <v>78221.399999999994</v>
      </c>
      <c r="E19" s="265"/>
      <c r="F19" s="266">
        <f t="shared" si="0"/>
        <v>-6934.9899999999907</v>
      </c>
    </row>
    <row r="20" spans="2:6" s="8" customFormat="1" ht="28">
      <c r="B20" s="271" t="s">
        <v>178</v>
      </c>
      <c r="C20" s="272">
        <v>45335</v>
      </c>
      <c r="D20" s="270">
        <v>3872.51</v>
      </c>
      <c r="E20" s="265"/>
      <c r="F20" s="266">
        <f t="shared" si="0"/>
        <v>-10807.499999999991</v>
      </c>
    </row>
    <row r="21" spans="2:6" s="8" customFormat="1" ht="28">
      <c r="B21" s="271" t="s">
        <v>179</v>
      </c>
      <c r="C21" s="272">
        <v>45336</v>
      </c>
      <c r="D21" s="270">
        <v>12083.15</v>
      </c>
      <c r="E21" s="265"/>
      <c r="F21" s="266">
        <f t="shared" si="0"/>
        <v>-22890.649999999991</v>
      </c>
    </row>
    <row r="22" spans="2:6" s="8" customFormat="1" ht="28">
      <c r="B22" s="271" t="s">
        <v>180</v>
      </c>
      <c r="C22" s="272">
        <v>45336</v>
      </c>
      <c r="D22" s="270">
        <v>968.13</v>
      </c>
      <c r="E22" s="265"/>
      <c r="F22" s="266">
        <f t="shared" si="0"/>
        <v>-23858.779999999992</v>
      </c>
    </row>
    <row r="23" spans="2:6" s="8" customFormat="1" ht="14">
      <c r="B23" s="271" t="s">
        <v>203</v>
      </c>
      <c r="C23" s="272">
        <v>45336</v>
      </c>
      <c r="D23" s="270"/>
      <c r="E23" s="265">
        <v>15000</v>
      </c>
      <c r="F23" s="266">
        <f t="shared" si="0"/>
        <v>-8858.7799999999916</v>
      </c>
    </row>
    <row r="24" spans="2:6" s="8" customFormat="1" ht="14">
      <c r="B24" s="271" t="s">
        <v>203</v>
      </c>
      <c r="C24" s="272">
        <v>45358</v>
      </c>
      <c r="D24" s="270"/>
      <c r="E24" s="265">
        <v>8900</v>
      </c>
      <c r="F24" s="266">
        <f t="shared" si="0"/>
        <v>41.22000000000844</v>
      </c>
    </row>
    <row r="25" spans="2:6" s="8" customFormat="1" ht="28">
      <c r="B25" s="271" t="s">
        <v>273</v>
      </c>
      <c r="C25" s="361">
        <v>45397</v>
      </c>
      <c r="D25" s="270">
        <v>12083.1525</v>
      </c>
      <c r="E25" s="265"/>
      <c r="F25" s="266">
        <f t="shared" si="0"/>
        <v>-12041.932499999992</v>
      </c>
    </row>
    <row r="26" spans="2:6" s="8" customFormat="1" ht="28">
      <c r="B26" s="271" t="s">
        <v>274</v>
      </c>
      <c r="C26" s="361">
        <v>45397</v>
      </c>
      <c r="D26" s="270">
        <v>968.12750000000005</v>
      </c>
      <c r="E26" s="265"/>
      <c r="F26" s="266">
        <f t="shared" si="0"/>
        <v>-13010.059999999992</v>
      </c>
    </row>
    <row r="27" spans="2:6" s="8" customFormat="1" ht="28">
      <c r="B27" s="271" t="s">
        <v>290</v>
      </c>
      <c r="C27" s="368">
        <v>45397</v>
      </c>
      <c r="D27" s="270">
        <v>7562.5516284882551</v>
      </c>
      <c r="E27" s="265"/>
      <c r="F27" s="266">
        <f t="shared" si="0"/>
        <v>-20572.611628488248</v>
      </c>
    </row>
    <row r="28" spans="2:6" s="8" customFormat="1" ht="14">
      <c r="B28" s="271" t="s">
        <v>203</v>
      </c>
      <c r="C28" s="368">
        <v>45404</v>
      </c>
      <c r="D28" s="270"/>
      <c r="E28" s="265">
        <v>18600</v>
      </c>
      <c r="F28" s="266">
        <f t="shared" si="0"/>
        <v>-1972.6116284882482</v>
      </c>
    </row>
    <row r="29" spans="2:6" s="8" customFormat="1" ht="14">
      <c r="B29" s="271" t="s">
        <v>203</v>
      </c>
      <c r="C29" s="368">
        <v>45414</v>
      </c>
      <c r="D29" s="270"/>
      <c r="E29" s="265">
        <v>2000</v>
      </c>
      <c r="F29" s="266">
        <f>F28-D29+E29</f>
        <v>27.388371511751757</v>
      </c>
    </row>
    <row r="30" spans="2:6" s="8" customFormat="1" ht="28">
      <c r="B30" s="271" t="s">
        <v>345</v>
      </c>
      <c r="C30" s="368">
        <v>45474</v>
      </c>
      <c r="D30" s="270">
        <f>'Presupuesto 2024 Aprobado'!C54</f>
        <v>12083.1525</v>
      </c>
      <c r="E30" s="265"/>
      <c r="F30" s="266">
        <f t="shared" ref="F30:F31" si="1">F29-D30+E30</f>
        <v>-12055.764128488248</v>
      </c>
    </row>
    <row r="31" spans="2:6" s="8" customFormat="1" ht="28">
      <c r="B31" s="271" t="s">
        <v>347</v>
      </c>
      <c r="C31" s="368">
        <v>45474</v>
      </c>
      <c r="D31" s="270">
        <f>'Presupuesto 2024 Aprobado'!D54</f>
        <v>968.12750000000005</v>
      </c>
      <c r="E31" s="265"/>
      <c r="F31" s="266">
        <f t="shared" si="1"/>
        <v>-13023.891628488249</v>
      </c>
    </row>
    <row r="32" spans="2:6" s="8" customFormat="1" ht="15.25" customHeight="1">
      <c r="B32" s="276"/>
      <c r="C32" s="277" t="s">
        <v>204</v>
      </c>
      <c r="D32" s="269">
        <f>SUM(D13:D31)</f>
        <v>143894.89162848826</v>
      </c>
      <c r="E32" s="269">
        <f>SUM(E13:E31)</f>
        <v>130871</v>
      </c>
      <c r="F32" s="298">
        <f>E32-D32</f>
        <v>-13023.891628488258</v>
      </c>
    </row>
    <row r="34" spans="2:4">
      <c r="B34" s="383" t="s">
        <v>189</v>
      </c>
    </row>
    <row r="35" spans="2:4">
      <c r="B35" s="1" t="s">
        <v>194</v>
      </c>
    </row>
    <row r="36" spans="2:4">
      <c r="B36" s="379"/>
    </row>
    <row r="37" spans="2:4">
      <c r="B37" s="380" t="s">
        <v>322</v>
      </c>
      <c r="C37" s="280"/>
      <c r="D37" s="281"/>
    </row>
    <row r="38" spans="2:4">
      <c r="B38" s="381" t="s">
        <v>323</v>
      </c>
      <c r="C38" s="52"/>
      <c r="D38" s="283"/>
    </row>
    <row r="39" spans="2:4">
      <c r="B39" s="381" t="s">
        <v>324</v>
      </c>
      <c r="C39" s="52"/>
      <c r="D39" s="283"/>
    </row>
    <row r="40" spans="2:4">
      <c r="B40" s="382" t="s">
        <v>325</v>
      </c>
      <c r="C40" s="285"/>
      <c r="D40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pageSetUpPr fitToPage="1"/>
  </sheetPr>
  <dimension ref="A1:G39"/>
  <sheetViews>
    <sheetView zoomScale="90" zoomScaleNormal="90" workbookViewId="0">
      <selection activeCell="Q44" sqref="Q44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7"/>
      <c r="B1" s="397"/>
      <c r="C1" s="397"/>
      <c r="D1" s="397"/>
      <c r="E1" s="397"/>
      <c r="F1" s="397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205</v>
      </c>
    </row>
    <row r="6" spans="1:7">
      <c r="A6" s="1"/>
      <c r="B6" s="258" t="s">
        <v>206</v>
      </c>
      <c r="D6" s="399" t="s">
        <v>355</v>
      </c>
      <c r="E6" s="399"/>
    </row>
    <row r="7" spans="1:7">
      <c r="A7" s="1"/>
      <c r="B7" t="s">
        <v>207</v>
      </c>
    </row>
    <row r="9" spans="1:7">
      <c r="B9" s="6"/>
      <c r="G9" s="259" t="s">
        <v>287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15" t="s">
        <v>5</v>
      </c>
      <c r="C12" s="16" t="s">
        <v>6</v>
      </c>
      <c r="D12" s="16" t="s">
        <v>169</v>
      </c>
      <c r="E12" s="17" t="s">
        <v>170</v>
      </c>
      <c r="F12" s="17" t="s">
        <v>171</v>
      </c>
    </row>
    <row r="13" spans="1:7" hidden="1">
      <c r="B13" s="111" t="s">
        <v>208</v>
      </c>
      <c r="C13" s="119">
        <v>45117</v>
      </c>
      <c r="D13" s="299"/>
      <c r="E13" s="299">
        <v>5900</v>
      </c>
      <c r="F13" s="300">
        <f>E13</f>
        <v>5900</v>
      </c>
    </row>
    <row r="14" spans="1:7" hidden="1">
      <c r="B14" s="111" t="s">
        <v>208</v>
      </c>
      <c r="C14" s="119">
        <v>45117</v>
      </c>
      <c r="D14" s="299"/>
      <c r="E14" s="299">
        <v>7272</v>
      </c>
      <c r="F14" s="300">
        <f t="shared" ref="F14:F27" si="0">F13-D14+E14</f>
        <v>13172</v>
      </c>
    </row>
    <row r="15" spans="1:7" hidden="1">
      <c r="B15" s="111" t="s">
        <v>208</v>
      </c>
      <c r="C15" s="119">
        <v>45217</v>
      </c>
      <c r="D15" s="299"/>
      <c r="E15" s="299">
        <v>30925</v>
      </c>
      <c r="F15" s="300">
        <f t="shared" si="0"/>
        <v>44097</v>
      </c>
    </row>
    <row r="16" spans="1:7" hidden="1">
      <c r="B16" s="111" t="s">
        <v>208</v>
      </c>
      <c r="C16" s="119">
        <v>45246</v>
      </c>
      <c r="D16" s="299"/>
      <c r="E16" s="299">
        <v>94010</v>
      </c>
      <c r="F16" s="300">
        <f t="shared" si="0"/>
        <v>138107</v>
      </c>
    </row>
    <row r="17" spans="2:6">
      <c r="B17" s="343" t="s">
        <v>272</v>
      </c>
      <c r="C17" s="344">
        <v>45291</v>
      </c>
      <c r="D17" s="346"/>
      <c r="E17" s="346"/>
      <c r="F17" s="347">
        <f t="shared" si="0"/>
        <v>138107</v>
      </c>
    </row>
    <row r="18" spans="2:6" ht="28">
      <c r="B18" s="301" t="s">
        <v>174</v>
      </c>
      <c r="C18" s="302">
        <v>45321</v>
      </c>
      <c r="D18" s="303">
        <v>24786.23</v>
      </c>
      <c r="E18" s="299"/>
      <c r="F18" s="300">
        <f>F17-D18+E18</f>
        <v>113320.77</v>
      </c>
    </row>
    <row r="19" spans="2:6" ht="14">
      <c r="B19" s="301" t="s">
        <v>208</v>
      </c>
      <c r="C19" s="302">
        <v>45334</v>
      </c>
      <c r="D19" s="303"/>
      <c r="E19" s="299">
        <v>24787</v>
      </c>
      <c r="F19" s="300">
        <f t="shared" si="0"/>
        <v>138107.77000000002</v>
      </c>
    </row>
    <row r="20" spans="2:6" ht="28">
      <c r="B20" s="271" t="s">
        <v>177</v>
      </c>
      <c r="C20" s="272">
        <v>45335</v>
      </c>
      <c r="D20" s="303">
        <v>128529.47</v>
      </c>
      <c r="E20" s="299"/>
      <c r="F20" s="300">
        <f t="shared" si="0"/>
        <v>9578.3000000000175</v>
      </c>
    </row>
    <row r="21" spans="2:6" ht="28">
      <c r="B21" s="271" t="s">
        <v>178</v>
      </c>
      <c r="C21" s="272">
        <v>45335</v>
      </c>
      <c r="D21" s="303">
        <v>6363.12</v>
      </c>
      <c r="E21" s="299"/>
      <c r="F21" s="300">
        <f t="shared" si="0"/>
        <v>3215.1800000000176</v>
      </c>
    </row>
    <row r="22" spans="2:6" ht="28">
      <c r="B22" s="271" t="s">
        <v>179</v>
      </c>
      <c r="C22" s="272">
        <v>45336</v>
      </c>
      <c r="D22" s="303">
        <v>19854.43</v>
      </c>
      <c r="E22" s="299"/>
      <c r="F22" s="300">
        <f t="shared" si="0"/>
        <v>-16639.249999999982</v>
      </c>
    </row>
    <row r="23" spans="2:6" ht="28">
      <c r="B23" s="271" t="s">
        <v>180</v>
      </c>
      <c r="C23" s="272">
        <v>45336</v>
      </c>
      <c r="D23" s="303">
        <v>1590.78</v>
      </c>
      <c r="E23" s="299"/>
      <c r="F23" s="300">
        <f t="shared" si="0"/>
        <v>-18230.029999999981</v>
      </c>
    </row>
    <row r="24" spans="2:6" ht="14">
      <c r="B24" s="271" t="s">
        <v>208</v>
      </c>
      <c r="C24" s="272">
        <v>45358</v>
      </c>
      <c r="D24" s="303"/>
      <c r="E24" s="299">
        <v>18230.03</v>
      </c>
      <c r="F24" s="300">
        <f t="shared" si="0"/>
        <v>0</v>
      </c>
    </row>
    <row r="25" spans="2:6" ht="28">
      <c r="B25" s="271" t="s">
        <v>273</v>
      </c>
      <c r="C25" s="361">
        <v>45397</v>
      </c>
      <c r="D25" s="303">
        <v>19854.427500000002</v>
      </c>
      <c r="E25" s="299"/>
      <c r="F25" s="300">
        <f t="shared" si="0"/>
        <v>-19854.427500000002</v>
      </c>
    </row>
    <row r="26" spans="2:6" ht="28">
      <c r="B26" s="271" t="s">
        <v>274</v>
      </c>
      <c r="C26" s="361">
        <v>45397</v>
      </c>
      <c r="D26" s="303">
        <v>1590.78</v>
      </c>
      <c r="E26" s="299"/>
      <c r="F26" s="300">
        <f t="shared" si="0"/>
        <v>-21445.2075</v>
      </c>
    </row>
    <row r="27" spans="2:6" ht="28">
      <c r="B27" s="271" t="s">
        <v>290</v>
      </c>
      <c r="C27" s="368">
        <v>45397</v>
      </c>
      <c r="D27" s="196">
        <v>12426.403730967948</v>
      </c>
      <c r="E27" s="299"/>
      <c r="F27" s="300">
        <f t="shared" si="0"/>
        <v>-33871.611230967945</v>
      </c>
    </row>
    <row r="28" spans="2:6" ht="14">
      <c r="B28" s="271" t="s">
        <v>208</v>
      </c>
      <c r="C28" s="368">
        <v>45412</v>
      </c>
      <c r="D28" s="196"/>
      <c r="E28" s="299">
        <v>33871.61</v>
      </c>
      <c r="F28" s="375">
        <f>F27-D28+E28</f>
        <v>-1.2309679441386834E-3</v>
      </c>
    </row>
    <row r="29" spans="2:6" ht="28">
      <c r="B29" s="271" t="s">
        <v>345</v>
      </c>
      <c r="C29" s="368">
        <v>45474</v>
      </c>
      <c r="D29" s="196">
        <f>'Presupuesto 2024 Aprobado'!C55</f>
        <v>19854.427500000002</v>
      </c>
      <c r="E29" s="299"/>
      <c r="F29" s="375">
        <f t="shared" ref="F29:F30" si="1">F28-D29+E29</f>
        <v>-19854.428730967946</v>
      </c>
    </row>
    <row r="30" spans="2:6" ht="28">
      <c r="B30" s="271" t="s">
        <v>347</v>
      </c>
      <c r="C30" s="368">
        <v>45474</v>
      </c>
      <c r="D30" s="196">
        <f>'Presupuesto 2024 Aprobado'!D55</f>
        <v>1590.78</v>
      </c>
      <c r="E30" s="299"/>
      <c r="F30" s="375">
        <f t="shared" si="1"/>
        <v>-21445.208730967945</v>
      </c>
    </row>
    <row r="31" spans="2:6" ht="15.25" customHeight="1">
      <c r="B31" s="294"/>
      <c r="C31" s="295" t="s">
        <v>209</v>
      </c>
      <c r="D31" s="296">
        <f>SUM(D13:D30)</f>
        <v>236440.84873096793</v>
      </c>
      <c r="E31" s="296">
        <f>SUM(E13:E30)</f>
        <v>214995.64</v>
      </c>
      <c r="F31" s="297">
        <f>E31-D31</f>
        <v>-21445.208730967919</v>
      </c>
    </row>
    <row r="33" spans="2:4">
      <c r="B33" s="383" t="s">
        <v>189</v>
      </c>
    </row>
    <row r="34" spans="2:4">
      <c r="B34" s="1" t="s">
        <v>194</v>
      </c>
    </row>
    <row r="35" spans="2:4">
      <c r="B35" s="379"/>
    </row>
    <row r="36" spans="2:4">
      <c r="B36" s="380" t="s">
        <v>322</v>
      </c>
      <c r="C36" s="280"/>
      <c r="D36" s="281"/>
    </row>
    <row r="37" spans="2:4">
      <c r="B37" s="381" t="s">
        <v>323</v>
      </c>
      <c r="C37" s="52"/>
      <c r="D37" s="283"/>
    </row>
    <row r="38" spans="2:4">
      <c r="B38" s="381" t="s">
        <v>324</v>
      </c>
      <c r="C38" s="52"/>
      <c r="D38" s="283"/>
    </row>
    <row r="39" spans="2:4">
      <c r="B39" s="382" t="s">
        <v>325</v>
      </c>
      <c r="C39" s="285"/>
      <c r="D39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  <pageSetUpPr fitToPage="1"/>
  </sheetPr>
  <dimension ref="A1:G44"/>
  <sheetViews>
    <sheetView zoomScale="90" zoomScaleNormal="90" workbookViewId="0">
      <selection activeCell="Q44" sqref="Q44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4.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7"/>
      <c r="B1" s="397"/>
      <c r="C1" s="397"/>
      <c r="D1" s="397"/>
      <c r="E1" s="397"/>
      <c r="F1" s="397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210</v>
      </c>
    </row>
    <row r="6" spans="1:7">
      <c r="A6" s="1"/>
      <c r="B6" s="258" t="s">
        <v>211</v>
      </c>
      <c r="D6" s="399" t="s">
        <v>355</v>
      </c>
      <c r="E6" s="399"/>
    </row>
    <row r="7" spans="1:7">
      <c r="A7" s="1"/>
      <c r="B7" t="s">
        <v>212</v>
      </c>
    </row>
    <row r="9" spans="1:7">
      <c r="B9" s="6"/>
      <c r="G9" s="259" t="s">
        <v>287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213</v>
      </c>
      <c r="C13" s="264">
        <v>45110</v>
      </c>
      <c r="D13" s="265"/>
      <c r="E13" s="265">
        <v>11424</v>
      </c>
      <c r="F13" s="266">
        <f>E13</f>
        <v>11424</v>
      </c>
    </row>
    <row r="14" spans="1:7" s="8" customFormat="1" hidden="1">
      <c r="B14" s="263" t="s">
        <v>213</v>
      </c>
      <c r="C14" s="264">
        <v>45117</v>
      </c>
      <c r="D14" s="265"/>
      <c r="E14" s="265">
        <v>5900</v>
      </c>
      <c r="F14" s="266">
        <f t="shared" ref="F14:F30" si="0">F13-D14+E14</f>
        <v>17324</v>
      </c>
    </row>
    <row r="15" spans="1:7" s="8" customFormat="1" hidden="1">
      <c r="B15" s="263" t="s">
        <v>213</v>
      </c>
      <c r="C15" s="264">
        <v>45203</v>
      </c>
      <c r="D15" s="265"/>
      <c r="E15" s="265">
        <v>48596</v>
      </c>
      <c r="F15" s="266">
        <f t="shared" si="0"/>
        <v>65920</v>
      </c>
    </row>
    <row r="16" spans="1:7" s="8" customFormat="1" hidden="1">
      <c r="B16" s="263" t="s">
        <v>213</v>
      </c>
      <c r="C16" s="264">
        <v>45252</v>
      </c>
      <c r="D16" s="265"/>
      <c r="E16" s="265">
        <v>147723.95000000001</v>
      </c>
      <c r="F16" s="266">
        <f t="shared" si="0"/>
        <v>213643.95</v>
      </c>
    </row>
    <row r="17" spans="2:6" s="8" customFormat="1">
      <c r="B17" s="343" t="s">
        <v>272</v>
      </c>
      <c r="C17" s="344">
        <v>45291</v>
      </c>
      <c r="D17" s="345"/>
      <c r="E17" s="345"/>
      <c r="F17" s="342">
        <f t="shared" si="0"/>
        <v>213643.95</v>
      </c>
    </row>
    <row r="18" spans="2:6" s="8" customFormat="1" ht="28">
      <c r="B18" s="271" t="s">
        <v>174</v>
      </c>
      <c r="C18" s="287">
        <v>45321</v>
      </c>
      <c r="D18" s="270">
        <v>38949.11</v>
      </c>
      <c r="E18" s="265"/>
      <c r="F18" s="266">
        <f>F16-D18+E18</f>
        <v>174694.84000000003</v>
      </c>
    </row>
    <row r="19" spans="2:6" s="8" customFormat="1" ht="28">
      <c r="B19" s="271" t="s">
        <v>177</v>
      </c>
      <c r="C19" s="272">
        <v>45335</v>
      </c>
      <c r="D19" s="270">
        <v>201971.36</v>
      </c>
      <c r="E19" s="265"/>
      <c r="F19" s="266">
        <f t="shared" si="0"/>
        <v>-27276.51999999996</v>
      </c>
    </row>
    <row r="20" spans="2:6" s="8" customFormat="1" ht="28">
      <c r="B20" s="271" t="s">
        <v>178</v>
      </c>
      <c r="C20" s="272">
        <v>45335</v>
      </c>
      <c r="D20" s="270">
        <v>9999.01</v>
      </c>
      <c r="E20" s="265"/>
      <c r="F20" s="266">
        <f t="shared" si="0"/>
        <v>-37275.529999999962</v>
      </c>
    </row>
    <row r="21" spans="2:6" s="8" customFormat="1" ht="28">
      <c r="B21" s="271" t="s">
        <v>179</v>
      </c>
      <c r="C21" s="272">
        <v>45336</v>
      </c>
      <c r="D21" s="270">
        <v>31199.27</v>
      </c>
      <c r="E21" s="265"/>
      <c r="F21" s="266">
        <f t="shared" si="0"/>
        <v>-68474.799999999959</v>
      </c>
    </row>
    <row r="22" spans="2:6" s="8" customFormat="1" ht="28">
      <c r="B22" s="271" t="s">
        <v>180</v>
      </c>
      <c r="C22" s="272">
        <v>45336</v>
      </c>
      <c r="D22" s="270">
        <v>2499.75</v>
      </c>
      <c r="E22" s="265"/>
      <c r="F22" s="266">
        <f t="shared" si="0"/>
        <v>-70974.549999999959</v>
      </c>
    </row>
    <row r="23" spans="2:6" s="8" customFormat="1" ht="14">
      <c r="B23" s="271" t="s">
        <v>213</v>
      </c>
      <c r="C23" s="272">
        <v>45338</v>
      </c>
      <c r="D23" s="270"/>
      <c r="E23" s="265">
        <v>44170.7</v>
      </c>
      <c r="F23" s="266">
        <f t="shared" si="0"/>
        <v>-26803.849999999962</v>
      </c>
    </row>
    <row r="24" spans="2:6" s="8" customFormat="1" ht="14">
      <c r="B24" s="271" t="s">
        <v>214</v>
      </c>
      <c r="C24" s="272">
        <v>45343</v>
      </c>
      <c r="D24" s="270"/>
      <c r="E24" s="265">
        <v>26803.85</v>
      </c>
      <c r="F24" s="266">
        <f>F23-D24+E24</f>
        <v>3.637978807091713E-11</v>
      </c>
    </row>
    <row r="25" spans="2:6" s="8" customFormat="1" ht="28">
      <c r="B25" s="271" t="s">
        <v>273</v>
      </c>
      <c r="C25" s="361">
        <v>45397</v>
      </c>
      <c r="D25" s="255">
        <v>31199.272499999999</v>
      </c>
      <c r="E25" s="265"/>
      <c r="F25" s="266">
        <f t="shared" si="0"/>
        <v>-31199.272499999963</v>
      </c>
    </row>
    <row r="26" spans="2:6" s="8" customFormat="1" ht="28">
      <c r="B26" s="271" t="s">
        <v>274</v>
      </c>
      <c r="C26" s="361">
        <v>45397</v>
      </c>
      <c r="D26" s="255">
        <v>2499.7525000000001</v>
      </c>
      <c r="E26" s="265"/>
      <c r="F26" s="266">
        <f t="shared" si="0"/>
        <v>-33699.024999999965</v>
      </c>
    </row>
    <row r="27" spans="2:6" s="8" customFormat="1" ht="28">
      <c r="B27" s="271" t="s">
        <v>290</v>
      </c>
      <c r="C27" s="368">
        <v>45397</v>
      </c>
      <c r="D27" s="255">
        <v>19526.865590660385</v>
      </c>
      <c r="E27" s="265"/>
      <c r="F27" s="266">
        <f t="shared" si="0"/>
        <v>-53225.890590660347</v>
      </c>
    </row>
    <row r="28" spans="2:6" s="8" customFormat="1" ht="14">
      <c r="B28" s="271" t="s">
        <v>213</v>
      </c>
      <c r="C28" s="368">
        <v>45411</v>
      </c>
      <c r="D28" s="255"/>
      <c r="E28" s="265">
        <v>53225.89</v>
      </c>
      <c r="F28" s="266">
        <f t="shared" si="0"/>
        <v>-5.9066034737043083E-4</v>
      </c>
    </row>
    <row r="29" spans="2:6" s="8" customFormat="1" ht="28">
      <c r="B29" s="271" t="s">
        <v>345</v>
      </c>
      <c r="C29" s="368">
        <v>45474</v>
      </c>
      <c r="D29" s="255">
        <f>'Presupuesto 2024 Aprobado'!C56</f>
        <v>31199.272499999999</v>
      </c>
      <c r="E29" s="265"/>
      <c r="F29" s="266">
        <f t="shared" si="0"/>
        <v>-31199.273090660346</v>
      </c>
    </row>
    <row r="30" spans="2:6" s="8" customFormat="1" ht="28">
      <c r="B30" s="271" t="s">
        <v>347</v>
      </c>
      <c r="C30" s="368">
        <v>45474</v>
      </c>
      <c r="D30" s="255">
        <f>'Presupuesto 2024 Aprobado'!D56</f>
        <v>2499.7525000000001</v>
      </c>
      <c r="E30" s="265"/>
      <c r="F30" s="266">
        <f t="shared" si="0"/>
        <v>-33699.025590660349</v>
      </c>
    </row>
    <row r="31" spans="2:6" s="8" customFormat="1" ht="15.25" customHeight="1">
      <c r="B31" s="276"/>
      <c r="C31" s="277" t="s">
        <v>215</v>
      </c>
      <c r="D31" s="269">
        <f>SUM(D13:D30)</f>
        <v>371543.41559066041</v>
      </c>
      <c r="E31" s="269">
        <f>SUM(E13:E30)</f>
        <v>337844.39</v>
      </c>
      <c r="F31" s="278">
        <f>F24-D31+E31</f>
        <v>-33699.025590660342</v>
      </c>
    </row>
    <row r="32" spans="2:6">
      <c r="B32"/>
      <c r="C32"/>
      <c r="D32"/>
      <c r="E32"/>
      <c r="F32"/>
    </row>
    <row r="33" spans="2:6" s="8" customFormat="1">
      <c r="B33" s="288"/>
    </row>
    <row r="34" spans="2:6" s="8" customFormat="1">
      <c r="B34" s="289"/>
      <c r="D34" s="290"/>
      <c r="E34" s="291"/>
      <c r="F34" s="291"/>
    </row>
    <row r="35" spans="2:6" s="8" customFormat="1" ht="14">
      <c r="B35" s="304"/>
      <c r="D35" s="290"/>
      <c r="E35" s="291"/>
      <c r="F35" s="305"/>
    </row>
    <row r="36" spans="2:6">
      <c r="B36" s="383" t="s">
        <v>189</v>
      </c>
    </row>
    <row r="37" spans="2:6">
      <c r="B37" s="1" t="s">
        <v>194</v>
      </c>
    </row>
    <row r="38" spans="2:6">
      <c r="B38" s="379"/>
    </row>
    <row r="39" spans="2:6">
      <c r="B39" s="380" t="s">
        <v>322</v>
      </c>
      <c r="C39" s="280"/>
      <c r="D39" s="281"/>
    </row>
    <row r="40" spans="2:6">
      <c r="B40" s="381" t="s">
        <v>323</v>
      </c>
      <c r="C40" s="52"/>
      <c r="D40" s="283"/>
    </row>
    <row r="41" spans="2:6">
      <c r="B41" s="381" t="s">
        <v>324</v>
      </c>
      <c r="C41" s="52"/>
      <c r="D41" s="283"/>
    </row>
    <row r="42" spans="2:6">
      <c r="B42" s="382" t="s">
        <v>325</v>
      </c>
      <c r="C42" s="285"/>
      <c r="D42" s="286"/>
    </row>
    <row r="43" spans="2:6">
      <c r="B43" s="282"/>
      <c r="D43" s="283"/>
    </row>
    <row r="44" spans="2:6">
      <c r="B44" s="284"/>
      <c r="C44" s="285"/>
      <c r="D44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4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N44"/>
  <sheetViews>
    <sheetView topLeftCell="C1" zoomScaleNormal="100" workbookViewId="0">
      <selection activeCell="K3" sqref="K3:K9"/>
    </sheetView>
  </sheetViews>
  <sheetFormatPr baseColWidth="10" defaultColWidth="12.1640625" defaultRowHeight="13"/>
  <cols>
    <col min="1" max="1" width="5.33203125" customWidth="1"/>
    <col min="2" max="2" width="36.83203125" customWidth="1"/>
    <col min="3" max="3" width="12.5" customWidth="1"/>
    <col min="4" max="4" width="14.6640625" style="95" customWidth="1"/>
    <col min="5" max="5" width="11.5" style="137" customWidth="1"/>
    <col min="6" max="7" width="11.5" style="183" customWidth="1"/>
    <col min="11" max="11" width="17.83203125" customWidth="1"/>
  </cols>
  <sheetData>
    <row r="1" spans="2:14">
      <c r="K1" s="367">
        <v>26236200</v>
      </c>
    </row>
    <row r="2" spans="2:14" ht="14">
      <c r="B2" s="306" t="s">
        <v>132</v>
      </c>
      <c r="C2" s="307" t="s">
        <v>126</v>
      </c>
      <c r="D2" s="307"/>
      <c r="E2" s="308" t="s">
        <v>216</v>
      </c>
      <c r="F2" s="309" t="s">
        <v>217</v>
      </c>
      <c r="J2" s="310" t="s">
        <v>126</v>
      </c>
      <c r="K2" s="234" t="s">
        <v>128</v>
      </c>
      <c r="L2" s="235" t="s">
        <v>130</v>
      </c>
      <c r="M2" s="311" t="s">
        <v>130</v>
      </c>
      <c r="N2" s="312" t="s">
        <v>218</v>
      </c>
    </row>
    <row r="3" spans="2:14" ht="14">
      <c r="B3" s="51" t="s">
        <v>65</v>
      </c>
      <c r="C3" s="307" t="s">
        <v>66</v>
      </c>
      <c r="D3" s="313"/>
      <c r="E3" s="314"/>
      <c r="J3" s="236">
        <v>1</v>
      </c>
      <c r="K3" s="137">
        <f>K1/J20*J13</f>
        <v>3385038.8048100215</v>
      </c>
      <c r="L3" s="137">
        <v>12.9</v>
      </c>
      <c r="M3" s="315">
        <v>12.9</v>
      </c>
      <c r="N3" s="316">
        <f>M3*10000</f>
        <v>129000</v>
      </c>
    </row>
    <row r="4" spans="2:14" ht="14">
      <c r="B4" s="51"/>
      <c r="C4" s="317" t="s">
        <v>219</v>
      </c>
      <c r="D4" s="318" t="s">
        <v>220</v>
      </c>
      <c r="E4" s="319">
        <v>79.09</v>
      </c>
      <c r="J4" s="236">
        <v>2</v>
      </c>
      <c r="K4" s="137">
        <f>K1/J20*J14</f>
        <v>3452215.7605962222</v>
      </c>
      <c r="L4" s="137">
        <v>13.16</v>
      </c>
      <c r="M4" s="315">
        <v>13.16</v>
      </c>
      <c r="N4" s="316">
        <f t="shared" ref="N4:N9" si="0">M4*10000</f>
        <v>131600</v>
      </c>
    </row>
    <row r="5" spans="2:14" ht="14">
      <c r="B5" s="51"/>
      <c r="C5" s="320" t="s">
        <v>221</v>
      </c>
      <c r="D5" s="318" t="s">
        <v>222</v>
      </c>
      <c r="E5" s="314">
        <v>18.91</v>
      </c>
      <c r="J5" s="236">
        <v>3</v>
      </c>
      <c r="K5" s="137">
        <f>K1/J20*J15</f>
        <v>4062206.5109048504</v>
      </c>
      <c r="L5" s="137">
        <v>15.48</v>
      </c>
      <c r="M5" s="315">
        <v>15.48</v>
      </c>
      <c r="N5" s="316">
        <f t="shared" si="0"/>
        <v>154800</v>
      </c>
    </row>
    <row r="6" spans="2:14" ht="14">
      <c r="B6" s="51"/>
      <c r="C6" s="320" t="s">
        <v>223</v>
      </c>
      <c r="D6" s="318" t="s">
        <v>224</v>
      </c>
      <c r="E6" s="314">
        <v>71.31</v>
      </c>
      <c r="J6" s="236">
        <v>4</v>
      </c>
      <c r="K6" s="137">
        <f>K1/J20*J16</f>
        <v>2069290.155914224</v>
      </c>
      <c r="L6" s="137">
        <v>7.89</v>
      </c>
      <c r="M6" s="315">
        <v>7.89</v>
      </c>
      <c r="N6" s="316">
        <f t="shared" si="0"/>
        <v>78900</v>
      </c>
    </row>
    <row r="7" spans="2:14" ht="14">
      <c r="B7" s="51"/>
      <c r="C7" s="321"/>
      <c r="D7" s="313"/>
      <c r="E7" s="322">
        <f>SUM(E4:E6)</f>
        <v>169.31</v>
      </c>
      <c r="F7" s="323">
        <f>E7/E44</f>
        <v>0.12902168777528844</v>
      </c>
      <c r="G7" s="183">
        <v>0.129</v>
      </c>
      <c r="J7" s="236">
        <v>5</v>
      </c>
      <c r="K7" s="137">
        <f>K1/J20*J17</f>
        <v>2539128.9835855695</v>
      </c>
      <c r="L7" s="137">
        <v>9.68</v>
      </c>
      <c r="M7" s="315">
        <v>9.68</v>
      </c>
      <c r="N7" s="316">
        <f t="shared" si="0"/>
        <v>96800</v>
      </c>
    </row>
    <row r="8" spans="2:14" ht="14">
      <c r="B8" s="51" t="s">
        <v>158</v>
      </c>
      <c r="C8" s="307" t="s">
        <v>68</v>
      </c>
      <c r="D8" s="313"/>
      <c r="J8" s="236">
        <v>6</v>
      </c>
      <c r="K8" s="137">
        <f>K1/J20*J18</f>
        <v>4172168.7897215486</v>
      </c>
      <c r="L8" s="137">
        <v>15.9</v>
      </c>
      <c r="M8" s="315">
        <v>15.9</v>
      </c>
      <c r="N8" s="316">
        <f t="shared" si="0"/>
        <v>159000</v>
      </c>
    </row>
    <row r="9" spans="2:14" ht="14">
      <c r="B9" s="51"/>
      <c r="C9" s="317" t="s">
        <v>219</v>
      </c>
      <c r="D9" s="318" t="s">
        <v>225</v>
      </c>
      <c r="E9" s="137">
        <v>90.48</v>
      </c>
      <c r="J9" s="236">
        <v>7</v>
      </c>
      <c r="K9" s="137">
        <f>K1/J20*J19</f>
        <v>6556150.9944675583</v>
      </c>
      <c r="L9" s="137">
        <v>24.99</v>
      </c>
      <c r="M9" s="315">
        <v>24.99</v>
      </c>
      <c r="N9" s="316">
        <f t="shared" si="0"/>
        <v>249899.99999999997</v>
      </c>
    </row>
    <row r="10" spans="2:14" ht="14">
      <c r="B10" s="51"/>
      <c r="C10" s="320" t="s">
        <v>221</v>
      </c>
      <c r="D10" s="318" t="s">
        <v>226</v>
      </c>
      <c r="E10" s="137">
        <v>24.52</v>
      </c>
      <c r="J10" s="137"/>
      <c r="K10" s="242">
        <f>SUM(K3:K9)</f>
        <v>26236199.999999993</v>
      </c>
      <c r="L10" s="242">
        <f>SUM(L3:L9)</f>
        <v>100</v>
      </c>
      <c r="M10" s="324">
        <f>SUM(M3:M9)</f>
        <v>100</v>
      </c>
      <c r="N10" s="325">
        <f>SUM(N3:N9)</f>
        <v>1000000</v>
      </c>
    </row>
    <row r="11" spans="2:14" ht="14">
      <c r="B11" s="51"/>
      <c r="C11" s="320" t="s">
        <v>223</v>
      </c>
      <c r="D11" s="318" t="s">
        <v>227</v>
      </c>
      <c r="E11" s="137">
        <v>57.67</v>
      </c>
      <c r="I11" s="137"/>
      <c r="J11" s="137"/>
      <c r="K11" s="137"/>
      <c r="L11" s="137"/>
    </row>
    <row r="12" spans="2:14" ht="14">
      <c r="B12" s="51"/>
      <c r="C12" s="321"/>
      <c r="D12" s="313"/>
      <c r="E12" s="322">
        <f>SUM(E9:E11)</f>
        <v>172.67000000000002</v>
      </c>
      <c r="F12" s="323">
        <f>E12/E44</f>
        <v>0.13158215597518785</v>
      </c>
      <c r="G12" s="183">
        <v>0.13159999999999999</v>
      </c>
      <c r="I12" s="326" t="s">
        <v>126</v>
      </c>
      <c r="J12" s="326" t="s">
        <v>228</v>
      </c>
      <c r="K12" s="327" t="s">
        <v>229</v>
      </c>
      <c r="L12" s="328" t="s">
        <v>230</v>
      </c>
      <c r="M12" s="329" t="s">
        <v>230</v>
      </c>
      <c r="N12" s="312" t="s">
        <v>230</v>
      </c>
    </row>
    <row r="13" spans="2:14" ht="14">
      <c r="B13" s="51" t="s">
        <v>69</v>
      </c>
      <c r="C13" s="307" t="s">
        <v>70</v>
      </c>
      <c r="D13" s="313"/>
      <c r="I13" s="236">
        <v>1</v>
      </c>
      <c r="J13" s="330">
        <v>169.31</v>
      </c>
      <c r="K13" s="137">
        <v>1</v>
      </c>
      <c r="L13" s="137">
        <v>0.90310000000000001</v>
      </c>
      <c r="M13" s="229">
        <v>0.90310000000000001</v>
      </c>
      <c r="N13" s="316">
        <f>M13*10000</f>
        <v>9031</v>
      </c>
    </row>
    <row r="14" spans="2:14" ht="14">
      <c r="B14" s="51"/>
      <c r="C14" s="317" t="s">
        <v>219</v>
      </c>
      <c r="D14" s="318" t="s">
        <v>231</v>
      </c>
      <c r="E14" s="137">
        <v>82.55</v>
      </c>
      <c r="I14" s="236">
        <v>2</v>
      </c>
      <c r="J14" s="330">
        <v>172.67</v>
      </c>
      <c r="K14" s="137">
        <v>1</v>
      </c>
      <c r="L14" s="137">
        <v>0.92110000000000003</v>
      </c>
      <c r="M14" s="229">
        <v>0.92110000000000003</v>
      </c>
      <c r="N14" s="316">
        <f t="shared" ref="N14:N18" si="1">M14*10000</f>
        <v>9211</v>
      </c>
    </row>
    <row r="15" spans="2:14" ht="14">
      <c r="B15" s="51"/>
      <c r="C15" s="320" t="s">
        <v>221</v>
      </c>
      <c r="D15" s="318" t="s">
        <v>232</v>
      </c>
      <c r="E15" s="137">
        <v>25.38</v>
      </c>
      <c r="I15" s="236">
        <v>3</v>
      </c>
      <c r="J15" s="330">
        <v>203.18</v>
      </c>
      <c r="K15" s="137">
        <v>1</v>
      </c>
      <c r="L15" s="137">
        <v>1.0838000000000001</v>
      </c>
      <c r="M15" s="229">
        <v>1.0838000000000001</v>
      </c>
      <c r="N15" s="316">
        <f t="shared" si="1"/>
        <v>10838.000000000002</v>
      </c>
    </row>
    <row r="16" spans="2:14" ht="14">
      <c r="B16" s="51"/>
      <c r="C16" s="320" t="s">
        <v>221</v>
      </c>
      <c r="D16" s="318" t="s">
        <v>233</v>
      </c>
      <c r="E16" s="137">
        <v>4.57</v>
      </c>
      <c r="I16" s="236">
        <v>4</v>
      </c>
      <c r="J16" s="330">
        <v>103.5</v>
      </c>
      <c r="K16" s="137">
        <v>1</v>
      </c>
      <c r="L16" s="137">
        <v>0.55210000000000004</v>
      </c>
      <c r="M16" s="229">
        <v>0.55210000000000004</v>
      </c>
      <c r="N16" s="316">
        <f t="shared" si="1"/>
        <v>5521</v>
      </c>
    </row>
    <row r="17" spans="2:14" ht="14">
      <c r="B17" s="51"/>
      <c r="C17" s="320" t="s">
        <v>223</v>
      </c>
      <c r="D17" s="318" t="s">
        <v>234</v>
      </c>
      <c r="E17" s="137">
        <v>90.68</v>
      </c>
      <c r="I17" s="236">
        <v>5</v>
      </c>
      <c r="J17" s="330">
        <v>127</v>
      </c>
      <c r="K17" s="137">
        <v>1</v>
      </c>
      <c r="L17" s="137">
        <v>0.67749999999999999</v>
      </c>
      <c r="M17" s="229">
        <v>0.67749999999999999</v>
      </c>
      <c r="N17" s="316">
        <f t="shared" si="1"/>
        <v>6775</v>
      </c>
    </row>
    <row r="18" spans="2:14" ht="14">
      <c r="B18" s="51"/>
      <c r="C18" s="321"/>
      <c r="D18" s="313"/>
      <c r="E18" s="322">
        <f>SUM(E14:E17)</f>
        <v>203.18</v>
      </c>
      <c r="F18" s="323">
        <f>E18/E44</f>
        <v>0.15483212168320304</v>
      </c>
      <c r="G18" s="183">
        <v>0.15479999999999999</v>
      </c>
      <c r="I18" s="236">
        <v>6</v>
      </c>
      <c r="J18" s="330">
        <v>208.68</v>
      </c>
      <c r="K18" s="137">
        <v>1</v>
      </c>
      <c r="L18" s="137">
        <v>1.1132</v>
      </c>
      <c r="M18" s="229">
        <v>1.1132</v>
      </c>
      <c r="N18" s="316">
        <f t="shared" si="1"/>
        <v>11132</v>
      </c>
    </row>
    <row r="19" spans="2:14" ht="14">
      <c r="B19" s="51" t="s">
        <v>71</v>
      </c>
      <c r="C19" s="307" t="s">
        <v>72</v>
      </c>
      <c r="D19" s="313"/>
      <c r="I19" s="236">
        <v>7</v>
      </c>
      <c r="J19" s="330">
        <v>327.92</v>
      </c>
      <c r="K19" s="137">
        <v>1</v>
      </c>
      <c r="L19" s="137">
        <v>1.7492000000000001</v>
      </c>
      <c r="M19" s="229">
        <v>1.7492000000000001</v>
      </c>
      <c r="N19" s="316">
        <f>M19*10000</f>
        <v>17492</v>
      </c>
    </row>
    <row r="20" spans="2:14" ht="14">
      <c r="B20" s="51"/>
      <c r="C20" s="317" t="s">
        <v>219</v>
      </c>
      <c r="D20" s="318" t="s">
        <v>235</v>
      </c>
      <c r="E20" s="137">
        <v>72.59</v>
      </c>
      <c r="I20" s="137"/>
      <c r="J20" s="331">
        <f>J13+J14+J15+J16+J17+J18+J19</f>
        <v>1312.2600000000002</v>
      </c>
      <c r="K20" s="332">
        <f>SUM(K13:K19)</f>
        <v>7</v>
      </c>
      <c r="L20" s="333">
        <f>SUM(L13:L19)</f>
        <v>7.0000000000000009</v>
      </c>
      <c r="M20" s="334">
        <f>SUM(M13:M19)</f>
        <v>7.0000000000000009</v>
      </c>
      <c r="N20" s="325">
        <f>SUM(N13:N19)</f>
        <v>70000</v>
      </c>
    </row>
    <row r="21" spans="2:14" ht="14">
      <c r="B21" s="51"/>
      <c r="C21" s="320" t="s">
        <v>221</v>
      </c>
      <c r="D21" s="318" t="s">
        <v>236</v>
      </c>
      <c r="E21" s="137">
        <v>18.91</v>
      </c>
      <c r="I21" s="137"/>
      <c r="J21" s="137"/>
      <c r="K21" s="137"/>
      <c r="L21" s="238"/>
    </row>
    <row r="22" spans="2:14" ht="14">
      <c r="B22" s="51"/>
      <c r="C22" s="321" t="s">
        <v>237</v>
      </c>
      <c r="D22" s="318" t="s">
        <v>238</v>
      </c>
      <c r="E22" s="137">
        <v>12</v>
      </c>
      <c r="I22" s="137"/>
      <c r="J22" s="137"/>
      <c r="K22" s="137"/>
      <c r="L22" s="238"/>
    </row>
    <row r="23" spans="2:14" ht="14">
      <c r="B23" s="51"/>
      <c r="C23" s="321"/>
      <c r="D23" s="313"/>
      <c r="E23" s="335">
        <f>SUM(E20:E22)</f>
        <v>103.5</v>
      </c>
      <c r="F23" s="323">
        <f>E23/E44</f>
        <v>7.8871565086187187E-2</v>
      </c>
      <c r="G23" s="183">
        <v>7.8899999999999998E-2</v>
      </c>
      <c r="I23" s="236">
        <v>1</v>
      </c>
      <c r="J23" s="330">
        <v>169.31</v>
      </c>
      <c r="K23" s="137">
        <v>1312.26</v>
      </c>
      <c r="L23" s="336">
        <v>0.129021</v>
      </c>
      <c r="M23">
        <v>7</v>
      </c>
      <c r="N23" s="337">
        <f>L23*M23</f>
        <v>0.90314699999999992</v>
      </c>
    </row>
    <row r="24" spans="2:14" ht="14">
      <c r="B24" s="51" t="s">
        <v>136</v>
      </c>
      <c r="C24" s="307" t="s">
        <v>74</v>
      </c>
      <c r="D24" s="313"/>
      <c r="I24" s="236">
        <v>2</v>
      </c>
      <c r="J24" s="330">
        <v>172.67</v>
      </c>
      <c r="K24" s="137">
        <v>1312.26</v>
      </c>
      <c r="L24" s="336">
        <v>0.131582</v>
      </c>
      <c r="M24">
        <v>7</v>
      </c>
      <c r="N24" s="337">
        <f>L24*M24</f>
        <v>0.92107400000000006</v>
      </c>
    </row>
    <row r="25" spans="2:14" ht="14">
      <c r="B25" s="51"/>
      <c r="C25" s="317" t="s">
        <v>219</v>
      </c>
      <c r="D25" s="318" t="s">
        <v>239</v>
      </c>
      <c r="E25" s="137">
        <v>90.48</v>
      </c>
      <c r="I25" s="236">
        <v>3</v>
      </c>
      <c r="J25" s="330">
        <v>203.18</v>
      </c>
      <c r="K25" s="137">
        <v>1312.26</v>
      </c>
      <c r="L25" s="336">
        <f t="shared" ref="L25" si="2">J25/K25</f>
        <v>0.15483212168320304</v>
      </c>
      <c r="M25">
        <v>7</v>
      </c>
      <c r="N25" s="337">
        <f t="shared" ref="N25:N28" si="3">L25*M25</f>
        <v>1.0838248517824214</v>
      </c>
    </row>
    <row r="26" spans="2:14" ht="14">
      <c r="B26" s="51"/>
      <c r="C26" s="320" t="s">
        <v>221</v>
      </c>
      <c r="D26" s="318" t="s">
        <v>240</v>
      </c>
      <c r="E26" s="137">
        <v>24.52</v>
      </c>
      <c r="I26" s="236">
        <v>4</v>
      </c>
      <c r="J26" s="330">
        <v>103.5</v>
      </c>
      <c r="K26" s="137">
        <v>1312.26</v>
      </c>
      <c r="L26" s="336">
        <f>J26/K26</f>
        <v>7.8871565086187187E-2</v>
      </c>
      <c r="M26">
        <v>7</v>
      </c>
      <c r="N26" s="337">
        <f t="shared" si="3"/>
        <v>0.55210095560331029</v>
      </c>
    </row>
    <row r="27" spans="2:14" ht="14">
      <c r="B27" s="51"/>
      <c r="C27" s="321" t="s">
        <v>237</v>
      </c>
      <c r="D27" s="318" t="s">
        <v>241</v>
      </c>
      <c r="E27" s="137">
        <v>12</v>
      </c>
      <c r="I27" s="236">
        <v>5</v>
      </c>
      <c r="J27" s="330">
        <v>127</v>
      </c>
      <c r="K27" s="137">
        <v>1312.26</v>
      </c>
      <c r="L27" s="336">
        <f>J27/K27</f>
        <v>9.6779601603340801E-2</v>
      </c>
      <c r="M27">
        <v>7</v>
      </c>
      <c r="N27" s="337">
        <f>L27*M27</f>
        <v>0.67745721122338565</v>
      </c>
    </row>
    <row r="28" spans="2:14" ht="14">
      <c r="B28" s="51"/>
      <c r="C28" s="321"/>
      <c r="D28" s="313"/>
      <c r="E28" s="322">
        <f>SUM(E25:E27)</f>
        <v>127</v>
      </c>
      <c r="F28" s="323">
        <f>E28/E44</f>
        <v>9.6779601603340801E-2</v>
      </c>
      <c r="G28" s="183">
        <v>9.6799999999999997E-2</v>
      </c>
      <c r="I28" s="236">
        <v>6</v>
      </c>
      <c r="J28" s="330">
        <v>208.68</v>
      </c>
      <c r="K28" s="137">
        <v>1312.26</v>
      </c>
      <c r="L28" s="336">
        <f>J28/K28</f>
        <v>0.15902336427232408</v>
      </c>
      <c r="M28">
        <v>7</v>
      </c>
      <c r="N28" s="337">
        <f t="shared" si="3"/>
        <v>1.1131635499062686</v>
      </c>
    </row>
    <row r="29" spans="2:14" ht="14">
      <c r="B29" s="51" t="s">
        <v>75</v>
      </c>
      <c r="C29" s="307" t="s">
        <v>76</v>
      </c>
      <c r="D29" s="313"/>
      <c r="I29" s="236">
        <v>7</v>
      </c>
      <c r="J29" s="330">
        <v>327.92</v>
      </c>
      <c r="K29" s="137">
        <v>1312.26</v>
      </c>
      <c r="L29" s="336">
        <f>J29/K29</f>
        <v>0.24988950360446863</v>
      </c>
      <c r="M29">
        <v>7</v>
      </c>
      <c r="N29" s="337">
        <f>L29*M29</f>
        <v>1.7492265252312804</v>
      </c>
    </row>
    <row r="30" spans="2:14" ht="14">
      <c r="B30" s="51"/>
      <c r="C30" s="317" t="s">
        <v>219</v>
      </c>
      <c r="D30" s="318" t="s">
        <v>242</v>
      </c>
      <c r="E30" s="137">
        <v>82.55</v>
      </c>
      <c r="I30" s="137"/>
      <c r="J30" s="331">
        <f>SUM(J23:J29)</f>
        <v>1312.2600000000002</v>
      </c>
      <c r="K30" s="137"/>
      <c r="L30" s="137">
        <f>SUM(L23:L29)</f>
        <v>0.99999915624952374</v>
      </c>
      <c r="M30" s="336"/>
      <c r="N30" s="337">
        <f>SUM(N23:N29)</f>
        <v>6.9999940937466665</v>
      </c>
    </row>
    <row r="31" spans="2:14" ht="14">
      <c r="B31" s="51"/>
      <c r="C31" s="320" t="s">
        <v>221</v>
      </c>
      <c r="D31" s="313" t="s">
        <v>243</v>
      </c>
      <c r="E31" s="137">
        <v>25.38</v>
      </c>
    </row>
    <row r="32" spans="2:14" ht="14">
      <c r="B32" s="51"/>
      <c r="C32" s="320" t="s">
        <v>221</v>
      </c>
      <c r="D32" s="313" t="s">
        <v>244</v>
      </c>
      <c r="E32" s="137">
        <v>4.57</v>
      </c>
    </row>
    <row r="33" spans="2:7" ht="14">
      <c r="B33" s="51"/>
      <c r="C33" s="321" t="s">
        <v>237</v>
      </c>
      <c r="D33" s="318" t="s">
        <v>245</v>
      </c>
      <c r="E33" s="137">
        <v>12</v>
      </c>
    </row>
    <row r="34" spans="2:7" ht="14">
      <c r="B34" s="51"/>
      <c r="C34" s="320" t="s">
        <v>223</v>
      </c>
      <c r="D34" s="318" t="s">
        <v>246</v>
      </c>
      <c r="E34" s="137">
        <v>72.459999999999994</v>
      </c>
    </row>
    <row r="35" spans="2:7" ht="14">
      <c r="B35" s="51"/>
      <c r="C35" s="320" t="s">
        <v>247</v>
      </c>
      <c r="D35" s="318" t="s">
        <v>248</v>
      </c>
      <c r="E35" s="137">
        <v>6.37</v>
      </c>
    </row>
    <row r="36" spans="2:7" ht="14">
      <c r="B36" s="51"/>
      <c r="C36" s="320" t="s">
        <v>247</v>
      </c>
      <c r="D36" s="318" t="s">
        <v>249</v>
      </c>
      <c r="E36" s="137">
        <v>5.35</v>
      </c>
    </row>
    <row r="37" spans="2:7" ht="14">
      <c r="B37" s="51"/>
      <c r="C37" s="320"/>
      <c r="D37" s="318"/>
      <c r="E37" s="322">
        <f>SUM(E30:E36)</f>
        <v>208.67999999999998</v>
      </c>
      <c r="F37" s="323">
        <f>E37/E44</f>
        <v>0.15902336427232408</v>
      </c>
      <c r="G37" s="183">
        <v>0.159</v>
      </c>
    </row>
    <row r="38" spans="2:7" ht="14">
      <c r="B38" s="51" t="s">
        <v>77</v>
      </c>
      <c r="C38" s="307" t="s">
        <v>78</v>
      </c>
      <c r="D38" s="313"/>
    </row>
    <row r="39" spans="2:7">
      <c r="C39" s="317" t="s">
        <v>219</v>
      </c>
      <c r="D39" s="318" t="s">
        <v>250</v>
      </c>
      <c r="E39" s="137">
        <v>123.26</v>
      </c>
    </row>
    <row r="40" spans="2:7" ht="14">
      <c r="C40" s="320" t="s">
        <v>221</v>
      </c>
      <c r="D40" s="318" t="s">
        <v>251</v>
      </c>
      <c r="E40" s="137">
        <v>176.74</v>
      </c>
    </row>
    <row r="41" spans="2:7" ht="14">
      <c r="C41" s="321" t="s">
        <v>237</v>
      </c>
      <c r="D41" s="318" t="s">
        <v>252</v>
      </c>
      <c r="E41" s="137">
        <v>27.92</v>
      </c>
    </row>
    <row r="42" spans="2:7">
      <c r="E42" s="322">
        <f>SUM(E39:E41)</f>
        <v>327.92</v>
      </c>
      <c r="F42" s="323">
        <f>E42/E44</f>
        <v>0.24988950360446863</v>
      </c>
      <c r="G42" s="183">
        <v>0.24990000000000001</v>
      </c>
    </row>
    <row r="44" spans="2:7" ht="14">
      <c r="D44" s="293" t="s">
        <v>253</v>
      </c>
      <c r="E44" s="308">
        <f>E7+E12+E18+E23+E28+E37+E42</f>
        <v>1312.26</v>
      </c>
      <c r="F44" s="183">
        <f>SUM(F7:F42)</f>
        <v>1</v>
      </c>
      <c r="G44" s="183">
        <f>SUM(G7:G42)</f>
        <v>1</v>
      </c>
    </row>
  </sheetData>
  <pageMargins left="0.78749999999999998" right="0.78749999999999998" top="1.05277777777778" bottom="1.05277777777778" header="0.78749999999999998" footer="0.78749999999999998"/>
  <pageSetup paperSize="9" scale="93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Caja Chica-Cta.Bco</vt:lpstr>
      <vt:lpstr>Gastos detallados</vt:lpstr>
      <vt:lpstr>PedidoAGE12-01</vt:lpstr>
      <vt:lpstr>PedidoVotoElec-09-04</vt:lpstr>
      <vt:lpstr>Presupuesto 2024 Aprobado</vt:lpstr>
      <vt:lpstr>A1</vt:lpstr>
      <vt:lpstr>A2</vt:lpstr>
      <vt:lpstr>A3</vt:lpstr>
      <vt:lpstr>A4</vt:lpstr>
      <vt:lpstr>A5</vt:lpstr>
      <vt:lpstr>A6</vt:lpstr>
      <vt:lpstr>A7</vt:lpstr>
      <vt:lpstr>Distribución</vt:lpstr>
      <vt:lpstr>'Caja Chica-Cta.Bco'!Print_Area</vt:lpstr>
      <vt:lpstr>Distribución!Print_Area</vt:lpstr>
      <vt:lpstr>'PedidoAGE12-01'!Print_Area</vt:lpstr>
      <vt:lpstr>'PedidoVotoElec-09-04'!Print_Area</vt:lpstr>
      <vt:lpstr>'Presupuesto 2024 Aprobado'!Print_Area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yunairy</dc:creator>
  <dc:description/>
  <cp:lastModifiedBy>Microsoft Office User</cp:lastModifiedBy>
  <cp:revision>73</cp:revision>
  <cp:lastPrinted>2024-07-02T12:26:12Z</cp:lastPrinted>
  <dcterms:created xsi:type="dcterms:W3CDTF">2024-01-05T16:39:16Z</dcterms:created>
  <dcterms:modified xsi:type="dcterms:W3CDTF">2024-07-03T12:34:12Z</dcterms:modified>
  <dc:language>en-GB</dc:language>
</cp:coreProperties>
</file>
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Segundo Trimestro/"/>
    </mc:Choice>
  </mc:AlternateContent>
  <xr:revisionPtr revIDLastSave="0" documentId="13_ncr:1_{8F6B9A08-D5C0-1A49-B904-1E7EEE827015}" xr6:coauthVersionLast="45" xr6:coauthVersionMax="45" xr10:uidLastSave="{00000000-0000-0000-0000-000000000000}"/>
  <bookViews>
    <workbookView xWindow="-38400" yWindow="-880" windowWidth="38400" windowHeight="21100" tabRatio="500" firstSheet="1" activeTab="5" xr2:uid="{00000000-000D-0000-FFFF-FFFF00000000}"/>
  </bookViews>
  <sheets>
    <sheet name="Caja Chica-Cta.Bco" sheetId="1" r:id="rId1"/>
    <sheet name="Gastos detallados" sheetId="2" r:id="rId2"/>
    <sheet name="PedidoAGE12-01" sheetId="3" r:id="rId3"/>
    <sheet name="PedidoVotoElec-09-04" sheetId="13" r:id="rId4"/>
    <sheet name="Presupuesto 2024 Aprobado" sheetId="4" r:id="rId5"/>
    <sheet name="A1" sheetId="5" r:id="rId6"/>
    <sheet name="A2" sheetId="6" r:id="rId7"/>
    <sheet name="A3" sheetId="7" r:id="rId8"/>
    <sheet name="A4" sheetId="8" r:id="rId9"/>
    <sheet name="A5" sheetId="9" r:id="rId10"/>
    <sheet name="A6" sheetId="10" r:id="rId11"/>
    <sheet name="A7" sheetId="11" r:id="rId12"/>
    <sheet name="Distribución" sheetId="12" r:id="rId13"/>
  </sheets>
  <definedNames>
    <definedName name="_xlnm._FilterDatabase" localSheetId="0" hidden="1">'Caja Chica-Cta.Bco'!$B$9:$F$98</definedName>
    <definedName name="_xlnm.Print_Area" localSheetId="0">'Caja Chica-Cta.Bco'!$1:$1048576</definedName>
    <definedName name="_xlnm.Print_Area" localSheetId="12">Distribución!$B$2:$G$44</definedName>
    <definedName name="_xlnm.Print_Area" localSheetId="2">'PedidoAGE12-01'!$A$1:$F$39</definedName>
    <definedName name="_xlnm.Print_Area" localSheetId="3">'PedidoVotoElec-09-04'!$A$1:$F$39</definedName>
    <definedName name="_xlnm.Print_Area" localSheetId="4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34" i="2" l="1"/>
  <c r="D144" i="2"/>
  <c r="E29" i="6" l="1"/>
  <c r="D29" i="6"/>
  <c r="D23" i="2" l="1"/>
  <c r="L98" i="1"/>
  <c r="M98" i="1"/>
  <c r="D59" i="2"/>
  <c r="D31" i="2"/>
  <c r="F98" i="1"/>
  <c r="E98" i="1"/>
  <c r="D33" i="5"/>
  <c r="D35" i="5" s="1"/>
  <c r="D29" i="8"/>
  <c r="E29" i="8"/>
  <c r="E30" i="9"/>
  <c r="D75" i="2"/>
  <c r="D115" i="2"/>
  <c r="D87" i="2"/>
  <c r="D30" i="7" l="1"/>
  <c r="E30" i="7"/>
  <c r="D29" i="10"/>
  <c r="E29" i="10"/>
  <c r="D30" i="11"/>
  <c r="E30" i="11"/>
  <c r="D30" i="9" l="1"/>
  <c r="F30" i="9" s="1"/>
  <c r="F114" i="1" s="1"/>
  <c r="D95" i="2"/>
  <c r="F107" i="1" l="1"/>
  <c r="F29" i="6" l="1"/>
  <c r="N3" i="12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E35" i="5"/>
  <c r="F35" i="5" s="1"/>
  <c r="F39" i="5" s="1"/>
  <c r="F110" i="1" s="1"/>
  <c r="K3" i="12" l="1"/>
  <c r="K4" i="12"/>
  <c r="K9" i="12"/>
  <c r="K8" i="12"/>
  <c r="K7" i="12"/>
  <c r="K6" i="12"/>
  <c r="K5" i="12"/>
  <c r="F30" i="7"/>
  <c r="F112" i="1" s="1"/>
  <c r="C50" i="4"/>
  <c r="N38" i="3"/>
  <c r="J38" i="13"/>
  <c r="E39" i="3"/>
  <c r="E13" i="13"/>
  <c r="L31" i="13" l="1"/>
  <c r="L33" i="13"/>
  <c r="L37" i="13"/>
  <c r="L36" i="13"/>
  <c r="L35" i="13"/>
  <c r="L34" i="13"/>
  <c r="L32" i="13"/>
  <c r="L38" i="13" s="1"/>
  <c r="K10" i="12"/>
  <c r="E21" i="13"/>
  <c r="E30" i="13" s="1"/>
  <c r="I31" i="13" l="1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N34" i="13" l="1"/>
  <c r="E35" i="13"/>
  <c r="N33" i="13"/>
  <c r="E34" i="13"/>
  <c r="N35" i="13"/>
  <c r="E36" i="13"/>
  <c r="N36" i="13"/>
  <c r="E37" i="13"/>
  <c r="N37" i="13"/>
  <c r="E38" i="13"/>
  <c r="N32" i="13"/>
  <c r="E33" i="13"/>
  <c r="E32" i="13"/>
  <c r="N31" i="13"/>
  <c r="N38" i="13"/>
  <c r="E39" i="13"/>
  <c r="M38" i="13"/>
  <c r="D39" i="3" l="1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E44" i="12" s="1"/>
  <c r="F7" i="12" s="1"/>
  <c r="N9" i="12"/>
  <c r="N8" i="12"/>
  <c r="N7" i="12"/>
  <c r="N6" i="12"/>
  <c r="N5" i="12"/>
  <c r="N4" i="12"/>
  <c r="F13" i="11"/>
  <c r="F14" i="11" s="1"/>
  <c r="F15" i="11" s="1"/>
  <c r="F16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L62" i="4"/>
  <c r="M61" i="4"/>
  <c r="M60" i="4"/>
  <c r="N56" i="4"/>
  <c r="J56" i="4"/>
  <c r="L53" i="4" s="1"/>
  <c r="D56" i="4"/>
  <c r="C56" i="4"/>
  <c r="E56" i="4" s="1"/>
  <c r="M55" i="4"/>
  <c r="L55" i="4"/>
  <c r="D55" i="4"/>
  <c r="C55" i="4"/>
  <c r="E55" i="4" s="1"/>
  <c r="M54" i="4"/>
  <c r="L54" i="4"/>
  <c r="D54" i="4"/>
  <c r="C54" i="4"/>
  <c r="M53" i="4"/>
  <c r="D53" i="4"/>
  <c r="C53" i="4"/>
  <c r="E53" i="4" s="1"/>
  <c r="M52" i="4"/>
  <c r="L52" i="4"/>
  <c r="D52" i="4"/>
  <c r="C52" i="4"/>
  <c r="E52" i="4" s="1"/>
  <c r="M51" i="4"/>
  <c r="D51" i="4"/>
  <c r="C51" i="4"/>
  <c r="E51" i="4" s="1"/>
  <c r="M50" i="4"/>
  <c r="L50" i="4"/>
  <c r="D50" i="4"/>
  <c r="E50" i="4"/>
  <c r="M49" i="4"/>
  <c r="E46" i="4"/>
  <c r="D46" i="4"/>
  <c r="N45" i="4"/>
  <c r="J45" i="4"/>
  <c r="L43" i="4" s="1"/>
  <c r="L44" i="4"/>
  <c r="I44" i="4"/>
  <c r="M44" i="4" s="1"/>
  <c r="I41" i="4"/>
  <c r="M41" i="4" s="1"/>
  <c r="L40" i="4"/>
  <c r="L39" i="4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148" i="2"/>
  <c r="D139" i="2"/>
  <c r="D106" i="2"/>
  <c r="D102" i="2"/>
  <c r="D79" i="2"/>
  <c r="M101" i="1"/>
  <c r="L100" i="1"/>
  <c r="M102" i="1" s="1"/>
  <c r="F101" i="1"/>
  <c r="E100" i="1"/>
  <c r="L41" i="4" l="1"/>
  <c r="I38" i="4"/>
  <c r="M38" i="4" s="1"/>
  <c r="M45" i="4" s="1"/>
  <c r="L31" i="3"/>
  <c r="L37" i="3"/>
  <c r="L36" i="3"/>
  <c r="L35" i="3"/>
  <c r="L34" i="3"/>
  <c r="L33" i="3"/>
  <c r="L32" i="3"/>
  <c r="L38" i="4"/>
  <c r="I42" i="4"/>
  <c r="M42" i="4" s="1"/>
  <c r="D57" i="4"/>
  <c r="E18" i="4"/>
  <c r="E22" i="4" s="1"/>
  <c r="L42" i="4"/>
  <c r="L45" i="4" s="1"/>
  <c r="L49" i="4"/>
  <c r="L56" i="4" s="1"/>
  <c r="L51" i="4"/>
  <c r="I39" i="4"/>
  <c r="M39" i="4" s="1"/>
  <c r="E54" i="4"/>
  <c r="F102" i="1"/>
  <c r="F105" i="1" s="1"/>
  <c r="N20" i="12"/>
  <c r="L30" i="12"/>
  <c r="N30" i="12"/>
  <c r="F18" i="11"/>
  <c r="F19" i="11" s="1"/>
  <c r="F20" i="11" s="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/>
  <c r="F17" i="9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/>
  <c r="F113" i="1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17" i="6"/>
  <c r="F18" i="6" s="1"/>
  <c r="F19" i="6" s="1"/>
  <c r="F20" i="6" s="1"/>
  <c r="F21" i="6" s="1"/>
  <c r="F22" i="6" s="1"/>
  <c r="F23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N10" i="12"/>
  <c r="M67" i="4"/>
  <c r="L65" i="4"/>
  <c r="L61" i="4"/>
  <c r="L64" i="4"/>
  <c r="L60" i="4"/>
  <c r="L28" i="4"/>
  <c r="L33" i="4"/>
  <c r="L30" i="4"/>
  <c r="L27" i="4"/>
  <c r="L32" i="4"/>
  <c r="F104" i="1"/>
  <c r="D146" i="2"/>
  <c r="M56" i="4"/>
  <c r="C57" i="4"/>
  <c r="F28" i="12"/>
  <c r="L29" i="4"/>
  <c r="E57" i="4"/>
  <c r="L31" i="4"/>
  <c r="L66" i="4"/>
  <c r="I40" i="4"/>
  <c r="M40" i="4" s="1"/>
  <c r="E26" i="4" l="1"/>
  <c r="L38" i="3"/>
  <c r="F24" i="11"/>
  <c r="F25" i="11" s="1"/>
  <c r="F26" i="11" s="1"/>
  <c r="F27" i="11" s="1"/>
  <c r="F28" i="11" s="1"/>
  <c r="F24" i="6"/>
  <c r="F25" i="6" s="1"/>
  <c r="F26" i="6" s="1"/>
  <c r="F27" i="6" s="1"/>
  <c r="F28" i="6" s="1"/>
  <c r="F32" i="6" s="1"/>
  <c r="F111" i="1" s="1"/>
  <c r="F117" i="1" s="1"/>
  <c r="F106" i="1"/>
  <c r="F108" i="1" s="1"/>
  <c r="F37" i="12"/>
  <c r="M38" i="3"/>
  <c r="L67" i="4"/>
  <c r="I31" i="4"/>
  <c r="M31" i="4" s="1"/>
  <c r="I28" i="4"/>
  <c r="M28" i="4" s="1"/>
  <c r="I33" i="4"/>
  <c r="M33" i="4" s="1"/>
  <c r="I30" i="4"/>
  <c r="M30" i="4" s="1"/>
  <c r="I27" i="4"/>
  <c r="M27" i="4" s="1"/>
  <c r="M34" i="4" s="1"/>
  <c r="I29" i="4"/>
  <c r="M29" i="4" s="1"/>
  <c r="I32" i="4"/>
  <c r="M32" i="4" s="1"/>
  <c r="F23" i="12"/>
  <c r="F12" i="12"/>
  <c r="F42" i="12"/>
  <c r="F18" i="12"/>
  <c r="L34" i="4"/>
  <c r="F44" i="12" l="1"/>
  <c r="F30" i="11"/>
</calcChain>
</file>

<file path=xl/sharedStrings.xml><?xml version="1.0" encoding="utf-8"?>
<sst xmlns="http://schemas.openxmlformats.org/spreadsheetml/2006/main" count="939" uniqueCount="329">
  <si>
    <t>CONDOMINIO EL FRAMBOYANT</t>
  </si>
  <si>
    <t>Calle 30 de Marzo, Las Terrenas, Samaná, República Dominicana 32200</t>
  </si>
  <si>
    <t>Periodo de 01/01 hasta 23/03/2024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</si>
  <si>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</si>
  <si>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</si>
  <si>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</si>
  <si>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</si>
  <si>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</si>
  <si>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</si>
  <si>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</si>
  <si>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</si>
  <si>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</si>
  <si>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</si>
  <si>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</si>
  <si>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</si>
  <si>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</si>
  <si>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</si>
  <si>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</si>
  <si>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</si>
  <si>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</si>
  <si>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</si>
  <si>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</si>
  <si>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</si>
  <si>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</si>
  <si>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</si>
  <si>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</si>
  <si>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</si>
  <si>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</si>
  <si>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</si>
  <si>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</si>
  <si>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</si>
  <si>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</si>
  <si>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</si>
  <si>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</si>
  <si>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</si>
  <si>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</si>
  <si>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</si>
  <si>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</si>
  <si>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</si>
  <si>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</si>
  <si>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</si>
  <si>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</si>
  <si>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</si>
  <si>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</si>
  <si>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</si>
  <si>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</si>
  <si>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</si>
  <si>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</si>
  <si>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</si>
  <si>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</si>
  <si>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</si>
  <si>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</si>
  <si>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</si>
  <si>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</si>
  <si>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</si>
  <si>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</si>
  <si>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</si>
  <si>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</si>
  <si>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</si>
  <si>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</si>
  <si>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</si>
  <si>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</si>
  <si>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</si>
  <si>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</si>
  <si>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</si>
  <si>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</si>
  <si>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</si>
  <si>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</si>
  <si>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</si>
  <si>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</si>
  <si>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</si>
  <si>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</si>
  <si>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</si>
  <si>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</si>
  <si>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</si>
  <si>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</si>
  <si>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</si>
  <si>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</si>
  <si>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</si>
  <si>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</si>
  <si>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</si>
  <si>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</si>
  <si>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</si>
  <si>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</si>
  <si>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</si>
  <si>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</si>
  <si>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</si>
  <si>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</si>
  <si>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</si>
  <si>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</si>
  <si>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</si>
  <si>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</si>
  <si>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</si>
  <si>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</si>
  <si>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</si>
  <si>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</si>
  <si>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</si>
  <si>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</si>
  <si>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</si>
  <si>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</si>
  <si>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</si>
  <si>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</si>
  <si>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</si>
  <si>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</si>
  <si>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</si>
  <si>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</si>
  <si>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</si>
  <si>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</si>
  <si>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</si>
  <si>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</si>
  <si>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</si>
  <si>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</si>
  <si>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</si>
  <si>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</si>
  <si>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</si>
  <si>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</si>
  <si>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</si>
  <si>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</si>
  <si>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</si>
  <si>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</si>
  <si>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</si>
  <si>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</si>
  <si>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</si>
  <si>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</si>
  <si>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</si>
  <si>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</si>
  <si>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</si>
  <si>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</si>
  <si>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</si>
  <si>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</si>
  <si>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</si>
  <si>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</si>
  <si>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</si>
  <si>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</si>
  <si>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</si>
  <si>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</si>
  <si>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</si>
  <si>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</si>
  <si>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</si>
  <si>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</si>
  <si>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</si>
  <si>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</si>
  <si>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</si>
  <si>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</si>
  <si>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</si>
  <si>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</si>
  <si>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</si>
  <si>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</si>
  <si>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</si>
  <si>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</si>
  <si>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</si>
  <si>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</si>
  <si>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</si>
  <si>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</si>
  <si>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</si>
  <si>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</si>
  <si>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</si>
  <si>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</si>
  <si>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</si>
  <si>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</si>
  <si>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</si>
  <si>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</si>
  <si>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</si>
  <si>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</si>
  <si>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</si>
  <si>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</si>
  <si>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</si>
  <si>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</si>
  <si>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</si>
  <si>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</si>
  <si>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</si>
  <si>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</si>
  <si>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</si>
  <si>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</si>
  <si>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</si>
  <si>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</si>
  <si>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</si>
  <si>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</si>
  <si>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</si>
  <si>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</si>
  <si>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</si>
  <si>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</si>
  <si>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</si>
  <si>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*Incluido pedido del 01/04/2024 (2do Trimestre) según la solicitud del propietarios A-1</t>
  </si>
  <si>
    <t>Apartamento A-2</t>
  </si>
  <si>
    <t>Hervé METAYER / Corine JEAN</t>
  </si>
  <si>
    <t>hmetayer.business@gmail.com; corine.2021@outlook.fr</t>
  </si>
  <si>
    <t>Periodo de 01/05/2023 hasta 31/03/2024</t>
  </si>
  <si>
    <t>Pago METAYER-JEAN</t>
  </si>
  <si>
    <t xml:space="preserve">TOTAL A2-METAYER </t>
  </si>
  <si>
    <t>Apartamento A3</t>
  </si>
  <si>
    <t>ondellaf@yahoo.fr</t>
  </si>
  <si>
    <t>Pago Frédéric ONDELLA</t>
  </si>
  <si>
    <t>TOTAL A3-ONDELLA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</si>
  <si>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</si>
  <si>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</si>
  <si>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</si>
  <si>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</si>
  <si>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</si>
  <si>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</si>
  <si>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</si>
  <si>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</si>
  <si>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</si>
  <si>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</si>
  <si>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</si>
  <si>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</si>
  <si>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</si>
  <si>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</si>
  <si>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</si>
  <si>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</si>
  <si>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</si>
  <si>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</si>
  <si>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</si>
  <si>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</si>
  <si>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</si>
  <si>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</si>
  <si>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</si>
  <si>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</si>
  <si>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</si>
  <si>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</si>
  <si>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</si>
  <si>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</si>
  <si>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</si>
  <si>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</si>
  <si>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</si>
  <si>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</si>
  <si>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</si>
  <si>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</si>
  <si>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</si>
  <si>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</si>
  <si>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</si>
  <si>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</si>
  <si>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</si>
  <si>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</si>
  <si>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</si>
  <si>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</si>
  <si>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</si>
  <si>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</si>
  <si>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</si>
  <si>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</si>
  <si>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</si>
  <si>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</si>
  <si>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</si>
  <si>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</si>
  <si>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</si>
  <si>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</si>
  <si>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</si>
  <si>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</si>
  <si>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</si>
  <si>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</si>
  <si>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</si>
  <si>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</si>
  <si>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</si>
  <si>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</si>
  <si>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</si>
  <si>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Pago Eddy presupuesto septico AGE 12.01.24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</si>
  <si>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</si>
  <si>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</si>
  <si>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</si>
  <si>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</si>
  <si>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</si>
  <si>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</si>
  <si>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</si>
  <si>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</si>
  <si>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Honorario Administrador Abril 2023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</si>
  <si>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</si>
  <si>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</si>
  <si>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</si>
  <si>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</si>
  <si>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</si>
  <si>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</si>
  <si>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</si>
  <si>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</si>
  <si>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</si>
  <si>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</si>
  <si>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</si>
  <si>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</si>
  <si>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</si>
  <si>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</si>
  <si>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</si>
  <si>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</si>
  <si>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</si>
  <si>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</si>
  <si>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</si>
  <si>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</si>
  <si>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</si>
  <si>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</si>
  <si>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</si>
  <si>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Periodo de 01/01/2024 hasta 15/04/2024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</si>
  <si>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</si>
  <si>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</si>
  <si>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</si>
  <si>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>Cargo MoneyGram/Deposito Banco-Gasto Personal-A2</t>
  </si>
  <si>
    <t>Cargo Bancario</t>
  </si>
  <si>
    <t>Compra materiales+MDO reparaciones (crismar)</t>
  </si>
  <si>
    <t>Honorario supervisor (administracion)</t>
  </si>
  <si>
    <t>Pago Eddy septico adjuste presupuesto AGE 12.01.24</t>
  </si>
  <si>
    <t>Compra de carretilla y material</t>
  </si>
  <si>
    <t>2do Trimestre</t>
  </si>
  <si>
    <t>Limpieza parqueo principal, caños y bomba de relevaje</t>
  </si>
  <si>
    <t>OK</t>
  </si>
  <si>
    <t>En debito</t>
  </si>
  <si>
    <t>En Credito</t>
  </si>
  <si>
    <t>Pago Limpieza cisterna</t>
  </si>
  <si>
    <t>Recogida basura Abril 2024</t>
  </si>
  <si>
    <t>Adelanto compra material y MDO, area septicos AGE12.01.23</t>
  </si>
  <si>
    <t>Compra de Codo 32x32 y mano de obra, reparaciones</t>
  </si>
  <si>
    <t>CARGO MENSual TD clasica</t>
  </si>
  <si>
    <t>Devolucion Material NCB0400046722 Obra contadores, Decision AGO 13.02.24 orden 7</t>
  </si>
  <si>
    <t>Materiales Desague Pluvial NCB0400046722</t>
  </si>
  <si>
    <t>Honorario Administrador (Ferreteria)</t>
  </si>
  <si>
    <t xml:space="preserve">Recogida  1 camion de Basura </t>
  </si>
  <si>
    <t>En credito</t>
  </si>
  <si>
    <t>Cargo 2% del $10,082.01 (Reglamento Art.33-d)</t>
  </si>
  <si>
    <t>Cargo administrador recordatorio pago 15 dias despues venc.</t>
  </si>
  <si>
    <t>GASTOS PRIVADO - Aparte del Condominio</t>
  </si>
  <si>
    <t xml:space="preserve">Diferencia presupuesto pared cerca y gastos reales de la </t>
  </si>
  <si>
    <t>obra al gasto unico A1-AGE 12.01.24 orden 6</t>
  </si>
  <si>
    <t>TOTAL en debito</t>
  </si>
  <si>
    <t>Luz y fuerza Abril 2024</t>
  </si>
  <si>
    <t>Luz Abril 2024 (112 kwh)</t>
  </si>
  <si>
    <t>INAPA MAYO 2024</t>
  </si>
  <si>
    <t>INAPA Mayo 2024</t>
  </si>
  <si>
    <t>Pago METAYER-JEAN- A2</t>
  </si>
  <si>
    <t>Cargo MoneyGram/Deposito Banco</t>
  </si>
  <si>
    <t>TOTAL en Crédito</t>
  </si>
  <si>
    <t>Manuel Pierre- Adelanto material y MDO obra 2 (voto elec.9.04.24)</t>
  </si>
  <si>
    <t>Nota Importante:
Su estado de cuenta está en manera provisional hasta que se cierran las contabilidades del 2024.
Banco POPULAR
Cuenta Corriente - Sra YUNAIRY ENCARNACION - Cedula 134-0005411-3
Cuenta : 0839787280
Pesos</t>
  </si>
  <si>
    <t>13.05.2024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</si>
</sst>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</numFmts>
  <fonts count="45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10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387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0" fontId="26" fillId="0" borderId="18" xfId="0" applyFont="1" applyBorder="1"/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6" fillId="0" borderId="7" xfId="0" applyFont="1" applyBorder="1"/>
    <xf numFmtId="164" fontId="0" fillId="0" borderId="8" xfId="0" applyNumberFormat="1" applyBorder="1" applyAlignment="1">
      <alignment horizontal="center"/>
    </xf>
    <xf numFmtId="0" fontId="26" fillId="0" borderId="24" xfId="0" applyFont="1" applyBorder="1"/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165" fontId="28" fillId="0" borderId="4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5" fontId="35" fillId="0" borderId="8" xfId="0" applyNumberFormat="1" applyFont="1" applyBorder="1" applyAlignment="1"/>
    <xf numFmtId="49" fontId="34" fillId="0" borderId="20" xfId="0" applyNumberFormat="1" applyFont="1" applyBorder="1"/>
    <xf numFmtId="0" fontId="0" fillId="0" borderId="0" xfId="0" applyNumberFormat="1"/>
    <xf numFmtId="165" fontId="34" fillId="0" borderId="0" xfId="0" applyNumberFormat="1" applyFont="1"/>
    <xf numFmtId="165" fontId="36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7" fontId="0" fillId="0" borderId="20" xfId="0" applyNumberFormat="1" applyFont="1" applyBorder="1" applyAlignment="1">
      <alignment vertical="center" wrapText="1"/>
    </xf>
    <xf numFmtId="165" fontId="34" fillId="0" borderId="4" xfId="0" applyNumberFormat="1" applyFont="1" applyBorder="1" applyAlignment="1">
      <alignment vertical="center"/>
    </xf>
    <xf numFmtId="164" fontId="37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39" fillId="0" borderId="18" xfId="0" applyNumberFormat="1" applyFont="1" applyBorder="1" applyAlignment="1"/>
    <xf numFmtId="167" fontId="40" fillId="0" borderId="7" xfId="0" applyNumberFormat="1" applyFont="1" applyBorder="1" applyAlignment="1"/>
    <xf numFmtId="167" fontId="41" fillId="0" borderId="7" xfId="0" applyNumberFormat="1" applyFont="1" applyBorder="1" applyAlignment="1"/>
    <xf numFmtId="165" fontId="36" fillId="0" borderId="0" xfId="0" applyNumberFormat="1" applyFont="1" applyBorder="1" applyAlignment="1"/>
    <xf numFmtId="165" fontId="36" fillId="0" borderId="8" xfId="0" applyNumberFormat="1" applyFont="1" applyBorder="1" applyAlignment="1">
      <alignment horizontal="right"/>
    </xf>
    <xf numFmtId="43" fontId="34" fillId="0" borderId="0" xfId="2" applyFont="1"/>
    <xf numFmtId="164" fontId="38" fillId="0" borderId="22" xfId="0" applyNumberFormat="1" applyFont="1" applyBorder="1" applyAlignment="1">
      <alignment horizontal="center" vertical="center"/>
    </xf>
    <xf numFmtId="167" fontId="42" fillId="0" borderId="5" xfId="0" applyNumberFormat="1" applyFont="1" applyBorder="1"/>
    <xf numFmtId="164" fontId="42" fillId="0" borderId="5" xfId="0" applyNumberFormat="1" applyFont="1" applyBorder="1" applyAlignment="1">
      <alignment horizontal="center"/>
    </xf>
    <xf numFmtId="166" fontId="42" fillId="0" borderId="5" xfId="0" applyNumberFormat="1" applyFont="1" applyBorder="1"/>
    <xf numFmtId="168" fontId="43" fillId="4" borderId="0" xfId="0" applyNumberFormat="1" applyFont="1" applyFill="1"/>
    <xf numFmtId="164" fontId="0" fillId="9" borderId="5" xfId="0" applyNumberFormat="1" applyFill="1" applyBorder="1" applyAlignment="1">
      <alignment horizontal="center"/>
    </xf>
    <xf numFmtId="166" fontId="0" fillId="0" borderId="0" xfId="0" applyNumberFormat="1" applyBorder="1"/>
    <xf numFmtId="164" fontId="0" fillId="9" borderId="0" xfId="0" applyNumberFormat="1" applyFill="1" applyAlignment="1">
      <alignment horizontal="center"/>
    </xf>
    <xf numFmtId="165" fontId="0" fillId="9" borderId="0" xfId="0" applyNumberFormat="1" applyFill="1"/>
    <xf numFmtId="166" fontId="0" fillId="9" borderId="5" xfId="0" applyNumberFormat="1" applyFill="1" applyBorder="1"/>
    <xf numFmtId="175" fontId="42" fillId="0" borderId="4" xfId="0" applyNumberFormat="1" applyFont="1" applyBorder="1"/>
    <xf numFmtId="0" fontId="44" fillId="0" borderId="0" xfId="0" applyFont="1" applyAlignment="1">
      <alignment wrapText="1"/>
    </xf>
    <xf numFmtId="0" fontId="44" fillId="0" borderId="0" xfId="0" applyFont="1" applyAlignment="1"/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  <xf numFmtId="0" fontId="44" fillId="0" borderId="0" xfId="0" applyFont="1" applyAlignment="1">
      <alignment horizontal="center" wrapText="1"/>
    </xf>
    <xf numFmtId="0" fontId="44" fillId="0" borderId="0" xfId="0" applyFont="1" applyAlignment="1">
      <alignment horizontal="center"/>
    </xf>
    <xf numFmtId="0" fontId="0" fillId="0" borderId="0" xfId="0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7"/>
  <sheetViews>
    <sheetView topLeftCell="A43" zoomScaleNormal="100" workbookViewId="0">
      <selection activeCell="B51" sqref="B51"/>
    </sheetView>
  </sheetViews>
  <sheetFormatPr baseColWidth="10" defaultColWidth="12.6640625" defaultRowHeight="13"/>
  <cols>
    <col min="1" max="1" width="4.5" customWidth="1"/>
    <col min="2" max="2" width="54.332031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>
      <c r="A1" s="382"/>
      <c r="B1" s="382"/>
      <c r="C1" s="382"/>
      <c r="D1" s="382"/>
      <c r="E1" s="382"/>
      <c r="H1" s="382"/>
      <c r="I1" s="382"/>
      <c r="J1" s="382"/>
      <c r="K1" s="382"/>
      <c r="L1" s="382"/>
    </row>
    <row r="3" spans="1:13" ht="18.75" customHeight="1">
      <c r="A3" s="5" t="s">
        <v>0</v>
      </c>
      <c r="B3"/>
      <c r="H3" s="5" t="s">
        <v>0</v>
      </c>
      <c r="I3"/>
    </row>
    <row r="4" spans="1:13">
      <c r="A4" s="1" t="s">
        <v>1</v>
      </c>
      <c r="B4"/>
      <c r="H4" s="1" t="s">
        <v>1</v>
      </c>
      <c r="I4"/>
    </row>
    <row r="6" spans="1:13">
      <c r="B6" s="6"/>
      <c r="F6" s="7" t="s">
        <v>2</v>
      </c>
      <c r="I6" s="6"/>
      <c r="M6" s="7" t="s">
        <v>3</v>
      </c>
    </row>
    <row r="7" spans="1:13" s="8" customFormat="1" ht="17.25" customHeight="1">
      <c r="B7" s="9" t="s">
        <v>4</v>
      </c>
      <c r="C7" s="10"/>
      <c r="D7" s="10"/>
      <c r="E7" s="11"/>
      <c r="F7" s="11"/>
      <c r="I7" s="12" t="s">
        <v>260</v>
      </c>
      <c r="J7" s="13"/>
      <c r="K7" s="13"/>
      <c r="L7" s="14"/>
      <c r="M7" s="14"/>
    </row>
    <row r="9" spans="1:13" ht="15.25" customHeight="1">
      <c r="B9" s="15" t="s">
        <v>5</v>
      </c>
      <c r="C9" s="16" t="s">
        <v>6</v>
      </c>
      <c r="D9" s="16" t="s">
        <v>7</v>
      </c>
      <c r="E9" s="17" t="s">
        <v>8</v>
      </c>
      <c r="F9" s="17" t="s">
        <v>9</v>
      </c>
      <c r="I9" s="15" t="s">
        <v>5</v>
      </c>
      <c r="J9" s="16" t="s">
        <v>6</v>
      </c>
      <c r="K9" s="16" t="s">
        <v>7</v>
      </c>
      <c r="L9" s="17" t="s">
        <v>8</v>
      </c>
      <c r="M9" s="17" t="s">
        <v>9</v>
      </c>
    </row>
    <row r="10" spans="1:13" ht="15.25" customHeight="1">
      <c r="B10" s="18" t="s">
        <v>10</v>
      </c>
      <c r="C10" s="19">
        <v>45292</v>
      </c>
      <c r="D10" s="19" t="s">
        <v>11</v>
      </c>
      <c r="E10" s="20"/>
      <c r="F10" s="20">
        <v>38550.46</v>
      </c>
      <c r="I10" s="18" t="s">
        <v>10</v>
      </c>
      <c r="J10" s="21">
        <v>45292</v>
      </c>
      <c r="K10" s="21" t="s">
        <v>12</v>
      </c>
      <c r="L10" s="22"/>
      <c r="M10" s="22">
        <v>284157.42</v>
      </c>
    </row>
    <row r="11" spans="1:13" ht="15.25" customHeight="1">
      <c r="B11" s="23" t="s">
        <v>13</v>
      </c>
      <c r="C11" s="21">
        <v>45293</v>
      </c>
      <c r="D11" s="21" t="s">
        <v>11</v>
      </c>
      <c r="E11" s="22">
        <v>-15000</v>
      </c>
      <c r="F11" s="22"/>
      <c r="I11" s="18" t="s">
        <v>14</v>
      </c>
      <c r="J11" s="21">
        <v>45296</v>
      </c>
      <c r="K11" s="21" t="s">
        <v>12</v>
      </c>
      <c r="L11" s="22">
        <v>-523.82000000000005</v>
      </c>
      <c r="M11" s="22"/>
    </row>
    <row r="12" spans="1:13" ht="15.25" customHeight="1">
      <c r="B12" s="18" t="s">
        <v>15</v>
      </c>
      <c r="C12" s="21">
        <v>45303</v>
      </c>
      <c r="D12" s="21" t="s">
        <v>11</v>
      </c>
      <c r="E12" s="22">
        <v>-3600</v>
      </c>
      <c r="F12" s="22"/>
      <c r="I12" s="18" t="s">
        <v>16</v>
      </c>
      <c r="J12" s="21">
        <v>45296</v>
      </c>
      <c r="K12" s="21" t="s">
        <v>12</v>
      </c>
      <c r="L12" s="22">
        <v>-1500</v>
      </c>
      <c r="M12" s="24"/>
    </row>
    <row r="13" spans="1:13" ht="15.25" customHeight="1">
      <c r="B13" s="18" t="s">
        <v>17</v>
      </c>
      <c r="C13" s="21">
        <v>45303</v>
      </c>
      <c r="D13" s="21" t="s">
        <v>11</v>
      </c>
      <c r="E13" s="22">
        <v>-100</v>
      </c>
      <c r="F13" s="22"/>
      <c r="I13" s="23" t="s">
        <v>18</v>
      </c>
      <c r="J13" s="21">
        <v>45296</v>
      </c>
      <c r="K13" s="21" t="s">
        <v>12</v>
      </c>
      <c r="L13" s="22">
        <v>-2.25</v>
      </c>
      <c r="M13" s="24"/>
    </row>
    <row r="14" spans="1:13" ht="15.25" customHeight="1">
      <c r="B14" s="18" t="s">
        <v>19</v>
      </c>
      <c r="C14" s="25">
        <v>45310</v>
      </c>
      <c r="D14" s="21" t="s">
        <v>11</v>
      </c>
      <c r="E14" s="22">
        <v>-200</v>
      </c>
      <c r="F14" s="26"/>
      <c r="I14" s="18" t="s">
        <v>20</v>
      </c>
      <c r="J14" s="21">
        <v>45302</v>
      </c>
      <c r="K14" s="21" t="s">
        <v>12</v>
      </c>
      <c r="L14" s="22">
        <v>-2140</v>
      </c>
      <c r="M14" s="22"/>
    </row>
    <row r="15" spans="1:13" ht="15.25" customHeight="1">
      <c r="B15" s="23" t="s">
        <v>21</v>
      </c>
      <c r="C15" s="21">
        <v>45322</v>
      </c>
      <c r="D15" s="21" t="s">
        <v>11</v>
      </c>
      <c r="E15" s="22">
        <v>-1000</v>
      </c>
      <c r="F15" s="22"/>
      <c r="I15" s="23" t="s">
        <v>18</v>
      </c>
      <c r="J15" s="21">
        <v>45302</v>
      </c>
      <c r="K15" s="21" t="s">
        <v>12</v>
      </c>
      <c r="L15" s="22">
        <v>-3.21</v>
      </c>
      <c r="M15" s="22"/>
    </row>
    <row r="16" spans="1:13" ht="15.25" customHeight="1">
      <c r="B16" s="18" t="s">
        <v>22</v>
      </c>
      <c r="C16" s="25">
        <v>45323</v>
      </c>
      <c r="D16" s="21" t="s">
        <v>11</v>
      </c>
      <c r="E16" s="22">
        <v>-15000</v>
      </c>
      <c r="F16" s="26"/>
      <c r="I16" s="18" t="s">
        <v>23</v>
      </c>
      <c r="J16" s="21">
        <v>45310</v>
      </c>
      <c r="K16" s="21" t="s">
        <v>12</v>
      </c>
      <c r="L16" s="22">
        <v>-6538.23</v>
      </c>
      <c r="M16" s="22"/>
    </row>
    <row r="17" spans="2:13" ht="15.25" customHeight="1">
      <c r="B17" s="23" t="s">
        <v>24</v>
      </c>
      <c r="C17" s="25">
        <v>45330</v>
      </c>
      <c r="D17" s="21" t="s">
        <v>11</v>
      </c>
      <c r="E17" s="22">
        <v>-4000</v>
      </c>
      <c r="F17" s="26"/>
      <c r="I17" s="23" t="s">
        <v>18</v>
      </c>
      <c r="J17" s="21">
        <v>45310</v>
      </c>
      <c r="K17" s="21" t="s">
        <v>12</v>
      </c>
      <c r="L17" s="22">
        <v>-9.81</v>
      </c>
      <c r="M17" s="22"/>
    </row>
    <row r="18" spans="2:13" ht="15.25" customHeight="1">
      <c r="B18" s="18" t="s">
        <v>25</v>
      </c>
      <c r="C18" s="21">
        <v>45331</v>
      </c>
      <c r="D18" s="21" t="s">
        <v>11</v>
      </c>
      <c r="E18" s="22">
        <v>-2500</v>
      </c>
      <c r="F18" s="22"/>
      <c r="I18" s="18" t="s">
        <v>26</v>
      </c>
      <c r="J18" s="21">
        <v>45322</v>
      </c>
      <c r="K18" s="21" t="s">
        <v>12</v>
      </c>
      <c r="L18" s="22"/>
      <c r="M18" s="22">
        <v>60.02</v>
      </c>
    </row>
    <row r="19" spans="2:13" ht="15.25" customHeight="1">
      <c r="B19" s="23" t="s">
        <v>27</v>
      </c>
      <c r="C19" s="21">
        <v>45331</v>
      </c>
      <c r="D19" s="21" t="s">
        <v>11</v>
      </c>
      <c r="E19" s="22">
        <v>-72.56</v>
      </c>
      <c r="F19" s="22"/>
      <c r="I19" s="23" t="s">
        <v>28</v>
      </c>
      <c r="J19" s="21">
        <v>45322</v>
      </c>
      <c r="K19" s="21" t="s">
        <v>12</v>
      </c>
      <c r="L19" s="22">
        <v>-6</v>
      </c>
      <c r="M19" s="22"/>
    </row>
    <row r="20" spans="2:13" ht="15.25" customHeight="1">
      <c r="B20" s="18" t="s">
        <v>29</v>
      </c>
      <c r="C20" s="21">
        <v>45334</v>
      </c>
      <c r="D20" s="21" t="s">
        <v>11</v>
      </c>
      <c r="E20" s="22"/>
      <c r="F20" s="22">
        <v>20000</v>
      </c>
      <c r="I20" s="23" t="s">
        <v>30</v>
      </c>
      <c r="J20" s="21">
        <v>45331</v>
      </c>
      <c r="K20" s="21" t="s">
        <v>12</v>
      </c>
      <c r="L20" s="22"/>
      <c r="M20" s="22">
        <v>47793.46</v>
      </c>
    </row>
    <row r="21" spans="2:13" ht="15.25" customHeight="1">
      <c r="B21" s="23" t="s">
        <v>31</v>
      </c>
      <c r="C21" s="21">
        <v>45336</v>
      </c>
      <c r="D21" s="21" t="s">
        <v>11</v>
      </c>
      <c r="E21" s="22"/>
      <c r="F21" s="22">
        <v>15000</v>
      </c>
      <c r="I21" s="23" t="s">
        <v>32</v>
      </c>
      <c r="J21" s="21">
        <v>45331</v>
      </c>
      <c r="K21" s="21" t="s">
        <v>12</v>
      </c>
      <c r="L21" s="22">
        <v>-710.7</v>
      </c>
      <c r="M21" s="22"/>
    </row>
    <row r="22" spans="2:13" ht="15.25" customHeight="1">
      <c r="B22" s="23" t="s">
        <v>33</v>
      </c>
      <c r="C22" s="21">
        <v>45337</v>
      </c>
      <c r="D22" s="21" t="s">
        <v>11</v>
      </c>
      <c r="E22" s="22">
        <v>-14000</v>
      </c>
      <c r="F22" s="22"/>
      <c r="I22" s="23" t="s">
        <v>34</v>
      </c>
      <c r="J22" s="21">
        <v>45334</v>
      </c>
      <c r="K22" s="21" t="s">
        <v>12</v>
      </c>
      <c r="L22" s="22">
        <v>-20000</v>
      </c>
      <c r="M22" s="22"/>
    </row>
    <row r="23" spans="2:13" ht="15.25" customHeight="1">
      <c r="B23" s="18" t="s">
        <v>35</v>
      </c>
      <c r="C23" s="21">
        <v>45342</v>
      </c>
      <c r="D23" s="21" t="s">
        <v>11</v>
      </c>
      <c r="E23" s="22"/>
      <c r="F23" s="22">
        <v>12230</v>
      </c>
      <c r="I23" s="23" t="s">
        <v>36</v>
      </c>
      <c r="J23" s="21">
        <v>45335</v>
      </c>
      <c r="K23" s="21" t="s">
        <v>12</v>
      </c>
      <c r="L23" s="22"/>
      <c r="M23" s="22">
        <v>24134</v>
      </c>
    </row>
    <row r="24" spans="2:13" ht="15.25" customHeight="1">
      <c r="B24" s="23" t="s">
        <v>37</v>
      </c>
      <c r="C24" s="21">
        <v>45342</v>
      </c>
      <c r="D24" s="21" t="s">
        <v>11</v>
      </c>
      <c r="E24" s="22">
        <v>-200</v>
      </c>
      <c r="F24" s="22"/>
      <c r="I24" s="23" t="s">
        <v>38</v>
      </c>
      <c r="J24" s="21">
        <v>45334</v>
      </c>
      <c r="K24" s="21" t="s">
        <v>12</v>
      </c>
      <c r="L24" s="22"/>
      <c r="M24" s="22">
        <v>24787</v>
      </c>
    </row>
    <row r="25" spans="2:13" ht="15.25" customHeight="1">
      <c r="B25" s="23" t="s">
        <v>39</v>
      </c>
      <c r="C25" s="21">
        <v>45342</v>
      </c>
      <c r="D25" s="21" t="s">
        <v>11</v>
      </c>
      <c r="E25" s="22">
        <v>-1000</v>
      </c>
      <c r="F25" s="22"/>
      <c r="I25" s="18" t="s">
        <v>40</v>
      </c>
      <c r="J25" s="21">
        <v>45338</v>
      </c>
      <c r="K25" s="21" t="s">
        <v>12</v>
      </c>
      <c r="L25" s="22"/>
      <c r="M25" s="22">
        <v>44170.7</v>
      </c>
    </row>
    <row r="26" spans="2:13" ht="15.25" customHeight="1">
      <c r="B26" s="23" t="s">
        <v>41</v>
      </c>
      <c r="C26" s="21">
        <v>45343</v>
      </c>
      <c r="D26" s="21" t="s">
        <v>11</v>
      </c>
      <c r="E26" s="22">
        <v>-221.59</v>
      </c>
      <c r="F26" s="22"/>
      <c r="I26" s="23" t="s">
        <v>42</v>
      </c>
      <c r="J26" s="21">
        <v>45339</v>
      </c>
      <c r="K26" s="21" t="s">
        <v>12</v>
      </c>
      <c r="L26" s="22"/>
      <c r="M26" s="22">
        <v>35005.599999999999</v>
      </c>
    </row>
    <row r="27" spans="2:13" ht="15.25" customHeight="1">
      <c r="B27" s="23" t="s">
        <v>308</v>
      </c>
      <c r="C27" s="21">
        <v>45348</v>
      </c>
      <c r="D27" s="21" t="s">
        <v>11</v>
      </c>
      <c r="E27" s="22"/>
      <c r="F27" s="22">
        <v>36150.69</v>
      </c>
      <c r="I27" s="23"/>
      <c r="J27" s="21"/>
      <c r="K27" s="21"/>
      <c r="L27" s="22"/>
      <c r="M27" s="22"/>
    </row>
    <row r="28" spans="2:13" ht="15.25" customHeight="1">
      <c r="B28" s="18" t="s">
        <v>43</v>
      </c>
      <c r="C28" s="21">
        <v>45351</v>
      </c>
      <c r="D28" s="21" t="s">
        <v>11</v>
      </c>
      <c r="E28" s="22">
        <v>-1000</v>
      </c>
      <c r="F28" s="22"/>
      <c r="I28" s="18" t="s">
        <v>44</v>
      </c>
      <c r="J28" s="21">
        <v>45342</v>
      </c>
      <c r="K28" s="21" t="s">
        <v>12</v>
      </c>
      <c r="L28" s="22"/>
      <c r="M28" s="22">
        <v>38625</v>
      </c>
    </row>
    <row r="29" spans="2:13" ht="15.25" customHeight="1">
      <c r="B29" s="18" t="s">
        <v>45</v>
      </c>
      <c r="C29" s="25">
        <v>45352</v>
      </c>
      <c r="D29" s="21" t="s">
        <v>11</v>
      </c>
      <c r="E29" s="22">
        <v>-15000</v>
      </c>
      <c r="F29" s="22"/>
      <c r="I29" s="23" t="s">
        <v>46</v>
      </c>
      <c r="J29" s="21">
        <v>45343</v>
      </c>
      <c r="K29" s="21" t="s">
        <v>12</v>
      </c>
      <c r="L29" s="22"/>
      <c r="M29" s="22">
        <v>32025.439999999999</v>
      </c>
    </row>
    <row r="30" spans="2:13" ht="15.25" customHeight="1">
      <c r="B30" s="23" t="s">
        <v>36</v>
      </c>
      <c r="C30" s="21">
        <v>45358</v>
      </c>
      <c r="D30" s="21" t="s">
        <v>11</v>
      </c>
      <c r="E30" s="22"/>
      <c r="F30" s="22">
        <v>17600</v>
      </c>
      <c r="I30" s="23" t="s">
        <v>47</v>
      </c>
      <c r="J30" s="21">
        <v>45343</v>
      </c>
      <c r="K30" s="21" t="s">
        <v>12</v>
      </c>
      <c r="L30" s="22">
        <v>-126944.4</v>
      </c>
      <c r="M30" s="22"/>
    </row>
    <row r="31" spans="2:13" ht="15.25" customHeight="1">
      <c r="B31" s="23" t="s">
        <v>31</v>
      </c>
      <c r="C31" s="21">
        <v>45358</v>
      </c>
      <c r="D31" s="21" t="s">
        <v>11</v>
      </c>
      <c r="E31" s="22"/>
      <c r="F31" s="22">
        <v>8900</v>
      </c>
      <c r="I31" s="23" t="s">
        <v>18</v>
      </c>
      <c r="J31" s="21">
        <v>45343</v>
      </c>
      <c r="K31" s="21" t="s">
        <v>12</v>
      </c>
      <c r="L31" s="22">
        <v>-190.42</v>
      </c>
      <c r="M31" s="22"/>
    </row>
    <row r="32" spans="2:13" ht="15.25" customHeight="1">
      <c r="B32" s="23" t="s">
        <v>35</v>
      </c>
      <c r="C32" s="21">
        <v>45359</v>
      </c>
      <c r="D32" s="21" t="s">
        <v>11</v>
      </c>
      <c r="E32" s="22"/>
      <c r="F32" s="22">
        <v>6015</v>
      </c>
      <c r="I32" s="23" t="s">
        <v>48</v>
      </c>
      <c r="J32" s="21">
        <v>45343</v>
      </c>
      <c r="K32" s="21" t="s">
        <v>12</v>
      </c>
      <c r="L32" s="22">
        <v>-82584</v>
      </c>
      <c r="M32" s="22"/>
    </row>
    <row r="33" spans="2:13" ht="15.25" customHeight="1">
      <c r="B33" s="1" t="s">
        <v>309</v>
      </c>
      <c r="C33" s="21">
        <v>45364</v>
      </c>
      <c r="D33" s="21" t="s">
        <v>11</v>
      </c>
      <c r="E33" s="22">
        <v>-21368.35</v>
      </c>
      <c r="F33" s="22"/>
      <c r="I33" s="23"/>
      <c r="J33" s="21"/>
      <c r="K33" s="21"/>
      <c r="L33" s="22"/>
      <c r="M33" s="22"/>
    </row>
    <row r="34" spans="2:13" ht="15.25" customHeight="1">
      <c r="B34" s="23" t="s">
        <v>253</v>
      </c>
      <c r="C34" s="21">
        <v>45371</v>
      </c>
      <c r="D34" s="21" t="s">
        <v>11</v>
      </c>
      <c r="E34" s="22">
        <v>-2500</v>
      </c>
      <c r="F34" s="22"/>
      <c r="I34" s="23"/>
      <c r="J34" s="21"/>
      <c r="K34" s="21"/>
      <c r="L34" s="22"/>
      <c r="M34" s="22"/>
    </row>
    <row r="35" spans="2:13" ht="15.25" customHeight="1">
      <c r="B35" s="23" t="s">
        <v>254</v>
      </c>
      <c r="C35" s="21">
        <v>45371</v>
      </c>
      <c r="D35" s="21" t="s">
        <v>11</v>
      </c>
      <c r="E35" s="22">
        <v>-500</v>
      </c>
      <c r="F35" s="22"/>
      <c r="I35" s="23"/>
      <c r="J35" s="21"/>
      <c r="K35" s="21"/>
      <c r="L35" s="22"/>
      <c r="M35" s="22"/>
    </row>
    <row r="36" spans="2:13" ht="15.25" customHeight="1">
      <c r="B36" s="1" t="s">
        <v>309</v>
      </c>
      <c r="C36" s="21">
        <v>45371</v>
      </c>
      <c r="D36" s="21" t="s">
        <v>11</v>
      </c>
      <c r="E36" s="22">
        <v>-1351.01</v>
      </c>
      <c r="F36" s="22"/>
      <c r="I36" s="23"/>
      <c r="J36" s="21"/>
      <c r="K36" s="21"/>
      <c r="L36" s="22"/>
      <c r="M36" s="22"/>
    </row>
    <row r="37" spans="2:13" ht="15.25" customHeight="1">
      <c r="B37" s="23" t="s">
        <v>49</v>
      </c>
      <c r="C37" s="21">
        <v>45373</v>
      </c>
      <c r="D37" s="21" t="s">
        <v>11</v>
      </c>
      <c r="E37" s="22">
        <v>-1000</v>
      </c>
      <c r="F37" s="22"/>
      <c r="I37" s="23" t="s">
        <v>18</v>
      </c>
      <c r="J37" s="21">
        <v>45343</v>
      </c>
      <c r="K37" s="21" t="s">
        <v>12</v>
      </c>
      <c r="L37" s="22">
        <v>-123.88</v>
      </c>
      <c r="M37" s="22"/>
    </row>
    <row r="38" spans="2:13" ht="15.25" customHeight="1">
      <c r="B38" s="1" t="s">
        <v>309</v>
      </c>
      <c r="C38" s="52">
        <v>45373</v>
      </c>
      <c r="D38" s="21" t="s">
        <v>11</v>
      </c>
      <c r="E38" s="22">
        <v>-219.64</v>
      </c>
      <c r="F38" s="22"/>
      <c r="I38" s="23"/>
      <c r="J38" s="21"/>
      <c r="K38" s="21"/>
      <c r="L38" s="22"/>
      <c r="M38" s="22"/>
    </row>
    <row r="39" spans="2:13" ht="15.25" customHeight="1">
      <c r="B39" s="1" t="s">
        <v>309</v>
      </c>
      <c r="C39" s="52">
        <v>45374</v>
      </c>
      <c r="D39" s="21" t="s">
        <v>11</v>
      </c>
      <c r="E39" s="22">
        <v>-399.02</v>
      </c>
      <c r="F39" s="22"/>
      <c r="I39" s="23"/>
      <c r="J39" s="21"/>
      <c r="K39" s="21"/>
      <c r="L39" s="22"/>
      <c r="M39" s="22"/>
    </row>
    <row r="40" spans="2:13" ht="15.25" customHeight="1">
      <c r="B40" s="1" t="s">
        <v>296</v>
      </c>
      <c r="C40" s="2">
        <v>45376</v>
      </c>
      <c r="D40" s="21" t="s">
        <v>11</v>
      </c>
      <c r="E40" s="22">
        <v>-14000</v>
      </c>
      <c r="F40" s="22"/>
      <c r="I40" s="18" t="s">
        <v>26</v>
      </c>
      <c r="J40" s="21">
        <v>45351</v>
      </c>
      <c r="K40" s="21" t="s">
        <v>12</v>
      </c>
      <c r="L40" s="22"/>
      <c r="M40" s="22">
        <v>63.95</v>
      </c>
    </row>
    <row r="41" spans="2:13" ht="15.25" customHeight="1">
      <c r="B41" s="1" t="s">
        <v>309</v>
      </c>
      <c r="C41" s="2">
        <v>45376</v>
      </c>
      <c r="D41" s="21" t="s">
        <v>11</v>
      </c>
      <c r="E41" s="22">
        <v>-1543.05</v>
      </c>
      <c r="F41" s="22"/>
      <c r="I41" s="18"/>
      <c r="J41" s="21"/>
      <c r="K41" s="21"/>
      <c r="L41" s="22"/>
      <c r="M41" s="22"/>
    </row>
    <row r="42" spans="2:13" ht="15.25" customHeight="1">
      <c r="B42" s="23" t="s">
        <v>256</v>
      </c>
      <c r="C42" s="21">
        <v>45377</v>
      </c>
      <c r="D42" s="21" t="s">
        <v>11</v>
      </c>
      <c r="E42" s="22">
        <v>-2500</v>
      </c>
      <c r="F42" s="22"/>
      <c r="I42" s="23" t="s">
        <v>28</v>
      </c>
      <c r="J42" s="21">
        <v>45351</v>
      </c>
      <c r="K42" s="21" t="s">
        <v>12</v>
      </c>
      <c r="L42" s="22">
        <v>-6.4</v>
      </c>
      <c r="M42" s="22"/>
    </row>
    <row r="43" spans="2:13" ht="15.25" customHeight="1">
      <c r="B43" s="23" t="s">
        <v>257</v>
      </c>
      <c r="C43" s="21">
        <v>45377</v>
      </c>
      <c r="D43" s="21" t="s">
        <v>11</v>
      </c>
      <c r="E43" s="22">
        <v>-3000</v>
      </c>
      <c r="F43" s="22"/>
      <c r="I43" s="23" t="s">
        <v>38</v>
      </c>
      <c r="J43" s="21">
        <v>45358</v>
      </c>
      <c r="K43" s="21" t="s">
        <v>12</v>
      </c>
      <c r="L43" s="22"/>
      <c r="M43" s="22">
        <v>18230.03</v>
      </c>
    </row>
    <row r="44" spans="2:13" ht="15.25" customHeight="1">
      <c r="B44" s="1" t="s">
        <v>309</v>
      </c>
      <c r="C44" s="52">
        <v>45378</v>
      </c>
      <c r="D44" s="21" t="s">
        <v>11</v>
      </c>
      <c r="E44" s="375">
        <v>-702.99</v>
      </c>
      <c r="F44" s="22"/>
      <c r="I44" s="23"/>
      <c r="J44" s="21"/>
      <c r="K44" s="21"/>
      <c r="L44" s="22"/>
      <c r="M44" s="22"/>
    </row>
    <row r="45" spans="2:13" ht="15.25" customHeight="1">
      <c r="B45" s="1" t="s">
        <v>267</v>
      </c>
      <c r="C45" s="2">
        <v>45385</v>
      </c>
      <c r="D45" s="21" t="s">
        <v>11</v>
      </c>
      <c r="E45" s="94">
        <v>-314.11</v>
      </c>
      <c r="F45" s="22"/>
      <c r="I45" s="23" t="s">
        <v>50</v>
      </c>
      <c r="J45" s="21">
        <v>45359</v>
      </c>
      <c r="K45" s="21" t="s">
        <v>12</v>
      </c>
      <c r="L45" s="22">
        <v>-912.52</v>
      </c>
      <c r="M45" s="22"/>
    </row>
    <row r="46" spans="2:13" ht="15.25" customHeight="1">
      <c r="B46" s="1" t="s">
        <v>268</v>
      </c>
      <c r="C46" s="2">
        <v>45385</v>
      </c>
      <c r="D46" s="21" t="s">
        <v>11</v>
      </c>
      <c r="E46" s="94">
        <v>-15000</v>
      </c>
      <c r="F46" s="22"/>
      <c r="I46" s="23" t="s">
        <v>51</v>
      </c>
      <c r="J46" s="21">
        <v>45359</v>
      </c>
      <c r="K46" s="21" t="s">
        <v>12</v>
      </c>
      <c r="L46" s="22">
        <v>-3600</v>
      </c>
      <c r="M46" s="22"/>
    </row>
    <row r="47" spans="2:13" ht="15.25" customHeight="1">
      <c r="B47" s="1" t="s">
        <v>309</v>
      </c>
      <c r="C47" s="2">
        <v>45394</v>
      </c>
      <c r="D47" s="52" t="s">
        <v>11</v>
      </c>
      <c r="E47" s="94">
        <v>-15071.96</v>
      </c>
      <c r="F47" s="375"/>
      <c r="I47" s="23"/>
      <c r="J47" s="21"/>
      <c r="K47" s="21"/>
      <c r="L47" s="22"/>
      <c r="M47" s="22"/>
    </row>
    <row r="48" spans="2:13" ht="15.25" customHeight="1">
      <c r="B48" s="1" t="s">
        <v>310</v>
      </c>
      <c r="C48" s="376">
        <v>45396</v>
      </c>
      <c r="D48" s="376"/>
      <c r="E48" s="377">
        <v>-2500</v>
      </c>
      <c r="I48" s="23" t="s">
        <v>18</v>
      </c>
      <c r="J48" s="21">
        <v>45359</v>
      </c>
      <c r="K48" s="21" t="s">
        <v>12</v>
      </c>
      <c r="L48" s="22">
        <v>-5.4</v>
      </c>
      <c r="M48" s="22"/>
    </row>
    <row r="49" spans="2:13" ht="30">
      <c r="B49" s="23" t="s">
        <v>31</v>
      </c>
      <c r="C49" s="374">
        <v>45404</v>
      </c>
      <c r="D49" s="374" t="s">
        <v>11</v>
      </c>
      <c r="E49" s="22"/>
      <c r="F49" s="22">
        <v>18600</v>
      </c>
      <c r="I49" s="27" t="s">
        <v>52</v>
      </c>
      <c r="J49" s="21">
        <v>45363</v>
      </c>
      <c r="K49" s="21" t="s">
        <v>12</v>
      </c>
      <c r="L49" s="22">
        <v>-13261</v>
      </c>
      <c r="M49" s="22"/>
    </row>
    <row r="50" spans="2:13" ht="15.25" customHeight="1">
      <c r="B50" s="23" t="s">
        <v>311</v>
      </c>
      <c r="C50" s="21">
        <v>45404</v>
      </c>
      <c r="D50" s="21" t="s">
        <v>11</v>
      </c>
      <c r="E50" s="378">
        <v>-1500</v>
      </c>
      <c r="F50" s="22"/>
      <c r="I50" s="23" t="s">
        <v>18</v>
      </c>
      <c r="J50" s="21">
        <v>45363</v>
      </c>
      <c r="K50" s="21" t="s">
        <v>12</v>
      </c>
      <c r="L50" s="22">
        <v>-19.89</v>
      </c>
      <c r="M50" s="22"/>
    </row>
    <row r="51" spans="2:13" ht="15.25" customHeight="1">
      <c r="B51" s="23" t="s">
        <v>299</v>
      </c>
      <c r="C51" s="21">
        <v>45404</v>
      </c>
      <c r="D51" s="21" t="s">
        <v>11</v>
      </c>
      <c r="E51" s="378">
        <v>-2500</v>
      </c>
      <c r="F51" s="22"/>
      <c r="I51" s="23" t="s">
        <v>53</v>
      </c>
      <c r="J51" s="21">
        <v>45367</v>
      </c>
      <c r="K51" s="21" t="s">
        <v>12</v>
      </c>
      <c r="L51" s="22">
        <v>-42314.8</v>
      </c>
      <c r="M51" s="22"/>
    </row>
    <row r="52" spans="2:13" ht="15.25" customHeight="1">
      <c r="B52" s="23" t="s">
        <v>297</v>
      </c>
      <c r="C52" s="21">
        <v>45404</v>
      </c>
      <c r="D52" s="21" t="s">
        <v>11</v>
      </c>
      <c r="E52" s="378">
        <v>-7962.95</v>
      </c>
      <c r="F52" s="22"/>
      <c r="I52" s="23" t="s">
        <v>18</v>
      </c>
      <c r="J52" s="21">
        <v>45367</v>
      </c>
      <c r="K52" s="21" t="s">
        <v>12</v>
      </c>
      <c r="L52" s="22">
        <v>-63.47</v>
      </c>
      <c r="M52" s="22"/>
    </row>
    <row r="53" spans="2:13" ht="15.25" customHeight="1">
      <c r="B53" s="271" t="s">
        <v>323</v>
      </c>
      <c r="C53" s="21">
        <v>45408</v>
      </c>
      <c r="D53" s="21" t="s">
        <v>11</v>
      </c>
      <c r="E53" s="378"/>
      <c r="F53" s="22">
        <v>22556.560000000001</v>
      </c>
      <c r="I53" s="23"/>
      <c r="J53" s="21"/>
      <c r="K53" s="21"/>
      <c r="L53" s="22"/>
      <c r="M53" s="22"/>
    </row>
    <row r="54" spans="2:13" ht="15.25" customHeight="1">
      <c r="B54" s="23" t="s">
        <v>39</v>
      </c>
      <c r="C54" s="21">
        <v>45408</v>
      </c>
      <c r="D54" s="21" t="s">
        <v>11</v>
      </c>
      <c r="E54" s="378">
        <v>-1000</v>
      </c>
      <c r="F54" s="22"/>
      <c r="I54" s="23"/>
      <c r="J54" s="21"/>
      <c r="K54" s="21"/>
      <c r="L54" s="22"/>
      <c r="M54" s="22"/>
    </row>
    <row r="55" spans="2:13" ht="15.25" customHeight="1">
      <c r="B55" s="23" t="s">
        <v>36</v>
      </c>
      <c r="C55" s="21">
        <v>45412</v>
      </c>
      <c r="D55" s="21" t="s">
        <v>11</v>
      </c>
      <c r="E55" s="22"/>
      <c r="F55" s="22">
        <v>33000</v>
      </c>
      <c r="I55" s="23" t="s">
        <v>54</v>
      </c>
      <c r="J55" s="21">
        <v>45367</v>
      </c>
      <c r="K55" s="21" t="s">
        <v>12</v>
      </c>
      <c r="L55" s="22">
        <v>-27528</v>
      </c>
      <c r="M55" s="22"/>
    </row>
    <row r="56" spans="2:13" ht="15.25" customHeight="1">
      <c r="B56" s="23" t="s">
        <v>303</v>
      </c>
      <c r="C56" s="21">
        <v>45412</v>
      </c>
      <c r="D56" s="21" t="s">
        <v>11</v>
      </c>
      <c r="E56" s="378">
        <v>-3000</v>
      </c>
      <c r="F56" s="22"/>
      <c r="I56" s="23" t="s">
        <v>18</v>
      </c>
      <c r="J56" s="21">
        <v>45367</v>
      </c>
      <c r="K56" s="21" t="s">
        <v>12</v>
      </c>
      <c r="L56" s="22">
        <v>-41.29</v>
      </c>
      <c r="M56" s="22"/>
    </row>
    <row r="57" spans="2:13" ht="15.25" customHeight="1">
      <c r="B57" s="23" t="s">
        <v>304</v>
      </c>
      <c r="C57" s="21">
        <v>45412</v>
      </c>
      <c r="D57" s="21" t="s">
        <v>11</v>
      </c>
      <c r="E57" s="378">
        <v>-1000</v>
      </c>
      <c r="F57" s="22"/>
      <c r="I57" s="23" t="s">
        <v>55</v>
      </c>
      <c r="J57" s="21">
        <v>45367</v>
      </c>
      <c r="K57" s="21" t="s">
        <v>12</v>
      </c>
      <c r="L57" s="22">
        <v>-3600</v>
      </c>
      <c r="M57" s="22"/>
    </row>
    <row r="58" spans="2:13" ht="15.25" customHeight="1">
      <c r="B58" s="23" t="s">
        <v>305</v>
      </c>
      <c r="C58" s="21">
        <v>45412</v>
      </c>
      <c r="D58" s="21" t="s">
        <v>11</v>
      </c>
      <c r="E58" s="378">
        <v>-27528</v>
      </c>
      <c r="F58" s="22"/>
      <c r="I58" s="23" t="s">
        <v>18</v>
      </c>
      <c r="J58" s="21">
        <v>45367</v>
      </c>
      <c r="K58" s="21" t="s">
        <v>12</v>
      </c>
      <c r="L58" s="22">
        <v>-5.4</v>
      </c>
      <c r="M58" s="22"/>
    </row>
    <row r="59" spans="2:13" ht="30">
      <c r="B59" s="23" t="s">
        <v>306</v>
      </c>
      <c r="C59" s="21">
        <v>45413</v>
      </c>
      <c r="D59" s="21" t="s">
        <v>11</v>
      </c>
      <c r="E59" s="378">
        <v>-1772</v>
      </c>
      <c r="F59" s="22"/>
      <c r="I59" s="27" t="s">
        <v>258</v>
      </c>
      <c r="J59" s="21">
        <v>45372</v>
      </c>
      <c r="K59" s="21" t="s">
        <v>12</v>
      </c>
      <c r="L59" s="22">
        <v>-7000</v>
      </c>
      <c r="M59" s="22"/>
    </row>
    <row r="60" spans="2:13" ht="15.25" customHeight="1">
      <c r="B60" s="23" t="s">
        <v>31</v>
      </c>
      <c r="C60" s="21">
        <v>45414</v>
      </c>
      <c r="D60" s="21" t="s">
        <v>11</v>
      </c>
      <c r="E60" s="22"/>
      <c r="F60" s="22">
        <v>2000</v>
      </c>
      <c r="I60" s="23" t="s">
        <v>18</v>
      </c>
      <c r="J60" s="21">
        <v>45372</v>
      </c>
      <c r="K60" s="21" t="s">
        <v>12</v>
      </c>
      <c r="L60" s="22">
        <v>-10.5</v>
      </c>
      <c r="M60" s="22"/>
    </row>
    <row r="61" spans="2:13" ht="15.25" hidden="1" customHeight="1">
      <c r="B61" s="23"/>
      <c r="C61" s="21"/>
      <c r="D61" s="21"/>
      <c r="E61" s="22"/>
      <c r="F61" s="22"/>
      <c r="I61" s="23"/>
      <c r="J61" s="21"/>
      <c r="K61" s="21"/>
      <c r="L61" s="22"/>
      <c r="M61" s="22"/>
    </row>
    <row r="62" spans="2:13" ht="15.25" hidden="1" customHeight="1">
      <c r="B62" s="23"/>
      <c r="C62" s="21"/>
      <c r="D62" s="21"/>
      <c r="E62" s="22"/>
      <c r="F62" s="22"/>
      <c r="I62" s="23"/>
      <c r="J62" s="21"/>
      <c r="K62" s="21"/>
      <c r="L62" s="22"/>
      <c r="M62" s="22"/>
    </row>
    <row r="63" spans="2:13" ht="15.25" hidden="1" customHeight="1">
      <c r="B63" s="23"/>
      <c r="C63" s="21"/>
      <c r="D63" s="21"/>
      <c r="E63" s="22"/>
      <c r="F63" s="22"/>
      <c r="I63" s="23"/>
      <c r="J63" s="21"/>
      <c r="K63" s="21"/>
      <c r="L63" s="22"/>
      <c r="M63" s="22"/>
    </row>
    <row r="64" spans="2:13" ht="15.25" hidden="1" customHeight="1">
      <c r="B64" s="23"/>
      <c r="C64" s="21"/>
      <c r="D64" s="21"/>
      <c r="E64" s="22"/>
      <c r="F64" s="22"/>
      <c r="I64" s="23"/>
      <c r="J64" s="21"/>
      <c r="K64" s="21"/>
      <c r="L64" s="22"/>
      <c r="M64" s="22"/>
    </row>
    <row r="65" spans="2:13" ht="15.25" hidden="1" customHeight="1">
      <c r="B65" s="23"/>
      <c r="C65" s="21"/>
      <c r="D65" s="21"/>
      <c r="E65" s="22"/>
      <c r="F65" s="22"/>
      <c r="I65" s="23"/>
      <c r="J65" s="21"/>
      <c r="K65" s="21"/>
      <c r="L65" s="22"/>
      <c r="M65" s="22"/>
    </row>
    <row r="66" spans="2:13" ht="15.25" hidden="1" customHeight="1">
      <c r="B66" s="23"/>
      <c r="C66" s="21"/>
      <c r="D66" s="21"/>
      <c r="E66" s="22"/>
      <c r="F66" s="22"/>
      <c r="I66" s="23"/>
      <c r="J66" s="21"/>
      <c r="K66" s="21"/>
      <c r="L66" s="22"/>
      <c r="M66" s="22"/>
    </row>
    <row r="67" spans="2:13" ht="15.25" hidden="1" customHeight="1">
      <c r="B67" s="23"/>
      <c r="C67" s="21"/>
      <c r="D67" s="21"/>
      <c r="E67" s="22"/>
      <c r="F67" s="22"/>
      <c r="I67" s="23"/>
      <c r="J67" s="21"/>
      <c r="K67" s="21"/>
      <c r="L67" s="22"/>
      <c r="M67" s="22"/>
    </row>
    <row r="68" spans="2:13" ht="15.25" hidden="1" customHeight="1">
      <c r="B68" s="18"/>
      <c r="C68" s="21"/>
      <c r="D68" s="21"/>
      <c r="E68" s="22"/>
      <c r="F68" s="22"/>
      <c r="I68" s="18"/>
      <c r="J68" s="21"/>
      <c r="K68" s="21"/>
      <c r="L68" s="22"/>
      <c r="M68" s="22"/>
    </row>
    <row r="69" spans="2:13" ht="15.25" hidden="1" customHeight="1">
      <c r="B69" s="23"/>
      <c r="C69" s="21"/>
      <c r="D69" s="21"/>
      <c r="E69" s="22"/>
      <c r="F69" s="22"/>
      <c r="I69" s="23"/>
      <c r="J69" s="21"/>
      <c r="K69" s="21"/>
      <c r="L69" s="22"/>
      <c r="M69" s="22"/>
    </row>
    <row r="70" spans="2:13" ht="15.25" hidden="1" customHeight="1">
      <c r="B70" s="23"/>
      <c r="C70" s="21"/>
      <c r="D70" s="21"/>
      <c r="E70" s="22"/>
      <c r="F70" s="22"/>
      <c r="I70" s="23"/>
      <c r="J70" s="21"/>
      <c r="K70" s="21"/>
      <c r="L70" s="22"/>
      <c r="M70" s="22"/>
    </row>
    <row r="71" spans="2:13" ht="15.25" customHeight="1">
      <c r="B71" s="23" t="s">
        <v>35</v>
      </c>
      <c r="C71" s="21">
        <v>45415</v>
      </c>
      <c r="D71" s="21" t="s">
        <v>11</v>
      </c>
      <c r="E71" s="22"/>
      <c r="F71" s="22">
        <v>16750.580000000002</v>
      </c>
      <c r="I71" s="23" t="s">
        <v>269</v>
      </c>
      <c r="J71" s="21">
        <v>45384</v>
      </c>
      <c r="K71" s="21" t="s">
        <v>12</v>
      </c>
      <c r="L71" s="22">
        <v>-42314.8</v>
      </c>
      <c r="M71" s="22"/>
    </row>
    <row r="72" spans="2:13" ht="33" customHeight="1">
      <c r="B72" s="23" t="s">
        <v>326</v>
      </c>
      <c r="C72" s="21">
        <v>45421</v>
      </c>
      <c r="D72" s="21" t="s">
        <v>11</v>
      </c>
      <c r="E72" s="22">
        <v>-45000</v>
      </c>
      <c r="F72" s="22"/>
      <c r="I72" s="27" t="s">
        <v>270</v>
      </c>
      <c r="J72" s="21">
        <v>45384</v>
      </c>
      <c r="K72" s="21" t="s">
        <v>12</v>
      </c>
      <c r="L72" s="22">
        <v>-23000</v>
      </c>
      <c r="M72" s="22"/>
    </row>
    <row r="73" spans="2:13" ht="15.25" customHeight="1">
      <c r="B73" s="23"/>
      <c r="C73" s="21"/>
      <c r="D73" s="21"/>
      <c r="E73" s="22"/>
      <c r="F73" s="22"/>
      <c r="I73" s="23" t="s">
        <v>259</v>
      </c>
      <c r="J73" s="21">
        <v>45384</v>
      </c>
      <c r="K73" s="21" t="s">
        <v>12</v>
      </c>
      <c r="L73" s="22">
        <v>-65</v>
      </c>
      <c r="M73" s="22"/>
    </row>
    <row r="74" spans="2:13" ht="15.25" customHeight="1">
      <c r="B74" s="23"/>
      <c r="C74" s="21"/>
      <c r="D74" s="21"/>
      <c r="E74" s="22"/>
      <c r="F74" s="22"/>
      <c r="I74" s="23" t="s">
        <v>271</v>
      </c>
      <c r="J74" s="21">
        <v>45385</v>
      </c>
      <c r="K74" s="21" t="s">
        <v>12</v>
      </c>
      <c r="L74" s="22">
        <v>-1428.3</v>
      </c>
      <c r="M74" s="22"/>
    </row>
    <row r="75" spans="2:13" ht="15.25" customHeight="1">
      <c r="B75" s="23"/>
      <c r="C75" s="21"/>
      <c r="D75" s="21"/>
      <c r="E75" s="22"/>
      <c r="F75" s="22"/>
      <c r="I75" s="23" t="s">
        <v>272</v>
      </c>
      <c r="J75" s="21">
        <v>45385</v>
      </c>
      <c r="K75" s="21" t="s">
        <v>12</v>
      </c>
      <c r="L75" s="22">
        <v>-3600</v>
      </c>
      <c r="M75" s="22"/>
    </row>
    <row r="76" spans="2:13" ht="15.25" customHeight="1">
      <c r="B76" s="23"/>
      <c r="C76" s="21"/>
      <c r="D76" s="21"/>
      <c r="E76" s="22"/>
      <c r="F76" s="22"/>
      <c r="I76" s="23" t="s">
        <v>276</v>
      </c>
      <c r="J76" s="21">
        <v>45387</v>
      </c>
      <c r="K76" s="21" t="s">
        <v>12</v>
      </c>
      <c r="L76" s="22">
        <v>-1000</v>
      </c>
      <c r="M76" s="22"/>
    </row>
    <row r="77" spans="2:13" ht="15.25" customHeight="1">
      <c r="B77" s="23"/>
      <c r="C77" s="21"/>
      <c r="D77" s="21"/>
      <c r="E77" s="22"/>
      <c r="F77" s="22"/>
      <c r="I77" s="23" t="s">
        <v>18</v>
      </c>
      <c r="J77" s="21">
        <v>45387</v>
      </c>
      <c r="K77" s="21" t="s">
        <v>12</v>
      </c>
      <c r="L77" s="22">
        <v>-103.37</v>
      </c>
      <c r="M77" s="22"/>
    </row>
    <row r="78" spans="2:13" ht="15.25" customHeight="1">
      <c r="B78" s="23"/>
      <c r="C78" s="21"/>
      <c r="D78" s="21"/>
      <c r="E78" s="22"/>
      <c r="F78" s="22"/>
      <c r="I78" s="370" t="s">
        <v>278</v>
      </c>
      <c r="J78" s="371">
        <v>45387</v>
      </c>
      <c r="K78" s="371" t="s">
        <v>12</v>
      </c>
      <c r="L78" s="372">
        <v>-2265</v>
      </c>
      <c r="M78" s="22"/>
    </row>
    <row r="79" spans="2:13" ht="15.25" customHeight="1">
      <c r="B79" s="23"/>
      <c r="C79" s="21"/>
      <c r="D79" s="21"/>
      <c r="E79" s="22"/>
      <c r="F79" s="22"/>
      <c r="I79" s="23" t="s">
        <v>276</v>
      </c>
      <c r="J79" s="21">
        <v>45394</v>
      </c>
      <c r="K79" s="21" t="s">
        <v>12</v>
      </c>
      <c r="L79" s="22">
        <v>-1000</v>
      </c>
      <c r="M79" s="22"/>
    </row>
    <row r="80" spans="2:13" ht="15.25" customHeight="1">
      <c r="B80" s="23"/>
      <c r="C80" s="21"/>
      <c r="D80" s="21"/>
      <c r="E80" s="22"/>
      <c r="F80" s="22"/>
      <c r="I80" s="23" t="s">
        <v>18</v>
      </c>
      <c r="J80" s="21">
        <v>45394</v>
      </c>
      <c r="K80" s="21" t="s">
        <v>12</v>
      </c>
      <c r="L80" s="22">
        <v>1.5</v>
      </c>
      <c r="M80" s="22"/>
    </row>
    <row r="81" spans="2:13" ht="15.25" customHeight="1">
      <c r="B81" s="23"/>
      <c r="C81" s="21"/>
      <c r="D81" s="21"/>
      <c r="E81" s="22"/>
      <c r="F81" s="22"/>
      <c r="I81" s="370" t="s">
        <v>280</v>
      </c>
      <c r="J81" s="371">
        <v>45394</v>
      </c>
      <c r="K81" s="371" t="s">
        <v>12</v>
      </c>
      <c r="L81" s="372">
        <v>-8550</v>
      </c>
      <c r="M81" s="22"/>
    </row>
    <row r="82" spans="2:13" ht="15.25" customHeight="1">
      <c r="B82" s="23"/>
      <c r="C82" s="21"/>
      <c r="D82" s="21"/>
      <c r="E82" s="22"/>
      <c r="F82" s="22"/>
      <c r="I82" s="23" t="s">
        <v>282</v>
      </c>
      <c r="J82" s="21">
        <v>45397</v>
      </c>
      <c r="K82" s="21" t="s">
        <v>12</v>
      </c>
      <c r="L82" s="22">
        <v>-1000</v>
      </c>
      <c r="M82" s="22"/>
    </row>
    <row r="83" spans="2:13" ht="15.25" customHeight="1">
      <c r="B83" s="23"/>
      <c r="C83" s="21"/>
      <c r="D83" s="21"/>
      <c r="E83" s="22"/>
      <c r="F83" s="22"/>
      <c r="I83" s="23" t="s">
        <v>283</v>
      </c>
      <c r="J83" s="21">
        <v>45397</v>
      </c>
      <c r="K83" s="21" t="s">
        <v>12</v>
      </c>
      <c r="L83" s="22">
        <v>-32318</v>
      </c>
      <c r="M83" s="22"/>
    </row>
    <row r="84" spans="2:13" ht="15.25" customHeight="1">
      <c r="B84" s="23"/>
      <c r="C84" s="21"/>
      <c r="D84" s="21"/>
      <c r="E84" s="22"/>
      <c r="F84" s="22"/>
      <c r="I84" s="23" t="s">
        <v>293</v>
      </c>
      <c r="J84" s="21">
        <v>45400</v>
      </c>
      <c r="K84" s="21" t="s">
        <v>12</v>
      </c>
      <c r="L84" s="22">
        <v>-55</v>
      </c>
      <c r="M84" s="22"/>
    </row>
    <row r="85" spans="2:13" ht="15.25" customHeight="1">
      <c r="B85" s="23"/>
      <c r="C85" s="21"/>
      <c r="D85" s="21"/>
      <c r="E85" s="22"/>
      <c r="F85" s="22"/>
      <c r="I85" s="23" t="s">
        <v>18</v>
      </c>
      <c r="J85" s="21">
        <v>45401</v>
      </c>
      <c r="K85" s="21" t="s">
        <v>12</v>
      </c>
      <c r="L85" s="22">
        <v>-51.48</v>
      </c>
      <c r="M85" s="22"/>
    </row>
    <row r="86" spans="2:13" ht="15.25" customHeight="1">
      <c r="B86" s="23"/>
      <c r="C86" s="21"/>
      <c r="D86" s="21"/>
      <c r="E86" s="22"/>
      <c r="F86" s="22"/>
      <c r="I86" s="23" t="s">
        <v>282</v>
      </c>
      <c r="J86" s="21">
        <v>45407</v>
      </c>
      <c r="K86" s="21" t="s">
        <v>12</v>
      </c>
      <c r="L86" s="22">
        <v>-1000</v>
      </c>
      <c r="M86" s="22"/>
    </row>
    <row r="87" spans="2:13" ht="15.25" customHeight="1">
      <c r="B87" s="23"/>
      <c r="C87" s="21"/>
      <c r="D87" s="21"/>
      <c r="E87" s="22"/>
      <c r="F87" s="22"/>
      <c r="I87" s="23" t="s">
        <v>294</v>
      </c>
      <c r="J87" s="21">
        <v>45407</v>
      </c>
      <c r="K87" s="21" t="s">
        <v>12</v>
      </c>
      <c r="L87" s="22">
        <v>-2775</v>
      </c>
      <c r="M87" s="22"/>
    </row>
    <row r="88" spans="2:13" ht="15.25" customHeight="1">
      <c r="B88" s="23"/>
      <c r="C88" s="21"/>
      <c r="D88" s="21"/>
      <c r="E88" s="22"/>
      <c r="F88" s="22"/>
      <c r="I88" s="23" t="s">
        <v>18</v>
      </c>
      <c r="J88" s="21">
        <v>45408</v>
      </c>
      <c r="K88" s="21" t="s">
        <v>12</v>
      </c>
      <c r="L88" s="378">
        <v>-5.66</v>
      </c>
      <c r="M88" s="22"/>
    </row>
    <row r="89" spans="2:13" ht="15.25" customHeight="1">
      <c r="B89" s="23"/>
      <c r="C89" s="21"/>
      <c r="D89" s="21"/>
      <c r="E89" s="22"/>
      <c r="F89" s="22"/>
      <c r="I89" s="18" t="s">
        <v>40</v>
      </c>
      <c r="J89" s="21">
        <v>45411</v>
      </c>
      <c r="K89" s="21" t="s">
        <v>12</v>
      </c>
      <c r="L89" s="22"/>
      <c r="M89" s="22">
        <v>53225.89</v>
      </c>
    </row>
    <row r="90" spans="2:13" ht="15.25" customHeight="1">
      <c r="B90" s="23"/>
      <c r="C90" s="21"/>
      <c r="D90" s="21"/>
      <c r="E90" s="22"/>
      <c r="F90" s="22"/>
      <c r="I90" s="23" t="s">
        <v>38</v>
      </c>
      <c r="J90" s="21">
        <v>45412</v>
      </c>
      <c r="K90" s="21" t="s">
        <v>12</v>
      </c>
      <c r="L90" s="22"/>
      <c r="M90" s="22">
        <v>33871.61</v>
      </c>
    </row>
    <row r="91" spans="2:13" ht="15.25" customHeight="1">
      <c r="B91" s="23"/>
      <c r="C91" s="21"/>
      <c r="D91" s="21"/>
      <c r="E91" s="22"/>
      <c r="F91" s="22"/>
      <c r="I91" s="23" t="s">
        <v>282</v>
      </c>
      <c r="J91" s="21">
        <v>45412</v>
      </c>
      <c r="K91" s="21" t="s">
        <v>12</v>
      </c>
      <c r="L91" s="378">
        <v>-1000</v>
      </c>
      <c r="M91" s="22"/>
    </row>
    <row r="92" spans="2:13" ht="15.25" customHeight="1">
      <c r="B92" s="23"/>
      <c r="C92" s="21"/>
      <c r="D92" s="21"/>
      <c r="E92" s="22"/>
      <c r="F92" s="22"/>
      <c r="I92" s="23" t="s">
        <v>282</v>
      </c>
      <c r="J92" s="21">
        <v>45413</v>
      </c>
      <c r="K92" s="21" t="s">
        <v>12</v>
      </c>
      <c r="L92" s="378">
        <v>-1000</v>
      </c>
      <c r="M92" s="22"/>
    </row>
    <row r="93" spans="2:13" ht="15.25" customHeight="1">
      <c r="B93" s="23"/>
      <c r="C93" s="21"/>
      <c r="D93" s="21"/>
      <c r="E93" s="22"/>
      <c r="F93" s="22"/>
      <c r="I93" s="23" t="s">
        <v>307</v>
      </c>
      <c r="J93" s="21">
        <v>45413</v>
      </c>
      <c r="K93" s="21" t="s">
        <v>12</v>
      </c>
      <c r="L93" s="378">
        <v>-65</v>
      </c>
      <c r="M93" s="22"/>
    </row>
    <row r="94" spans="2:13" ht="15.25" customHeight="1">
      <c r="B94" s="23"/>
      <c r="C94" s="21"/>
      <c r="D94" s="21"/>
      <c r="E94" s="22"/>
      <c r="F94" s="22"/>
      <c r="I94" s="23" t="s">
        <v>18</v>
      </c>
      <c r="J94" s="21">
        <v>45415</v>
      </c>
      <c r="K94" s="21" t="s">
        <v>12</v>
      </c>
      <c r="L94" s="378">
        <v>-3</v>
      </c>
      <c r="M94" s="22"/>
    </row>
    <row r="95" spans="2:13" ht="15.25" customHeight="1">
      <c r="B95" s="23"/>
      <c r="C95" s="21"/>
      <c r="D95" s="21"/>
      <c r="E95" s="22"/>
      <c r="F95" s="22"/>
      <c r="I95" s="23" t="s">
        <v>319</v>
      </c>
      <c r="J95" s="21">
        <v>45418</v>
      </c>
      <c r="K95" s="21" t="s">
        <v>12</v>
      </c>
      <c r="L95" s="378">
        <v>-949.9</v>
      </c>
      <c r="M95" s="22"/>
    </row>
    <row r="96" spans="2:13" ht="15.25" customHeight="1">
      <c r="B96" s="23"/>
      <c r="C96" s="21"/>
      <c r="D96" s="21"/>
      <c r="E96" s="22"/>
      <c r="F96" s="22"/>
      <c r="I96" s="23" t="s">
        <v>322</v>
      </c>
      <c r="J96" s="21">
        <v>45418</v>
      </c>
      <c r="K96" s="21" t="s">
        <v>12</v>
      </c>
      <c r="L96" s="378">
        <v>-3600</v>
      </c>
      <c r="M96" s="22"/>
    </row>
    <row r="97" spans="2:13" ht="15.25" customHeight="1">
      <c r="B97" s="28"/>
      <c r="C97" s="29"/>
      <c r="D97" s="29"/>
      <c r="E97" s="30"/>
      <c r="F97" s="30"/>
      <c r="I97" s="28"/>
      <c r="J97" s="29"/>
      <c r="K97" s="29"/>
      <c r="L97" s="30"/>
      <c r="M97" s="30"/>
    </row>
    <row r="98" spans="2:13" s="31" customFormat="1" ht="15.25" customHeight="1">
      <c r="B98" s="32"/>
      <c r="C98" s="33"/>
      <c r="D98" s="34" t="s">
        <v>56</v>
      </c>
      <c r="E98" s="35">
        <f>SUBTOTAL(109,E10:E97)</f>
        <v>-246127.23</v>
      </c>
      <c r="F98" s="35">
        <f>SUBTOTAL(109,F10:F97)</f>
        <v>247353.28999999998</v>
      </c>
      <c r="I98" s="32"/>
      <c r="J98" s="33"/>
      <c r="K98" s="34" t="s">
        <v>56</v>
      </c>
      <c r="L98" s="35">
        <f>SUBTOTAL(109,L10:L97)</f>
        <v>-466793.39999999991</v>
      </c>
      <c r="M98" s="35">
        <f>SUBTOTAL(109,M10:M97)</f>
        <v>636150.12</v>
      </c>
    </row>
    <row r="99" spans="2:13" ht="15.25" customHeight="1">
      <c r="E99" s="36"/>
      <c r="F99" s="36"/>
      <c r="L99" s="36"/>
      <c r="M99" s="36"/>
    </row>
    <row r="100" spans="2:13" ht="15.25" customHeight="1">
      <c r="B100" s="32" t="s">
        <v>57</v>
      </c>
      <c r="E100" s="37">
        <f>E98</f>
        <v>-246127.23</v>
      </c>
      <c r="F100" s="36"/>
      <c r="I100" s="32" t="s">
        <v>57</v>
      </c>
      <c r="L100" s="37">
        <f>L98</f>
        <v>-466793.39999999991</v>
      </c>
      <c r="M100" s="36"/>
    </row>
    <row r="101" spans="2:13" ht="15.25" customHeight="1">
      <c r="B101" s="32" t="s">
        <v>58</v>
      </c>
      <c r="E101" s="37"/>
      <c r="F101" s="37">
        <f>F98</f>
        <v>247353.28999999998</v>
      </c>
      <c r="I101" s="32" t="s">
        <v>58</v>
      </c>
      <c r="L101" s="37"/>
      <c r="M101" s="37">
        <f>M98</f>
        <v>636150.12</v>
      </c>
    </row>
    <row r="102" spans="2:13" ht="14">
      <c r="B102" s="38" t="s">
        <v>59</v>
      </c>
      <c r="C102" s="39"/>
      <c r="D102" s="40"/>
      <c r="E102" s="41"/>
      <c r="F102" s="41">
        <f>F101+E100</f>
        <v>1226.0599999999686</v>
      </c>
      <c r="I102" s="42" t="s">
        <v>59</v>
      </c>
      <c r="J102" s="43"/>
      <c r="K102" s="44"/>
      <c r="L102" s="45"/>
      <c r="M102" s="45">
        <f>M101+L100</f>
        <v>169356.72000000009</v>
      </c>
    </row>
    <row r="103" spans="2:13" ht="14">
      <c r="B103" s="32"/>
      <c r="E103" s="46"/>
      <c r="F103" s="46"/>
      <c r="I103" s="32"/>
      <c r="L103" s="46"/>
      <c r="M103" s="46"/>
    </row>
    <row r="104" spans="2:13" ht="14">
      <c r="B104" s="47" t="s">
        <v>60</v>
      </c>
      <c r="C104" s="48">
        <v>45422</v>
      </c>
      <c r="D104" s="48"/>
      <c r="E104" s="49"/>
      <c r="F104" s="50">
        <f>M102</f>
        <v>169356.72000000009</v>
      </c>
      <c r="I104" s="51"/>
      <c r="J104" s="52"/>
      <c r="K104" s="52"/>
      <c r="L104" s="53"/>
      <c r="M104" s="53"/>
    </row>
    <row r="105" spans="2:13" ht="14">
      <c r="B105" s="54" t="s">
        <v>61</v>
      </c>
      <c r="C105" s="2">
        <v>45422</v>
      </c>
      <c r="E105" s="46"/>
      <c r="F105" s="55">
        <f>F102</f>
        <v>1226.0599999999686</v>
      </c>
      <c r="G105" s="56"/>
      <c r="I105" s="51"/>
      <c r="L105" s="46"/>
      <c r="M105" s="53"/>
    </row>
    <row r="106" spans="2:13" ht="14">
      <c r="B106" s="57"/>
      <c r="C106" s="58" t="s">
        <v>62</v>
      </c>
      <c r="D106" s="59"/>
      <c r="E106" s="60"/>
      <c r="F106" s="61">
        <f>SUM(F104:F105)</f>
        <v>170582.78000000006</v>
      </c>
      <c r="I106" s="51"/>
      <c r="J106" s="62"/>
      <c r="K106" s="63"/>
      <c r="L106" s="53"/>
      <c r="M106" s="64"/>
    </row>
    <row r="107" spans="2:13" ht="14">
      <c r="B107" s="32"/>
      <c r="E107" s="65" t="s">
        <v>63</v>
      </c>
      <c r="F107" s="66">
        <f>40530.98+40000</f>
        <v>80530.98000000001</v>
      </c>
      <c r="I107" s="32"/>
      <c r="L107" s="67"/>
      <c r="M107" s="68"/>
    </row>
    <row r="108" spans="2:13" ht="16">
      <c r="B108" s="32"/>
      <c r="E108" s="69" t="s">
        <v>64</v>
      </c>
      <c r="F108" s="70">
        <f>F106-F107</f>
        <v>90051.800000000047</v>
      </c>
      <c r="I108" s="32"/>
      <c r="L108" s="69"/>
      <c r="M108" s="70"/>
    </row>
    <row r="110" spans="2:13" ht="14">
      <c r="B110" s="71"/>
      <c r="C110" s="72"/>
      <c r="D110" s="73" t="s">
        <v>65</v>
      </c>
      <c r="E110" s="74" t="s">
        <v>66</v>
      </c>
      <c r="F110" s="75">
        <f>'A1'!F39</f>
        <v>-35857.652980659332</v>
      </c>
      <c r="G110" s="76" t="s">
        <v>301</v>
      </c>
      <c r="I110" s="77"/>
    </row>
    <row r="111" spans="2:13" ht="14">
      <c r="B111" s="78"/>
      <c r="C111" s="79"/>
      <c r="D111" s="73" t="s">
        <v>67</v>
      </c>
      <c r="E111" s="74" t="s">
        <v>68</v>
      </c>
      <c r="F111" s="75">
        <f>'A2'!F32</f>
        <v>71.664667786873906</v>
      </c>
      <c r="G111" s="76" t="s">
        <v>312</v>
      </c>
      <c r="I111"/>
      <c r="J111" s="80"/>
      <c r="K111" s="81"/>
      <c r="L111" s="2"/>
      <c r="M111" s="82"/>
    </row>
    <row r="112" spans="2:13" ht="14">
      <c r="B112" s="78"/>
      <c r="C112" s="79"/>
      <c r="D112" s="73" t="s">
        <v>69</v>
      </c>
      <c r="E112" s="74" t="s">
        <v>70</v>
      </c>
      <c r="F112" s="75">
        <f>'A3'!F30</f>
        <v>24.823347431141883</v>
      </c>
      <c r="G112" s="76" t="s">
        <v>302</v>
      </c>
      <c r="I112" s="83"/>
      <c r="J112" s="80"/>
      <c r="K112" s="81"/>
      <c r="L112" s="2"/>
      <c r="M112" s="82"/>
    </row>
    <row r="113" spans="2:13" ht="14">
      <c r="B113" s="78"/>
      <c r="C113" s="79"/>
      <c r="D113" s="73" t="s">
        <v>71</v>
      </c>
      <c r="E113" s="74" t="s">
        <v>72</v>
      </c>
      <c r="F113" s="75">
        <f>'A4'!F29</f>
        <v>3.1610351870767772E-3</v>
      </c>
      <c r="G113" s="76" t="s">
        <v>300</v>
      </c>
      <c r="I113" s="83"/>
      <c r="J113" s="80"/>
      <c r="K113" s="81"/>
      <c r="L113" s="2"/>
      <c r="M113" s="82"/>
    </row>
    <row r="114" spans="2:13" ht="14">
      <c r="B114" s="84"/>
      <c r="C114" s="85"/>
      <c r="D114" s="73" t="s">
        <v>73</v>
      </c>
      <c r="E114" s="74" t="s">
        <v>74</v>
      </c>
      <c r="F114" s="75">
        <f>'A5'!F30</f>
        <v>27.388371511755395</v>
      </c>
      <c r="G114" s="76" t="s">
        <v>312</v>
      </c>
      <c r="I114" s="86"/>
      <c r="J114" s="87"/>
      <c r="K114" s="88"/>
      <c r="L114" s="89"/>
      <c r="M114" s="82"/>
    </row>
    <row r="115" spans="2:13" ht="14">
      <c r="B115" s="84"/>
      <c r="C115" s="85"/>
      <c r="D115" s="73" t="s">
        <v>75</v>
      </c>
      <c r="E115" s="74" t="s">
        <v>76</v>
      </c>
      <c r="F115" s="373">
        <v>0</v>
      </c>
      <c r="G115" s="76" t="s">
        <v>300</v>
      </c>
      <c r="I115" s="86"/>
      <c r="J115" s="87"/>
      <c r="K115" s="88"/>
      <c r="L115" s="89"/>
      <c r="M115" s="82"/>
    </row>
    <row r="116" spans="2:13" ht="14">
      <c r="B116" s="84"/>
      <c r="C116" s="85"/>
      <c r="D116" s="73" t="s">
        <v>77</v>
      </c>
      <c r="E116" s="74" t="s">
        <v>78</v>
      </c>
      <c r="F116" s="75">
        <v>0</v>
      </c>
      <c r="G116" s="76" t="s">
        <v>300</v>
      </c>
      <c r="I116" s="86"/>
      <c r="J116" s="87"/>
      <c r="K116" s="88"/>
      <c r="L116" s="89"/>
      <c r="M116" s="82"/>
    </row>
    <row r="117" spans="2:13" ht="14">
      <c r="B117" s="90"/>
      <c r="C117" s="72"/>
      <c r="D117" s="72"/>
      <c r="E117" s="91" t="s">
        <v>79</v>
      </c>
      <c r="F117" s="92">
        <f>SUM(F110:F116)</f>
        <v>-35733.773432894377</v>
      </c>
      <c r="G117" t="s">
        <v>298</v>
      </c>
    </row>
    <row r="118" spans="2:13" ht="14">
      <c r="F118" s="93"/>
    </row>
    <row r="119" spans="2:13">
      <c r="G119" s="94"/>
    </row>
    <row r="123" spans="2:13" ht="16">
      <c r="B123" s="96"/>
      <c r="C123" s="97"/>
      <c r="D123" s="97"/>
      <c r="E123" s="98"/>
      <c r="F123" s="99"/>
    </row>
    <row r="124" spans="2:13" ht="16">
      <c r="B124" s="100"/>
      <c r="C124" s="97"/>
      <c r="D124" s="97"/>
      <c r="E124" s="98"/>
      <c r="F124" s="99"/>
    </row>
    <row r="125" spans="2:13" ht="16">
      <c r="B125" s="100"/>
      <c r="C125" s="97"/>
      <c r="D125" s="97"/>
      <c r="E125" s="98"/>
      <c r="F125" s="101"/>
    </row>
    <row r="126" spans="2:13" ht="16">
      <c r="B126" s="100"/>
      <c r="C126" s="97"/>
      <c r="D126" s="97"/>
      <c r="E126" s="102"/>
      <c r="F126" s="99"/>
    </row>
    <row r="127" spans="2:13" ht="16">
      <c r="B127" s="100"/>
      <c r="C127" s="97"/>
      <c r="D127" s="97"/>
      <c r="E127" s="103"/>
      <c r="F127" s="99"/>
    </row>
  </sheetData>
  <autoFilter ref="B9:F98" xr:uid="{00000000-0009-0000-0000-000000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0"/>
  <sheetViews>
    <sheetView topLeftCell="A143" zoomScaleNormal="100" workbookViewId="0">
      <selection activeCell="E130" sqref="E130"/>
    </sheetView>
  </sheetViews>
  <sheetFormatPr baseColWidth="10" defaultColWidth="12.6640625" defaultRowHeight="13"/>
  <cols>
    <col min="1" max="1" width="4.5" customWidth="1"/>
    <col min="2" max="2" width="43.83203125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>
      <c r="A1" s="382"/>
      <c r="B1" s="382"/>
      <c r="C1" s="382"/>
      <c r="D1" s="382"/>
    </row>
    <row r="3" spans="1:1024" ht="18.75" customHeight="1">
      <c r="A3" s="5" t="s">
        <v>0</v>
      </c>
      <c r="B3"/>
    </row>
    <row r="4" spans="1:1024">
      <c r="A4" s="1" t="s">
        <v>1</v>
      </c>
      <c r="B4"/>
    </row>
    <row r="6" spans="1:1024">
      <c r="B6" s="6"/>
      <c r="E6" s="7" t="s">
        <v>3</v>
      </c>
    </row>
    <row r="7" spans="1:1024" s="8" customFormat="1" ht="17.25" customHeight="1">
      <c r="B7" s="104" t="s">
        <v>80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>
      <c r="B9" s="15" t="s">
        <v>81</v>
      </c>
      <c r="C9" s="107" t="s">
        <v>6</v>
      </c>
      <c r="D9" s="108" t="s">
        <v>82</v>
      </c>
    </row>
    <row r="10" spans="1:1024" ht="15.25" customHeight="1">
      <c r="B10" s="23" t="s">
        <v>83</v>
      </c>
      <c r="C10" s="19">
        <v>45296</v>
      </c>
      <c r="D10" s="109">
        <v>1500</v>
      </c>
    </row>
    <row r="11" spans="1:1024" ht="15.25" customHeight="1">
      <c r="B11" s="23" t="s">
        <v>15</v>
      </c>
      <c r="C11" s="21">
        <v>45303</v>
      </c>
      <c r="D11" s="110">
        <v>3600</v>
      </c>
    </row>
    <row r="12" spans="1:1024" ht="15.25" customHeight="1">
      <c r="B12" s="23" t="s">
        <v>51</v>
      </c>
      <c r="C12" s="21">
        <v>45359</v>
      </c>
      <c r="D12" s="110">
        <v>3600</v>
      </c>
    </row>
    <row r="13" spans="1:1024" ht="15.25" customHeight="1">
      <c r="B13" s="23" t="s">
        <v>55</v>
      </c>
      <c r="C13" s="21">
        <v>45367</v>
      </c>
      <c r="D13" s="110">
        <v>3600</v>
      </c>
    </row>
    <row r="14" spans="1:1024" ht="15.25" customHeight="1">
      <c r="B14" s="23" t="s">
        <v>266</v>
      </c>
      <c r="C14" s="21">
        <v>45385</v>
      </c>
      <c r="D14" s="110">
        <v>3600</v>
      </c>
    </row>
    <row r="15" spans="1:1024" ht="15.25" customHeight="1">
      <c r="B15" s="23" t="s">
        <v>277</v>
      </c>
      <c r="C15" s="21">
        <v>45387</v>
      </c>
      <c r="D15" s="110">
        <v>1000</v>
      </c>
    </row>
    <row r="16" spans="1:1024" ht="15.25" customHeight="1">
      <c r="B16" s="23" t="s">
        <v>83</v>
      </c>
      <c r="C16" s="21">
        <v>45394</v>
      </c>
      <c r="D16" s="110">
        <v>1000</v>
      </c>
    </row>
    <row r="17" spans="2:4" ht="15.25" customHeight="1">
      <c r="B17" s="23" t="s">
        <v>83</v>
      </c>
      <c r="C17" s="21">
        <v>45397</v>
      </c>
      <c r="D17" s="110">
        <v>1000</v>
      </c>
    </row>
    <row r="18" spans="2:4" ht="15.25" customHeight="1">
      <c r="B18" s="23" t="s">
        <v>83</v>
      </c>
      <c r="C18" s="21">
        <v>45407</v>
      </c>
      <c r="D18" s="110">
        <v>1000</v>
      </c>
    </row>
    <row r="19" spans="2:4" ht="15.25" customHeight="1">
      <c r="B19" s="23" t="s">
        <v>83</v>
      </c>
      <c r="C19" s="21">
        <v>45412</v>
      </c>
      <c r="D19" s="110">
        <v>1000</v>
      </c>
    </row>
    <row r="20" spans="2:4" ht="15.25" customHeight="1">
      <c r="B20" s="23" t="s">
        <v>83</v>
      </c>
      <c r="C20" s="21">
        <v>45413</v>
      </c>
      <c r="D20" s="110">
        <v>1000</v>
      </c>
    </row>
    <row r="21" spans="2:4" ht="15.25" customHeight="1">
      <c r="B21" s="23" t="s">
        <v>321</v>
      </c>
      <c r="C21" s="21">
        <v>45418</v>
      </c>
      <c r="D21" s="110">
        <v>3600</v>
      </c>
    </row>
    <row r="22" spans="2:4" ht="15.25" customHeight="1">
      <c r="B22" s="23"/>
      <c r="C22" s="21"/>
      <c r="D22" s="110"/>
    </row>
    <row r="23" spans="2:4" ht="15.25" customHeight="1">
      <c r="B23" s="111" t="s">
        <v>84</v>
      </c>
      <c r="C23" s="107"/>
      <c r="D23" s="112">
        <f>SUM(D10:D21)</f>
        <v>25500</v>
      </c>
    </row>
    <row r="24" spans="2:4" ht="15.25" customHeight="1">
      <c r="B24" s="113"/>
    </row>
    <row r="25" spans="2:4" ht="15.25" customHeight="1">
      <c r="B25" s="15" t="s">
        <v>85</v>
      </c>
      <c r="C25" s="107" t="s">
        <v>6</v>
      </c>
      <c r="D25" s="108" t="s">
        <v>82</v>
      </c>
    </row>
    <row r="26" spans="2:4" ht="15.25" customHeight="1">
      <c r="B26" s="114" t="s">
        <v>86</v>
      </c>
      <c r="C26" s="19">
        <v>45296</v>
      </c>
      <c r="D26" s="109">
        <v>523.82000000000005</v>
      </c>
    </row>
    <row r="27" spans="2:4" ht="15.25" customHeight="1">
      <c r="B27" s="18" t="s">
        <v>87</v>
      </c>
      <c r="C27" s="21">
        <v>45331</v>
      </c>
      <c r="D27" s="110">
        <v>710.7</v>
      </c>
    </row>
    <row r="28" spans="2:4" ht="15.25" customHeight="1">
      <c r="B28" s="23" t="s">
        <v>88</v>
      </c>
      <c r="C28" s="21">
        <v>45359</v>
      </c>
      <c r="D28" s="110">
        <v>912.52</v>
      </c>
    </row>
    <row r="29" spans="2:4" ht="15.25" customHeight="1">
      <c r="B29" s="23" t="s">
        <v>265</v>
      </c>
      <c r="C29" s="21">
        <v>45385</v>
      </c>
      <c r="D29" s="110">
        <v>1428.3</v>
      </c>
    </row>
    <row r="30" spans="2:4" ht="15.25" customHeight="1">
      <c r="B30" s="23" t="s">
        <v>320</v>
      </c>
      <c r="C30" s="21">
        <v>45418</v>
      </c>
      <c r="D30" s="110">
        <v>949.9</v>
      </c>
    </row>
    <row r="31" spans="2:4" ht="15.25" customHeight="1">
      <c r="B31" s="111" t="s">
        <v>84</v>
      </c>
      <c r="C31" s="107"/>
      <c r="D31" s="112">
        <f>SUM(D26:D30)</f>
        <v>4525.24</v>
      </c>
    </row>
    <row r="32" spans="2:4" ht="15.25" customHeight="1">
      <c r="B32" s="113"/>
    </row>
    <row r="33" spans="2:4" ht="15.25" customHeight="1">
      <c r="B33" s="15" t="s">
        <v>261</v>
      </c>
      <c r="C33" s="107" t="s">
        <v>6</v>
      </c>
      <c r="D33" s="108" t="s">
        <v>82</v>
      </c>
    </row>
    <row r="34" spans="2:4" ht="15.25" customHeight="1">
      <c r="B34" s="18" t="s">
        <v>18</v>
      </c>
      <c r="C34" s="21">
        <v>45296</v>
      </c>
      <c r="D34" s="110">
        <v>2.25</v>
      </c>
    </row>
    <row r="35" spans="2:4" ht="15.25" customHeight="1">
      <c r="B35" s="18" t="s">
        <v>18</v>
      </c>
      <c r="C35" s="21">
        <v>45302</v>
      </c>
      <c r="D35" s="110">
        <v>3.21</v>
      </c>
    </row>
    <row r="36" spans="2:4" ht="15.25" customHeight="1">
      <c r="B36" s="18" t="s">
        <v>18</v>
      </c>
      <c r="C36" s="21">
        <v>45310</v>
      </c>
      <c r="D36" s="110">
        <v>9.81</v>
      </c>
    </row>
    <row r="37" spans="2:4" ht="15.25" customHeight="1">
      <c r="B37" s="115" t="s">
        <v>26</v>
      </c>
      <c r="C37" s="21">
        <v>45322</v>
      </c>
      <c r="D37" s="116">
        <v>-60.02</v>
      </c>
    </row>
    <row r="38" spans="2:4" ht="15.25" customHeight="1">
      <c r="B38" s="115" t="s">
        <v>28</v>
      </c>
      <c r="C38" s="21">
        <v>45322</v>
      </c>
      <c r="D38" s="116">
        <v>6</v>
      </c>
    </row>
    <row r="39" spans="2:4" ht="15.25" customHeight="1">
      <c r="B39" s="115" t="s">
        <v>18</v>
      </c>
      <c r="C39" s="21">
        <v>45343</v>
      </c>
      <c r="D39" s="116">
        <v>190.42</v>
      </c>
    </row>
    <row r="40" spans="2:4" ht="15.25" customHeight="1">
      <c r="B40" s="115" t="s">
        <v>18</v>
      </c>
      <c r="C40" s="21">
        <v>45343</v>
      </c>
      <c r="D40" s="116">
        <v>123.88</v>
      </c>
    </row>
    <row r="41" spans="2:4" ht="15.25" customHeight="1">
      <c r="B41" s="115" t="s">
        <v>26</v>
      </c>
      <c r="C41" s="21">
        <v>45351</v>
      </c>
      <c r="D41" s="116">
        <v>-63.95</v>
      </c>
    </row>
    <row r="42" spans="2:4" ht="15.25" customHeight="1">
      <c r="B42" s="115" t="s">
        <v>28</v>
      </c>
      <c r="C42" s="21">
        <v>45351</v>
      </c>
      <c r="D42" s="116">
        <v>6.4</v>
      </c>
    </row>
    <row r="43" spans="2:4" ht="15.25" customHeight="1">
      <c r="B43" s="115" t="s">
        <v>18</v>
      </c>
      <c r="C43" s="21">
        <v>45359</v>
      </c>
      <c r="D43" s="116">
        <v>5.4</v>
      </c>
    </row>
    <row r="44" spans="2:4" ht="15.25" customHeight="1">
      <c r="B44" s="115" t="s">
        <v>18</v>
      </c>
      <c r="C44" s="21">
        <v>45363</v>
      </c>
      <c r="D44" s="116">
        <v>19.89</v>
      </c>
    </row>
    <row r="45" spans="2:4" ht="15.25" customHeight="1">
      <c r="B45" s="115" t="s">
        <v>18</v>
      </c>
      <c r="C45" s="21">
        <v>45367</v>
      </c>
      <c r="D45" s="116">
        <v>63.47</v>
      </c>
    </row>
    <row r="46" spans="2:4" ht="15.25" customHeight="1">
      <c r="B46" s="115" t="s">
        <v>18</v>
      </c>
      <c r="C46" s="21">
        <v>45367</v>
      </c>
      <c r="D46" s="116">
        <v>41.29</v>
      </c>
    </row>
    <row r="47" spans="2:4" ht="15.25" customHeight="1">
      <c r="B47" s="115" t="s">
        <v>18</v>
      </c>
      <c r="C47" s="21">
        <v>45367</v>
      </c>
      <c r="D47" s="116">
        <v>5.4</v>
      </c>
    </row>
    <row r="48" spans="2:4" ht="15.25" customHeight="1">
      <c r="B48" s="115" t="s">
        <v>18</v>
      </c>
      <c r="C48" s="21">
        <v>45372</v>
      </c>
      <c r="D48" s="116">
        <v>10.5</v>
      </c>
    </row>
    <row r="49" spans="2:4" ht="15.25" customHeight="1">
      <c r="B49" s="23" t="s">
        <v>259</v>
      </c>
      <c r="C49" s="21">
        <v>45384</v>
      </c>
      <c r="D49" s="116">
        <v>65</v>
      </c>
    </row>
    <row r="50" spans="2:4" ht="15.25" customHeight="1">
      <c r="B50" s="23" t="s">
        <v>18</v>
      </c>
      <c r="C50" s="21">
        <v>45385</v>
      </c>
      <c r="D50" s="116">
        <v>314.11</v>
      </c>
    </row>
    <row r="51" spans="2:4" ht="15.25" customHeight="1">
      <c r="B51" s="23" t="s">
        <v>18</v>
      </c>
      <c r="C51" s="21">
        <v>45387</v>
      </c>
      <c r="D51" s="116">
        <v>103.37</v>
      </c>
    </row>
    <row r="52" spans="2:4" ht="15.25" customHeight="1">
      <c r="B52" s="23" t="s">
        <v>18</v>
      </c>
      <c r="C52" s="21">
        <v>45394</v>
      </c>
      <c r="D52" s="116">
        <v>1.5</v>
      </c>
    </row>
    <row r="53" spans="2:4" ht="15.25" customHeight="1">
      <c r="B53" s="23" t="s">
        <v>293</v>
      </c>
      <c r="C53" s="21">
        <v>45400</v>
      </c>
      <c r="D53" s="116">
        <v>55</v>
      </c>
    </row>
    <row r="54" spans="2:4" ht="15.25" customHeight="1">
      <c r="B54" s="23" t="s">
        <v>18</v>
      </c>
      <c r="C54" s="21">
        <v>45401</v>
      </c>
      <c r="D54" s="116">
        <v>51.48</v>
      </c>
    </row>
    <row r="55" spans="2:4" ht="15.25" customHeight="1">
      <c r="B55" s="23" t="s">
        <v>18</v>
      </c>
      <c r="C55" s="21">
        <v>45408</v>
      </c>
      <c r="D55" s="116">
        <v>5.66</v>
      </c>
    </row>
    <row r="56" spans="2:4" ht="15.25" customHeight="1">
      <c r="B56" s="23" t="s">
        <v>307</v>
      </c>
      <c r="C56" s="21">
        <v>45413</v>
      </c>
      <c r="D56" s="116">
        <v>65</v>
      </c>
    </row>
    <row r="57" spans="2:4" ht="15.25" customHeight="1">
      <c r="B57" s="23" t="s">
        <v>18</v>
      </c>
      <c r="C57" s="21">
        <v>45415</v>
      </c>
      <c r="D57" s="116">
        <v>3</v>
      </c>
    </row>
    <row r="58" spans="2:4" ht="15.25" customHeight="1">
      <c r="B58" s="23"/>
      <c r="C58" s="21"/>
      <c r="D58" s="116"/>
    </row>
    <row r="59" spans="2:4" ht="15.25" customHeight="1">
      <c r="B59" s="111" t="s">
        <v>84</v>
      </c>
      <c r="C59" s="107"/>
      <c r="D59" s="112">
        <f>SUM(D34:D57)</f>
        <v>1028.07</v>
      </c>
    </row>
    <row r="60" spans="2:4" ht="15.25" customHeight="1">
      <c r="B60" s="113"/>
    </row>
    <row r="61" spans="2:4" ht="15.25" customHeight="1">
      <c r="B61" s="15" t="s">
        <v>89</v>
      </c>
      <c r="C61" s="107" t="s">
        <v>6</v>
      </c>
      <c r="D61" s="108" t="s">
        <v>82</v>
      </c>
    </row>
    <row r="62" spans="2:4" ht="15.25" customHeight="1">
      <c r="B62" s="114" t="s">
        <v>17</v>
      </c>
      <c r="C62" s="19">
        <v>45303</v>
      </c>
      <c r="D62" s="109">
        <v>100</v>
      </c>
    </row>
    <row r="63" spans="2:4" ht="15.25" customHeight="1">
      <c r="B63" s="18" t="s">
        <v>20</v>
      </c>
      <c r="C63" s="21">
        <v>45302</v>
      </c>
      <c r="D63" s="110">
        <v>2140</v>
      </c>
    </row>
    <row r="64" spans="2:4" ht="15.25" customHeight="1">
      <c r="B64" s="23" t="s">
        <v>33</v>
      </c>
      <c r="C64" s="21">
        <v>45337</v>
      </c>
      <c r="D64" s="110">
        <v>14000</v>
      </c>
    </row>
    <row r="65" spans="2:4" ht="28">
      <c r="B65" s="27" t="s">
        <v>90</v>
      </c>
      <c r="C65" s="21">
        <v>45372</v>
      </c>
      <c r="D65" s="110">
        <v>1000</v>
      </c>
    </row>
    <row r="66" spans="2:4">
      <c r="B66" s="23" t="s">
        <v>254</v>
      </c>
      <c r="C66" s="21">
        <v>45371</v>
      </c>
      <c r="D66" s="110">
        <v>500</v>
      </c>
    </row>
    <row r="67" spans="2:4">
      <c r="B67" s="23" t="s">
        <v>257</v>
      </c>
      <c r="C67" s="21">
        <v>45377</v>
      </c>
      <c r="D67" s="110">
        <v>3000</v>
      </c>
    </row>
    <row r="68" spans="2:4">
      <c r="B68" s="23" t="s">
        <v>279</v>
      </c>
      <c r="C68" s="21">
        <v>45387</v>
      </c>
      <c r="D68" s="110">
        <v>2265</v>
      </c>
    </row>
    <row r="69" spans="2:4" ht="14">
      <c r="B69" s="27" t="s">
        <v>281</v>
      </c>
      <c r="C69" s="21">
        <v>45394</v>
      </c>
      <c r="D69" s="110">
        <v>8550</v>
      </c>
    </row>
    <row r="70" spans="2:4">
      <c r="B70" s="23" t="s">
        <v>299</v>
      </c>
      <c r="C70" s="21">
        <v>45404</v>
      </c>
      <c r="D70" s="110">
        <v>2500</v>
      </c>
    </row>
    <row r="71" spans="2:4">
      <c r="B71" s="23" t="s">
        <v>297</v>
      </c>
      <c r="C71" s="21">
        <v>45404</v>
      </c>
      <c r="D71" s="110">
        <v>7962.95</v>
      </c>
    </row>
    <row r="72" spans="2:4">
      <c r="B72" s="23" t="s">
        <v>294</v>
      </c>
      <c r="C72" s="21">
        <v>45407</v>
      </c>
      <c r="D72" s="110">
        <v>2775</v>
      </c>
    </row>
    <row r="73" spans="2:4">
      <c r="B73" s="23" t="s">
        <v>303</v>
      </c>
      <c r="C73" s="21">
        <v>45412</v>
      </c>
      <c r="D73" s="110">
        <v>3000</v>
      </c>
    </row>
    <row r="74" spans="2:4">
      <c r="B74" s="23" t="s">
        <v>306</v>
      </c>
      <c r="C74" s="21">
        <v>45413</v>
      </c>
      <c r="D74" s="110">
        <v>1772</v>
      </c>
    </row>
    <row r="75" spans="2:4" ht="15.25" customHeight="1">
      <c r="B75" s="111" t="s">
        <v>84</v>
      </c>
      <c r="C75" s="107"/>
      <c r="D75" s="112">
        <f>SUM(D62:D74)</f>
        <v>49564.95</v>
      </c>
    </row>
    <row r="76" spans="2:4" ht="15.25" hidden="1" customHeight="1">
      <c r="B76" s="113"/>
    </row>
    <row r="77" spans="2:4" ht="15.25" hidden="1" customHeight="1">
      <c r="B77" s="15" t="s">
        <v>91</v>
      </c>
      <c r="C77" s="107" t="s">
        <v>6</v>
      </c>
      <c r="D77" s="108" t="s">
        <v>82</v>
      </c>
    </row>
    <row r="78" spans="2:4" ht="15.25" hidden="1" customHeight="1">
      <c r="B78" s="114" t="s">
        <v>92</v>
      </c>
      <c r="C78" s="19"/>
      <c r="D78" s="109"/>
    </row>
    <row r="79" spans="2:4" ht="15.25" hidden="1" customHeight="1">
      <c r="B79" s="111" t="s">
        <v>84</v>
      </c>
      <c r="C79" s="107"/>
      <c r="D79" s="112">
        <f>SUM(D78)</f>
        <v>0</v>
      </c>
    </row>
    <row r="80" spans="2:4" ht="15.25" customHeight="1">
      <c r="B80" s="113"/>
    </row>
    <row r="81" spans="2:4" ht="15.25" customHeight="1">
      <c r="B81" s="15" t="s">
        <v>93</v>
      </c>
      <c r="C81" s="107" t="s">
        <v>6</v>
      </c>
      <c r="D81" s="108" t="s">
        <v>82</v>
      </c>
    </row>
    <row r="82" spans="2:4" ht="15.25" customHeight="1">
      <c r="B82" s="114" t="s">
        <v>21</v>
      </c>
      <c r="C82" s="19">
        <v>45322</v>
      </c>
      <c r="D82" s="109">
        <v>1000</v>
      </c>
    </row>
    <row r="83" spans="2:4" ht="15.25" customHeight="1">
      <c r="B83" s="18" t="s">
        <v>43</v>
      </c>
      <c r="C83" s="21">
        <v>45351</v>
      </c>
      <c r="D83" s="110">
        <v>1000</v>
      </c>
    </row>
    <row r="84" spans="2:4" ht="15.25" customHeight="1">
      <c r="B84" s="23" t="s">
        <v>49</v>
      </c>
      <c r="C84" s="21">
        <v>45373</v>
      </c>
      <c r="D84" s="110">
        <v>1000</v>
      </c>
    </row>
    <row r="85" spans="2:4" ht="15.25" customHeight="1">
      <c r="B85" s="23" t="s">
        <v>311</v>
      </c>
      <c r="C85" s="21">
        <v>45404</v>
      </c>
      <c r="D85" s="110">
        <v>1500</v>
      </c>
    </row>
    <row r="86" spans="2:4" ht="15.25" customHeight="1">
      <c r="B86" s="23" t="s">
        <v>304</v>
      </c>
      <c r="C86" s="21">
        <v>45412</v>
      </c>
      <c r="D86" s="110">
        <v>1000</v>
      </c>
    </row>
    <row r="87" spans="2:4" ht="15.25" customHeight="1">
      <c r="B87" s="111" t="s">
        <v>84</v>
      </c>
      <c r="C87" s="107"/>
      <c r="D87" s="112">
        <f>SUM(D82:D86)</f>
        <v>5500</v>
      </c>
    </row>
    <row r="88" spans="2:4" ht="15.25" customHeight="1">
      <c r="B88" s="113"/>
    </row>
    <row r="89" spans="2:4" ht="15.25" customHeight="1">
      <c r="B89" s="15" t="s">
        <v>94</v>
      </c>
      <c r="C89" s="107" t="s">
        <v>6</v>
      </c>
      <c r="D89" s="108" t="s">
        <v>82</v>
      </c>
    </row>
    <row r="90" spans="2:4" ht="15.25" customHeight="1">
      <c r="B90" s="114" t="s">
        <v>13</v>
      </c>
      <c r="C90" s="19">
        <v>45293</v>
      </c>
      <c r="D90" s="109">
        <v>15000</v>
      </c>
    </row>
    <row r="91" spans="2:4" ht="15.25" customHeight="1">
      <c r="B91" s="18" t="s">
        <v>22</v>
      </c>
      <c r="C91" s="21">
        <v>45323</v>
      </c>
      <c r="D91" s="110">
        <v>15000</v>
      </c>
    </row>
    <row r="92" spans="2:4" ht="15.25" customHeight="1">
      <c r="B92" s="18" t="s">
        <v>45</v>
      </c>
      <c r="C92" s="21">
        <v>45352</v>
      </c>
      <c r="D92" s="110">
        <v>15000</v>
      </c>
    </row>
    <row r="93" spans="2:4" ht="15.25" customHeight="1">
      <c r="B93" s="18" t="s">
        <v>264</v>
      </c>
      <c r="C93" s="21">
        <v>45019</v>
      </c>
      <c r="D93" s="110">
        <v>15000</v>
      </c>
    </row>
    <row r="94" spans="2:4" ht="15.25" customHeight="1">
      <c r="B94" s="23" t="s">
        <v>295</v>
      </c>
      <c r="C94" s="21">
        <v>45397</v>
      </c>
      <c r="D94" s="110">
        <v>32318</v>
      </c>
    </row>
    <row r="95" spans="2:4" ht="15.25" customHeight="1">
      <c r="B95" s="111" t="s">
        <v>84</v>
      </c>
      <c r="C95" s="107"/>
      <c r="D95" s="112">
        <f>SUM(D90:D94)</f>
        <v>92318</v>
      </c>
    </row>
    <row r="96" spans="2:4" ht="15.25" customHeight="1"/>
    <row r="97" spans="2:4" ht="15.25" customHeight="1">
      <c r="B97" s="15" t="s">
        <v>95</v>
      </c>
      <c r="C97" s="107" t="s">
        <v>6</v>
      </c>
      <c r="D97" s="108" t="s">
        <v>82</v>
      </c>
    </row>
    <row r="98" spans="2:4" ht="15.25" customHeight="1">
      <c r="B98" s="114" t="s">
        <v>25</v>
      </c>
      <c r="C98" s="19">
        <v>45331</v>
      </c>
      <c r="D98" s="109">
        <v>2500</v>
      </c>
    </row>
    <row r="99" spans="2:4" ht="15.25" customHeight="1">
      <c r="B99" s="23" t="s">
        <v>253</v>
      </c>
      <c r="C99" s="21">
        <v>45371</v>
      </c>
      <c r="D99" s="109">
        <v>2500</v>
      </c>
    </row>
    <row r="100" spans="2:4" ht="15.25" customHeight="1">
      <c r="B100" s="23" t="s">
        <v>256</v>
      </c>
      <c r="C100" s="21">
        <v>45377</v>
      </c>
      <c r="D100" s="109">
        <v>2500</v>
      </c>
    </row>
    <row r="101" spans="2:4" ht="15.25" customHeight="1">
      <c r="B101" s="1" t="s">
        <v>310</v>
      </c>
      <c r="C101" s="376">
        <v>45396</v>
      </c>
      <c r="D101" s="109">
        <v>2500</v>
      </c>
    </row>
    <row r="102" spans="2:4" ht="15.25" customHeight="1">
      <c r="B102" s="111" t="s">
        <v>84</v>
      </c>
      <c r="C102" s="107"/>
      <c r="D102" s="112">
        <f>SUM(D98:D98)</f>
        <v>2500</v>
      </c>
    </row>
    <row r="103" spans="2:4" ht="15.25" hidden="1" customHeight="1"/>
    <row r="104" spans="2:4" ht="15.25" hidden="1" customHeight="1">
      <c r="B104" s="15" t="s">
        <v>96</v>
      </c>
      <c r="C104" s="107" t="s">
        <v>6</v>
      </c>
      <c r="D104" s="108" t="s">
        <v>82</v>
      </c>
    </row>
    <row r="105" spans="2:4" ht="15.25" hidden="1" customHeight="1">
      <c r="B105" s="117"/>
      <c r="C105" s="19"/>
      <c r="D105" s="118"/>
    </row>
    <row r="106" spans="2:4" ht="15.25" hidden="1" customHeight="1">
      <c r="B106" s="111" t="s">
        <v>84</v>
      </c>
      <c r="C106" s="119"/>
      <c r="D106" s="112">
        <f>SUM(D105:D105)</f>
        <v>0</v>
      </c>
    </row>
    <row r="107" spans="2:4" ht="15.25" customHeight="1"/>
    <row r="108" spans="2:4" ht="15.25" customHeight="1">
      <c r="B108" s="15" t="s">
        <v>97</v>
      </c>
      <c r="C108" s="107" t="s">
        <v>6</v>
      </c>
      <c r="D108" s="108" t="s">
        <v>82</v>
      </c>
    </row>
    <row r="109" spans="2:4" ht="15.25" customHeight="1">
      <c r="B109" s="120" t="s">
        <v>23</v>
      </c>
      <c r="C109" s="121">
        <v>45310</v>
      </c>
      <c r="D109" s="122">
        <v>6538.23</v>
      </c>
    </row>
    <row r="110" spans="2:4" ht="15.25" customHeight="1">
      <c r="B110" s="23" t="s">
        <v>98</v>
      </c>
      <c r="C110" s="123">
        <v>45343</v>
      </c>
      <c r="D110" s="110">
        <v>126944.4</v>
      </c>
    </row>
    <row r="111" spans="2:4" ht="15.25" customHeight="1">
      <c r="B111" s="23" t="s">
        <v>99</v>
      </c>
      <c r="C111" s="123">
        <v>45367</v>
      </c>
      <c r="D111" s="110">
        <v>42314.8</v>
      </c>
    </row>
    <row r="112" spans="2:4" ht="15.25" customHeight="1">
      <c r="B112" s="23" t="s">
        <v>262</v>
      </c>
      <c r="C112" s="21">
        <v>45384</v>
      </c>
      <c r="D112" s="110">
        <v>42314.8</v>
      </c>
    </row>
    <row r="113" spans="2:4" ht="15.25" customHeight="1">
      <c r="B113" s="23" t="s">
        <v>263</v>
      </c>
      <c r="C113" s="21">
        <v>45384</v>
      </c>
      <c r="D113" s="110">
        <v>23000</v>
      </c>
    </row>
    <row r="114" spans="2:4" ht="15.25" customHeight="1">
      <c r="B114" s="23" t="s">
        <v>305</v>
      </c>
      <c r="C114" s="21">
        <v>45412</v>
      </c>
      <c r="D114" s="110">
        <v>27528</v>
      </c>
    </row>
    <row r="115" spans="2:4" ht="15.25" customHeight="1">
      <c r="B115" s="28"/>
      <c r="C115" s="29"/>
      <c r="D115" s="112">
        <f>SUM(D109:D114)</f>
        <v>268640.23</v>
      </c>
    </row>
    <row r="116" spans="2:4" ht="15.25" customHeight="1">
      <c r="B116" s="23"/>
    </row>
    <row r="117" spans="2:4" ht="15.25" customHeight="1">
      <c r="B117" s="15" t="s">
        <v>100</v>
      </c>
      <c r="C117" s="107" t="s">
        <v>6</v>
      </c>
      <c r="D117" s="108" t="s">
        <v>82</v>
      </c>
    </row>
    <row r="118" spans="2:4" ht="15.25" customHeight="1">
      <c r="B118" s="120" t="s">
        <v>101</v>
      </c>
      <c r="C118" s="121">
        <v>45343</v>
      </c>
      <c r="D118" s="122">
        <v>82584</v>
      </c>
    </row>
    <row r="119" spans="2:4" ht="30">
      <c r="B119" s="27" t="s">
        <v>52</v>
      </c>
      <c r="C119" s="123">
        <v>45363</v>
      </c>
      <c r="D119" s="110">
        <v>13261</v>
      </c>
    </row>
    <row r="120" spans="2:4">
      <c r="B120" s="1" t="s">
        <v>309</v>
      </c>
      <c r="C120" s="123">
        <v>45364</v>
      </c>
      <c r="D120" s="110">
        <v>21368.35</v>
      </c>
    </row>
    <row r="121" spans="2:4" ht="15.25" customHeight="1">
      <c r="B121" s="23" t="s">
        <v>102</v>
      </c>
      <c r="C121" s="123">
        <v>45367</v>
      </c>
      <c r="D121" s="110">
        <v>27528</v>
      </c>
    </row>
    <row r="122" spans="2:4">
      <c r="B122" s="1" t="s">
        <v>309</v>
      </c>
      <c r="C122" s="2">
        <v>45371</v>
      </c>
      <c r="D122" s="3">
        <v>1351.01</v>
      </c>
    </row>
    <row r="123" spans="2:4" ht="28">
      <c r="B123" s="27" t="s">
        <v>103</v>
      </c>
      <c r="C123" s="124">
        <v>45372</v>
      </c>
      <c r="D123" s="110">
        <v>6000</v>
      </c>
    </row>
    <row r="124" spans="2:4">
      <c r="B124" s="1" t="s">
        <v>309</v>
      </c>
      <c r="C124" s="2">
        <v>45373</v>
      </c>
      <c r="D124" s="3">
        <v>219.64</v>
      </c>
    </row>
    <row r="125" spans="2:4">
      <c r="B125" s="1" t="s">
        <v>309</v>
      </c>
      <c r="C125" s="52">
        <v>45374</v>
      </c>
      <c r="D125" s="110">
        <v>399.02</v>
      </c>
    </row>
    <row r="126" spans="2:4">
      <c r="B126" s="1" t="s">
        <v>309</v>
      </c>
      <c r="C126" s="2">
        <v>45376</v>
      </c>
      <c r="D126" s="110">
        <v>1543.05</v>
      </c>
    </row>
    <row r="127" spans="2:4">
      <c r="B127" s="1" t="s">
        <v>255</v>
      </c>
      <c r="C127" s="124">
        <v>45376</v>
      </c>
      <c r="D127" s="110">
        <v>14000</v>
      </c>
    </row>
    <row r="128" spans="2:4">
      <c r="B128" s="1" t="s">
        <v>309</v>
      </c>
      <c r="C128" s="52">
        <v>45378</v>
      </c>
      <c r="D128" s="110">
        <v>702.99</v>
      </c>
    </row>
    <row r="129" spans="2:4">
      <c r="B129" s="1" t="s">
        <v>309</v>
      </c>
      <c r="C129" s="124">
        <v>45394</v>
      </c>
      <c r="D129" s="110">
        <v>15071.96</v>
      </c>
    </row>
    <row r="130" spans="2:4">
      <c r="B130" s="23" t="s">
        <v>326</v>
      </c>
      <c r="C130" s="124">
        <v>45421</v>
      </c>
      <c r="D130" s="110">
        <v>45000</v>
      </c>
    </row>
    <row r="131" spans="2:4">
      <c r="C131" s="124"/>
      <c r="D131" s="110"/>
    </row>
    <row r="132" spans="2:4">
      <c r="C132" s="124"/>
      <c r="D132" s="110"/>
    </row>
    <row r="133" spans="2:4">
      <c r="C133" s="124"/>
      <c r="D133" s="110"/>
    </row>
    <row r="134" spans="2:4" ht="15.25" customHeight="1">
      <c r="B134" s="111" t="s">
        <v>84</v>
      </c>
      <c r="C134" s="107"/>
      <c r="D134" s="112">
        <f>SUM(D118:D130)</f>
        <v>229029.02</v>
      </c>
    </row>
    <row r="135" spans="2:4" ht="15.25" customHeight="1"/>
    <row r="136" spans="2:4" ht="15.25" customHeight="1">
      <c r="B136" s="15" t="s">
        <v>104</v>
      </c>
      <c r="C136" s="107" t="s">
        <v>6</v>
      </c>
      <c r="D136" s="108" t="s">
        <v>82</v>
      </c>
    </row>
    <row r="137" spans="2:4" ht="15.25" customHeight="1">
      <c r="B137" s="120" t="s">
        <v>105</v>
      </c>
      <c r="C137" s="121">
        <v>45310</v>
      </c>
      <c r="D137" s="122">
        <v>200</v>
      </c>
    </row>
    <row r="138" spans="2:4" ht="15.25" customHeight="1">
      <c r="B138" s="23" t="s">
        <v>106</v>
      </c>
      <c r="C138" s="123">
        <v>45342</v>
      </c>
      <c r="D138" s="110">
        <v>200</v>
      </c>
    </row>
    <row r="139" spans="2:4" ht="15.25" customHeight="1">
      <c r="B139" s="111" t="s">
        <v>84</v>
      </c>
      <c r="C139" s="107"/>
      <c r="D139" s="112">
        <f>SUM(D137:D138)</f>
        <v>400</v>
      </c>
    </row>
    <row r="140" spans="2:4" ht="15.25" customHeight="1">
      <c r="B140" s="125"/>
      <c r="C140" s="126"/>
      <c r="D140" s="127"/>
    </row>
    <row r="141" spans="2:4" ht="15.25" customHeight="1">
      <c r="B141" s="128" t="s">
        <v>24</v>
      </c>
      <c r="C141" s="129">
        <v>45330</v>
      </c>
      <c r="D141" s="130">
        <v>4000</v>
      </c>
    </row>
    <row r="142" spans="2:4" ht="15.25" customHeight="1">
      <c r="B142" s="128" t="s">
        <v>107</v>
      </c>
      <c r="C142" s="129">
        <v>45342</v>
      </c>
      <c r="D142" s="130">
        <v>1000</v>
      </c>
    </row>
    <row r="143" spans="2:4" ht="15.25" customHeight="1">
      <c r="B143" s="128" t="s">
        <v>107</v>
      </c>
      <c r="C143" s="129">
        <v>45408</v>
      </c>
      <c r="D143" s="130">
        <v>1000</v>
      </c>
    </row>
    <row r="144" spans="2:4" ht="15.25" customHeight="1">
      <c r="B144" s="131" t="s">
        <v>84</v>
      </c>
      <c r="C144" s="132"/>
      <c r="D144" s="133">
        <f>SUM(D141:D143)</f>
        <v>6000</v>
      </c>
    </row>
    <row r="145" spans="2:4" ht="15.25" customHeight="1">
      <c r="B145" s="125"/>
      <c r="C145" s="126"/>
      <c r="D145" s="134"/>
    </row>
    <row r="146" spans="2:4" ht="15.25" customHeight="1">
      <c r="B146" s="135" t="s">
        <v>108</v>
      </c>
      <c r="D146" s="136">
        <f>D23+D31+D59+D75+D79+D87+D95+D102+D106+D106+D115+D134+D139</f>
        <v>679005.51</v>
      </c>
    </row>
    <row r="148" spans="2:4" ht="15.25" customHeight="1">
      <c r="B148" s="135" t="s">
        <v>109</v>
      </c>
      <c r="D148" s="136">
        <f>D144</f>
        <v>6000</v>
      </c>
    </row>
    <row r="150" spans="2:4" ht="14">
      <c r="B150" s="135"/>
      <c r="D150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59" max="16383" man="1"/>
    <brk id="134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topLeftCell="A2" zoomScale="90" zoomScaleNormal="90" workbookViewId="0">
      <selection activeCell="L32" sqref="L32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"/>
      <c r="B1" s="138"/>
      <c r="C1" s="138"/>
      <c r="D1" s="138"/>
      <c r="E1" s="138"/>
      <c r="F1" s="4"/>
      <c r="G1" s="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111</v>
      </c>
      <c r="C7" s="142"/>
      <c r="D7" s="142"/>
      <c r="E7" s="143"/>
      <c r="I7" s="144"/>
      <c r="J7" s="144"/>
      <c r="K7" s="144"/>
      <c r="L7" s="144"/>
    </row>
    <row r="9" spans="1:12" ht="15.25" customHeight="1">
      <c r="B9" s="145"/>
      <c r="C9" s="146"/>
      <c r="D9" s="147"/>
      <c r="E9" s="148" t="s">
        <v>84</v>
      </c>
    </row>
    <row r="10" spans="1:12" ht="8" customHeight="1">
      <c r="B10" s="149"/>
      <c r="C10" s="150"/>
      <c r="D10" s="151"/>
      <c r="E10" s="152"/>
    </row>
    <row r="11" spans="1:12" ht="15.25" customHeight="1">
      <c r="A11" s="7"/>
      <c r="B11" s="153" t="s">
        <v>112</v>
      </c>
      <c r="C11" s="154"/>
      <c r="D11" s="155"/>
      <c r="E11" s="156">
        <v>124000</v>
      </c>
    </row>
    <row r="12" spans="1:12" ht="15.25" customHeight="1">
      <c r="A12" s="7"/>
      <c r="B12" s="157" t="s">
        <v>113</v>
      </c>
      <c r="C12" s="158"/>
      <c r="D12" s="159"/>
      <c r="E12" s="152"/>
    </row>
    <row r="13" spans="1:12" ht="15.25" customHeight="1">
      <c r="A13" s="7"/>
      <c r="B13" s="157" t="s">
        <v>114</v>
      </c>
      <c r="C13" s="158"/>
      <c r="D13" s="159"/>
      <c r="E13" s="152"/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153" t="s">
        <v>115</v>
      </c>
      <c r="C15" s="154"/>
      <c r="D15" s="161"/>
      <c r="E15" s="156">
        <v>17647.18</v>
      </c>
    </row>
    <row r="16" spans="1:12" ht="15.25" customHeight="1">
      <c r="A16" s="7"/>
      <c r="B16" s="157" t="s">
        <v>116</v>
      </c>
      <c r="C16" s="158"/>
      <c r="D16" s="152"/>
      <c r="E16" s="152"/>
    </row>
    <row r="17" spans="1:15" ht="15.25" customHeight="1">
      <c r="A17" s="7"/>
      <c r="B17" s="157" t="s">
        <v>114</v>
      </c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 t="s">
        <v>117</v>
      </c>
      <c r="C19" s="158"/>
      <c r="D19" s="152"/>
      <c r="E19" s="156">
        <f>(E11+E15)*0.1</f>
        <v>14164.718000000001</v>
      </c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155811.89799999999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125</v>
      </c>
      <c r="C30" s="174"/>
      <c r="D30" s="175"/>
      <c r="E30" s="176">
        <f>E21</f>
        <v>155811.89799999999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>
      <c r="B32" s="189" t="s">
        <v>65</v>
      </c>
      <c r="C32" s="190" t="s">
        <v>66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>
      <c r="B34" s="193" t="s">
        <v>69</v>
      </c>
      <c r="C34" s="194" t="s">
        <v>70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>
      <c r="B35" s="193" t="s">
        <v>71</v>
      </c>
      <c r="C35" s="194" t="s">
        <v>72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>
      <c r="B37" s="193" t="s">
        <v>75</v>
      </c>
      <c r="C37" s="194" t="s">
        <v>76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>
      <c r="B38" s="193" t="s">
        <v>77</v>
      </c>
      <c r="C38" s="194" t="s">
        <v>78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>
      <c r="B39" s="201" t="s">
        <v>84</v>
      </c>
      <c r="C39" s="202"/>
      <c r="D39" s="203">
        <f>SUM(D32:D38)</f>
        <v>1.0001</v>
      </c>
      <c r="E39" s="204">
        <f>SUM(E32:E38)</f>
        <v>155811.9</v>
      </c>
    </row>
    <row r="40" spans="2:14" ht="14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6" zoomScale="90" zoomScaleNormal="90" workbookViewId="0">
      <selection activeCell="E38" sqref="E3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348"/>
      <c r="B1" s="138"/>
      <c r="C1" s="138"/>
      <c r="D1" s="138"/>
      <c r="E1" s="138"/>
      <c r="F1" s="348"/>
      <c r="G1" s="348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289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84</v>
      </c>
    </row>
    <row r="10" spans="1:12" ht="13.5" customHeight="1">
      <c r="B10" s="363" t="s">
        <v>285</v>
      </c>
      <c r="C10" s="150"/>
      <c r="D10" s="151"/>
      <c r="E10" s="152"/>
    </row>
    <row r="11" spans="1:12" ht="15.25" customHeight="1">
      <c r="A11" s="7"/>
      <c r="B11" s="153" t="s">
        <v>284</v>
      </c>
      <c r="C11" s="154"/>
      <c r="D11" s="155"/>
      <c r="E11" s="156">
        <v>19220</v>
      </c>
    </row>
    <row r="12" spans="1:12" ht="15.25" customHeight="1">
      <c r="A12" s="7"/>
      <c r="B12" s="157"/>
      <c r="C12" s="158"/>
      <c r="D12" s="159"/>
      <c r="E12" s="152"/>
    </row>
    <row r="13" spans="1:12" ht="15.25" customHeight="1">
      <c r="A13" s="7"/>
      <c r="B13" s="365" t="s">
        <v>117</v>
      </c>
      <c r="C13" s="366"/>
      <c r="D13" s="367"/>
      <c r="E13" s="349">
        <f>E11*0.1</f>
        <v>1922</v>
      </c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364" t="s">
        <v>286</v>
      </c>
      <c r="C15" s="154"/>
      <c r="D15" s="161"/>
    </row>
    <row r="16" spans="1:12" ht="15.25" customHeight="1">
      <c r="A16" s="7"/>
      <c r="B16" s="153" t="s">
        <v>287</v>
      </c>
      <c r="C16" s="158"/>
      <c r="D16" s="152"/>
      <c r="E16" s="156">
        <v>57000</v>
      </c>
    </row>
    <row r="17" spans="1:15" ht="15.25" customHeight="1">
      <c r="A17" s="7"/>
      <c r="B17" s="157"/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78142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290</v>
      </c>
      <c r="C30" s="174"/>
      <c r="D30" s="175"/>
      <c r="E30" s="176">
        <f>E21</f>
        <v>78142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>
      <c r="B32" s="189" t="s">
        <v>65</v>
      </c>
      <c r="C32" s="190" t="s">
        <v>66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>
      <c r="B34" s="193" t="s">
        <v>69</v>
      </c>
      <c r="C34" s="194" t="s">
        <v>70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>
      <c r="B35" s="193" t="s">
        <v>71</v>
      </c>
      <c r="C35" s="194" t="s">
        <v>72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>
      <c r="B37" s="193" t="s">
        <v>75</v>
      </c>
      <c r="C37" s="194" t="s">
        <v>76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>
      <c r="B38" s="193" t="s">
        <v>77</v>
      </c>
      <c r="C38" s="194" t="s">
        <v>78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>
      <c r="B39" s="201" t="s">
        <v>84</v>
      </c>
      <c r="C39" s="202"/>
      <c r="D39" s="203">
        <f>SUM(D32:D38)</f>
        <v>1</v>
      </c>
      <c r="E39" s="204">
        <f>SUM(E32:E38)</f>
        <v>78141.999999999985</v>
      </c>
    </row>
    <row r="40" spans="2:14" ht="14">
      <c r="B40" s="205"/>
      <c r="C40" s="53"/>
      <c r="D40" s="206"/>
      <c r="E40" s="170"/>
    </row>
    <row r="43" spans="2:14" ht="14">
      <c r="B43" s="351"/>
      <c r="C43" s="137"/>
      <c r="D43" s="353"/>
      <c r="E43" s="191"/>
      <c r="M43" s="137"/>
    </row>
    <row r="44" spans="2:14" ht="14">
      <c r="B44" s="351"/>
      <c r="C44" s="137"/>
      <c r="D44" s="353"/>
      <c r="E44" s="195"/>
    </row>
    <row r="45" spans="2:14" ht="14">
      <c r="B45" s="351"/>
      <c r="C45" s="137"/>
      <c r="D45" s="353"/>
      <c r="E45" s="195"/>
    </row>
    <row r="46" spans="2:14" ht="14">
      <c r="B46" s="351"/>
      <c r="C46" s="137"/>
      <c r="D46" s="353"/>
      <c r="E46" s="195"/>
    </row>
    <row r="47" spans="2:14" ht="14">
      <c r="B47" s="351"/>
      <c r="C47" s="137"/>
      <c r="D47" s="353"/>
      <c r="E47" s="195"/>
    </row>
    <row r="48" spans="2:14" ht="14">
      <c r="B48" s="351"/>
      <c r="C48" s="137"/>
      <c r="D48" s="353"/>
      <c r="E48" s="195"/>
    </row>
    <row r="49" spans="2:5" ht="14">
      <c r="B49" s="351"/>
      <c r="C49" s="137"/>
      <c r="D49" s="353"/>
      <c r="E49" s="195"/>
    </row>
    <row r="50" spans="2:5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67"/>
  <sheetViews>
    <sheetView topLeftCell="B13" zoomScale="90" zoomScaleNormal="90" workbookViewId="0">
      <selection activeCell="D28" sqref="D2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>
      <c r="A2" s="5" t="s">
        <v>0</v>
      </c>
      <c r="B2"/>
      <c r="F2" s="5"/>
      <c r="G2" s="5"/>
    </row>
    <row r="3" spans="1:14">
      <c r="A3" s="1" t="s">
        <v>1</v>
      </c>
      <c r="B3"/>
      <c r="F3" s="1"/>
      <c r="G3" s="1"/>
    </row>
    <row r="5" spans="1:14">
      <c r="B5" s="6"/>
      <c r="F5" s="207" t="s">
        <v>3</v>
      </c>
      <c r="G5" s="140"/>
    </row>
    <row r="6" spans="1:14" s="8" customFormat="1" ht="17.25" customHeight="1">
      <c r="B6" s="141" t="s">
        <v>137</v>
      </c>
      <c r="C6" s="142"/>
      <c r="D6" s="142"/>
      <c r="E6" s="143"/>
      <c r="H6"/>
      <c r="I6"/>
      <c r="J6"/>
      <c r="K6"/>
      <c r="L6"/>
      <c r="M6"/>
      <c r="N6"/>
    </row>
    <row r="7" spans="1:14">
      <c r="I7"/>
      <c r="J7"/>
      <c r="K7"/>
      <c r="L7"/>
    </row>
    <row r="8" spans="1:14" ht="15.25" customHeight="1">
      <c r="B8" s="15"/>
      <c r="C8" s="148" t="s">
        <v>138</v>
      </c>
      <c r="D8" s="148" t="s">
        <v>139</v>
      </c>
      <c r="E8" s="148" t="s">
        <v>140</v>
      </c>
      <c r="I8"/>
      <c r="J8"/>
      <c r="K8"/>
      <c r="L8"/>
    </row>
    <row r="9" spans="1:14" s="8" customFormat="1" ht="15.25" customHeight="1">
      <c r="B9" s="208" t="s">
        <v>141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>
      <c r="B10" s="211" t="s">
        <v>142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>
      <c r="B11" s="211" t="s">
        <v>85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>
      <c r="B12" s="211" t="s">
        <v>89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>
      <c r="B13" s="211" t="s">
        <v>93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>
      <c r="B14" s="211" t="s">
        <v>143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>
      <c r="B15" s="211" t="s">
        <v>144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>
      <c r="B16" s="214" t="s">
        <v>145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>
      <c r="B17" s="217" t="s">
        <v>146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>
      <c r="B18" s="220" t="s">
        <v>147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>
      <c r="B19" s="211" t="s">
        <v>148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>
      <c r="B20" s="214" t="s">
        <v>149</v>
      </c>
      <c r="C20" s="383" t="s">
        <v>150</v>
      </c>
      <c r="D20" s="383"/>
      <c r="E20" s="212">
        <v>23969.45</v>
      </c>
      <c r="I20" s="144"/>
      <c r="J20" s="144"/>
      <c r="K20" s="144"/>
      <c r="L20" s="144"/>
    </row>
    <row r="21" spans="2:14" ht="15.25" customHeight="1">
      <c r="B21" s="220" t="s">
        <v>151</v>
      </c>
      <c r="C21" s="204"/>
      <c r="D21" s="222"/>
      <c r="E21" s="204">
        <f>E19+E20</f>
        <v>40000</v>
      </c>
    </row>
    <row r="22" spans="2:14" ht="15.25" customHeight="1">
      <c r="B22" s="220"/>
      <c r="C22" s="204"/>
      <c r="D22" s="222"/>
      <c r="E22" s="204">
        <f>E18+E21</f>
        <v>539237.82000000007</v>
      </c>
    </row>
    <row r="23" spans="2:14" ht="15.25" customHeight="1">
      <c r="B23" s="225" t="s">
        <v>152</v>
      </c>
      <c r="C23" s="226"/>
      <c r="D23" s="226"/>
      <c r="E23" s="226"/>
    </row>
    <row r="24" spans="2:14" ht="15.25" customHeight="1">
      <c r="B24" s="227" t="s">
        <v>153</v>
      </c>
    </row>
    <row r="25" spans="2:14" ht="15.25" customHeight="1">
      <c r="B25" s="227" t="s">
        <v>154</v>
      </c>
      <c r="C25" s="228"/>
      <c r="D25" s="228"/>
      <c r="E25" s="228"/>
      <c r="H25" s="229" t="s">
        <v>155</v>
      </c>
    </row>
    <row r="26" spans="2:14" ht="15.25" customHeight="1">
      <c r="B26" s="230" t="s">
        <v>156</v>
      </c>
      <c r="C26" s="231"/>
      <c r="D26" s="232" t="s">
        <v>157</v>
      </c>
      <c r="E26" s="233">
        <f>E18</f>
        <v>499237.82</v>
      </c>
      <c r="H26" t="s">
        <v>126</v>
      </c>
      <c r="I26" s="234" t="s">
        <v>127</v>
      </c>
      <c r="J26" s="137" t="s">
        <v>128</v>
      </c>
      <c r="K26" s="137" t="s">
        <v>129</v>
      </c>
      <c r="L26" s="235" t="s">
        <v>130</v>
      </c>
      <c r="M26" t="s">
        <v>131</v>
      </c>
    </row>
    <row r="27" spans="2:14" ht="15.25" customHeight="1">
      <c r="B27" s="184" t="s">
        <v>132</v>
      </c>
      <c r="C27" s="185" t="s">
        <v>133</v>
      </c>
      <c r="D27" s="186" t="s">
        <v>134</v>
      </c>
      <c r="E27" s="185" t="s">
        <v>135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>
      <c r="B28" s="189" t="s">
        <v>65</v>
      </c>
      <c r="C28" s="190" t="s">
        <v>66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>
      <c r="B29" s="193" t="s">
        <v>158</v>
      </c>
      <c r="C29" s="194" t="s">
        <v>68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>
      <c r="B30" s="193" t="s">
        <v>69</v>
      </c>
      <c r="C30" s="194" t="s">
        <v>70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>
      <c r="B31" s="193" t="s">
        <v>71</v>
      </c>
      <c r="C31" s="194" t="s">
        <v>72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>
      <c r="B32" s="193" t="s">
        <v>136</v>
      </c>
      <c r="C32" s="194" t="s">
        <v>74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>
      <c r="B33" s="193" t="s">
        <v>75</v>
      </c>
      <c r="C33" s="194" t="s">
        <v>76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>
      <c r="B34" s="193" t="s">
        <v>77</v>
      </c>
      <c r="C34" s="194" t="s">
        <v>78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>
      <c r="B35" s="201" t="s">
        <v>84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>
      <c r="H36" s="229" t="s">
        <v>159</v>
      </c>
    </row>
    <row r="37" spans="2:14" ht="16">
      <c r="B37" s="230" t="s">
        <v>160</v>
      </c>
      <c r="C37" s="231"/>
      <c r="D37" s="232" t="s">
        <v>157</v>
      </c>
      <c r="E37" s="233">
        <f>E19+E20</f>
        <v>40000</v>
      </c>
      <c r="H37" t="s">
        <v>126</v>
      </c>
      <c r="I37" s="234" t="s">
        <v>127</v>
      </c>
      <c r="J37" s="137" t="s">
        <v>128</v>
      </c>
      <c r="K37" s="137" t="s">
        <v>129</v>
      </c>
      <c r="L37" s="235" t="s">
        <v>130</v>
      </c>
      <c r="M37" t="s">
        <v>131</v>
      </c>
    </row>
    <row r="38" spans="2:14" ht="14">
      <c r="B38" s="184" t="s">
        <v>132</v>
      </c>
      <c r="C38" s="185" t="s">
        <v>133</v>
      </c>
      <c r="D38" s="186" t="s">
        <v>134</v>
      </c>
      <c r="E38" s="185" t="s">
        <v>135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>
      <c r="B39" s="189" t="s">
        <v>65</v>
      </c>
      <c r="C39" s="190" t="s">
        <v>66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>
      <c r="B40" s="193" t="s">
        <v>158</v>
      </c>
      <c r="C40" s="194" t="s">
        <v>68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>
      <c r="B41" s="193" t="s">
        <v>69</v>
      </c>
      <c r="C41" s="194" t="s">
        <v>70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>
      <c r="B42" s="193" t="s">
        <v>71</v>
      </c>
      <c r="C42" s="194" t="s">
        <v>72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>
      <c r="B43" s="193" t="s">
        <v>136</v>
      </c>
      <c r="C43" s="194" t="s">
        <v>74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>
      <c r="B44" s="193" t="s">
        <v>75</v>
      </c>
      <c r="C44" s="194" t="s">
        <v>76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>
      <c r="B45" s="193" t="s">
        <v>77</v>
      </c>
      <c r="C45" s="194" t="s">
        <v>78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>
      <c r="B46" s="201" t="s">
        <v>84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>
      <c r="H47" s="229" t="s">
        <v>161</v>
      </c>
    </row>
    <row r="48" spans="2:14">
      <c r="B48" s="244"/>
      <c r="C48" s="245" t="s">
        <v>162</v>
      </c>
      <c r="D48" s="246"/>
      <c r="E48" s="247"/>
      <c r="H48" t="s">
        <v>126</v>
      </c>
      <c r="I48" s="234" t="s">
        <v>127</v>
      </c>
      <c r="J48" s="137" t="s">
        <v>128</v>
      </c>
      <c r="K48" s="137" t="s">
        <v>129</v>
      </c>
      <c r="L48" s="235" t="s">
        <v>130</v>
      </c>
      <c r="M48" t="s">
        <v>131</v>
      </c>
    </row>
    <row r="49" spans="2:14">
      <c r="B49" s="248" t="s">
        <v>126</v>
      </c>
      <c r="C49" s="249" t="s">
        <v>163</v>
      </c>
      <c r="D49" s="249" t="s">
        <v>164</v>
      </c>
      <c r="E49" s="249" t="s">
        <v>84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>
      <c r="B50" s="250" t="s">
        <v>66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>
      <c r="B51" s="250" t="s">
        <v>68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>
      <c r="B52" s="250" t="s">
        <v>70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>
      <c r="B53" s="250" t="s">
        <v>72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>
      <c r="B54" s="250" t="s">
        <v>74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>
      <c r="B55" s="250" t="s">
        <v>76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>
      <c r="B56" s="253" t="s">
        <v>78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>
      <c r="C58"/>
      <c r="D58"/>
      <c r="E58"/>
      <c r="H58" s="229" t="s">
        <v>161</v>
      </c>
    </row>
    <row r="59" spans="2:14">
      <c r="C59"/>
      <c r="D59"/>
      <c r="E59"/>
      <c r="H59" t="s">
        <v>126</v>
      </c>
      <c r="I59" s="234" t="s">
        <v>127</v>
      </c>
      <c r="J59" s="137" t="s">
        <v>128</v>
      </c>
      <c r="K59" s="137" t="s">
        <v>129</v>
      </c>
      <c r="L59" s="235" t="s">
        <v>130</v>
      </c>
      <c r="M59" t="s">
        <v>131</v>
      </c>
    </row>
    <row r="60" spans="2:14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8"/>
  <sheetViews>
    <sheetView tabSelected="1" topLeftCell="A7" zoomScale="90" zoomScaleNormal="90" workbookViewId="0">
      <selection activeCell="I41" sqref="I41"/>
    </sheetView>
  </sheetViews>
  <sheetFormatPr baseColWidth="10" defaultColWidth="12.6640625" defaultRowHeight="13"/>
  <cols>
    <col min="1" max="1" width="4.5" customWidth="1"/>
    <col min="2" max="2" width="45.6640625" style="1" customWidth="1"/>
    <col min="3" max="3" width="14.33203125" style="2" customWidth="1"/>
    <col min="4" max="4" width="14.6640625" style="2" customWidth="1"/>
    <col min="5" max="5" width="17.33203125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165</v>
      </c>
    </row>
    <row r="6" spans="1:7">
      <c r="A6" s="1"/>
      <c r="B6" s="258" t="s">
        <v>166</v>
      </c>
    </row>
    <row r="7" spans="1:7">
      <c r="A7" s="1"/>
      <c r="B7" t="s">
        <v>167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4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t="10.5" hidden="1" customHeight="1">
      <c r="B13" s="263" t="s">
        <v>172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>
      <c r="B14" s="263" t="s">
        <v>172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>
      <c r="B15" s="263" t="s">
        <v>172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>
      <c r="B16" s="263" t="s">
        <v>172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6" ht="19.5" hidden="1" customHeight="1">
      <c r="B17" s="263" t="s">
        <v>172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6" ht="25" hidden="1" customHeight="1">
      <c r="B18" s="267" t="s">
        <v>173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6">
      <c r="B19" s="338" t="s">
        <v>273</v>
      </c>
      <c r="C19" s="339">
        <v>45657</v>
      </c>
      <c r="D19" s="340"/>
      <c r="E19" s="341"/>
      <c r="F19" s="342">
        <v>86084.02</v>
      </c>
    </row>
    <row r="20" spans="2:6">
      <c r="B20" s="267" t="s">
        <v>173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6" ht="28">
      <c r="B21" s="271" t="s">
        <v>174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6" ht="28">
      <c r="B22" s="271" t="s">
        <v>175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6" ht="14">
      <c r="B23" s="271" t="s">
        <v>176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6" ht="28">
      <c r="B24" s="271" t="s">
        <v>177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6" ht="28">
      <c r="B25" s="271" t="s">
        <v>178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6" ht="28">
      <c r="B26" s="271" t="s">
        <v>179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6" ht="28">
      <c r="B27" s="271" t="s">
        <v>180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6" ht="14">
      <c r="B28" s="271" t="s">
        <v>172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6">
      <c r="B29" s="267" t="s">
        <v>181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6" ht="28">
      <c r="B30" s="271" t="s">
        <v>274</v>
      </c>
      <c r="C30" s="358">
        <v>45383</v>
      </c>
      <c r="D30" s="359">
        <v>16108.65</v>
      </c>
      <c r="E30" s="357"/>
      <c r="F30" s="266">
        <f t="shared" si="0"/>
        <v>1290.6600000000199</v>
      </c>
    </row>
    <row r="31" spans="2:6" ht="28">
      <c r="B31" s="271" t="s">
        <v>275</v>
      </c>
      <c r="C31" s="360">
        <v>45383</v>
      </c>
      <c r="D31" s="361">
        <v>1290.6600000000001</v>
      </c>
      <c r="E31" s="270"/>
      <c r="F31" s="275">
        <f t="shared" si="0"/>
        <v>1.9781509763561189E-11</v>
      </c>
    </row>
    <row r="32" spans="2:6" ht="28">
      <c r="B32" s="271" t="s">
        <v>291</v>
      </c>
      <c r="C32" s="369">
        <v>45397</v>
      </c>
      <c r="D32" s="361">
        <v>10082.012726136585</v>
      </c>
      <c r="E32" s="270"/>
      <c r="F32" s="266">
        <f>F31-D32+E32</f>
        <v>-10082.012726136565</v>
      </c>
    </row>
    <row r="33" spans="2:6">
      <c r="B33" s="267" t="s">
        <v>313</v>
      </c>
      <c r="C33" s="369">
        <v>45418</v>
      </c>
      <c r="D33" s="361">
        <f>D32*2%</f>
        <v>201.64025452273171</v>
      </c>
      <c r="E33" s="270"/>
      <c r="F33" s="266">
        <f>F32-D33+E33</f>
        <v>-10283.652980659297</v>
      </c>
    </row>
    <row r="34" spans="2:6" ht="26">
      <c r="B34" s="267" t="s">
        <v>314</v>
      </c>
      <c r="C34" s="369">
        <v>45418</v>
      </c>
      <c r="D34" s="361">
        <v>1000</v>
      </c>
      <c r="E34" s="270"/>
      <c r="F34" s="266">
        <f>F33-D34+E34</f>
        <v>-11283.652980659297</v>
      </c>
    </row>
    <row r="35" spans="2:6" ht="15.25" customHeight="1">
      <c r="B35" s="276"/>
      <c r="C35" s="277" t="s">
        <v>182</v>
      </c>
      <c r="D35" s="269">
        <f>SUM(D13:D34)</f>
        <v>180697.71298065933</v>
      </c>
      <c r="E35" s="269">
        <f>SUM(E13:E31)</f>
        <v>169414.06</v>
      </c>
      <c r="F35" s="278">
        <f>E35-D35</f>
        <v>-11283.652980659332</v>
      </c>
    </row>
    <row r="36" spans="2:6">
      <c r="B36"/>
      <c r="C36"/>
      <c r="D36"/>
      <c r="E36"/>
      <c r="F36" s="279" t="s">
        <v>183</v>
      </c>
    </row>
    <row r="37" spans="2:6">
      <c r="B37"/>
      <c r="C37"/>
      <c r="D37"/>
      <c r="E37"/>
      <c r="F37" s="279"/>
    </row>
    <row r="38" spans="2:6">
      <c r="B38" s="289" t="s">
        <v>315</v>
      </c>
      <c r="C38" s="8"/>
      <c r="D38" s="8"/>
      <c r="E38" s="8"/>
      <c r="F38" s="8"/>
    </row>
    <row r="39" spans="2:6" ht="14">
      <c r="B39" s="290" t="s">
        <v>316</v>
      </c>
      <c r="C39" s="386" t="s">
        <v>328</v>
      </c>
      <c r="D39" s="291">
        <v>-24574</v>
      </c>
      <c r="E39" s="292"/>
      <c r="F39" s="293">
        <f>F35+D38+D39</f>
        <v>-35857.652980659332</v>
      </c>
    </row>
    <row r="40" spans="2:6" ht="14">
      <c r="B40" t="s">
        <v>317</v>
      </c>
      <c r="C40"/>
      <c r="D40"/>
      <c r="E40"/>
      <c r="F40" s="294" t="s">
        <v>318</v>
      </c>
    </row>
    <row r="41" spans="2:6" ht="14">
      <c r="B41" s="384" t="s">
        <v>327</v>
      </c>
      <c r="C41" s="385"/>
      <c r="D41" s="385"/>
      <c r="E41"/>
      <c r="F41" s="294"/>
    </row>
    <row r="42" spans="2:6">
      <c r="B42" s="385"/>
      <c r="C42" s="385"/>
      <c r="D42" s="385"/>
    </row>
    <row r="43" spans="2:6">
      <c r="B43" s="385"/>
      <c r="C43" s="385"/>
      <c r="D43" s="385"/>
    </row>
    <row r="44" spans="2:6" ht="57" customHeight="1">
      <c r="B44" s="385"/>
      <c r="C44" s="385"/>
      <c r="D44" s="385"/>
    </row>
    <row r="45" spans="2:6">
      <c r="B45" s="380"/>
      <c r="C45" s="381"/>
      <c r="D45" s="381"/>
    </row>
    <row r="46" spans="2:6">
      <c r="B46" s="381"/>
      <c r="C46" s="381"/>
      <c r="D46" s="381"/>
    </row>
    <row r="47" spans="2:6">
      <c r="B47" s="381"/>
      <c r="C47" s="381"/>
      <c r="D47" s="381"/>
    </row>
    <row r="48" spans="2:6">
      <c r="B48" s="381"/>
      <c r="C48" s="381"/>
      <c r="D48" s="381"/>
    </row>
  </sheetData>
  <mergeCells count="2">
    <mergeCell ref="A1:F1"/>
    <mergeCell ref="B41:D44"/>
  </mergeCells>
  <pageMargins left="0.78749999999999998" right="0.78749999999999998" top="0.78749999999999998" bottom="0.78749999999999998" header="0.511811023622047" footer="0.511811023622047"/>
  <pageSetup scale="84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topLeftCell="A23" zoomScale="90" zoomScaleNormal="90" workbookViewId="0">
      <selection activeCell="B34" sqref="B34:D37"/>
    </sheetView>
  </sheetViews>
  <sheetFormatPr baseColWidth="10" defaultColWidth="12.6640625" defaultRowHeight="13"/>
  <cols>
    <col min="1" max="1" width="4.5" customWidth="1"/>
    <col min="2" max="2" width="4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184</v>
      </c>
    </row>
    <row r="6" spans="1:7">
      <c r="A6" s="1"/>
      <c r="B6" s="258" t="s">
        <v>185</v>
      </c>
    </row>
    <row r="7" spans="1:7">
      <c r="A7" s="1"/>
      <c r="B7" t="s">
        <v>186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188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188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>
      <c r="B15" s="263" t="s">
        <v>188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>
      <c r="B16" s="263" t="s">
        <v>188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>
      <c r="B17" s="343" t="s">
        <v>273</v>
      </c>
      <c r="C17" s="344">
        <v>45291</v>
      </c>
      <c r="D17" s="345"/>
      <c r="E17" s="345"/>
      <c r="F17" s="342">
        <f t="shared" si="0"/>
        <v>115515</v>
      </c>
    </row>
    <row r="18" spans="2:6" s="8" customFormat="1" ht="28">
      <c r="B18" s="271" t="s">
        <v>174</v>
      </c>
      <c r="C18" s="288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>
      <c r="B19" s="271" t="s">
        <v>177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>
      <c r="B20" s="271" t="s">
        <v>178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>
      <c r="B21" s="271" t="s">
        <v>179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>
      <c r="B22" s="271" t="s">
        <v>180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>
      <c r="B23" s="271" t="s">
        <v>188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>
      <c r="B24" s="290" t="s">
        <v>292</v>
      </c>
      <c r="C24" s="362">
        <v>45342</v>
      </c>
      <c r="D24" s="270">
        <v>1000</v>
      </c>
      <c r="E24" s="265"/>
      <c r="F24" s="266">
        <f t="shared" ref="F24:F25" si="1">F23-D24+E24</f>
        <v>3270.9000000000015</v>
      </c>
    </row>
    <row r="25" spans="2:6" s="8" customFormat="1" ht="28">
      <c r="B25" s="271" t="s">
        <v>274</v>
      </c>
      <c r="C25" s="362">
        <v>45397</v>
      </c>
      <c r="D25" s="270">
        <v>16428.330000000002</v>
      </c>
      <c r="E25" s="265">
        <v>3270.9</v>
      </c>
      <c r="F25" s="266">
        <f t="shared" si="1"/>
        <v>-9886.5300000000007</v>
      </c>
    </row>
    <row r="26" spans="2:6" s="8" customFormat="1" ht="28">
      <c r="B26" s="271" t="s">
        <v>275</v>
      </c>
      <c r="C26" s="362">
        <v>45397</v>
      </c>
      <c r="D26" s="270">
        <v>1316.2725</v>
      </c>
      <c r="E26" s="265"/>
      <c r="F26" s="266">
        <f>F25-D26+E26</f>
        <v>-11202.802500000002</v>
      </c>
    </row>
    <row r="27" spans="2:6" s="8" customFormat="1" ht="28">
      <c r="B27" s="271" t="s">
        <v>291</v>
      </c>
      <c r="C27" s="369">
        <v>45397</v>
      </c>
      <c r="D27" s="270">
        <v>10282.092832213126</v>
      </c>
      <c r="E27" s="265"/>
      <c r="F27" s="266">
        <f>F26-D27+E27</f>
        <v>-21484.895332213127</v>
      </c>
    </row>
    <row r="28" spans="2:6" s="8" customFormat="1" ht="14">
      <c r="B28" s="271" t="s">
        <v>188</v>
      </c>
      <c r="C28" s="369">
        <v>45408</v>
      </c>
      <c r="D28" s="270"/>
      <c r="E28" s="265">
        <v>22556.560000000001</v>
      </c>
      <c r="F28" s="266">
        <f>F27-D28+E28</f>
        <v>1071.6646677868739</v>
      </c>
    </row>
    <row r="29" spans="2:6" s="8" customFormat="1" ht="15.25" customHeight="1">
      <c r="B29" s="276"/>
      <c r="C29" s="277" t="s">
        <v>189</v>
      </c>
      <c r="D29" s="269">
        <f>SUM(D13:D28)</f>
        <v>178895.79533221311</v>
      </c>
      <c r="E29" s="269">
        <f>SUM(E13:E28)</f>
        <v>179967.46</v>
      </c>
      <c r="F29" s="278">
        <f>E29-D29</f>
        <v>1071.6646677868848</v>
      </c>
    </row>
    <row r="31" spans="2:6" s="8" customFormat="1">
      <c r="B31" s="289" t="s">
        <v>315</v>
      </c>
    </row>
    <row r="32" spans="2:6" s="8" customFormat="1" ht="14">
      <c r="B32" s="290" t="s">
        <v>324</v>
      </c>
      <c r="D32" s="291">
        <v>-1000</v>
      </c>
      <c r="E32" s="292"/>
      <c r="F32" s="293">
        <f>F28+D31+D32</f>
        <v>71.664667786873906</v>
      </c>
    </row>
    <row r="33" spans="2:6" ht="14">
      <c r="B33"/>
      <c r="C33"/>
      <c r="D33"/>
      <c r="E33"/>
      <c r="F33" s="294" t="s">
        <v>325</v>
      </c>
    </row>
    <row r="34" spans="2:6">
      <c r="B34" s="384" t="s">
        <v>327</v>
      </c>
      <c r="C34" s="385"/>
      <c r="D34" s="385"/>
    </row>
    <row r="35" spans="2:6">
      <c r="B35" s="385"/>
      <c r="C35" s="385"/>
      <c r="D35" s="385"/>
    </row>
    <row r="36" spans="2:6">
      <c r="B36" s="385"/>
      <c r="C36" s="385"/>
      <c r="D36" s="385"/>
    </row>
    <row r="37" spans="2:6" ht="59" customHeight="1">
      <c r="B37" s="385"/>
      <c r="C37" s="385"/>
      <c r="D37" s="385"/>
    </row>
    <row r="38" spans="2:6">
      <c r="B38" s="283"/>
      <c r="D38" s="284"/>
    </row>
    <row r="39" spans="2:6">
      <c r="B39" s="283"/>
      <c r="D39" s="284"/>
    </row>
    <row r="40" spans="2:6">
      <c r="B40" s="285"/>
      <c r="C40" s="286"/>
      <c r="D40" s="287"/>
    </row>
  </sheetData>
  <mergeCells count="2">
    <mergeCell ref="A1:F1"/>
    <mergeCell ref="B34:D37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topLeftCell="B24" zoomScale="90" zoomScaleNormal="90" workbookViewId="0">
      <selection activeCell="B32" sqref="B32:D35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190</v>
      </c>
    </row>
    <row r="6" spans="1:7">
      <c r="A6" s="1"/>
      <c r="B6" s="258" t="s">
        <v>69</v>
      </c>
    </row>
    <row r="7" spans="1:7">
      <c r="A7" s="1"/>
      <c r="B7" t="s">
        <v>191</v>
      </c>
    </row>
    <row r="9" spans="1:7">
      <c r="B9" s="6"/>
      <c r="G9" s="259" t="s">
        <v>187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192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>
      <c r="B14" s="263" t="s">
        <v>192</v>
      </c>
      <c r="C14" s="264">
        <v>45117</v>
      </c>
      <c r="D14" s="265"/>
      <c r="E14" s="265">
        <v>5900</v>
      </c>
      <c r="F14" s="266">
        <f t="shared" ref="F14:F29" si="0">F13-D14+E14</f>
        <v>12980</v>
      </c>
    </row>
    <row r="15" spans="1:7" hidden="1">
      <c r="B15" s="263" t="s">
        <v>192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>
      <c r="B16" s="263" t="s">
        <v>192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>
      <c r="B17" s="263" t="s">
        <v>192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>
      <c r="B18" s="343" t="s">
        <v>273</v>
      </c>
      <c r="C18" s="344">
        <v>45291</v>
      </c>
      <c r="D18" s="345"/>
      <c r="E18" s="345"/>
      <c r="F18" s="342">
        <f t="shared" si="0"/>
        <v>134620</v>
      </c>
    </row>
    <row r="19" spans="2:6" ht="28">
      <c r="B19" s="271" t="s">
        <v>174</v>
      </c>
      <c r="C19" s="288">
        <v>45321</v>
      </c>
      <c r="D19" s="270">
        <v>24132.959999999999</v>
      </c>
      <c r="E19" s="265"/>
      <c r="F19" s="266">
        <f>F18-D19+E19</f>
        <v>110487.04000000001</v>
      </c>
    </row>
    <row r="20" spans="2:6" ht="14">
      <c r="B20" s="271" t="s">
        <v>192</v>
      </c>
      <c r="C20" s="288">
        <v>45335</v>
      </c>
      <c r="D20" s="270"/>
      <c r="E20" s="265">
        <v>24134</v>
      </c>
      <c r="F20" s="266">
        <f t="shared" si="0"/>
        <v>134621.04</v>
      </c>
    </row>
    <row r="21" spans="2:6" ht="28">
      <c r="B21" s="271" t="s">
        <v>177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>
      <c r="B22" s="271" t="s">
        <v>178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>
      <c r="B23" s="271" t="s">
        <v>179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>
      <c r="B24" s="271" t="s">
        <v>180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>
      <c r="B25" s="271" t="s">
        <v>192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>
      <c r="B26" s="271" t="s">
        <v>274</v>
      </c>
      <c r="C26" s="362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>
      <c r="B27" s="271" t="s">
        <v>275</v>
      </c>
      <c r="C27" s="362">
        <v>45397</v>
      </c>
      <c r="D27" s="270">
        <v>1548.8525</v>
      </c>
      <c r="E27" s="265"/>
      <c r="F27" s="266">
        <f t="shared" si="0"/>
        <v>-20876.284999999985</v>
      </c>
    </row>
    <row r="28" spans="2:6" ht="28">
      <c r="B28" s="271" t="s">
        <v>291</v>
      </c>
      <c r="C28" s="369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4">
      <c r="B29" s="271" t="s">
        <v>192</v>
      </c>
      <c r="C29" s="369">
        <v>45412</v>
      </c>
      <c r="D29" s="270"/>
      <c r="E29" s="265">
        <v>33000</v>
      </c>
      <c r="F29" s="266">
        <f t="shared" si="0"/>
        <v>24.823347431163711</v>
      </c>
    </row>
    <row r="30" spans="2:6" ht="15.25" customHeight="1">
      <c r="B30" s="295"/>
      <c r="C30" s="296" t="s">
        <v>193</v>
      </c>
      <c r="D30" s="297">
        <f>SUM(D13:D29)</f>
        <v>209329.17665256886</v>
      </c>
      <c r="E30" s="297">
        <f>SUM(E13:E29)</f>
        <v>209354</v>
      </c>
      <c r="F30" s="298">
        <f>E30-D30</f>
        <v>24.823347431141883</v>
      </c>
    </row>
    <row r="32" spans="2:6">
      <c r="B32" s="384" t="s">
        <v>327</v>
      </c>
      <c r="C32" s="385"/>
      <c r="D32" s="385"/>
    </row>
    <row r="33" spans="2:4">
      <c r="B33" s="385"/>
      <c r="C33" s="385"/>
      <c r="D33" s="385"/>
    </row>
    <row r="34" spans="2:4">
      <c r="B34" s="385"/>
      <c r="C34" s="385"/>
      <c r="D34" s="385"/>
    </row>
    <row r="35" spans="2:4" ht="62" customHeight="1">
      <c r="B35" s="385"/>
      <c r="C35" s="385"/>
      <c r="D35" s="385"/>
    </row>
    <row r="36" spans="2:4">
      <c r="B36" s="283"/>
      <c r="D36" s="284"/>
    </row>
    <row r="37" spans="2:4">
      <c r="B37" s="283"/>
      <c r="D37" s="284"/>
    </row>
    <row r="38" spans="2:4">
      <c r="B38" s="285"/>
      <c r="C38" s="286"/>
      <c r="D38" s="287"/>
    </row>
  </sheetData>
  <mergeCells count="2">
    <mergeCell ref="A1:F1"/>
    <mergeCell ref="B32:D35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topLeftCell="A23" zoomScale="90" zoomScaleNormal="90" workbookViewId="0">
      <selection activeCell="B32" sqref="B32:D35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194</v>
      </c>
    </row>
    <row r="6" spans="1:7">
      <c r="A6" s="1"/>
      <c r="B6" s="258" t="s">
        <v>71</v>
      </c>
    </row>
    <row r="7" spans="1:7">
      <c r="A7" s="1"/>
      <c r="B7" t="s">
        <v>195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196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>
      <c r="B14" s="263" t="s">
        <v>197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>
      <c r="B15" s="263" t="s">
        <v>197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>
      <c r="B16" s="263" t="s">
        <v>198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>
      <c r="B17" s="343" t="s">
        <v>273</v>
      </c>
      <c r="C17" s="344">
        <v>45291</v>
      </c>
      <c r="D17" s="345"/>
      <c r="E17" s="345"/>
      <c r="F17" s="342">
        <f t="shared" si="0"/>
        <v>71200</v>
      </c>
    </row>
    <row r="18" spans="2:6" ht="28">
      <c r="B18" s="271" t="s">
        <v>174</v>
      </c>
      <c r="C18" s="288">
        <v>45321</v>
      </c>
      <c r="D18" s="270">
        <v>12239.9</v>
      </c>
      <c r="E18" s="265"/>
      <c r="F18" s="266">
        <f>F17-D18+E18</f>
        <v>58960.1</v>
      </c>
    </row>
    <row r="19" spans="2:6" ht="28">
      <c r="B19" s="271" t="s">
        <v>177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>
      <c r="B20" s="271" t="s">
        <v>178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>
      <c r="B21" s="271" t="s">
        <v>179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>
      <c r="B22" s="271" t="s">
        <v>180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>
      <c r="B23" s="271" t="s">
        <v>196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>
      <c r="B24" s="271" t="s">
        <v>196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>
      <c r="B25" s="271" t="s">
        <v>274</v>
      </c>
      <c r="C25" s="362">
        <v>45397</v>
      </c>
      <c r="D25" s="270">
        <v>9804.48</v>
      </c>
      <c r="E25" s="265"/>
      <c r="F25" s="266">
        <f t="shared" si="0"/>
        <v>-9801.8399999999965</v>
      </c>
    </row>
    <row r="26" spans="2:6" ht="28">
      <c r="B26" s="271" t="s">
        <v>275</v>
      </c>
      <c r="C26" s="362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>
      <c r="B27" s="271" t="s">
        <v>291</v>
      </c>
      <c r="C27" s="369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4">
      <c r="B28" s="271" t="s">
        <v>196</v>
      </c>
      <c r="C28" s="369">
        <v>45415</v>
      </c>
      <c r="D28" s="270"/>
      <c r="E28" s="265">
        <v>16750.580000000002</v>
      </c>
      <c r="F28" s="266">
        <f>F27-D28+E28</f>
        <v>3.1610351652489044E-3</v>
      </c>
    </row>
    <row r="29" spans="2:6" ht="15.25" customHeight="1">
      <c r="B29" s="276"/>
      <c r="C29" s="277" t="s">
        <v>199</v>
      </c>
      <c r="D29" s="269">
        <f>SUM(D13:D28)</f>
        <v>106195.57683896481</v>
      </c>
      <c r="E29" s="269">
        <f>SUM(E13:E28)</f>
        <v>106195.58</v>
      </c>
      <c r="F29" s="299">
        <f>E29-D29</f>
        <v>3.1610351870767772E-3</v>
      </c>
    </row>
    <row r="32" spans="2:6">
      <c r="B32" s="384" t="s">
        <v>327</v>
      </c>
      <c r="C32" s="385"/>
      <c r="D32" s="385"/>
    </row>
    <row r="33" spans="2:4">
      <c r="B33" s="385"/>
      <c r="C33" s="385"/>
      <c r="D33" s="385"/>
    </row>
    <row r="34" spans="2:4">
      <c r="B34" s="385"/>
      <c r="C34" s="385"/>
      <c r="D34" s="385"/>
    </row>
    <row r="35" spans="2:4" ht="60" customHeight="1">
      <c r="B35" s="385"/>
      <c r="C35" s="385"/>
      <c r="D35" s="385"/>
    </row>
    <row r="36" spans="2:4">
      <c r="B36" s="283"/>
      <c r="D36" s="284"/>
    </row>
    <row r="37" spans="2:4">
      <c r="B37" s="285"/>
      <c r="C37" s="286"/>
      <c r="D37" s="287"/>
    </row>
  </sheetData>
  <mergeCells count="2">
    <mergeCell ref="A1:F1"/>
    <mergeCell ref="B32:D35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topLeftCell="A12" zoomScale="90" zoomScaleNormal="90" workbookViewId="0">
      <selection activeCell="B32" sqref="B32:D35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200</v>
      </c>
    </row>
    <row r="6" spans="1:7">
      <c r="A6" s="1"/>
      <c r="B6" s="258" t="s">
        <v>73</v>
      </c>
    </row>
    <row r="7" spans="1:7">
      <c r="A7" s="1"/>
      <c r="B7" t="s">
        <v>201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202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202</v>
      </c>
      <c r="C14" s="264">
        <v>45117</v>
      </c>
      <c r="D14" s="265"/>
      <c r="E14" s="265">
        <v>4425</v>
      </c>
      <c r="F14" s="266">
        <f t="shared" ref="F14:F28" si="0">F13-D14+E14</f>
        <v>10325</v>
      </c>
    </row>
    <row r="15" spans="1:7" s="8" customFormat="1" hidden="1">
      <c r="B15" s="263" t="s">
        <v>202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>
      <c r="B16" s="263" t="s">
        <v>202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>
      <c r="B17" s="343" t="s">
        <v>273</v>
      </c>
      <c r="C17" s="344">
        <v>45291</v>
      </c>
      <c r="D17" s="345"/>
      <c r="E17" s="345"/>
      <c r="F17" s="342">
        <f t="shared" si="0"/>
        <v>86371</v>
      </c>
    </row>
    <row r="18" spans="2:6" s="8" customFormat="1" ht="28">
      <c r="B18" s="271" t="s">
        <v>174</v>
      </c>
      <c r="C18" s="288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>
      <c r="B19" s="271" t="s">
        <v>177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>
      <c r="B20" s="271" t="s">
        <v>178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>
      <c r="B21" s="271" t="s">
        <v>179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>
      <c r="B22" s="271" t="s">
        <v>180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>
      <c r="B23" s="271" t="s">
        <v>202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>
      <c r="B24" s="271" t="s">
        <v>202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>
      <c r="B25" s="271" t="s">
        <v>274</v>
      </c>
      <c r="C25" s="362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>
      <c r="B26" s="271" t="s">
        <v>275</v>
      </c>
      <c r="C26" s="362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>
      <c r="B27" s="271" t="s">
        <v>291</v>
      </c>
      <c r="C27" s="369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4">
      <c r="B28" s="271" t="s">
        <v>202</v>
      </c>
      <c r="C28" s="369">
        <v>45404</v>
      </c>
      <c r="D28" s="270"/>
      <c r="E28" s="265">
        <v>18600</v>
      </c>
      <c r="F28" s="266">
        <f t="shared" si="0"/>
        <v>-1972.6116284882482</v>
      </c>
    </row>
    <row r="29" spans="2:6" s="8" customFormat="1" ht="14">
      <c r="B29" s="271" t="s">
        <v>202</v>
      </c>
      <c r="C29" s="369">
        <v>45414</v>
      </c>
      <c r="D29" s="270"/>
      <c r="E29" s="265">
        <v>2000</v>
      </c>
      <c r="F29" s="266">
        <f>F28-D29+E29</f>
        <v>27.388371511751757</v>
      </c>
    </row>
    <row r="30" spans="2:6" s="8" customFormat="1" ht="15.25" customHeight="1">
      <c r="B30" s="276"/>
      <c r="C30" s="277" t="s">
        <v>203</v>
      </c>
      <c r="D30" s="269">
        <f>SUM(D13:D27)</f>
        <v>130843.61162848824</v>
      </c>
      <c r="E30" s="269">
        <f>SUM(E13:E29)</f>
        <v>130871</v>
      </c>
      <c r="F30" s="299">
        <f>E30-D30</f>
        <v>27.388371511755395</v>
      </c>
    </row>
    <row r="32" spans="2:6">
      <c r="B32" s="384" t="s">
        <v>327</v>
      </c>
      <c r="C32" s="385"/>
      <c r="D32" s="385"/>
    </row>
    <row r="33" spans="2:4">
      <c r="B33" s="385"/>
      <c r="C33" s="385"/>
      <c r="D33" s="385"/>
    </row>
    <row r="34" spans="2:4">
      <c r="B34" s="385"/>
      <c r="C34" s="385"/>
      <c r="D34" s="385"/>
    </row>
    <row r="35" spans="2:4" ht="56" customHeight="1">
      <c r="B35" s="385"/>
      <c r="C35" s="385"/>
      <c r="D35" s="385"/>
    </row>
    <row r="36" spans="2:4">
      <c r="B36" s="283"/>
      <c r="D36" s="284"/>
    </row>
    <row r="37" spans="2:4">
      <c r="B37" s="283"/>
      <c r="D37" s="284"/>
    </row>
    <row r="38" spans="2:4">
      <c r="B38" s="285"/>
      <c r="C38" s="286"/>
      <c r="D38" s="287"/>
    </row>
  </sheetData>
  <mergeCells count="2">
    <mergeCell ref="A1:F1"/>
    <mergeCell ref="B32:D35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topLeftCell="A12" zoomScale="90" zoomScaleNormal="90" workbookViewId="0">
      <selection activeCell="B31" sqref="B31:D3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204</v>
      </c>
    </row>
    <row r="6" spans="1:7">
      <c r="A6" s="1"/>
      <c r="B6" s="258" t="s">
        <v>205</v>
      </c>
    </row>
    <row r="7" spans="1:7">
      <c r="A7" s="1"/>
      <c r="B7" t="s">
        <v>206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15" t="s">
        <v>5</v>
      </c>
      <c r="C12" s="16" t="s">
        <v>6</v>
      </c>
      <c r="D12" s="16" t="s">
        <v>169</v>
      </c>
      <c r="E12" s="17" t="s">
        <v>170</v>
      </c>
      <c r="F12" s="17" t="s">
        <v>171</v>
      </c>
    </row>
    <row r="13" spans="1:7" hidden="1">
      <c r="B13" s="111" t="s">
        <v>207</v>
      </c>
      <c r="C13" s="119">
        <v>45117</v>
      </c>
      <c r="D13" s="300"/>
      <c r="E13" s="300">
        <v>5900</v>
      </c>
      <c r="F13" s="301">
        <f>E13</f>
        <v>5900</v>
      </c>
    </row>
    <row r="14" spans="1:7" hidden="1">
      <c r="B14" s="111" t="s">
        <v>207</v>
      </c>
      <c r="C14" s="119">
        <v>45117</v>
      </c>
      <c r="D14" s="300"/>
      <c r="E14" s="300">
        <v>7272</v>
      </c>
      <c r="F14" s="301">
        <f t="shared" ref="F14:F27" si="0">F13-D14+E14</f>
        <v>13172</v>
      </c>
    </row>
    <row r="15" spans="1:7" hidden="1">
      <c r="B15" s="111" t="s">
        <v>207</v>
      </c>
      <c r="C15" s="119">
        <v>45217</v>
      </c>
      <c r="D15" s="300"/>
      <c r="E15" s="300">
        <v>30925</v>
      </c>
      <c r="F15" s="301">
        <f t="shared" si="0"/>
        <v>44097</v>
      </c>
    </row>
    <row r="16" spans="1:7" hidden="1">
      <c r="B16" s="111" t="s">
        <v>207</v>
      </c>
      <c r="C16" s="119">
        <v>45246</v>
      </c>
      <c r="D16" s="300"/>
      <c r="E16" s="300">
        <v>94010</v>
      </c>
      <c r="F16" s="301">
        <f t="shared" si="0"/>
        <v>138107</v>
      </c>
    </row>
    <row r="17" spans="2:6">
      <c r="B17" s="343" t="s">
        <v>273</v>
      </c>
      <c r="C17" s="344">
        <v>45291</v>
      </c>
      <c r="D17" s="346"/>
      <c r="E17" s="346"/>
      <c r="F17" s="347">
        <f t="shared" si="0"/>
        <v>138107</v>
      </c>
    </row>
    <row r="18" spans="2:6" ht="28">
      <c r="B18" s="302" t="s">
        <v>174</v>
      </c>
      <c r="C18" s="303">
        <v>45321</v>
      </c>
      <c r="D18" s="304">
        <v>24786.23</v>
      </c>
      <c r="E18" s="300"/>
      <c r="F18" s="301">
        <f>F17-D18+E18</f>
        <v>113320.77</v>
      </c>
    </row>
    <row r="19" spans="2:6" ht="14">
      <c r="B19" s="302" t="s">
        <v>207</v>
      </c>
      <c r="C19" s="303">
        <v>45334</v>
      </c>
      <c r="D19" s="304"/>
      <c r="E19" s="300">
        <v>24787</v>
      </c>
      <c r="F19" s="301">
        <f t="shared" si="0"/>
        <v>138107.77000000002</v>
      </c>
    </row>
    <row r="20" spans="2:6" ht="28">
      <c r="B20" s="271" t="s">
        <v>177</v>
      </c>
      <c r="C20" s="272">
        <v>45335</v>
      </c>
      <c r="D20" s="304">
        <v>128529.47</v>
      </c>
      <c r="E20" s="300"/>
      <c r="F20" s="301">
        <f t="shared" si="0"/>
        <v>9578.3000000000175</v>
      </c>
    </row>
    <row r="21" spans="2:6" ht="28">
      <c r="B21" s="271" t="s">
        <v>178</v>
      </c>
      <c r="C21" s="272">
        <v>45335</v>
      </c>
      <c r="D21" s="304">
        <v>6363.12</v>
      </c>
      <c r="E21" s="300"/>
      <c r="F21" s="301">
        <f t="shared" si="0"/>
        <v>3215.1800000000176</v>
      </c>
    </row>
    <row r="22" spans="2:6" ht="28">
      <c r="B22" s="271" t="s">
        <v>179</v>
      </c>
      <c r="C22" s="272">
        <v>45336</v>
      </c>
      <c r="D22" s="304">
        <v>19854.43</v>
      </c>
      <c r="E22" s="300"/>
      <c r="F22" s="301">
        <f t="shared" si="0"/>
        <v>-16639.249999999982</v>
      </c>
    </row>
    <row r="23" spans="2:6" ht="28">
      <c r="B23" s="271" t="s">
        <v>180</v>
      </c>
      <c r="C23" s="272">
        <v>45336</v>
      </c>
      <c r="D23" s="304">
        <v>1590.78</v>
      </c>
      <c r="E23" s="300"/>
      <c r="F23" s="301">
        <f t="shared" si="0"/>
        <v>-18230.029999999981</v>
      </c>
    </row>
    <row r="24" spans="2:6" ht="14">
      <c r="B24" s="271" t="s">
        <v>207</v>
      </c>
      <c r="C24" s="272">
        <v>45358</v>
      </c>
      <c r="D24" s="304"/>
      <c r="E24" s="300">
        <v>18230.03</v>
      </c>
      <c r="F24" s="301">
        <f t="shared" si="0"/>
        <v>0</v>
      </c>
    </row>
    <row r="25" spans="2:6" ht="28">
      <c r="B25" s="271" t="s">
        <v>274</v>
      </c>
      <c r="C25" s="362">
        <v>45397</v>
      </c>
      <c r="D25" s="304">
        <v>19854.427500000002</v>
      </c>
      <c r="E25" s="300"/>
      <c r="F25" s="301">
        <f t="shared" si="0"/>
        <v>-19854.427500000002</v>
      </c>
    </row>
    <row r="26" spans="2:6" ht="28">
      <c r="B26" s="271" t="s">
        <v>275</v>
      </c>
      <c r="C26" s="362">
        <v>45397</v>
      </c>
      <c r="D26" s="304">
        <v>1590.78</v>
      </c>
      <c r="E26" s="300"/>
      <c r="F26" s="301">
        <f t="shared" si="0"/>
        <v>-21445.2075</v>
      </c>
    </row>
    <row r="27" spans="2:6" ht="28">
      <c r="B27" s="271" t="s">
        <v>291</v>
      </c>
      <c r="C27" s="369">
        <v>45397</v>
      </c>
      <c r="D27" s="196">
        <v>12426.403730967948</v>
      </c>
      <c r="E27" s="300"/>
      <c r="F27" s="301">
        <f t="shared" si="0"/>
        <v>-33871.611230967945</v>
      </c>
    </row>
    <row r="28" spans="2:6" ht="14">
      <c r="B28" s="271" t="s">
        <v>207</v>
      </c>
      <c r="C28" s="369">
        <v>45412</v>
      </c>
      <c r="D28" s="196"/>
      <c r="E28" s="300">
        <v>33871.61</v>
      </c>
      <c r="F28" s="379">
        <f>F27-D28+E28</f>
        <v>-1.2309679441386834E-3</v>
      </c>
    </row>
    <row r="29" spans="2:6" ht="15.25" customHeight="1">
      <c r="B29" s="295"/>
      <c r="C29" s="296" t="s">
        <v>208</v>
      </c>
      <c r="D29" s="297">
        <f>SUM(D13:D28)</f>
        <v>214995.64123096794</v>
      </c>
      <c r="E29" s="297">
        <f>SUM(E13:E28)</f>
        <v>214995.64</v>
      </c>
      <c r="F29" s="298">
        <f>E29-D29</f>
        <v>-1.2309679295867682E-3</v>
      </c>
    </row>
    <row r="31" spans="2:6">
      <c r="B31" s="384" t="s">
        <v>327</v>
      </c>
      <c r="C31" s="385"/>
      <c r="D31" s="385"/>
    </row>
    <row r="32" spans="2:6">
      <c r="B32" s="385"/>
      <c r="C32" s="385"/>
      <c r="D32" s="385"/>
    </row>
    <row r="33" spans="2:4">
      <c r="B33" s="385"/>
      <c r="C33" s="385"/>
      <c r="D33" s="385"/>
    </row>
    <row r="34" spans="2:4" ht="53" customHeight="1">
      <c r="B34" s="385"/>
      <c r="C34" s="385"/>
      <c r="D34" s="385"/>
    </row>
    <row r="35" spans="2:4">
      <c r="B35" s="283"/>
      <c r="D35" s="284"/>
    </row>
    <row r="36" spans="2:4">
      <c r="B36" s="283"/>
      <c r="D36" s="284"/>
    </row>
    <row r="37" spans="2:4">
      <c r="B37" s="285"/>
      <c r="C37" s="286"/>
      <c r="D37" s="287"/>
    </row>
  </sheetData>
  <mergeCells count="2">
    <mergeCell ref="A1:F1"/>
    <mergeCell ref="B31:D34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"/>
  <sheetViews>
    <sheetView topLeftCell="A10" zoomScale="90" zoomScaleNormal="90" workbookViewId="0">
      <selection activeCell="B32" sqref="B32:D35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4.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82"/>
      <c r="B1" s="382"/>
      <c r="C1" s="382"/>
      <c r="D1" s="382"/>
      <c r="E1" s="382"/>
      <c r="F1" s="382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209</v>
      </c>
    </row>
    <row r="6" spans="1:7">
      <c r="A6" s="1"/>
      <c r="B6" s="258" t="s">
        <v>210</v>
      </c>
    </row>
    <row r="7" spans="1:7">
      <c r="A7" s="1"/>
      <c r="B7" t="s">
        <v>211</v>
      </c>
    </row>
    <row r="9" spans="1:7">
      <c r="B9" s="6"/>
      <c r="G9" s="259" t="s">
        <v>288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212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>
      <c r="B14" s="263" t="s">
        <v>212</v>
      </c>
      <c r="C14" s="264">
        <v>45117</v>
      </c>
      <c r="D14" s="265"/>
      <c r="E14" s="265">
        <v>5900</v>
      </c>
      <c r="F14" s="266">
        <f t="shared" ref="F14:F28" si="0">F13-D14+E14</f>
        <v>17324</v>
      </c>
    </row>
    <row r="15" spans="1:7" s="8" customFormat="1" hidden="1">
      <c r="B15" s="263" t="s">
        <v>212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>
      <c r="B16" s="263" t="s">
        <v>212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>
      <c r="B17" s="343" t="s">
        <v>273</v>
      </c>
      <c r="C17" s="344">
        <v>45291</v>
      </c>
      <c r="D17" s="345"/>
      <c r="E17" s="345"/>
      <c r="F17" s="342">
        <f t="shared" si="0"/>
        <v>213643.95</v>
      </c>
    </row>
    <row r="18" spans="2:6" s="8" customFormat="1" ht="28">
      <c r="B18" s="271" t="s">
        <v>174</v>
      </c>
      <c r="C18" s="288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>
      <c r="B19" s="271" t="s">
        <v>177</v>
      </c>
      <c r="C19" s="272">
        <v>45335</v>
      </c>
      <c r="D19" s="270">
        <v>201971.36</v>
      </c>
      <c r="E19" s="265"/>
      <c r="F19" s="266">
        <f t="shared" si="0"/>
        <v>-27276.51999999996</v>
      </c>
    </row>
    <row r="20" spans="2:6" s="8" customFormat="1" ht="28">
      <c r="B20" s="271" t="s">
        <v>178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>
      <c r="B21" s="271" t="s">
        <v>179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>
      <c r="B22" s="271" t="s">
        <v>180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>
      <c r="B23" s="271" t="s">
        <v>212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14">
      <c r="B24" s="271" t="s">
        <v>213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>
      <c r="B25" s="271" t="s">
        <v>274</v>
      </c>
      <c r="C25" s="362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>
      <c r="B26" s="271" t="s">
        <v>275</v>
      </c>
      <c r="C26" s="362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>
      <c r="B27" s="271" t="s">
        <v>291</v>
      </c>
      <c r="C27" s="369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4">
      <c r="B28" s="271" t="s">
        <v>212</v>
      </c>
      <c r="C28" s="369">
        <v>45411</v>
      </c>
      <c r="D28" s="255"/>
      <c r="E28" s="265">
        <v>53225.89</v>
      </c>
      <c r="F28" s="266">
        <f t="shared" si="0"/>
        <v>-5.9066034737043083E-4</v>
      </c>
    </row>
    <row r="29" spans="2:6" s="8" customFormat="1">
      <c r="B29" s="356"/>
      <c r="C29" s="369"/>
      <c r="D29" s="255"/>
      <c r="E29" s="265"/>
      <c r="F29" s="266"/>
    </row>
    <row r="30" spans="2:6" s="8" customFormat="1" ht="15.25" customHeight="1">
      <c r="B30" s="276"/>
      <c r="C30" s="277" t="s">
        <v>214</v>
      </c>
      <c r="D30" s="269">
        <f>SUM(D13:D28)</f>
        <v>337844.39059066039</v>
      </c>
      <c r="E30" s="269">
        <f>SUM(E13:E28)</f>
        <v>337844.39</v>
      </c>
      <c r="F30" s="278">
        <f>F24-D30+E30</f>
        <v>-5.9066031826660037E-4</v>
      </c>
    </row>
    <row r="31" spans="2:6">
      <c r="B31"/>
      <c r="C31"/>
      <c r="D31"/>
      <c r="E31"/>
      <c r="F31"/>
    </row>
    <row r="32" spans="2:6" s="8" customFormat="1">
      <c r="B32" s="384" t="s">
        <v>327</v>
      </c>
      <c r="C32" s="385"/>
      <c r="D32" s="385"/>
    </row>
    <row r="33" spans="2:6" s="8" customFormat="1">
      <c r="B33" s="385"/>
      <c r="C33" s="385"/>
      <c r="D33" s="385"/>
      <c r="E33" s="292"/>
      <c r="F33" s="292"/>
    </row>
    <row r="34" spans="2:6" s="8" customFormat="1" ht="14">
      <c r="B34" s="385"/>
      <c r="C34" s="385"/>
      <c r="D34" s="385"/>
      <c r="E34" s="292"/>
      <c r="F34" s="305"/>
    </row>
    <row r="35" spans="2:6" ht="55" customHeight="1">
      <c r="B35" s="385"/>
      <c r="C35" s="385"/>
      <c r="D35" s="385"/>
      <c r="E35"/>
      <c r="F35" s="294"/>
    </row>
    <row r="36" spans="2:6">
      <c r="B36" s="86"/>
      <c r="C36" s="87"/>
      <c r="D36" s="88"/>
    </row>
    <row r="40" spans="2:6">
      <c r="B40" s="280"/>
      <c r="C40" s="281"/>
      <c r="D40" s="282"/>
    </row>
    <row r="41" spans="2:6">
      <c r="B41" s="283"/>
      <c r="D41" s="284"/>
    </row>
    <row r="42" spans="2:6">
      <c r="B42" s="283"/>
      <c r="D42" s="284"/>
    </row>
    <row r="43" spans="2:6">
      <c r="B43" s="285"/>
      <c r="C43" s="286"/>
      <c r="D43" s="287"/>
    </row>
  </sheetData>
  <mergeCells count="2">
    <mergeCell ref="A1:F1"/>
    <mergeCell ref="B32:D35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>
      <c r="K1" s="368">
        <v>26236200</v>
      </c>
    </row>
    <row r="2" spans="2:14" ht="14">
      <c r="B2" s="306" t="s">
        <v>132</v>
      </c>
      <c r="C2" s="307" t="s">
        <v>126</v>
      </c>
      <c r="D2" s="307"/>
      <c r="E2" s="308" t="s">
        <v>215</v>
      </c>
      <c r="F2" s="309" t="s">
        <v>216</v>
      </c>
      <c r="J2" s="310" t="s">
        <v>126</v>
      </c>
      <c r="K2" s="234" t="s">
        <v>128</v>
      </c>
      <c r="L2" s="235" t="s">
        <v>130</v>
      </c>
      <c r="M2" s="311" t="s">
        <v>130</v>
      </c>
      <c r="N2" s="312" t="s">
        <v>217</v>
      </c>
    </row>
    <row r="3" spans="2:14" ht="14">
      <c r="B3" s="51" t="s">
        <v>65</v>
      </c>
      <c r="C3" s="307" t="s">
        <v>66</v>
      </c>
      <c r="D3" s="313"/>
      <c r="E3" s="314"/>
      <c r="J3" s="236">
        <v>1</v>
      </c>
      <c r="K3" s="137">
        <f>K1/J20*J13</f>
        <v>3385038.8048100215</v>
      </c>
      <c r="L3" s="137">
        <v>12.9</v>
      </c>
      <c r="M3" s="315">
        <v>12.9</v>
      </c>
      <c r="N3" s="316">
        <f>M3*10000</f>
        <v>129000</v>
      </c>
    </row>
    <row r="4" spans="2:14" ht="14">
      <c r="B4" s="51"/>
      <c r="C4" s="317" t="s">
        <v>218</v>
      </c>
      <c r="D4" s="318" t="s">
        <v>219</v>
      </c>
      <c r="E4" s="319">
        <v>79.09</v>
      </c>
      <c r="J4" s="236">
        <v>2</v>
      </c>
      <c r="K4" s="137">
        <f>K1/J20*J14</f>
        <v>3452215.7605962222</v>
      </c>
      <c r="L4" s="137">
        <v>13.16</v>
      </c>
      <c r="M4" s="315">
        <v>13.16</v>
      </c>
      <c r="N4" s="316">
        <f t="shared" ref="N4:N9" si="0">M4*10000</f>
        <v>131600</v>
      </c>
    </row>
    <row r="5" spans="2:14" ht="14">
      <c r="B5" s="51"/>
      <c r="C5" s="320" t="s">
        <v>220</v>
      </c>
      <c r="D5" s="318" t="s">
        <v>221</v>
      </c>
      <c r="E5" s="314">
        <v>18.91</v>
      </c>
      <c r="J5" s="236">
        <v>3</v>
      </c>
      <c r="K5" s="137">
        <f>K1/J20*J15</f>
        <v>4062206.5109048504</v>
      </c>
      <c r="L5" s="137">
        <v>15.48</v>
      </c>
      <c r="M5" s="315">
        <v>15.48</v>
      </c>
      <c r="N5" s="316">
        <f t="shared" si="0"/>
        <v>154800</v>
      </c>
    </row>
    <row r="6" spans="2:14" ht="14">
      <c r="B6" s="51"/>
      <c r="C6" s="320" t="s">
        <v>222</v>
      </c>
      <c r="D6" s="318" t="s">
        <v>223</v>
      </c>
      <c r="E6" s="314">
        <v>71.31</v>
      </c>
      <c r="J6" s="236">
        <v>4</v>
      </c>
      <c r="K6" s="137">
        <f>K1/J20*J16</f>
        <v>2069290.155914224</v>
      </c>
      <c r="L6" s="137">
        <v>7.89</v>
      </c>
      <c r="M6" s="315">
        <v>7.89</v>
      </c>
      <c r="N6" s="316">
        <f t="shared" si="0"/>
        <v>78900</v>
      </c>
    </row>
    <row r="7" spans="2:14" ht="14">
      <c r="B7" s="51"/>
      <c r="C7" s="321"/>
      <c r="D7" s="313"/>
      <c r="E7" s="322">
        <f>SUM(E4:E6)</f>
        <v>169.31</v>
      </c>
      <c r="F7" s="323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15">
        <v>9.68</v>
      </c>
      <c r="N7" s="316">
        <f t="shared" si="0"/>
        <v>96800</v>
      </c>
    </row>
    <row r="8" spans="2:14" ht="14">
      <c r="B8" s="51" t="s">
        <v>158</v>
      </c>
      <c r="C8" s="307" t="s">
        <v>68</v>
      </c>
      <c r="D8" s="313"/>
      <c r="J8" s="236">
        <v>6</v>
      </c>
      <c r="K8" s="137">
        <f>K1/J20*J18</f>
        <v>4172168.7897215486</v>
      </c>
      <c r="L8" s="137">
        <v>15.9</v>
      </c>
      <c r="M8" s="315">
        <v>15.9</v>
      </c>
      <c r="N8" s="316">
        <f t="shared" si="0"/>
        <v>159000</v>
      </c>
    </row>
    <row r="9" spans="2:14" ht="14">
      <c r="B9" s="51"/>
      <c r="C9" s="317" t="s">
        <v>218</v>
      </c>
      <c r="D9" s="318" t="s">
        <v>224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15">
        <v>24.99</v>
      </c>
      <c r="N9" s="316">
        <f t="shared" si="0"/>
        <v>249899.99999999997</v>
      </c>
    </row>
    <row r="10" spans="2:14" ht="14">
      <c r="B10" s="51"/>
      <c r="C10" s="320" t="s">
        <v>220</v>
      </c>
      <c r="D10" s="318" t="s">
        <v>225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24">
        <f>SUM(M3:M9)</f>
        <v>100</v>
      </c>
      <c r="N10" s="325">
        <f>SUM(N3:N9)</f>
        <v>1000000</v>
      </c>
    </row>
    <row r="11" spans="2:14" ht="14">
      <c r="B11" s="51"/>
      <c r="C11" s="320" t="s">
        <v>222</v>
      </c>
      <c r="D11" s="318" t="s">
        <v>226</v>
      </c>
      <c r="E11" s="137">
        <v>57.67</v>
      </c>
      <c r="I11" s="137"/>
      <c r="J11" s="137"/>
      <c r="K11" s="137"/>
      <c r="L11" s="137"/>
    </row>
    <row r="12" spans="2:14" ht="14">
      <c r="B12" s="51"/>
      <c r="C12" s="321"/>
      <c r="D12" s="313"/>
      <c r="E12" s="322">
        <f>SUM(E9:E11)</f>
        <v>172.67000000000002</v>
      </c>
      <c r="F12" s="323">
        <f>E12/E44</f>
        <v>0.13158215597518785</v>
      </c>
      <c r="G12" s="183">
        <v>0.13159999999999999</v>
      </c>
      <c r="I12" s="326" t="s">
        <v>126</v>
      </c>
      <c r="J12" s="326" t="s">
        <v>227</v>
      </c>
      <c r="K12" s="327" t="s">
        <v>228</v>
      </c>
      <c r="L12" s="328" t="s">
        <v>229</v>
      </c>
      <c r="M12" s="329" t="s">
        <v>229</v>
      </c>
      <c r="N12" s="312" t="s">
        <v>229</v>
      </c>
    </row>
    <row r="13" spans="2:14" ht="14">
      <c r="B13" s="51" t="s">
        <v>69</v>
      </c>
      <c r="C13" s="307" t="s">
        <v>70</v>
      </c>
      <c r="D13" s="313"/>
      <c r="I13" s="236">
        <v>1</v>
      </c>
      <c r="J13" s="330">
        <v>169.31</v>
      </c>
      <c r="K13" s="137">
        <v>1</v>
      </c>
      <c r="L13" s="137">
        <v>0.90310000000000001</v>
      </c>
      <c r="M13" s="229">
        <v>0.90310000000000001</v>
      </c>
      <c r="N13" s="316">
        <f>M13*10000</f>
        <v>9031</v>
      </c>
    </row>
    <row r="14" spans="2:14" ht="14">
      <c r="B14" s="51"/>
      <c r="C14" s="317" t="s">
        <v>218</v>
      </c>
      <c r="D14" s="318" t="s">
        <v>230</v>
      </c>
      <c r="E14" s="137">
        <v>82.55</v>
      </c>
      <c r="I14" s="236">
        <v>2</v>
      </c>
      <c r="J14" s="330">
        <v>172.67</v>
      </c>
      <c r="K14" s="137">
        <v>1</v>
      </c>
      <c r="L14" s="137">
        <v>0.92110000000000003</v>
      </c>
      <c r="M14" s="229">
        <v>0.92110000000000003</v>
      </c>
      <c r="N14" s="316">
        <f t="shared" ref="N14:N18" si="1">M14*10000</f>
        <v>9211</v>
      </c>
    </row>
    <row r="15" spans="2:14" ht="14">
      <c r="B15" s="51"/>
      <c r="C15" s="320" t="s">
        <v>220</v>
      </c>
      <c r="D15" s="318" t="s">
        <v>231</v>
      </c>
      <c r="E15" s="137">
        <v>25.38</v>
      </c>
      <c r="I15" s="236">
        <v>3</v>
      </c>
      <c r="J15" s="330">
        <v>203.18</v>
      </c>
      <c r="K15" s="137">
        <v>1</v>
      </c>
      <c r="L15" s="137">
        <v>1.0838000000000001</v>
      </c>
      <c r="M15" s="229">
        <v>1.0838000000000001</v>
      </c>
      <c r="N15" s="316">
        <f t="shared" si="1"/>
        <v>10838.000000000002</v>
      </c>
    </row>
    <row r="16" spans="2:14" ht="14">
      <c r="B16" s="51"/>
      <c r="C16" s="320" t="s">
        <v>220</v>
      </c>
      <c r="D16" s="318" t="s">
        <v>232</v>
      </c>
      <c r="E16" s="137">
        <v>4.57</v>
      </c>
      <c r="I16" s="236">
        <v>4</v>
      </c>
      <c r="J16" s="330">
        <v>103.5</v>
      </c>
      <c r="K16" s="137">
        <v>1</v>
      </c>
      <c r="L16" s="137">
        <v>0.55210000000000004</v>
      </c>
      <c r="M16" s="229">
        <v>0.55210000000000004</v>
      </c>
      <c r="N16" s="316">
        <f t="shared" si="1"/>
        <v>5521</v>
      </c>
    </row>
    <row r="17" spans="2:14" ht="14">
      <c r="B17" s="51"/>
      <c r="C17" s="320" t="s">
        <v>222</v>
      </c>
      <c r="D17" s="318" t="s">
        <v>233</v>
      </c>
      <c r="E17" s="137">
        <v>90.68</v>
      </c>
      <c r="I17" s="236">
        <v>5</v>
      </c>
      <c r="J17" s="330">
        <v>127</v>
      </c>
      <c r="K17" s="137">
        <v>1</v>
      </c>
      <c r="L17" s="137">
        <v>0.67749999999999999</v>
      </c>
      <c r="M17" s="229">
        <v>0.67749999999999999</v>
      </c>
      <c r="N17" s="316">
        <f t="shared" si="1"/>
        <v>6775</v>
      </c>
    </row>
    <row r="18" spans="2:14" ht="14">
      <c r="B18" s="51"/>
      <c r="C18" s="321"/>
      <c r="D18" s="313"/>
      <c r="E18" s="322">
        <f>SUM(E14:E17)</f>
        <v>203.18</v>
      </c>
      <c r="F18" s="323">
        <f>E18/E44</f>
        <v>0.15483212168320304</v>
      </c>
      <c r="G18" s="183">
        <v>0.15479999999999999</v>
      </c>
      <c r="I18" s="236">
        <v>6</v>
      </c>
      <c r="J18" s="330">
        <v>208.68</v>
      </c>
      <c r="K18" s="137">
        <v>1</v>
      </c>
      <c r="L18" s="137">
        <v>1.1132</v>
      </c>
      <c r="M18" s="229">
        <v>1.1132</v>
      </c>
      <c r="N18" s="316">
        <f t="shared" si="1"/>
        <v>11132</v>
      </c>
    </row>
    <row r="19" spans="2:14" ht="14">
      <c r="B19" s="51" t="s">
        <v>71</v>
      </c>
      <c r="C19" s="307" t="s">
        <v>72</v>
      </c>
      <c r="D19" s="313"/>
      <c r="I19" s="236">
        <v>7</v>
      </c>
      <c r="J19" s="330">
        <v>327.92</v>
      </c>
      <c r="K19" s="137">
        <v>1</v>
      </c>
      <c r="L19" s="137">
        <v>1.7492000000000001</v>
      </c>
      <c r="M19" s="229">
        <v>1.7492000000000001</v>
      </c>
      <c r="N19" s="316">
        <f>M19*10000</f>
        <v>17492</v>
      </c>
    </row>
    <row r="20" spans="2:14" ht="14">
      <c r="B20" s="51"/>
      <c r="C20" s="317" t="s">
        <v>218</v>
      </c>
      <c r="D20" s="318" t="s">
        <v>234</v>
      </c>
      <c r="E20" s="137">
        <v>72.59</v>
      </c>
      <c r="I20" s="137"/>
      <c r="J20" s="331">
        <f>J13+J14+J15+J16+J17+J18+J19</f>
        <v>1312.2600000000002</v>
      </c>
      <c r="K20" s="332">
        <f>SUM(K13:K19)</f>
        <v>7</v>
      </c>
      <c r="L20" s="333">
        <f>SUM(L13:L19)</f>
        <v>7.0000000000000009</v>
      </c>
      <c r="M20" s="334">
        <f>SUM(M13:M19)</f>
        <v>7.0000000000000009</v>
      </c>
      <c r="N20" s="325">
        <f>SUM(N13:N19)</f>
        <v>70000</v>
      </c>
    </row>
    <row r="21" spans="2:14" ht="14">
      <c r="B21" s="51"/>
      <c r="C21" s="320" t="s">
        <v>220</v>
      </c>
      <c r="D21" s="318" t="s">
        <v>235</v>
      </c>
      <c r="E21" s="137">
        <v>18.91</v>
      </c>
      <c r="I21" s="137"/>
      <c r="J21" s="137"/>
      <c r="K21" s="137"/>
      <c r="L21" s="238"/>
    </row>
    <row r="22" spans="2:14" ht="14">
      <c r="B22" s="51"/>
      <c r="C22" s="321" t="s">
        <v>236</v>
      </c>
      <c r="D22" s="318" t="s">
        <v>237</v>
      </c>
      <c r="E22" s="137">
        <v>12</v>
      </c>
      <c r="I22" s="137"/>
      <c r="J22" s="137"/>
      <c r="K22" s="137"/>
      <c r="L22" s="238"/>
    </row>
    <row r="23" spans="2:14" ht="14">
      <c r="B23" s="51"/>
      <c r="C23" s="321"/>
      <c r="D23" s="313"/>
      <c r="E23" s="335">
        <f>SUM(E20:E22)</f>
        <v>103.5</v>
      </c>
      <c r="F23" s="323">
        <f>E23/E44</f>
        <v>7.8871565086187187E-2</v>
      </c>
      <c r="G23" s="183">
        <v>7.8899999999999998E-2</v>
      </c>
      <c r="I23" s="236">
        <v>1</v>
      </c>
      <c r="J23" s="330">
        <v>169.31</v>
      </c>
      <c r="K23" s="137">
        <v>1312.26</v>
      </c>
      <c r="L23" s="336">
        <v>0.129021</v>
      </c>
      <c r="M23">
        <v>7</v>
      </c>
      <c r="N23" s="337">
        <f>L23*M23</f>
        <v>0.90314699999999992</v>
      </c>
    </row>
    <row r="24" spans="2:14" ht="14">
      <c r="B24" s="51" t="s">
        <v>136</v>
      </c>
      <c r="C24" s="307" t="s">
        <v>74</v>
      </c>
      <c r="D24" s="313"/>
      <c r="I24" s="236">
        <v>2</v>
      </c>
      <c r="J24" s="330">
        <v>172.67</v>
      </c>
      <c r="K24" s="137">
        <v>1312.26</v>
      </c>
      <c r="L24" s="336">
        <v>0.131582</v>
      </c>
      <c r="M24">
        <v>7</v>
      </c>
      <c r="N24" s="337">
        <f>L24*M24</f>
        <v>0.92107400000000006</v>
      </c>
    </row>
    <row r="25" spans="2:14" ht="14">
      <c r="B25" s="51"/>
      <c r="C25" s="317" t="s">
        <v>218</v>
      </c>
      <c r="D25" s="318" t="s">
        <v>238</v>
      </c>
      <c r="E25" s="137">
        <v>90.48</v>
      </c>
      <c r="I25" s="236">
        <v>3</v>
      </c>
      <c r="J25" s="330">
        <v>203.18</v>
      </c>
      <c r="K25" s="137">
        <v>1312.26</v>
      </c>
      <c r="L25" s="336">
        <f t="shared" ref="L25" si="2">J25/K25</f>
        <v>0.15483212168320304</v>
      </c>
      <c r="M25">
        <v>7</v>
      </c>
      <c r="N25" s="337">
        <f t="shared" ref="N25:N28" si="3">L25*M25</f>
        <v>1.0838248517824214</v>
      </c>
    </row>
    <row r="26" spans="2:14" ht="14">
      <c r="B26" s="51"/>
      <c r="C26" s="320" t="s">
        <v>220</v>
      </c>
      <c r="D26" s="318" t="s">
        <v>239</v>
      </c>
      <c r="E26" s="137">
        <v>24.52</v>
      </c>
      <c r="I26" s="236">
        <v>4</v>
      </c>
      <c r="J26" s="330">
        <v>103.5</v>
      </c>
      <c r="K26" s="137">
        <v>1312.26</v>
      </c>
      <c r="L26" s="336">
        <f>J26/K26</f>
        <v>7.8871565086187187E-2</v>
      </c>
      <c r="M26">
        <v>7</v>
      </c>
      <c r="N26" s="337">
        <f t="shared" si="3"/>
        <v>0.55210095560331029</v>
      </c>
    </row>
    <row r="27" spans="2:14" ht="14">
      <c r="B27" s="51"/>
      <c r="C27" s="321" t="s">
        <v>236</v>
      </c>
      <c r="D27" s="318" t="s">
        <v>240</v>
      </c>
      <c r="E27" s="137">
        <v>12</v>
      </c>
      <c r="I27" s="236">
        <v>5</v>
      </c>
      <c r="J27" s="330">
        <v>127</v>
      </c>
      <c r="K27" s="137">
        <v>1312.26</v>
      </c>
      <c r="L27" s="336">
        <f>J27/K27</f>
        <v>9.6779601603340801E-2</v>
      </c>
      <c r="M27">
        <v>7</v>
      </c>
      <c r="N27" s="337">
        <f>L27*M27</f>
        <v>0.67745721122338565</v>
      </c>
    </row>
    <row r="28" spans="2:14" ht="14">
      <c r="B28" s="51"/>
      <c r="C28" s="321"/>
      <c r="D28" s="313"/>
      <c r="E28" s="322">
        <f>SUM(E25:E27)</f>
        <v>127</v>
      </c>
      <c r="F28" s="323">
        <f>E28/E44</f>
        <v>9.6779601603340801E-2</v>
      </c>
      <c r="G28" s="183">
        <v>9.6799999999999997E-2</v>
      </c>
      <c r="I28" s="236">
        <v>6</v>
      </c>
      <c r="J28" s="330">
        <v>208.68</v>
      </c>
      <c r="K28" s="137">
        <v>1312.26</v>
      </c>
      <c r="L28" s="336">
        <f>J28/K28</f>
        <v>0.15902336427232408</v>
      </c>
      <c r="M28">
        <v>7</v>
      </c>
      <c r="N28" s="337">
        <f t="shared" si="3"/>
        <v>1.1131635499062686</v>
      </c>
    </row>
    <row r="29" spans="2:14" ht="14">
      <c r="B29" s="51" t="s">
        <v>75</v>
      </c>
      <c r="C29" s="307" t="s">
        <v>76</v>
      </c>
      <c r="D29" s="313"/>
      <c r="I29" s="236">
        <v>7</v>
      </c>
      <c r="J29" s="330">
        <v>327.92</v>
      </c>
      <c r="K29" s="137">
        <v>1312.26</v>
      </c>
      <c r="L29" s="336">
        <f>J29/K29</f>
        <v>0.24988950360446863</v>
      </c>
      <c r="M29">
        <v>7</v>
      </c>
      <c r="N29" s="337">
        <f>L29*M29</f>
        <v>1.7492265252312804</v>
      </c>
    </row>
    <row r="30" spans="2:14" ht="14">
      <c r="B30" s="51"/>
      <c r="C30" s="317" t="s">
        <v>218</v>
      </c>
      <c r="D30" s="318" t="s">
        <v>241</v>
      </c>
      <c r="E30" s="137">
        <v>82.55</v>
      </c>
      <c r="I30" s="137"/>
      <c r="J30" s="331">
        <f>SUM(J23:J29)</f>
        <v>1312.2600000000002</v>
      </c>
      <c r="K30" s="137"/>
      <c r="L30" s="137">
        <f>SUM(L23:L29)</f>
        <v>0.99999915624952374</v>
      </c>
      <c r="M30" s="336"/>
      <c r="N30" s="337">
        <f>SUM(N23:N29)</f>
        <v>6.9999940937466665</v>
      </c>
    </row>
    <row r="31" spans="2:14" ht="14">
      <c r="B31" s="51"/>
      <c r="C31" s="320" t="s">
        <v>220</v>
      </c>
      <c r="D31" s="313" t="s">
        <v>242</v>
      </c>
      <c r="E31" s="137">
        <v>25.38</v>
      </c>
    </row>
    <row r="32" spans="2:14" ht="14">
      <c r="B32" s="51"/>
      <c r="C32" s="320" t="s">
        <v>220</v>
      </c>
      <c r="D32" s="313" t="s">
        <v>243</v>
      </c>
      <c r="E32" s="137">
        <v>4.57</v>
      </c>
    </row>
    <row r="33" spans="2:7" ht="14">
      <c r="B33" s="51"/>
      <c r="C33" s="321" t="s">
        <v>236</v>
      </c>
      <c r="D33" s="318" t="s">
        <v>244</v>
      </c>
      <c r="E33" s="137">
        <v>12</v>
      </c>
    </row>
    <row r="34" spans="2:7" ht="14">
      <c r="B34" s="51"/>
      <c r="C34" s="320" t="s">
        <v>222</v>
      </c>
      <c r="D34" s="318" t="s">
        <v>245</v>
      </c>
      <c r="E34" s="137">
        <v>72.459999999999994</v>
      </c>
    </row>
    <row r="35" spans="2:7" ht="14">
      <c r="B35" s="51"/>
      <c r="C35" s="320" t="s">
        <v>246</v>
      </c>
      <c r="D35" s="318" t="s">
        <v>247</v>
      </c>
      <c r="E35" s="137">
        <v>6.37</v>
      </c>
    </row>
    <row r="36" spans="2:7" ht="14">
      <c r="B36" s="51"/>
      <c r="C36" s="320" t="s">
        <v>246</v>
      </c>
      <c r="D36" s="318" t="s">
        <v>248</v>
      </c>
      <c r="E36" s="137">
        <v>5.35</v>
      </c>
    </row>
    <row r="37" spans="2:7" ht="14">
      <c r="B37" s="51"/>
      <c r="C37" s="320"/>
      <c r="D37" s="318"/>
      <c r="E37" s="322">
        <f>SUM(E30:E36)</f>
        <v>208.67999999999998</v>
      </c>
      <c r="F37" s="323">
        <f>E37/E44</f>
        <v>0.15902336427232408</v>
      </c>
      <c r="G37" s="183">
        <v>0.159</v>
      </c>
    </row>
    <row r="38" spans="2:7" ht="14">
      <c r="B38" s="51" t="s">
        <v>77</v>
      </c>
      <c r="C38" s="307" t="s">
        <v>78</v>
      </c>
      <c r="D38" s="313"/>
    </row>
    <row r="39" spans="2:7">
      <c r="C39" s="317" t="s">
        <v>218</v>
      </c>
      <c r="D39" s="318" t="s">
        <v>249</v>
      </c>
      <c r="E39" s="137">
        <v>123.26</v>
      </c>
    </row>
    <row r="40" spans="2:7" ht="14">
      <c r="C40" s="320" t="s">
        <v>220</v>
      </c>
      <c r="D40" s="318" t="s">
        <v>250</v>
      </c>
      <c r="E40" s="137">
        <v>176.74</v>
      </c>
    </row>
    <row r="41" spans="2:7" ht="14">
      <c r="C41" s="321" t="s">
        <v>236</v>
      </c>
      <c r="D41" s="318" t="s">
        <v>251</v>
      </c>
      <c r="E41" s="137">
        <v>27.92</v>
      </c>
    </row>
    <row r="42" spans="2:7">
      <c r="E42" s="322">
        <f>SUM(E39:E41)</f>
        <v>327.92</v>
      </c>
      <c r="F42" s="323">
        <f>E42/E44</f>
        <v>0.24988950360446863</v>
      </c>
      <c r="G42" s="183">
        <v>0.24990000000000001</v>
      </c>
    </row>
    <row r="44" spans="2:7" ht="14">
      <c r="D44" s="294" t="s">
        <v>252</v>
      </c>
      <c r="E44" s="308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Caja Chica-Cta.Bco</vt:lpstr>
      <vt:lpstr>Gastos detallados</vt:lpstr>
      <vt:lpstr>PedidoAGE12-01</vt:lpstr>
      <vt:lpstr>PedidoVotoElec-09-04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2024-05-13T13:46:46Z</cp:lastPrinted>
  <dcterms:created xsi:type="dcterms:W3CDTF">2024-01-05T16:39:16Z</dcterms:created>
  <dcterms:modified xsi:type="dcterms:W3CDTF">2024-05-13T14:05:24Z</dcterms:modified>
  <dc:language>en-GB</dc:language>
</cp:coreProperties>
</file>
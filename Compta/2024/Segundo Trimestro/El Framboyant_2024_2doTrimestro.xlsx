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2024/Segundo Trimestro/"/>
    </mc:Choice>
  </mc:AlternateContent>
  <xr:revisionPtr revIDLastSave="0" documentId="13_ncr:1_{C6E95F32-F7C6-5448-B269-CF0FF8134374}" xr6:coauthVersionLast="45" xr6:coauthVersionMax="45" xr10:uidLastSave="{00000000-0000-0000-0000-000000000000}"/>
  <bookViews>
    <workbookView xWindow="33600" yWindow="500" windowWidth="33600" windowHeight="20500" tabRatio="500" activeTab="11" xr2:uid="{00000000-000D-0000-FFFF-FFFF00000000}"/>
  </bookViews>
  <sheets>
    <sheet name="Caja Chica-Cta.Bco" sheetId="1" r:id="rId1"/>
    <sheet name="Gastos detallados" sheetId="2" r:id="rId2"/>
    <sheet name="PedidoAGE12-01" sheetId="3" r:id="rId3"/>
    <sheet name="PedidoVotoElec-09-04" sheetId="13" r:id="rId4"/>
    <sheet name="Presupuesto 2024 Aprobado" sheetId="4" r:id="rId5"/>
    <sheet name="A1" sheetId="5" r:id="rId6"/>
    <sheet name="A2" sheetId="6" r:id="rId7"/>
    <sheet name="A3" sheetId="7" r:id="rId8"/>
    <sheet name="A4" sheetId="8" r:id="rId9"/>
    <sheet name="A5" sheetId="9" r:id="rId10"/>
    <sheet name="A6" sheetId="10" r:id="rId11"/>
    <sheet name="A7" sheetId="11" r:id="rId12"/>
    <sheet name="Distribución" sheetId="12" r:id="rId13"/>
  </sheets>
  <definedNames>
    <definedName name="_xlnm._FilterDatabase" localSheetId="0" hidden="1">'Caja Chica-Cta.Bco'!$B$9:$F$77</definedName>
    <definedName name="_xlnm.Print_Area" localSheetId="0">'Caja Chica-Cta.Bco'!$1:$1048576</definedName>
    <definedName name="_xlnm.Print_Area" localSheetId="12">Distribución!$B$2:$G$44</definedName>
    <definedName name="_xlnm.Print_Area" localSheetId="2">'PedidoAGE12-01'!$A$1:$F$39</definedName>
    <definedName name="_xlnm.Print_Area" localSheetId="3">'PedidoVotoElec-09-04'!$A$1:$F$39</definedName>
    <definedName name="_xlnm.Print_Area" localSheetId="4">'Presupuesto 2024 Aprobado'!$A$1:$F$44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8" i="11" l="1"/>
  <c r="D28" i="10"/>
  <c r="D28" i="9"/>
  <c r="D28" i="8"/>
  <c r="D29" i="7"/>
  <c r="D28" i="6"/>
  <c r="D34" i="5"/>
  <c r="N3" i="12"/>
  <c r="L29" i="12"/>
  <c r="N29" i="12" s="1"/>
  <c r="N24" i="12"/>
  <c r="N23" i="12"/>
  <c r="L28" i="12"/>
  <c r="L26" i="12"/>
  <c r="N13" i="12" l="1"/>
  <c r="M20" i="12"/>
  <c r="N19" i="12"/>
  <c r="K20" i="12"/>
  <c r="L20" i="12"/>
  <c r="J20" i="12"/>
  <c r="L27" i="12"/>
  <c r="N27" i="12" s="1"/>
  <c r="M10" i="12"/>
  <c r="L10" i="12"/>
  <c r="D39" i="13"/>
  <c r="G44" i="12"/>
  <c r="E34" i="5"/>
  <c r="F34" i="5" s="1"/>
  <c r="K3" i="12" l="1"/>
  <c r="K4" i="12"/>
  <c r="K9" i="12"/>
  <c r="K7" i="12"/>
  <c r="K6" i="12"/>
  <c r="K5" i="12"/>
  <c r="K8" i="12"/>
  <c r="E28" i="11"/>
  <c r="E28" i="10"/>
  <c r="E28" i="9"/>
  <c r="E28" i="8"/>
  <c r="E29" i="7"/>
  <c r="F29" i="7" s="1"/>
  <c r="E28" i="6"/>
  <c r="C50" i="4"/>
  <c r="N38" i="3"/>
  <c r="J38" i="13"/>
  <c r="E39" i="3"/>
  <c r="E13" i="13"/>
  <c r="L37" i="13" l="1"/>
  <c r="L36" i="13"/>
  <c r="L35" i="13"/>
  <c r="L31" i="13"/>
  <c r="L38" i="13" s="1"/>
  <c r="L34" i="13"/>
  <c r="L33" i="13"/>
  <c r="L32" i="13"/>
  <c r="F28" i="6"/>
  <c r="K10" i="12"/>
  <c r="D18" i="2"/>
  <c r="E21" i="13"/>
  <c r="E30" i="13" s="1"/>
  <c r="I31" i="13" l="1"/>
  <c r="M31" i="13" s="1"/>
  <c r="I32" i="13"/>
  <c r="M32" i="13" s="1"/>
  <c r="I37" i="13"/>
  <c r="M37" i="13" s="1"/>
  <c r="I36" i="13"/>
  <c r="M36" i="13" s="1"/>
  <c r="I35" i="13"/>
  <c r="M35" i="13" s="1"/>
  <c r="I34" i="13"/>
  <c r="M34" i="13" s="1"/>
  <c r="I33" i="13"/>
  <c r="M33" i="13" s="1"/>
  <c r="D58" i="2"/>
  <c r="D47" i="2"/>
  <c r="N34" i="13" l="1"/>
  <c r="E35" i="13"/>
  <c r="N37" i="13"/>
  <c r="E38" i="13"/>
  <c r="N33" i="13"/>
  <c r="E34" i="13"/>
  <c r="N35" i="13"/>
  <c r="E36" i="13"/>
  <c r="N36" i="13"/>
  <c r="E37" i="13"/>
  <c r="N32" i="13"/>
  <c r="E33" i="13"/>
  <c r="E32" i="13"/>
  <c r="N31" i="13"/>
  <c r="N38" i="13"/>
  <c r="E39" i="13"/>
  <c r="M38" i="13"/>
  <c r="D39" i="3" l="1"/>
  <c r="F86" i="1" l="1"/>
  <c r="D25" i="2" l="1"/>
  <c r="D75" i="2" l="1"/>
  <c r="D102" i="2"/>
  <c r="D93" i="2"/>
  <c r="F96" i="1"/>
  <c r="E77" i="1"/>
  <c r="E7" i="12" l="1"/>
  <c r="E42" i="12" l="1"/>
  <c r="E37" i="12"/>
  <c r="J30" i="12"/>
  <c r="N28" i="12"/>
  <c r="E28" i="12"/>
  <c r="N26" i="12"/>
  <c r="L25" i="12"/>
  <c r="N25" i="12" s="1"/>
  <c r="E23" i="12"/>
  <c r="N18" i="12"/>
  <c r="E18" i="12"/>
  <c r="N17" i="12"/>
  <c r="N16" i="12"/>
  <c r="N15" i="12"/>
  <c r="N14" i="12"/>
  <c r="E12" i="12"/>
  <c r="E44" i="12" s="1"/>
  <c r="F7" i="12" s="1"/>
  <c r="N9" i="12"/>
  <c r="N8" i="12"/>
  <c r="N7" i="12"/>
  <c r="N6" i="12"/>
  <c r="N5" i="12"/>
  <c r="N4" i="12"/>
  <c r="F13" i="11"/>
  <c r="F14" i="11" s="1"/>
  <c r="F15" i="11" s="1"/>
  <c r="F16" i="11" s="1"/>
  <c r="F13" i="10"/>
  <c r="F14" i="10" s="1"/>
  <c r="F15" i="10" s="1"/>
  <c r="F16" i="10" s="1"/>
  <c r="F13" i="9"/>
  <c r="F14" i="9" s="1"/>
  <c r="F15" i="9" s="1"/>
  <c r="F16" i="9" s="1"/>
  <c r="F13" i="8"/>
  <c r="F14" i="8" s="1"/>
  <c r="F15" i="8" s="1"/>
  <c r="F16" i="8" s="1"/>
  <c r="F13" i="7"/>
  <c r="F14" i="7" s="1"/>
  <c r="F15" i="7" s="1"/>
  <c r="F16" i="7" s="1"/>
  <c r="F17" i="7" s="1"/>
  <c r="F13" i="6"/>
  <c r="F14" i="6" s="1"/>
  <c r="F15" i="6" s="1"/>
  <c r="F16" i="6" s="1"/>
  <c r="F13" i="5"/>
  <c r="F14" i="5" s="1"/>
  <c r="F15" i="5" s="1"/>
  <c r="F16" i="5" s="1"/>
  <c r="F17" i="5" s="1"/>
  <c r="F18" i="5" s="1"/>
  <c r="F20" i="5" s="1"/>
  <c r="N67" i="4"/>
  <c r="J67" i="4"/>
  <c r="L63" i="4" s="1"/>
  <c r="M66" i="4"/>
  <c r="M65" i="4"/>
  <c r="M64" i="4"/>
  <c r="M63" i="4"/>
  <c r="M62" i="4"/>
  <c r="L62" i="4"/>
  <c r="M61" i="4"/>
  <c r="M60" i="4"/>
  <c r="N56" i="4"/>
  <c r="J56" i="4"/>
  <c r="D56" i="4"/>
  <c r="C56" i="4"/>
  <c r="E56" i="4" s="1"/>
  <c r="M55" i="4"/>
  <c r="L55" i="4"/>
  <c r="E55" i="4"/>
  <c r="D55" i="4"/>
  <c r="C55" i="4"/>
  <c r="M54" i="4"/>
  <c r="L54" i="4"/>
  <c r="D54" i="4"/>
  <c r="C54" i="4"/>
  <c r="M53" i="4"/>
  <c r="L53" i="4"/>
  <c r="D53" i="4"/>
  <c r="C53" i="4"/>
  <c r="M52" i="4"/>
  <c r="L52" i="4"/>
  <c r="D52" i="4"/>
  <c r="C52" i="4"/>
  <c r="E52" i="4" s="1"/>
  <c r="M51" i="4"/>
  <c r="L51" i="4"/>
  <c r="D51" i="4"/>
  <c r="C51" i="4"/>
  <c r="M50" i="4"/>
  <c r="L50" i="4"/>
  <c r="D50" i="4"/>
  <c r="E50" i="4"/>
  <c r="M49" i="4"/>
  <c r="L49" i="4"/>
  <c r="E46" i="4"/>
  <c r="D46" i="4"/>
  <c r="N45" i="4"/>
  <c r="J45" i="4"/>
  <c r="L38" i="4" s="1"/>
  <c r="L44" i="4"/>
  <c r="I44" i="4"/>
  <c r="M44" i="4" s="1"/>
  <c r="L43" i="4"/>
  <c r="I41" i="4"/>
  <c r="M41" i="4" s="1"/>
  <c r="L40" i="4"/>
  <c r="L39" i="4"/>
  <c r="I39" i="4"/>
  <c r="M39" i="4" s="1"/>
  <c r="E37" i="4"/>
  <c r="I43" i="4" s="1"/>
  <c r="M43" i="4" s="1"/>
  <c r="E35" i="4"/>
  <c r="D35" i="4"/>
  <c r="N34" i="4"/>
  <c r="J34" i="4"/>
  <c r="E21" i="4"/>
  <c r="C18" i="4"/>
  <c r="E15" i="4"/>
  <c r="E14" i="4"/>
  <c r="E13" i="4"/>
  <c r="E12" i="4"/>
  <c r="E11" i="4"/>
  <c r="E10" i="4"/>
  <c r="E9" i="4"/>
  <c r="J38" i="3"/>
  <c r="E19" i="3"/>
  <c r="E21" i="3" s="1"/>
  <c r="E30" i="3" s="1"/>
  <c r="I31" i="3" s="1"/>
  <c r="M31" i="3" s="1"/>
  <c r="D111" i="2"/>
  <c r="D115" i="2" s="1"/>
  <c r="D107" i="2"/>
  <c r="D85" i="2"/>
  <c r="D81" i="2"/>
  <c r="D68" i="2"/>
  <c r="D62" i="2"/>
  <c r="M77" i="1"/>
  <c r="M80" i="1" s="1"/>
  <c r="L77" i="1"/>
  <c r="L79" i="1" s="1"/>
  <c r="F77" i="1"/>
  <c r="F80" i="1" s="1"/>
  <c r="E79" i="1"/>
  <c r="F81" i="1" s="1"/>
  <c r="E18" i="4" l="1"/>
  <c r="E22" i="4" s="1"/>
  <c r="L42" i="4"/>
  <c r="L41" i="4"/>
  <c r="E54" i="4"/>
  <c r="I38" i="4"/>
  <c r="M38" i="4" s="1"/>
  <c r="E51" i="4"/>
  <c r="L31" i="3"/>
  <c r="L38" i="3" s="1"/>
  <c r="L37" i="3"/>
  <c r="L36" i="3"/>
  <c r="L35" i="3"/>
  <c r="L34" i="3"/>
  <c r="L33" i="3"/>
  <c r="L32" i="3"/>
  <c r="I42" i="4"/>
  <c r="M42" i="4" s="1"/>
  <c r="D57" i="4"/>
  <c r="E53" i="4"/>
  <c r="N20" i="12"/>
  <c r="L30" i="12"/>
  <c r="N30" i="12"/>
  <c r="F18" i="11"/>
  <c r="F19" i="11" s="1"/>
  <c r="F20" i="11" s="1"/>
  <c r="F21" i="11" s="1"/>
  <c r="F22" i="11" s="1"/>
  <c r="F23" i="11" s="1"/>
  <c r="F17" i="11"/>
  <c r="F17" i="10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/>
  <c r="F17" i="9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17" i="8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/>
  <c r="F18" i="7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17" i="6"/>
  <c r="F18" i="6" s="1"/>
  <c r="F19" i="6" s="1"/>
  <c r="F20" i="6" s="1"/>
  <c r="F21" i="6" s="1"/>
  <c r="F22" i="6" s="1"/>
  <c r="F23" i="6" s="1"/>
  <c r="F25" i="6" s="1"/>
  <c r="F26" i="6" s="1"/>
  <c r="F27" i="6" s="1"/>
  <c r="F21" i="5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84" i="1"/>
  <c r="I32" i="3"/>
  <c r="M32" i="3" s="1"/>
  <c r="I37" i="3"/>
  <c r="M37" i="3" s="1"/>
  <c r="I34" i="3"/>
  <c r="M34" i="3" s="1"/>
  <c r="I36" i="3"/>
  <c r="M36" i="3" s="1"/>
  <c r="I33" i="3"/>
  <c r="M33" i="3" s="1"/>
  <c r="I35" i="3"/>
  <c r="M35" i="3" s="1"/>
  <c r="E26" i="4"/>
  <c r="L56" i="4"/>
  <c r="N10" i="12"/>
  <c r="M67" i="4"/>
  <c r="L65" i="4"/>
  <c r="L61" i="4"/>
  <c r="L64" i="4"/>
  <c r="L60" i="4"/>
  <c r="L28" i="4"/>
  <c r="L33" i="4"/>
  <c r="L30" i="4"/>
  <c r="L27" i="4"/>
  <c r="L32" i="4"/>
  <c r="M81" i="1"/>
  <c r="F83" i="1" s="1"/>
  <c r="D113" i="2"/>
  <c r="M56" i="4"/>
  <c r="C57" i="4"/>
  <c r="F28" i="9"/>
  <c r="F28" i="12"/>
  <c r="L45" i="4"/>
  <c r="L29" i="4"/>
  <c r="E57" i="4"/>
  <c r="M45" i="4"/>
  <c r="L31" i="4"/>
  <c r="L66" i="4"/>
  <c r="I40" i="4"/>
  <c r="M40" i="4" s="1"/>
  <c r="F24" i="11" l="1"/>
  <c r="F25" i="11" s="1"/>
  <c r="F26" i="11" s="1"/>
  <c r="F27" i="11" s="1"/>
  <c r="F85" i="1"/>
  <c r="F87" i="1" s="1"/>
  <c r="F37" i="12"/>
  <c r="M38" i="3"/>
  <c r="L67" i="4"/>
  <c r="I31" i="4"/>
  <c r="M31" i="4" s="1"/>
  <c r="I28" i="4"/>
  <c r="M28" i="4" s="1"/>
  <c r="I33" i="4"/>
  <c r="M33" i="4" s="1"/>
  <c r="I30" i="4"/>
  <c r="M30" i="4" s="1"/>
  <c r="I27" i="4"/>
  <c r="M27" i="4" s="1"/>
  <c r="I29" i="4"/>
  <c r="M29" i="4" s="1"/>
  <c r="I32" i="4"/>
  <c r="M32" i="4" s="1"/>
  <c r="F23" i="12"/>
  <c r="F12" i="12"/>
  <c r="F44" i="12" s="1"/>
  <c r="F42" i="12"/>
  <c r="F18" i="12"/>
  <c r="L34" i="4"/>
  <c r="M34" i="4" l="1"/>
  <c r="F28" i="11"/>
</calcChain>
</file>

<file path=xl/sharedStrings.xml><?xml version="1.0" encoding="utf-8"?>
<sst xmlns="http://schemas.openxmlformats.org/spreadsheetml/2006/main" count="855" uniqueCount="302">
  <si>
    <t>CONDOMINIO EL FRAMBOYANT</t>
  </si>
  <si>
    <t>Calle 30 de Marzo, Las Terrenas, Samaná, República Dominicana 32200</t>
  </si>
  <si>
    <t>Periodo de 01/01 hasta 23/03/2024</t>
  </si>
  <si>
    <t>Periodo de 01/01 hasta 31/12/2024</t>
  </si>
  <si>
    <t>Estado CAJA CHICA</t>
  </si>
  <si>
    <t>Descripción</t>
  </si>
  <si>
    <t>Fecha</t>
  </si>
  <si>
    <t>Tipo</t>
  </si>
  <si>
    <t>Debito</t>
  </si>
  <si>
    <t>Credito</t>
  </si>
  <si>
    <t>Saldo balance al 31/12/2023</t>
  </si>
  <si>
    <t>CA</t>
  </si>
  <si>
    <t>BQ</t>
  </si>
  <si>
    <t>Honorario Administrador Enero 2024</t>
  </si>
  <si>
    <t>Luz y Fuerza Diciembre 2023</t>
  </si>
  <si>
    <t>INAPA Enero 2024</t>
  </si>
  <si>
    <t>1 camión del agua – El Flaco</t>
  </si>
  <si>
    <t>2 pastillas de cloro para registro agua pluvial</t>
  </si>
  <si>
    <t>Impuesto 0.15% DGII</t>
  </si>
  <si>
    <t>Registro acta AGE 12/01 ayuntamiento LT</t>
  </si>
  <si>
    <t>Rep. cambio de luce spot defectuoso-Crismar</t>
  </si>
  <si>
    <t>Recogida basura Enero 2024</t>
  </si>
  <si>
    <t>Honorario Administrador Febrero 2024</t>
  </si>
  <si>
    <t xml:space="preserve">Materiales plomería y multa demora A7 – Wilner </t>
  </si>
  <si>
    <t>Honorario del Alguacil para notificación a A-1</t>
  </si>
  <si>
    <t>Honorario Administrador para AGE 12-01-2024</t>
  </si>
  <si>
    <t xml:space="preserve">Interés </t>
  </si>
  <si>
    <t>Reembolso a Jeffrey cargo DGII transf banco – A1</t>
  </si>
  <si>
    <t>Impuesto</t>
  </si>
  <si>
    <t>Entrada a caja chica desde cuenta banco</t>
  </si>
  <si>
    <t>Pago GUERIN-A1 (47 720,90+72,56)</t>
  </si>
  <si>
    <t>Pago ENGEL – A5</t>
  </si>
  <si>
    <t>Luz y Fuerza Enero 2024</t>
  </si>
  <si>
    <t>2 camiones de séptico</t>
  </si>
  <si>
    <t>Retiro para caja chica</t>
  </si>
  <si>
    <t>Pago FACQUET – A4</t>
  </si>
  <si>
    <t>Pago ONDELLA – A3</t>
  </si>
  <si>
    <t>Registro acta AGO 13/02 ayuntamiento LT</t>
  </si>
  <si>
    <t>Pago SANTOS – A6</t>
  </si>
  <si>
    <t>Pago a Jeffrey cargo MoneyGram/Deposito – A2</t>
  </si>
  <si>
    <t>Pago HAZELTINE – A7</t>
  </si>
  <si>
    <t>Reembolso a Jeffrey cargo DGII transf banco – A7</t>
  </si>
  <si>
    <t>Pago GUERIN – A1</t>
  </si>
  <si>
    <t>Recogida basura Febrero 2024</t>
  </si>
  <si>
    <t>Pago METAYER-JEAN – A2</t>
  </si>
  <si>
    <t>Honorario Administrador Marzo 2024</t>
  </si>
  <si>
    <t>Pago HAZELTINE – A7 (26,803.85 + 5,221.59)</t>
  </si>
  <si>
    <t>Avance 60% trabajo muro exterior – Edison</t>
  </si>
  <si>
    <t>Avance 60% trabajo área séptico – Edison</t>
  </si>
  <si>
    <t>Recogida basura Marzo 2024</t>
  </si>
  <si>
    <t>Luz y Fuerza Febrero 2024</t>
  </si>
  <si>
    <t>INAPA Febrero 2024</t>
  </si>
  <si>
    <r>
      <rPr>
        <sz val="10"/>
        <rFont val="Arial"/>
        <family val="2"/>
        <charset val="1"/>
      </rPr>
      <t xml:space="preserve">Materiales </t>
    </r>
    <r>
      <rPr>
        <sz val="11"/>
        <rFont val="Arial"/>
        <family val="2"/>
        <charset val="1"/>
      </rPr>
      <t>Trabajo registro aguas pluviales subterráneos – Crismar</t>
    </r>
  </si>
  <si>
    <t>2do avance 20% trabajo muro exterior – Edison</t>
  </si>
  <si>
    <t>2do avance 20% trabajo área séptico – Edison</t>
  </si>
  <si>
    <t>INAPA Marzo 2024</t>
  </si>
  <si>
    <t>TOTAL</t>
  </si>
  <si>
    <t>TOTAL DÉBITO</t>
  </si>
  <si>
    <t>TOTAL CRÉDITO</t>
  </si>
  <si>
    <t>BALANCE AL DÍA</t>
  </si>
  <si>
    <t xml:space="preserve">Saldo banco </t>
  </si>
  <si>
    <t>Saldo efectivo</t>
  </si>
  <si>
    <t>TOTAL BALANCE AL DÍA</t>
  </si>
  <si>
    <t>Fondo de Reservas</t>
  </si>
  <si>
    <t>BALANCE DISPONIBLE PARA GASTOS:</t>
  </si>
  <si>
    <t>Serge GUERRIN</t>
  </si>
  <si>
    <t>A-1</t>
  </si>
  <si>
    <t>Hasta Junio OK</t>
  </si>
  <si>
    <t>Hervé METAYER</t>
  </si>
  <si>
    <t>A-2</t>
  </si>
  <si>
    <t>En crédito</t>
  </si>
  <si>
    <t>Frédéric ONDELLA</t>
  </si>
  <si>
    <t>A-3</t>
  </si>
  <si>
    <t>Patricia FACQUET</t>
  </si>
  <si>
    <t>A-4</t>
  </si>
  <si>
    <t>Gernot ENGEL</t>
  </si>
  <si>
    <t>A-5</t>
  </si>
  <si>
    <r>
      <rPr>
        <sz val="11"/>
        <rFont val="Arial"/>
        <family val="2"/>
        <charset val="1"/>
      </rPr>
      <t xml:space="preserve">Inversiones Ter 187 eirl </t>
    </r>
    <r>
      <rPr>
        <sz val="9"/>
        <rFont val="Arial"/>
        <family val="2"/>
        <charset val="1"/>
      </rPr>
      <t>(Karina SANTOS)</t>
    </r>
  </si>
  <si>
    <t>A-6</t>
  </si>
  <si>
    <t>Jonathan HAZELTINE</t>
  </si>
  <si>
    <t>A-7</t>
  </si>
  <si>
    <t xml:space="preserve">TOTAL en Crédito: </t>
  </si>
  <si>
    <t>1er Trimestre</t>
  </si>
  <si>
    <t>Estado detallados de gastos</t>
  </si>
  <si>
    <t>INAPA (Contrato 321528) / Agua</t>
  </si>
  <si>
    <t>Monto</t>
  </si>
  <si>
    <r>
      <rPr>
        <sz val="10"/>
        <rFont val="Arial"/>
        <family val="2"/>
        <charset val="1"/>
      </rPr>
      <t xml:space="preserve">1 Camión de agua </t>
    </r>
    <r>
      <rPr>
        <sz val="8"/>
        <rFont val="Arial"/>
        <family val="2"/>
        <charset val="1"/>
      </rPr>
      <t>(interrupción servicio por averías)</t>
    </r>
  </si>
  <si>
    <t>Total</t>
  </si>
  <si>
    <t>LUZ Y FUERZA / Electricidad</t>
  </si>
  <si>
    <t>Luz Diciembre 2023 (55 kwh)</t>
  </si>
  <si>
    <t>Luz Enero 2024 (80 kwh)</t>
  </si>
  <si>
    <t>Luz Febrero 2024 (107 kwh)</t>
  </si>
  <si>
    <t>Reparaciones / Mantenimientos</t>
  </si>
  <si>
    <t>Reparación flota agua Inapa + Mant. Tanque de presión – Crismar</t>
  </si>
  <si>
    <t>Seguro Incendio y R.C.</t>
  </si>
  <si>
    <t>Seguro Incendio + RC (Universal)</t>
  </si>
  <si>
    <t>Basura / Recogida mensual</t>
  </si>
  <si>
    <t>Honorarios del Administrador</t>
  </si>
  <si>
    <t>Honorarios del Administrador (Extras)</t>
  </si>
  <si>
    <t>Honorarios por servicios profesionales</t>
  </si>
  <si>
    <t>Trabajos decididos en AGE 2023</t>
  </si>
  <si>
    <t>Avance 60% trabajo muro exterior – EDISON</t>
  </si>
  <si>
    <t>2do avance 20% trabajo muro exterior – EDISON</t>
  </si>
  <si>
    <t>Trabajos decididos en AGE 2024</t>
  </si>
  <si>
    <t>Avance 60% trabajo area séptico – EDISON</t>
  </si>
  <si>
    <t>2do avance 20% trabajo area séptico – EDISON</t>
  </si>
  <si>
    <t>MDO Trabajo registro aguas pluviales subterráneos – Crismar</t>
  </si>
  <si>
    <t>Otro gastos diversos</t>
  </si>
  <si>
    <t>Registro Acta AGE 12/01 Ayuntamiento LT</t>
  </si>
  <si>
    <t>Registro Acta AGO 13/02 Ayuntamiento LT</t>
  </si>
  <si>
    <t>Cargo MoneyGram/Deposito Banco (cargo del A2)</t>
  </si>
  <si>
    <t>TOTAL GENERAL GASTOS COMUNES</t>
  </si>
  <si>
    <t>TOTAL GENERAL GASTOS PERSONALES</t>
  </si>
  <si>
    <t>Cuota Extraordinaria del 2024</t>
  </si>
  <si>
    <t>Pedido de fondo para Trabajos decidido en AGE 12/01/2024</t>
  </si>
  <si>
    <t>Trabajo elevación de nivel área de los sépticos</t>
  </si>
  <si>
    <t>Asamblea General Extraordinaria punto 4 (aprobado unanimidad)</t>
  </si>
  <si>
    <t>Voto electrónico realizado durante 19/01 - 24/01/2024 (100% de emitidos : A2/A3/A6/A7)</t>
  </si>
  <si>
    <t>Trabajo registro de aguas pluviales subterráneos</t>
  </si>
  <si>
    <t>Asamblea General Extraordinaria punto 5 (aprobado unanimidad)</t>
  </si>
  <si>
    <t>*Honorarios 10% para seguimientos y supervisores de trabajos</t>
  </si>
  <si>
    <t xml:space="preserve">Monto total </t>
  </si>
  <si>
    <t>Notas;</t>
  </si>
  <si>
    <t>Esta cuota extraordinaria es la manera provisional (presupuestos).</t>
  </si>
  <si>
    <t xml:space="preserve">La cierre contable del ejercicio 2024 concluirá una vez que se apruebe en la Asamblea General </t>
  </si>
  <si>
    <t>Ordinaria del principio 2025.</t>
  </si>
  <si>
    <t xml:space="preserve">Les pedimos de realizar su pago lo antes posible.  </t>
  </si>
  <si>
    <t xml:space="preserve">Les recordamos que tiene 15 días de pagar, en contrario 2% de mora será aplicado.  </t>
  </si>
  <si>
    <t>Repartición de Cuota Extraordianaria AGE 12-01-2024</t>
  </si>
  <si>
    <t>Unidad</t>
  </si>
  <si>
    <t>Total monto</t>
  </si>
  <si>
    <t>Valor RD$</t>
  </si>
  <si>
    <t>Total valor RD$</t>
  </si>
  <si>
    <t>Repartición %</t>
  </si>
  <si>
    <t>Monto/cada</t>
  </si>
  <si>
    <t>Propietario</t>
  </si>
  <si>
    <t>UNIDAD</t>
  </si>
  <si>
    <t>%</t>
  </si>
  <si>
    <t>Monto a pagar</t>
  </si>
  <si>
    <t>Gernot ENGER</t>
  </si>
  <si>
    <t>Presupuesto Provisional 2024 aprobado por la AGO del 13/02/2024</t>
  </si>
  <si>
    <t>Por mes</t>
  </si>
  <si>
    <t>Meses</t>
  </si>
  <si>
    <t>Anual</t>
  </si>
  <si>
    <t xml:space="preserve">INAPA/Agua </t>
  </si>
  <si>
    <t>Agua (camión de agua)</t>
  </si>
  <si>
    <t>Honorario Administrador</t>
  </si>
  <si>
    <t>Gastos bancario</t>
  </si>
  <si>
    <r>
      <rPr>
        <sz val="10"/>
        <rFont val="Arial"/>
        <family val="2"/>
        <charset val="1"/>
      </rPr>
      <t>Trabajo tuberías drenaje de agua pluvial (</t>
    </r>
    <r>
      <rPr>
        <b/>
        <sz val="10"/>
        <rFont val="Arial"/>
        <family val="2"/>
        <charset val="1"/>
      </rPr>
      <t>monto adicional</t>
    </r>
    <r>
      <rPr>
        <sz val="10"/>
        <rFont val="Arial"/>
        <family val="2"/>
        <charset val="1"/>
      </rPr>
      <t>)</t>
    </r>
  </si>
  <si>
    <t>Seguro Incendio y R.C. (20/11/2024-2025)</t>
  </si>
  <si>
    <t>Total Anual Gastos Provisional 2024</t>
  </si>
  <si>
    <t>Fondo de Reservas (para completar $80,000)</t>
  </si>
  <si>
    <t>* Fondo de Reservas (diferencia prevista por cancelación trabajo medidor de agua)</t>
  </si>
  <si>
    <t>(* La diferencia exacta será tomada cuenta al cierre del año 2024)</t>
  </si>
  <si>
    <t>Total Fondo de Reservas 2024</t>
  </si>
  <si>
    <t>Se pedirá trimestralmente (4 veces) : $124,809.46RD y $10,000.00RD Total $134,809.46RD</t>
  </si>
  <si>
    <t>Nota: Tenemos una nota de crédito (materiales) con Ferretería The Home Acosta Polanco</t>
  </si>
  <si>
    <t>con un importe de $14,514.18RD (aproximadamente)</t>
  </si>
  <si>
    <t>Calculo presupuesto 2024</t>
  </si>
  <si>
    <t>Repartición de gasto común provisional 2024:</t>
  </si>
  <si>
    <t>por año</t>
  </si>
  <si>
    <t>Herve METAYER</t>
  </si>
  <si>
    <t>Calculo Fondo de Reservas 2024</t>
  </si>
  <si>
    <t>Repartición de Fondo de Reservas 2024:</t>
  </si>
  <si>
    <t>Calculo cierre del 2023</t>
  </si>
  <si>
    <t>MONTO TRIMESTRE 2024</t>
  </si>
  <si>
    <t>Gastos</t>
  </si>
  <si>
    <t>Fdo. Reservas</t>
  </si>
  <si>
    <t>Apartamento A-1</t>
  </si>
  <si>
    <t>Serge GUERIN</t>
  </si>
  <si>
    <t xml:space="preserve">serge47.guerin@gmail.com </t>
  </si>
  <si>
    <t xml:space="preserve">Estado de cuenta </t>
  </si>
  <si>
    <t>Débito</t>
  </si>
  <si>
    <t>Crédito</t>
  </si>
  <si>
    <t>Saldo</t>
  </si>
  <si>
    <t>Pago Serge GUERIN</t>
  </si>
  <si>
    <t>Cargo 2% del $26 548.93 (Reglamento Art.33-d)</t>
  </si>
  <si>
    <t>Pedido de fondo – cuota extraordinaria AGE del 12-01-2024</t>
  </si>
  <si>
    <t>Honorario del Alguacil LT para la Notificación de deudas</t>
  </si>
  <si>
    <t>Pago Serge GUERIN (47 720,90+72,56)</t>
  </si>
  <si>
    <t>Gastos Total año 2023 (Aprobado en AGO del 13 febrero 2024)</t>
  </si>
  <si>
    <t>Fondo de Reservas 2023 (Pedido del 01/10/2023 - Total $40,000RD)</t>
  </si>
  <si>
    <t>1er Trimestre 2024 (Enero – Marzo) / Gastos común provisional</t>
  </si>
  <si>
    <t>1er Trimestre 2024 (Enero – Marzo) / Fondo de Reservas 2024</t>
  </si>
  <si>
    <t xml:space="preserve">Rectificación error del 09/02/2024 </t>
  </si>
  <si>
    <t xml:space="preserve">TOTAL A1-GUERRIN </t>
  </si>
  <si>
    <t>*Incluido pedido del 01/04/2024 (2do Trimestre) según la solicitud del propietarios A-1</t>
  </si>
  <si>
    <t>Apartamento A-2</t>
  </si>
  <si>
    <t>Hervé METAYER / Corine JEAN</t>
  </si>
  <si>
    <t>hmetayer.business@gmail.com; corine.2021@outlook.fr</t>
  </si>
  <si>
    <t>Pago METAYER-JEAN</t>
  </si>
  <si>
    <t xml:space="preserve">TOTAL A2-METAYER </t>
  </si>
  <si>
    <t xml:space="preserve">Nota Importante: </t>
  </si>
  <si>
    <t>Apartamento A3</t>
  </si>
  <si>
    <t>ondellaf@yahoo.fr</t>
  </si>
  <si>
    <t>Pago Frédéric ONDELLA</t>
  </si>
  <si>
    <t>TOTAL A3-ONDELLA</t>
  </si>
  <si>
    <t>Su estado de cuenta está en manera provisional hasta que se cierran las contabilidades del 2024.</t>
  </si>
  <si>
    <t>Apartamento A-4</t>
  </si>
  <si>
    <t>patriciafacquet@icloud.com</t>
  </si>
  <si>
    <t>Pago Patricia FACQUET</t>
  </si>
  <si>
    <t>Pago por CH para Patricia FACQUET</t>
  </si>
  <si>
    <t>Pago por Manon para Patricia FACQUET</t>
  </si>
  <si>
    <t>TOTAL A4-FACQUET</t>
  </si>
  <si>
    <t>Apartamento A-5</t>
  </si>
  <si>
    <t>gernot.engel2@gmail.com</t>
  </si>
  <si>
    <t>Pago Gernot ENGEL</t>
  </si>
  <si>
    <t>TOTAL A5-ENGER</t>
  </si>
  <si>
    <t>Apartamento A-6</t>
  </si>
  <si>
    <t>Inversiones Ter 187, eirl / Karina SANTOS</t>
  </si>
  <si>
    <t>skangelical77@gmail.com</t>
  </si>
  <si>
    <t>Pago Karina SANTOS</t>
  </si>
  <si>
    <t>TOTAL A6-SANTOS</t>
  </si>
  <si>
    <t>Apartamento A-7</t>
  </si>
  <si>
    <t>Jonathan &amp; Stacy HAZELTINE</t>
  </si>
  <si>
    <t>jon@sweetspot.property</t>
  </si>
  <si>
    <t>Pago HAZELTINE</t>
  </si>
  <si>
    <t>Pago HAZELTINE (26,803.85 + 5,221.59)</t>
  </si>
  <si>
    <t>TOTAL A7-HAZELTINE</t>
  </si>
  <si>
    <t>Superficie</t>
  </si>
  <si>
    <t>Porcentaje</t>
  </si>
  <si>
    <t>Repartición</t>
  </si>
  <si>
    <t>Apartamento</t>
  </si>
  <si>
    <t>SP-01-01-001</t>
  </si>
  <si>
    <t>Terraza</t>
  </si>
  <si>
    <t>SE-01-01-001</t>
  </si>
  <si>
    <t>Jardín</t>
  </si>
  <si>
    <t>SE-01-01-002</t>
  </si>
  <si>
    <t>SP-01-01-002</t>
  </si>
  <si>
    <t>SE-01-01-003</t>
  </si>
  <si>
    <t>SE-01-01-004</t>
  </si>
  <si>
    <t>M2</t>
  </si>
  <si>
    <t>Total Unidad</t>
  </si>
  <si>
    <t>Votos</t>
  </si>
  <si>
    <t>SP-01-01-003</t>
  </si>
  <si>
    <t>SE-01-01-005</t>
  </si>
  <si>
    <t>SE-01-01-006</t>
  </si>
  <si>
    <t>SE-01-01-007</t>
  </si>
  <si>
    <t>SP-01-02-001</t>
  </si>
  <si>
    <t>SE-01-02-001</t>
  </si>
  <si>
    <t>Parqueo</t>
  </si>
  <si>
    <t>SE-00-01-002</t>
  </si>
  <si>
    <t>SP-01-02-002</t>
  </si>
  <si>
    <t>SE-01-02-002</t>
  </si>
  <si>
    <t>SE-00-01-003</t>
  </si>
  <si>
    <t>SP-01-02-003</t>
  </si>
  <si>
    <t>SE-01-02-003</t>
  </si>
  <si>
    <t>SE-01-02-004</t>
  </si>
  <si>
    <t>SE-00-01-004</t>
  </si>
  <si>
    <t>SE-01-01-008</t>
  </si>
  <si>
    <t>Escalera</t>
  </si>
  <si>
    <t>SE-01-01-009</t>
  </si>
  <si>
    <t>SE-01-02-005</t>
  </si>
  <si>
    <t>SP-01-03-001</t>
  </si>
  <si>
    <t>SE-01-03-001</t>
  </si>
  <si>
    <t>SE-00-01-001</t>
  </si>
  <si>
    <t>TOTAL METRO CUADRADOS</t>
  </si>
  <si>
    <t>Honorario Administrador (oficina inapa 2 veces, agua negra)</t>
  </si>
  <si>
    <t>Limpieza frente a la calle y plantas creciendo en drenaje</t>
  </si>
  <si>
    <t>Pago Eddy presupuesto septico AGE 12.01.24</t>
  </si>
  <si>
    <t>Honorario administrador, reunion ayuntamiento- aguas negras</t>
  </si>
  <si>
    <t>Mantenimiento y rep. Trabajos emergencia, A-1</t>
  </si>
  <si>
    <r>
      <t xml:space="preserve">MDO </t>
    </r>
    <r>
      <rPr>
        <sz val="11"/>
        <rFont val="Arial"/>
        <family val="2"/>
        <charset val="1"/>
      </rPr>
      <t>Trabajo registro aguas pluviales subterráneos + Rep. Flota agua Inapa – Crismar</t>
    </r>
  </si>
  <si>
    <t>Cargo Mensual TD clasica</t>
  </si>
  <si>
    <t>Estado Cuenta Bancaria/ Banco Popular</t>
  </si>
  <si>
    <t>Cargos Bancario / Banco Popular</t>
  </si>
  <si>
    <t>Pago sueldo 20% Trabajo muro exterior-Edison</t>
  </si>
  <si>
    <t xml:space="preserve">MDO drenaje pluvial+penalidad cancelacion AGE 27.09.23 </t>
  </si>
  <si>
    <t>Honorario Administrador Abril 2023</t>
  </si>
  <si>
    <t>Luz Marzo 2024 (176 kwh)</t>
  </si>
  <si>
    <t>INAPA Abril 2024</t>
  </si>
  <si>
    <t>Pago impuesto 0.15 DGII transferencia de fondos a cuenta popular</t>
  </si>
  <si>
    <t>Pago Honorarios Administrador Mes de Abril 2024</t>
  </si>
  <si>
    <t>Pago sueldo 20% pared cerca AGE 27.09.23, punto 12</t>
  </si>
  <si>
    <t>MDO drenaje pluvial+penalidad cancelacion AGO 24, AGE 27.09.23 Orden #10+mantenimiento y reparacion</t>
  </si>
  <si>
    <t>Luz y fuerza marzo 2024</t>
  </si>
  <si>
    <t>Pago Inapa Abril-2024</t>
  </si>
  <si>
    <t>SALDO ANTERIOR</t>
  </si>
  <si>
    <t>2do Trimestre 2024 (Abril – Junio) / Gastos común provisional</t>
  </si>
  <si>
    <t>2do Trimestre 2024 (Abril – Junio) / Fondo de Reservas 2024</t>
  </si>
  <si>
    <t>Compra 1 camion de agua</t>
  </si>
  <si>
    <t>1 Camion de Agua</t>
  </si>
  <si>
    <t>Swich Flota electrica y mano de obra instalacion</t>
  </si>
  <si>
    <t>Swich flota electrica y mano de obra</t>
  </si>
  <si>
    <t>Materiales y Mdo Obra excepcional, bomba sumergible (crismar)</t>
  </si>
  <si>
    <t>Obra excepcional bomba sumergible (crismar)</t>
  </si>
  <si>
    <t>Compra 1 camion de agua (averia inapa)</t>
  </si>
  <si>
    <t>Honorario supervisor administracion</t>
  </si>
  <si>
    <t>Trabajo Pintura pared cerca entre el terreno al Norte y A-3-Parqueo A3 ambos lados</t>
  </si>
  <si>
    <t>Obra 1:</t>
  </si>
  <si>
    <t>Obra 2:</t>
  </si>
  <si>
    <t>Dos parillas de metal para el pasaje porton principal y entrada A2-A3</t>
  </si>
  <si>
    <t>Periodo de 01/01/2024 hasta 15/04/2024</t>
  </si>
  <si>
    <t>Pedido de fondo para Trabajos decidido en Voto electronico Del  09-04-2024</t>
  </si>
  <si>
    <t>Repartición de Cuota Extraordianaria  Voto electronico del 09-04-24</t>
  </si>
  <si>
    <t>Pedido de fondo – cuota extraordinaria Voto electronico del 09-04-2024</t>
  </si>
  <si>
    <t xml:space="preserve">Pago METAYER-JEAN </t>
  </si>
  <si>
    <t>Banco POPULAR</t>
  </si>
  <si>
    <t>Cuenta : 0839787280</t>
  </si>
  <si>
    <t>Pesos</t>
  </si>
  <si>
    <t>Cuenta Corriente - Sra YUNAIRY ENCARNACION - Cedula 134-0005411-3</t>
  </si>
  <si>
    <t>Cargo MoneyGram/Deposito Banco-Gasto Personal-A2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</si>
</sst>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[$-1C0A]dd/mm/yyyy"/>
    <numFmt numFmtId="165" formatCode="[$-409]#,##0.00"/>
    <numFmt numFmtId="166" formatCode="[$-1C0A]#,##0.00"/>
    <numFmt numFmtId="167" formatCode="[$]@"/>
    <numFmt numFmtId="168" formatCode="[$-1C0A]#,##0.00;[Red]\-#,##0.00"/>
    <numFmt numFmtId="169" formatCode="[$-1C0A]General"/>
    <numFmt numFmtId="170" formatCode="[$-1C0A]0.00%"/>
    <numFmt numFmtId="171" formatCode="[$-1C0A]0%"/>
    <numFmt numFmtId="172" formatCode="[$-409]#,##0"/>
    <numFmt numFmtId="173" formatCode="#,##0.0000"/>
    <numFmt numFmtId="174" formatCode="#,##0.000"/>
    <numFmt numFmtId="175" formatCode="[$-409]#,##0.00;[Red]\-#,##0.00"/>
    <numFmt numFmtId="176" formatCode="[$-409]0.00"/>
    <numFmt numFmtId="177" formatCode="[$RD$-1C0A]\ #,##0.00;[Red]\-[$RD$-1C0A]\ #,##0.00"/>
    <numFmt numFmtId="178" formatCode="0.0000"/>
    <numFmt numFmtId="179" formatCode="#,##0.000000"/>
  </numFmts>
  <fonts count="43" x14ac:knownFonts="1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3"/>
      <name val="Arial"/>
      <family val="2"/>
      <charset val="1"/>
    </font>
    <font>
      <b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8"/>
      <name val="Arial"/>
      <family val="2"/>
      <charset val="1"/>
    </font>
    <font>
      <b/>
      <i/>
      <sz val="11"/>
      <color rgb="FF800080"/>
      <name val="Arial"/>
      <family val="2"/>
      <charset val="1"/>
    </font>
    <font>
      <i/>
      <sz val="11"/>
      <color rgb="FF800080"/>
      <name val="Arial"/>
      <family val="2"/>
      <charset val="1"/>
    </font>
    <font>
      <b/>
      <sz val="12"/>
      <name val="Arial"/>
      <family val="2"/>
      <charset val="1"/>
    </font>
    <font>
      <b/>
      <i/>
      <sz val="10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i/>
      <sz val="10"/>
      <name val="Arial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i/>
      <sz val="12"/>
      <name val="Calibri"/>
      <family val="2"/>
      <charset val="1"/>
    </font>
    <font>
      <i/>
      <sz val="10"/>
      <name val="Calibri"/>
      <family val="2"/>
      <charset val="1"/>
    </font>
    <font>
      <b/>
      <i/>
      <sz val="10"/>
      <name val="Calibri"/>
      <family val="2"/>
      <charset val="1"/>
    </font>
    <font>
      <sz val="12"/>
      <name val="Arial"/>
      <family val="2"/>
      <charset val="1"/>
    </font>
    <font>
      <i/>
      <sz val="11"/>
      <name val="Arial"/>
      <family val="2"/>
      <charset val="1"/>
    </font>
    <font>
      <i/>
      <sz val="12"/>
      <name val="Arial"/>
      <family val="2"/>
      <charset val="1"/>
    </font>
    <font>
      <sz val="10.5"/>
      <name val="Arial"/>
      <family val="2"/>
      <charset val="1"/>
    </font>
    <font>
      <b/>
      <i/>
      <sz val="11"/>
      <name val="Arial"/>
      <family val="2"/>
      <charset val="1"/>
    </font>
    <font>
      <i/>
      <sz val="10.5"/>
      <name val="Arial"/>
      <family val="2"/>
      <charset val="1"/>
    </font>
    <font>
      <i/>
      <sz val="10"/>
      <color rgb="FF666666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b/>
      <i/>
      <sz val="11"/>
      <color rgb="FFFF0000"/>
      <name val="Arial"/>
      <family val="2"/>
      <charset val="1"/>
    </font>
    <font>
      <b/>
      <sz val="9"/>
      <name val="Arial"/>
      <family val="2"/>
      <charset val="1"/>
    </font>
    <font>
      <b/>
      <sz val="10"/>
      <color rgb="FF355269"/>
      <name val="Arial"/>
      <family val="2"/>
      <charset val="1"/>
    </font>
    <font>
      <b/>
      <i/>
      <sz val="10"/>
      <color rgb="FF355269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Arial"/>
      <family val="2"/>
      <charset val="1"/>
    </font>
    <font>
      <b/>
      <sz val="10"/>
      <color rgb="FFFF0000"/>
      <name val="Arial"/>
      <family val="2"/>
    </font>
    <font>
      <b/>
      <sz val="11"/>
      <color rgb="FFFF0000"/>
      <name val="Arial"/>
      <family val="2"/>
      <charset val="1"/>
    </font>
    <font>
      <i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DDDDD"/>
      </patternFill>
    </fill>
    <fill>
      <patternFill patternType="solid">
        <fgColor rgb="FFDDE8CB"/>
        <bgColor rgb="FFDDDDDD"/>
      </patternFill>
    </fill>
    <fill>
      <patternFill patternType="solid">
        <fgColor rgb="FFFFF5CE"/>
        <bgColor rgb="FFF6F9D4"/>
      </patternFill>
    </fill>
    <fill>
      <patternFill patternType="solid">
        <fgColor rgb="FFF6F9D4"/>
        <bgColor rgb="FFFFF5CE"/>
      </patternFill>
    </fill>
    <fill>
      <patternFill patternType="solid">
        <fgColor rgb="FFCCCCCC"/>
        <bgColor rgb="FFDDDDDD"/>
      </patternFill>
    </fill>
    <fill>
      <patternFill patternType="solid">
        <fgColor rgb="FFDDDDDD"/>
        <bgColor rgb="FFDDE8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373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center" vertical="center"/>
    </xf>
    <xf numFmtId="49" fontId="1" fillId="0" borderId="0" xfId="0" applyNumberFormat="1" applyFont="1"/>
    <xf numFmtId="49" fontId="0" fillId="0" borderId="0" xfId="0" applyNumberFormat="1" applyAlignment="1">
      <alignment horizontal="left" indent="1"/>
    </xf>
    <xf numFmtId="0" fontId="0" fillId="0" borderId="0" xfId="0" applyFont="1" applyAlignment="1">
      <alignment horizontal="right"/>
    </xf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>
      <alignment horizontal="left" vertical="center" indent="1"/>
    </xf>
    <xf numFmtId="164" fontId="0" fillId="2" borderId="2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left" vertical="center" indent="1"/>
    </xf>
    <xf numFmtId="164" fontId="0" fillId="3" borderId="2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vertical="center"/>
    </xf>
    <xf numFmtId="49" fontId="3" fillId="0" borderId="4" xfId="0" applyNumberFormat="1" applyFont="1" applyBorder="1"/>
    <xf numFmtId="164" fontId="3" fillId="0" borderId="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49" fontId="0" fillId="0" borderId="5" xfId="0" applyNumberFormat="1" applyFont="1" applyBorder="1"/>
    <xf numFmtId="164" fontId="0" fillId="0" borderId="6" xfId="0" applyNumberFormat="1" applyBorder="1" applyAlignment="1">
      <alignment horizontal="center"/>
    </xf>
    <xf numFmtId="166" fontId="0" fillId="0" borderId="6" xfId="0" applyNumberFormat="1" applyBorder="1"/>
    <xf numFmtId="164" fontId="0" fillId="0" borderId="5" xfId="0" applyNumberFormat="1" applyBorder="1" applyAlignment="1">
      <alignment horizontal="center"/>
    </xf>
    <xf numFmtId="166" fontId="0" fillId="0" borderId="5" xfId="0" applyNumberFormat="1" applyBorder="1"/>
    <xf numFmtId="167" fontId="0" fillId="0" borderId="5" xfId="0" applyNumberFormat="1" applyFont="1" applyBorder="1"/>
    <xf numFmtId="166" fontId="4" fillId="0" borderId="5" xfId="0" applyNumberFormat="1" applyFont="1" applyBorder="1"/>
    <xf numFmtId="164" fontId="0" fillId="0" borderId="7" xfId="0" applyNumberFormat="1" applyBorder="1" applyAlignment="1">
      <alignment horizontal="center"/>
    </xf>
    <xf numFmtId="166" fontId="0" fillId="0" borderId="8" xfId="0" applyNumberFormat="1" applyBorder="1"/>
    <xf numFmtId="167" fontId="0" fillId="0" borderId="5" xfId="0" applyNumberFormat="1" applyFont="1" applyBorder="1" applyAlignment="1">
      <alignment wrapText="1"/>
    </xf>
    <xf numFmtId="167" fontId="0" fillId="0" borderId="9" xfId="0" applyNumberFormat="1" applyFont="1" applyBorder="1"/>
    <xf numFmtId="164" fontId="0" fillId="0" borderId="9" xfId="0" applyNumberFormat="1" applyBorder="1" applyAlignment="1">
      <alignment horizontal="center"/>
    </xf>
    <xf numFmtId="166" fontId="0" fillId="0" borderId="9" xfId="0" applyNumberFormat="1" applyBorder="1"/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/>
    </xf>
    <xf numFmtId="166" fontId="0" fillId="0" borderId="0" xfId="0" applyNumberFormat="1"/>
    <xf numFmtId="166" fontId="5" fillId="0" borderId="0" xfId="0" applyNumberFormat="1" applyFont="1"/>
    <xf numFmtId="49" fontId="5" fillId="2" borderId="0" xfId="0" applyNumberFormat="1" applyFont="1" applyFill="1" applyAlignment="1">
      <alignment horizontal="right"/>
    </xf>
    <xf numFmtId="164" fontId="0" fillId="2" borderId="0" xfId="0" applyNumberFormat="1" applyFont="1" applyFill="1" applyAlignment="1">
      <alignment horizontal="left"/>
    </xf>
    <xf numFmtId="164" fontId="0" fillId="2" borderId="0" xfId="0" applyNumberFormat="1" applyFill="1" applyAlignment="1">
      <alignment horizontal="center"/>
    </xf>
    <xf numFmtId="166" fontId="5" fillId="2" borderId="0" xfId="0" applyNumberFormat="1" applyFont="1" applyFill="1"/>
    <xf numFmtId="49" fontId="5" fillId="3" borderId="0" xfId="0" applyNumberFormat="1" applyFont="1" applyFill="1" applyAlignment="1">
      <alignment horizontal="right"/>
    </xf>
    <xf numFmtId="164" fontId="0" fillId="3" borderId="0" xfId="0" applyNumberFormat="1" applyFont="1" applyFill="1" applyAlignment="1">
      <alignment horizontal="left"/>
    </xf>
    <xf numFmtId="164" fontId="0" fillId="3" borderId="0" xfId="0" applyNumberFormat="1" applyFill="1" applyAlignment="1">
      <alignment horizontal="center"/>
    </xf>
    <xf numFmtId="166" fontId="5" fillId="3" borderId="0" xfId="0" applyNumberFormat="1" applyFont="1" applyFill="1"/>
    <xf numFmtId="165" fontId="5" fillId="0" borderId="0" xfId="0" applyNumberFormat="1" applyFont="1"/>
    <xf numFmtId="49" fontId="5" fillId="0" borderId="10" xfId="0" applyNumberFormat="1" applyFont="1" applyBorder="1" applyAlignment="1">
      <alignment horizontal="right"/>
    </xf>
    <xf numFmtId="164" fontId="0" fillId="0" borderId="11" xfId="0" applyNumberFormat="1" applyBorder="1" applyAlignment="1">
      <alignment horizontal="center"/>
    </xf>
    <xf numFmtId="165" fontId="5" fillId="0" borderId="11" xfId="0" applyNumberFormat="1" applyFont="1" applyBorder="1"/>
    <xf numFmtId="165" fontId="5" fillId="0" borderId="12" xfId="0" applyNumberFormat="1" applyFont="1" applyBorder="1"/>
    <xf numFmtId="49" fontId="5" fillId="0" borderId="0" xfId="0" applyNumberFormat="1" applyFont="1" applyBorder="1" applyAlignment="1">
      <alignment horizontal="right"/>
    </xf>
    <xf numFmtId="164" fontId="0" fillId="0" borderId="0" xfId="0" applyNumberFormat="1" applyBorder="1" applyAlignment="1">
      <alignment horizontal="center"/>
    </xf>
    <xf numFmtId="165" fontId="5" fillId="0" borderId="0" xfId="0" applyNumberFormat="1" applyFont="1" applyBorder="1"/>
    <xf numFmtId="49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/>
    <xf numFmtId="0" fontId="7" fillId="0" borderId="0" xfId="0" applyFont="1"/>
    <xf numFmtId="49" fontId="5" fillId="0" borderId="15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center"/>
    </xf>
    <xf numFmtId="165" fontId="5" fillId="0" borderId="16" xfId="0" applyNumberFormat="1" applyFont="1" applyBorder="1"/>
    <xf numFmtId="165" fontId="6" fillId="0" borderId="17" xfId="0" applyNumberFormat="1" applyFont="1" applyBorder="1"/>
    <xf numFmtId="164" fontId="6" fillId="0" borderId="0" xfId="0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/>
    <xf numFmtId="165" fontId="8" fillId="0" borderId="0" xfId="0" applyNumberFormat="1" applyFont="1" applyAlignment="1">
      <alignment horizontal="right"/>
    </xf>
    <xf numFmtId="165" fontId="8" fillId="0" borderId="0" xfId="0" applyNumberFormat="1" applyFont="1"/>
    <xf numFmtId="165" fontId="9" fillId="0" borderId="0" xfId="0" applyNumberFormat="1" applyFont="1" applyAlignment="1">
      <alignment horizontal="right"/>
    </xf>
    <xf numFmtId="165" fontId="9" fillId="0" borderId="0" xfId="0" applyNumberFormat="1" applyFont="1"/>
    <xf numFmtId="165" fontId="6" fillId="0" borderId="0" xfId="0" applyNumberFormat="1" applyFont="1" applyAlignment="1">
      <alignment horizontal="right"/>
    </xf>
    <xf numFmtId="165" fontId="10" fillId="0" borderId="0" xfId="0" applyNumberFormat="1" applyFont="1"/>
    <xf numFmtId="49" fontId="11" fillId="4" borderId="0" xfId="0" applyNumberFormat="1" applyFont="1" applyFill="1"/>
    <xf numFmtId="164" fontId="0" fillId="4" borderId="0" xfId="0" applyNumberFormat="1" applyFill="1" applyAlignment="1">
      <alignment horizontal="center"/>
    </xf>
    <xf numFmtId="49" fontId="5" fillId="4" borderId="0" xfId="0" applyNumberFormat="1" applyFont="1" applyFill="1" applyBorder="1" applyAlignment="1">
      <alignment horizontal="right"/>
    </xf>
    <xf numFmtId="165" fontId="5" fillId="4" borderId="0" xfId="0" applyNumberFormat="1" applyFont="1" applyFill="1" applyBorder="1" applyAlignment="1">
      <alignment horizontal="center"/>
    </xf>
    <xf numFmtId="168" fontId="5" fillId="4" borderId="0" xfId="0" applyNumberFormat="1" applyFont="1" applyFill="1"/>
    <xf numFmtId="0" fontId="12" fillId="0" borderId="0" xfId="0" applyFont="1"/>
    <xf numFmtId="49" fontId="11" fillId="0" borderId="0" xfId="0" applyNumberFormat="1" applyFont="1"/>
    <xf numFmtId="49" fontId="13" fillId="4" borderId="0" xfId="0" applyNumberFormat="1" applyFont="1" applyFill="1"/>
    <xf numFmtId="164" fontId="13" fillId="4" borderId="0" xfId="0" applyNumberFormat="1" applyFont="1" applyFill="1" applyAlignment="1">
      <alignment horizontal="center"/>
    </xf>
    <xf numFmtId="164" fontId="13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center"/>
    </xf>
    <xf numFmtId="165" fontId="13" fillId="0" borderId="0" xfId="0" applyNumberFormat="1" applyFont="1"/>
    <xf numFmtId="49" fontId="13" fillId="0" borderId="0" xfId="0" applyNumberFormat="1" applyFont="1"/>
    <xf numFmtId="167" fontId="13" fillId="4" borderId="0" xfId="0" applyNumberFormat="1" applyFont="1" applyFill="1" applyBorder="1"/>
    <xf numFmtId="164" fontId="13" fillId="4" borderId="0" xfId="0" applyNumberFormat="1" applyFont="1" applyFill="1" applyBorder="1" applyAlignment="1">
      <alignment horizontal="center"/>
    </xf>
    <xf numFmtId="167" fontId="13" fillId="0" borderId="0" xfId="0" applyNumberFormat="1" applyFont="1" applyBorder="1"/>
    <xf numFmtId="164" fontId="13" fillId="0" borderId="0" xfId="0" applyNumberFormat="1" applyFont="1" applyBorder="1" applyAlignment="1">
      <alignment horizontal="center"/>
    </xf>
    <xf numFmtId="165" fontId="13" fillId="0" borderId="0" xfId="0" applyNumberFormat="1" applyFont="1" applyBorder="1"/>
    <xf numFmtId="164" fontId="0" fillId="0" borderId="0" xfId="0" applyNumberFormat="1" applyFont="1" applyAlignment="1">
      <alignment horizontal="center"/>
    </xf>
    <xf numFmtId="49" fontId="0" fillId="4" borderId="0" xfId="0" applyNumberFormat="1" applyFill="1"/>
    <xf numFmtId="165" fontId="3" fillId="4" borderId="0" xfId="0" applyNumberFormat="1" applyFont="1" applyFill="1" applyAlignment="1">
      <alignment horizontal="right"/>
    </xf>
    <xf numFmtId="168" fontId="6" fillId="4" borderId="0" xfId="0" applyNumberFormat="1" applyFont="1" applyFill="1"/>
    <xf numFmtId="168" fontId="5" fillId="0" borderId="0" xfId="0" applyNumberFormat="1" applyFont="1"/>
    <xf numFmtId="165" fontId="0" fillId="0" borderId="0" xfId="0" applyNumberFormat="1" applyFont="1"/>
    <xf numFmtId="0" fontId="0" fillId="0" borderId="0" xfId="0" applyFont="1"/>
    <xf numFmtId="49" fontId="15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center"/>
    </xf>
    <xf numFmtId="165" fontId="16" fillId="0" borderId="0" xfId="0" applyNumberFormat="1" applyFont="1"/>
    <xf numFmtId="0" fontId="16" fillId="0" borderId="0" xfId="0" applyFont="1"/>
    <xf numFmtId="49" fontId="16" fillId="0" borderId="0" xfId="0" applyNumberFormat="1" applyFont="1"/>
    <xf numFmtId="0" fontId="17" fillId="0" borderId="0" xfId="0" applyFont="1"/>
    <xf numFmtId="165" fontId="16" fillId="0" borderId="0" xfId="0" applyNumberFormat="1" applyFont="1" applyAlignment="1">
      <alignment horizontal="right"/>
    </xf>
    <xf numFmtId="165" fontId="15" fillId="0" borderId="0" xfId="0" applyNumberFormat="1" applyFont="1"/>
    <xf numFmtId="49" fontId="2" fillId="6" borderId="1" xfId="0" applyNumberFormat="1" applyFont="1" applyFill="1" applyBorder="1" applyAlignment="1">
      <alignment horizontal="left" vertical="center" indent="1"/>
    </xf>
    <xf numFmtId="164" fontId="0" fillId="6" borderId="2" xfId="0" applyNumberFormat="1" applyFill="1" applyBorder="1" applyAlignment="1">
      <alignment horizontal="center" vertical="center"/>
    </xf>
    <xf numFmtId="165" fontId="0" fillId="6" borderId="3" xfId="0" applyNumberFormat="1" applyFill="1" applyBorder="1" applyAlignment="1">
      <alignment vertical="center"/>
    </xf>
    <xf numFmtId="164" fontId="0" fillId="0" borderId="4" xfId="0" applyNumberFormat="1" applyFont="1" applyBorder="1" applyAlignment="1">
      <alignment horizontal="center"/>
    </xf>
    <xf numFmtId="165" fontId="0" fillId="0" borderId="4" xfId="0" applyNumberFormat="1" applyFont="1" applyBorder="1" applyAlignment="1">
      <alignment horizontal="center"/>
    </xf>
    <xf numFmtId="165" fontId="0" fillId="0" borderId="6" xfId="0" applyNumberFormat="1" applyBorder="1"/>
    <xf numFmtId="165" fontId="0" fillId="0" borderId="5" xfId="0" applyNumberFormat="1" applyBorder="1"/>
    <xf numFmtId="167" fontId="0" fillId="0" borderId="4" xfId="0" applyNumberFormat="1" applyFont="1" applyBorder="1"/>
    <xf numFmtId="165" fontId="3" fillId="0" borderId="4" xfId="0" applyNumberFormat="1" applyFont="1" applyBorder="1"/>
    <xf numFmtId="167" fontId="0" fillId="0" borderId="0" xfId="0" applyNumberFormat="1"/>
    <xf numFmtId="49" fontId="0" fillId="0" borderId="6" xfId="0" applyNumberFormat="1" applyFont="1" applyBorder="1"/>
    <xf numFmtId="167" fontId="0" fillId="0" borderId="7" xfId="0" applyNumberFormat="1" applyFont="1" applyBorder="1"/>
    <xf numFmtId="165" fontId="0" fillId="0" borderId="8" xfId="0" applyNumberFormat="1" applyBorder="1"/>
    <xf numFmtId="49" fontId="0" fillId="0" borderId="18" xfId="0" applyNumberFormat="1" applyFont="1" applyBorder="1"/>
    <xf numFmtId="165" fontId="0" fillId="0" borderId="19" xfId="0" applyNumberFormat="1" applyBorder="1"/>
    <xf numFmtId="164" fontId="0" fillId="0" borderId="4" xfId="0" applyNumberFormat="1" applyBorder="1" applyAlignment="1">
      <alignment horizontal="center"/>
    </xf>
    <xf numFmtId="167" fontId="0" fillId="0" borderId="6" xfId="0" applyNumberFormat="1" applyFont="1" applyBorder="1"/>
    <xf numFmtId="164" fontId="0" fillId="0" borderId="6" xfId="0" applyNumberFormat="1" applyFont="1" applyBorder="1" applyAlignment="1">
      <alignment horizontal="center"/>
    </xf>
    <xf numFmtId="165" fontId="0" fillId="0" borderId="6" xfId="0" applyNumberFormat="1" applyFont="1" applyBorder="1"/>
    <xf numFmtId="164" fontId="0" fillId="0" borderId="5" xfId="0" applyNumberFormat="1" applyFont="1" applyBorder="1" applyAlignment="1">
      <alignment horizontal="center"/>
    </xf>
    <xf numFmtId="164" fontId="0" fillId="0" borderId="5" xfId="0" applyNumberFormat="1" applyFont="1" applyBorder="1" applyAlignment="1">
      <alignment horizontal="center" wrapText="1"/>
    </xf>
    <xf numFmtId="167" fontId="0" fillId="0" borderId="0" xfId="0" applyNumberFormat="1" applyFont="1" applyBorder="1"/>
    <xf numFmtId="164" fontId="0" fillId="0" borderId="0" xfId="0" applyNumberFormat="1" applyFont="1" applyBorder="1" applyAlignment="1">
      <alignment horizontal="center"/>
    </xf>
    <xf numFmtId="165" fontId="3" fillId="0" borderId="0" xfId="0" applyNumberFormat="1" applyFont="1" applyBorder="1"/>
    <xf numFmtId="0" fontId="18" fillId="0" borderId="6" xfId="0" applyFont="1" applyBorder="1" applyAlignment="1">
      <alignment vertical="center"/>
    </xf>
    <xf numFmtId="164" fontId="18" fillId="0" borderId="6" xfId="0" applyNumberFormat="1" applyFont="1" applyBorder="1" applyAlignment="1">
      <alignment horizontal="center"/>
    </xf>
    <xf numFmtId="165" fontId="18" fillId="0" borderId="19" xfId="0" applyNumberFormat="1" applyFont="1" applyBorder="1"/>
    <xf numFmtId="167" fontId="18" fillId="0" borderId="4" xfId="0" applyNumberFormat="1" applyFont="1" applyBorder="1"/>
    <xf numFmtId="164" fontId="18" fillId="0" borderId="4" xfId="0" applyNumberFormat="1" applyFont="1" applyBorder="1" applyAlignment="1">
      <alignment horizontal="center"/>
    </xf>
    <xf numFmtId="165" fontId="19" fillId="0" borderId="4" xfId="0" applyNumberFormat="1" applyFont="1" applyBorder="1"/>
    <xf numFmtId="165" fontId="0" fillId="0" borderId="0" xfId="0" applyNumberFormat="1" applyBorder="1"/>
    <xf numFmtId="49" fontId="5" fillId="0" borderId="0" xfId="0" applyNumberFormat="1" applyFont="1"/>
    <xf numFmtId="165" fontId="6" fillId="0" borderId="0" xfId="0" applyNumberFormat="1" applyFont="1"/>
    <xf numFmtId="4" fontId="0" fillId="0" borderId="0" xfId="0" applyNumberFormat="1"/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right" vertical="top"/>
    </xf>
    <xf numFmtId="0" fontId="0" fillId="0" borderId="0" xfId="0" applyFont="1" applyAlignment="1">
      <alignment horizontal="right" vertical="top"/>
    </xf>
    <xf numFmtId="49" fontId="2" fillId="6" borderId="20" xfId="0" applyNumberFormat="1" applyFont="1" applyFill="1" applyBorder="1" applyAlignment="1">
      <alignment horizontal="left" vertical="center" indent="1"/>
    </xf>
    <xf numFmtId="165" fontId="0" fillId="6" borderId="21" xfId="0" applyNumberFormat="1" applyFill="1" applyBorder="1" applyAlignment="1">
      <alignment vertical="center"/>
    </xf>
    <xf numFmtId="165" fontId="0" fillId="6" borderId="22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49" fontId="3" fillId="0" borderId="20" xfId="0" applyNumberFormat="1" applyFont="1" applyBorder="1"/>
    <xf numFmtId="167" fontId="3" fillId="0" borderId="21" xfId="0" applyNumberFormat="1" applyFont="1" applyBorder="1" applyAlignment="1">
      <alignment horizontal="center" vertical="center"/>
    </xf>
    <xf numFmtId="167" fontId="3" fillId="0" borderId="22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/>
    <xf numFmtId="165" fontId="0" fillId="0" borderId="23" xfId="0" applyNumberFormat="1" applyBorder="1" applyAlignment="1"/>
    <xf numFmtId="165" fontId="0" fillId="0" borderId="19" xfId="0" applyNumberFormat="1" applyBorder="1" applyAlignment="1"/>
    <xf numFmtId="165" fontId="0" fillId="0" borderId="8" xfId="0" applyNumberFormat="1" applyBorder="1" applyAlignment="1"/>
    <xf numFmtId="167" fontId="6" fillId="0" borderId="7" xfId="0" applyNumberFormat="1" applyFont="1" applyBorder="1" applyAlignment="1"/>
    <xf numFmtId="165" fontId="3" fillId="0" borderId="0" xfId="0" applyNumberFormat="1" applyFont="1" applyBorder="1" applyAlignment="1"/>
    <xf numFmtId="165" fontId="3" fillId="0" borderId="8" xfId="0" applyNumberFormat="1" applyFont="1" applyBorder="1" applyAlignment="1">
      <alignment horizontal="right"/>
    </xf>
    <xf numFmtId="165" fontId="6" fillId="0" borderId="8" xfId="0" applyNumberFormat="1" applyFont="1" applyBorder="1" applyAlignment="1"/>
    <xf numFmtId="167" fontId="14" fillId="0" borderId="7" xfId="0" applyNumberFormat="1" applyFont="1" applyBorder="1" applyAlignment="1"/>
    <xf numFmtId="165" fontId="0" fillId="0" borderId="0" xfId="0" applyNumberFormat="1" applyBorder="1" applyAlignment="1"/>
    <xf numFmtId="165" fontId="0" fillId="0" borderId="8" xfId="0" applyNumberFormat="1" applyBorder="1" applyAlignment="1">
      <alignment horizontal="right"/>
    </xf>
    <xf numFmtId="167" fontId="0" fillId="0" borderId="7" xfId="0" applyNumberFormat="1" applyFont="1" applyBorder="1" applyAlignment="1"/>
    <xf numFmtId="165" fontId="3" fillId="0" borderId="8" xfId="0" applyNumberFormat="1" applyFont="1" applyBorder="1" applyAlignment="1"/>
    <xf numFmtId="167" fontId="0" fillId="0" borderId="24" xfId="0" applyNumberFormat="1" applyFont="1" applyBorder="1" applyAlignment="1"/>
    <xf numFmtId="165" fontId="0" fillId="0" borderId="25" xfId="0" applyNumberFormat="1" applyBorder="1" applyAlignment="1"/>
    <xf numFmtId="165" fontId="0" fillId="0" borderId="26" xfId="0" applyNumberFormat="1" applyBorder="1" applyAlignment="1"/>
    <xf numFmtId="167" fontId="5" fillId="6" borderId="20" xfId="0" applyNumberFormat="1" applyFont="1" applyFill="1" applyBorder="1" applyAlignment="1">
      <alignment horizontal="center"/>
    </xf>
    <xf numFmtId="165" fontId="21" fillId="6" borderId="21" xfId="0" applyNumberFormat="1" applyFont="1" applyFill="1" applyBorder="1"/>
    <xf numFmtId="165" fontId="5" fillId="6" borderId="22" xfId="0" applyNumberFormat="1" applyFont="1" applyFill="1" applyBorder="1" applyAlignment="1">
      <alignment horizontal="right"/>
    </xf>
    <xf numFmtId="165" fontId="6" fillId="6" borderId="4" xfId="0" applyNumberFormat="1" applyFont="1" applyFill="1" applyBorder="1"/>
    <xf numFmtId="167" fontId="3" fillId="0" borderId="0" xfId="0" applyNumberFormat="1" applyFont="1" applyBorder="1" applyAlignment="1">
      <alignment horizontal="left"/>
    </xf>
    <xf numFmtId="165" fontId="21" fillId="0" borderId="0" xfId="0" applyNumberFormat="1" applyFont="1" applyBorder="1"/>
    <xf numFmtId="167" fontId="3" fillId="0" borderId="0" xfId="0" applyNumberFormat="1" applyFont="1"/>
    <xf numFmtId="167" fontId="11" fillId="0" borderId="0" xfId="0" applyNumberFormat="1" applyFont="1"/>
    <xf numFmtId="49" fontId="22" fillId="5" borderId="20" xfId="0" applyNumberFormat="1" applyFont="1" applyFill="1" applyBorder="1" applyAlignment="1">
      <alignment horizontal="left" vertical="center"/>
    </xf>
    <xf numFmtId="165" fontId="0" fillId="5" borderId="21" xfId="0" applyNumberFormat="1" applyFont="1" applyFill="1" applyBorder="1"/>
    <xf numFmtId="165" fontId="23" fillId="5" borderId="21" xfId="0" applyNumberFormat="1" applyFont="1" applyFill="1" applyBorder="1" applyAlignment="1">
      <alignment horizontal="right"/>
    </xf>
    <xf numFmtId="165" fontId="20" fillId="5" borderId="22" xfId="0" applyNumberFormat="1" applyFont="1" applyFill="1" applyBorder="1"/>
    <xf numFmtId="0" fontId="0" fillId="0" borderId="18" xfId="0" applyFont="1" applyBorder="1"/>
    <xf numFmtId="4" fontId="0" fillId="0" borderId="23" xfId="0" applyNumberFormat="1" applyFont="1" applyBorder="1" applyAlignment="1">
      <alignment horizontal="center"/>
    </xf>
    <xf numFmtId="4" fontId="0" fillId="0" borderId="23" xfId="0" applyNumberFormat="1" applyFont="1" applyBorder="1"/>
    <xf numFmtId="4" fontId="12" fillId="0" borderId="23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19" xfId="0" applyBorder="1"/>
    <xf numFmtId="10" fontId="0" fillId="0" borderId="0" xfId="0" applyNumberFormat="1"/>
    <xf numFmtId="49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center"/>
    </xf>
    <xf numFmtId="170" fontId="5" fillId="0" borderId="4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4" fontId="0" fillId="0" borderId="8" xfId="0" applyNumberFormat="1" applyBorder="1"/>
    <xf numFmtId="49" fontId="5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center"/>
    </xf>
    <xf numFmtId="170" fontId="5" fillId="0" borderId="6" xfId="0" applyNumberFormat="1" applyFont="1" applyBorder="1"/>
    <xf numFmtId="165" fontId="5" fillId="0" borderId="6" xfId="0" applyNumberFormat="1" applyFont="1" applyBorder="1"/>
    <xf numFmtId="49" fontId="5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170" fontId="5" fillId="0" borderId="5" xfId="0" applyNumberFormat="1" applyFont="1" applyBorder="1"/>
    <xf numFmtId="165" fontId="5" fillId="0" borderId="5" xfId="0" applyNumberFormat="1" applyFont="1" applyBorder="1"/>
    <xf numFmtId="0" fontId="0" fillId="0" borderId="24" xfId="0" applyBorder="1"/>
    <xf numFmtId="4" fontId="0" fillId="0" borderId="25" xfId="0" applyNumberFormat="1" applyBorder="1"/>
    <xf numFmtId="4" fontId="14" fillId="6" borderId="25" xfId="0" applyNumberFormat="1" applyFont="1" applyFill="1" applyBorder="1"/>
    <xf numFmtId="4" fontId="0" fillId="6" borderId="26" xfId="0" applyNumberFormat="1" applyFill="1" applyBorder="1"/>
    <xf numFmtId="49" fontId="5" fillId="6" borderId="20" xfId="0" applyNumberFormat="1" applyFont="1" applyFill="1" applyBorder="1" applyAlignment="1">
      <alignment horizontal="center"/>
    </xf>
    <xf numFmtId="165" fontId="5" fillId="6" borderId="22" xfId="0" applyNumberFormat="1" applyFont="1" applyFill="1" applyBorder="1"/>
    <xf numFmtId="171" fontId="21" fillId="6" borderId="4" xfId="0" applyNumberFormat="1" applyFont="1" applyFill="1" applyBorder="1"/>
    <xf numFmtId="165" fontId="24" fillId="6" borderId="4" xfId="0" applyNumberFormat="1" applyFont="1" applyFill="1" applyBorder="1"/>
    <xf numFmtId="49" fontId="5" fillId="0" borderId="0" xfId="0" applyNumberFormat="1" applyFont="1" applyBorder="1" applyAlignment="1">
      <alignment horizontal="center"/>
    </xf>
    <xf numFmtId="171" fontId="21" fillId="0" borderId="0" xfId="0" applyNumberFormat="1" applyFont="1" applyBorder="1"/>
    <xf numFmtId="0" fontId="3" fillId="0" borderId="0" xfId="0" applyFont="1" applyAlignment="1">
      <alignment horizontal="right" vertical="top"/>
    </xf>
    <xf numFmtId="167" fontId="0" fillId="0" borderId="6" xfId="0" applyNumberFormat="1" applyFont="1" applyBorder="1" applyAlignment="1">
      <alignment vertical="center"/>
    </xf>
    <xf numFmtId="165" fontId="0" fillId="0" borderId="6" xfId="0" applyNumberFormat="1" applyBorder="1" applyAlignment="1">
      <alignment vertical="center"/>
    </xf>
    <xf numFmtId="172" fontId="0" fillId="0" borderId="6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/>
    </xf>
    <xf numFmtId="165" fontId="0" fillId="0" borderId="5" xfId="0" applyNumberFormat="1" applyBorder="1" applyAlignment="1">
      <alignment vertical="center"/>
    </xf>
    <xf numFmtId="172" fontId="0" fillId="0" borderId="5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 wrapText="1"/>
    </xf>
    <xf numFmtId="165" fontId="0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7" fontId="0" fillId="0" borderId="9" xfId="0" applyNumberFormat="1" applyFon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72" fontId="0" fillId="0" borderId="9" xfId="0" applyNumberFormat="1" applyBorder="1" applyAlignment="1">
      <alignment horizontal="center" vertical="center"/>
    </xf>
    <xf numFmtId="167" fontId="24" fillId="6" borderId="4" xfId="0" applyNumberFormat="1" applyFont="1" applyFill="1" applyBorder="1" applyAlignment="1">
      <alignment horizontal="center"/>
    </xf>
    <xf numFmtId="165" fontId="11" fillId="6" borderId="4" xfId="0" applyNumberFormat="1" applyFont="1" applyFill="1" applyBorder="1"/>
    <xf numFmtId="165" fontId="21" fillId="6" borderId="4" xfId="0" applyNumberFormat="1" applyFont="1" applyFill="1" applyBorder="1"/>
    <xf numFmtId="165" fontId="0" fillId="0" borderId="8" xfId="0" applyNumberFormat="1" applyBorder="1" applyAlignment="1">
      <alignment vertical="center"/>
    </xf>
    <xf numFmtId="172" fontId="0" fillId="0" borderId="8" xfId="0" applyNumberFormat="1" applyBorder="1" applyAlignment="1">
      <alignment horizontal="center" vertical="center"/>
    </xf>
    <xf numFmtId="167" fontId="25" fillId="0" borderId="0" xfId="0" applyNumberFormat="1" applyFont="1" applyBorder="1" applyAlignment="1">
      <alignment horizontal="left" vertical="top"/>
    </xf>
    <xf numFmtId="165" fontId="25" fillId="0" borderId="0" xfId="0" applyNumberFormat="1" applyFont="1" applyBorder="1" applyAlignment="1">
      <alignment vertical="top"/>
    </xf>
    <xf numFmtId="167" fontId="25" fillId="0" borderId="0" xfId="0" applyNumberFormat="1" applyFont="1" applyAlignment="1">
      <alignment vertical="top"/>
    </xf>
    <xf numFmtId="165" fontId="23" fillId="0" borderId="0" xfId="0" applyNumberFormat="1" applyFont="1" applyAlignment="1">
      <alignment vertical="top"/>
    </xf>
    <xf numFmtId="0" fontId="3" fillId="0" borderId="0" xfId="0" applyFont="1"/>
    <xf numFmtId="49" fontId="22" fillId="6" borderId="20" xfId="0" applyNumberFormat="1" applyFont="1" applyFill="1" applyBorder="1" applyAlignment="1">
      <alignment horizontal="left" vertical="center"/>
    </xf>
    <xf numFmtId="165" fontId="0" fillId="6" borderId="21" xfId="0" applyNumberFormat="1" applyFont="1" applyFill="1" applyBorder="1"/>
    <xf numFmtId="165" fontId="23" fillId="6" borderId="21" xfId="0" applyNumberFormat="1" applyFont="1" applyFill="1" applyBorder="1" applyAlignment="1">
      <alignment horizontal="right" vertical="center"/>
    </xf>
    <xf numFmtId="165" fontId="10" fillId="6" borderId="22" xfId="0" applyNumberFormat="1" applyFont="1" applyFill="1" applyBorder="1"/>
    <xf numFmtId="4" fontId="0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3" fontId="0" fillId="0" borderId="0" xfId="0" applyNumberFormat="1"/>
    <xf numFmtId="174" fontId="0" fillId="0" borderId="0" xfId="0" applyNumberFormat="1"/>
    <xf numFmtId="4" fontId="5" fillId="0" borderId="6" xfId="0" applyNumberFormat="1" applyFont="1" applyBorder="1"/>
    <xf numFmtId="4" fontId="5" fillId="0" borderId="5" xfId="0" applyNumberFormat="1" applyFont="1" applyBorder="1"/>
    <xf numFmtId="4" fontId="5" fillId="0" borderId="9" xfId="0" applyNumberFormat="1" applyFont="1" applyBorder="1"/>
    <xf numFmtId="4" fontId="14" fillId="6" borderId="0" xfId="0" applyNumberFormat="1" applyFont="1" applyFill="1"/>
    <xf numFmtId="173" fontId="14" fillId="6" borderId="0" xfId="0" applyNumberFormat="1" applyFont="1" applyFill="1"/>
    <xf numFmtId="0" fontId="3" fillId="7" borderId="20" xfId="0" applyFont="1" applyFill="1" applyBorder="1" applyAlignment="1">
      <alignment horizontal="right"/>
    </xf>
    <xf numFmtId="0" fontId="3" fillId="7" borderId="21" xfId="0" applyFont="1" applyFill="1" applyBorder="1" applyAlignment="1">
      <alignment horizontal="right"/>
    </xf>
    <xf numFmtId="165" fontId="0" fillId="7" borderId="21" xfId="0" applyNumberFormat="1" applyFont="1" applyFill="1" applyBorder="1" applyAlignment="1">
      <alignment horizontal="center" vertical="center"/>
    </xf>
    <xf numFmtId="0" fontId="0" fillId="7" borderId="22" xfId="0" applyFill="1" applyBorder="1"/>
    <xf numFmtId="0" fontId="0" fillId="0" borderId="6" xfId="0" applyFont="1" applyBorder="1" applyAlignment="1">
      <alignment horizontal="right"/>
    </xf>
    <xf numFmtId="0" fontId="0" fillId="0" borderId="6" xfId="0" applyFont="1" applyBorder="1" applyAlignment="1">
      <alignment horizontal="center"/>
    </xf>
    <xf numFmtId="165" fontId="0" fillId="0" borderId="5" xfId="0" applyNumberFormat="1" applyFont="1" applyBorder="1" applyAlignment="1">
      <alignment horizontal="right"/>
    </xf>
    <xf numFmtId="165" fontId="0" fillId="0" borderId="5" xfId="0" applyNumberFormat="1" applyFont="1" applyBorder="1" applyAlignment="1"/>
    <xf numFmtId="165" fontId="0" fillId="0" borderId="5" xfId="0" applyNumberFormat="1" applyFont="1" applyBorder="1" applyAlignment="1">
      <alignment vertical="center"/>
    </xf>
    <xf numFmtId="165" fontId="0" fillId="0" borderId="9" xfId="0" applyNumberFormat="1" applyFont="1" applyBorder="1" applyAlignment="1">
      <alignment horizontal="right"/>
    </xf>
    <xf numFmtId="165" fontId="0" fillId="0" borderId="9" xfId="0" applyNumberFormat="1" applyFont="1" applyBorder="1" applyAlignment="1"/>
    <xf numFmtId="165" fontId="0" fillId="0" borderId="9" xfId="0" applyNumberFormat="1" applyFont="1" applyBorder="1" applyAlignment="1">
      <alignment vertical="center"/>
    </xf>
    <xf numFmtId="165" fontId="3" fillId="0" borderId="4" xfId="0" applyNumberFormat="1" applyFont="1" applyBorder="1" applyAlignme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4" xfId="0" applyNumberFormat="1" applyFont="1" applyBorder="1" applyAlignment="1">
      <alignment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7" fontId="0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vertical="center"/>
    </xf>
    <xf numFmtId="175" fontId="0" fillId="0" borderId="4" xfId="0" applyNumberFormat="1" applyBorder="1" applyAlignment="1">
      <alignment vertical="center"/>
    </xf>
    <xf numFmtId="167" fontId="13" fillId="0" borderId="4" xfId="0" applyNumberFormat="1" applyFont="1" applyBorder="1" applyAlignment="1">
      <alignment vertical="center" wrapText="1"/>
    </xf>
    <xf numFmtId="164" fontId="14" fillId="0" borderId="4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vertical="center"/>
    </xf>
    <xf numFmtId="165" fontId="0" fillId="0" borderId="4" xfId="0" applyNumberFormat="1" applyFont="1" applyBorder="1" applyAlignment="1">
      <alignment vertical="center"/>
    </xf>
    <xf numFmtId="167" fontId="0" fillId="0" borderId="4" xfId="0" applyNumberFormat="1" applyFont="1" applyBorder="1" applyAlignment="1">
      <alignment vertical="center" wrapText="1"/>
    </xf>
    <xf numFmtId="164" fontId="0" fillId="0" borderId="4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vertical="center"/>
    </xf>
    <xf numFmtId="165" fontId="26" fillId="0" borderId="4" xfId="0" applyNumberFormat="1" applyFon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67" fontId="0" fillId="0" borderId="20" xfId="0" applyNumberFormat="1" applyBorder="1" applyAlignment="1">
      <alignment horizontal="center" vertical="center"/>
    </xf>
    <xf numFmtId="164" fontId="14" fillId="0" borderId="22" xfId="0" applyNumberFormat="1" applyFont="1" applyBorder="1" applyAlignment="1">
      <alignment horizontal="right" vertical="center"/>
    </xf>
    <xf numFmtId="175" fontId="3" fillId="0" borderId="4" xfId="0" applyNumberFormat="1" applyFont="1" applyBorder="1" applyAlignment="1">
      <alignment vertical="center"/>
    </xf>
    <xf numFmtId="0" fontId="14" fillId="0" borderId="0" xfId="0" applyFont="1" applyAlignment="1">
      <alignment horizontal="right"/>
    </xf>
    <xf numFmtId="164" fontId="0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77" fontId="27" fillId="0" borderId="0" xfId="0" applyNumberFormat="1" applyFont="1" applyAlignment="1">
      <alignment vertical="center"/>
    </xf>
    <xf numFmtId="177" fontId="0" fillId="0" borderId="0" xfId="0" applyNumberFormat="1" applyAlignment="1">
      <alignment vertical="center"/>
    </xf>
    <xf numFmtId="0" fontId="6" fillId="0" borderId="0" xfId="0" applyFont="1" applyAlignment="1">
      <alignment horizontal="right"/>
    </xf>
    <xf numFmtId="167" fontId="0" fillId="0" borderId="20" xfId="0" applyNumberFormat="1" applyBorder="1" applyAlignment="1">
      <alignment horizontal="center"/>
    </xf>
    <xf numFmtId="164" fontId="14" fillId="0" borderId="22" xfId="0" applyNumberFormat="1" applyFont="1" applyBorder="1" applyAlignment="1">
      <alignment horizontal="right"/>
    </xf>
    <xf numFmtId="165" fontId="14" fillId="0" borderId="4" xfId="0" applyNumberFormat="1" applyFont="1" applyBorder="1"/>
    <xf numFmtId="175" fontId="11" fillId="0" borderId="4" xfId="0" applyNumberFormat="1" applyFont="1" applyBorder="1"/>
    <xf numFmtId="175" fontId="11" fillId="0" borderId="4" xfId="0" applyNumberFormat="1" applyFont="1" applyBorder="1" applyAlignment="1">
      <alignment vertical="center"/>
    </xf>
    <xf numFmtId="165" fontId="0" fillId="0" borderId="4" xfId="0" applyNumberFormat="1" applyBorder="1"/>
    <xf numFmtId="175" fontId="0" fillId="0" borderId="4" xfId="0" applyNumberFormat="1" applyBorder="1"/>
    <xf numFmtId="167" fontId="0" fillId="0" borderId="4" xfId="0" applyNumberFormat="1" applyFont="1" applyBorder="1" applyAlignment="1">
      <alignment wrapText="1"/>
    </xf>
    <xf numFmtId="164" fontId="0" fillId="0" borderId="4" xfId="0" applyNumberFormat="1" applyFont="1" applyBorder="1" applyAlignment="1">
      <alignment horizontal="center" wrapText="1"/>
    </xf>
    <xf numFmtId="165" fontId="0" fillId="0" borderId="4" xfId="0" applyNumberFormat="1" applyFont="1" applyBorder="1"/>
    <xf numFmtId="0" fontId="25" fillId="0" borderId="0" xfId="0" applyFont="1" applyAlignment="1">
      <alignment vertical="center"/>
    </xf>
    <xf numFmtId="49" fontId="6" fillId="0" borderId="0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center"/>
    </xf>
    <xf numFmtId="4" fontId="6" fillId="0" borderId="0" xfId="0" applyNumberFormat="1" applyFont="1"/>
    <xf numFmtId="10" fontId="6" fillId="0" borderId="0" xfId="0" applyNumberFormat="1" applyFont="1"/>
    <xf numFmtId="0" fontId="0" fillId="0" borderId="0" xfId="0" applyFont="1" applyAlignment="1">
      <alignment horizontal="center"/>
    </xf>
    <xf numFmtId="4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right"/>
    </xf>
    <xf numFmtId="165" fontId="0" fillId="0" borderId="0" xfId="0" applyNumberFormat="1" applyFont="1" applyBorder="1" applyAlignment="1">
      <alignment horizontal="center"/>
    </xf>
    <xf numFmtId="4" fontId="0" fillId="0" borderId="0" xfId="0" applyNumberFormat="1" applyBorder="1"/>
    <xf numFmtId="173" fontId="3" fillId="0" borderId="0" xfId="0" applyNumberFormat="1" applyFont="1"/>
    <xf numFmtId="3" fontId="30" fillId="0" borderId="0" xfId="0" applyNumberFormat="1" applyFont="1"/>
    <xf numFmtId="0" fontId="14" fillId="0" borderId="0" xfId="0" applyFont="1"/>
    <xf numFmtId="165" fontId="14" fillId="0" borderId="0" xfId="0" applyNumberFormat="1" applyFont="1" applyBorder="1" applyAlignment="1">
      <alignment horizontal="center"/>
    </xf>
    <xf numFmtId="0" fontId="0" fillId="0" borderId="0" xfId="0" applyBorder="1"/>
    <xf numFmtId="165" fontId="21" fillId="0" borderId="0" xfId="0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4" fontId="3" fillId="0" borderId="0" xfId="0" applyNumberFormat="1" applyFont="1"/>
    <xf numFmtId="10" fontId="3" fillId="0" borderId="0" xfId="0" applyNumberFormat="1" applyFont="1"/>
    <xf numFmtId="173" fontId="11" fillId="6" borderId="0" xfId="0" applyNumberFormat="1" applyFont="1" applyFill="1"/>
    <xf numFmtId="3" fontId="31" fillId="6" borderId="0" xfId="0" applyNumberFormat="1" applyFont="1" applyFill="1"/>
    <xf numFmtId="0" fontId="0" fillId="0" borderId="0" xfId="0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174" fontId="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7" borderId="0" xfId="0" applyNumberFormat="1" applyFill="1" applyAlignment="1">
      <alignment horizontal="center"/>
    </xf>
    <xf numFmtId="4" fontId="0" fillId="7" borderId="0" xfId="0" applyNumberFormat="1" applyFill="1"/>
    <xf numFmtId="174" fontId="0" fillId="7" borderId="0" xfId="0" applyNumberFormat="1" applyFill="1"/>
    <xf numFmtId="178" fontId="3" fillId="7" borderId="0" xfId="0" applyNumberFormat="1" applyFont="1" applyFill="1"/>
    <xf numFmtId="4" fontId="32" fillId="0" borderId="0" xfId="0" applyNumberFormat="1" applyFont="1"/>
    <xf numFmtId="179" fontId="0" fillId="0" borderId="0" xfId="0" applyNumberFormat="1"/>
    <xf numFmtId="178" fontId="0" fillId="0" borderId="0" xfId="0" applyNumberFormat="1"/>
    <xf numFmtId="167" fontId="13" fillId="8" borderId="4" xfId="0" applyNumberFormat="1" applyFont="1" applyFill="1" applyBorder="1" applyAlignment="1">
      <alignment vertical="center" wrapText="1"/>
    </xf>
    <xf numFmtId="164" fontId="14" fillId="8" borderId="4" xfId="0" applyNumberFormat="1" applyFont="1" applyFill="1" applyBorder="1" applyAlignment="1">
      <alignment horizontal="center" vertical="center"/>
    </xf>
    <xf numFmtId="165" fontId="14" fillId="8" borderId="4" xfId="0" applyNumberFormat="1" applyFont="1" applyFill="1" applyBorder="1" applyAlignment="1">
      <alignment vertical="center"/>
    </xf>
    <xf numFmtId="165" fontId="0" fillId="8" borderId="4" xfId="0" applyNumberFormat="1" applyFont="1" applyFill="1" applyBorder="1" applyAlignment="1">
      <alignment vertical="center"/>
    </xf>
    <xf numFmtId="175" fontId="0" fillId="8" borderId="4" xfId="0" applyNumberFormat="1" applyFill="1" applyBorder="1" applyAlignment="1">
      <alignment vertical="center"/>
    </xf>
    <xf numFmtId="167" fontId="0" fillId="8" borderId="4" xfId="0" applyNumberFormat="1" applyFont="1" applyFill="1" applyBorder="1" applyAlignment="1">
      <alignment vertical="center"/>
    </xf>
    <xf numFmtId="164" fontId="0" fillId="8" borderId="4" xfId="0" applyNumberFormat="1" applyFill="1" applyBorder="1" applyAlignment="1">
      <alignment horizontal="center" vertical="center"/>
    </xf>
    <xf numFmtId="165" fontId="0" fillId="8" borderId="4" xfId="0" applyNumberFormat="1" applyFill="1" applyBorder="1" applyAlignment="1">
      <alignment vertical="center"/>
    </xf>
    <xf numFmtId="165" fontId="0" fillId="8" borderId="4" xfId="0" applyNumberFormat="1" applyFill="1" applyBorder="1"/>
    <xf numFmtId="175" fontId="0" fillId="8" borderId="4" xfId="0" applyNumberFormat="1" applyFill="1" applyBorder="1"/>
    <xf numFmtId="0" fontId="0" fillId="0" borderId="0" xfId="0" applyBorder="1" applyAlignment="1">
      <alignment horizontal="center" vertical="center"/>
    </xf>
    <xf numFmtId="167" fontId="34" fillId="0" borderId="5" xfId="0" applyNumberFormat="1" applyFont="1" applyBorder="1"/>
    <xf numFmtId="164" fontId="34" fillId="0" borderId="5" xfId="0" applyNumberFormat="1" applyFont="1" applyBorder="1" applyAlignment="1">
      <alignment horizontal="center"/>
    </xf>
    <xf numFmtId="166" fontId="34" fillId="0" borderId="5" xfId="0" applyNumberFormat="1" applyFont="1" applyBorder="1"/>
    <xf numFmtId="165" fontId="36" fillId="0" borderId="8" xfId="0" applyNumberFormat="1" applyFont="1" applyBorder="1" applyAlignment="1"/>
    <xf numFmtId="49" fontId="35" fillId="0" borderId="20" xfId="0" applyNumberFormat="1" applyFont="1" applyBorder="1"/>
    <xf numFmtId="0" fontId="0" fillId="0" borderId="0" xfId="0" applyNumberFormat="1"/>
    <xf numFmtId="165" fontId="35" fillId="0" borderId="0" xfId="0" applyNumberFormat="1" applyFont="1"/>
    <xf numFmtId="165" fontId="37" fillId="0" borderId="0" xfId="0" applyNumberFormat="1" applyFont="1"/>
    <xf numFmtId="2" fontId="5" fillId="0" borderId="5" xfId="0" applyNumberFormat="1" applyFont="1" applyBorder="1"/>
    <xf numFmtId="2" fontId="5" fillId="0" borderId="6" xfId="1" applyNumberFormat="1" applyFont="1" applyBorder="1"/>
    <xf numFmtId="167" fontId="0" fillId="0" borderId="20" xfId="0" applyNumberFormat="1" applyFont="1" applyBorder="1" applyAlignment="1">
      <alignment vertical="center" wrapText="1"/>
    </xf>
    <xf numFmtId="164" fontId="26" fillId="0" borderId="22" xfId="0" applyNumberFormat="1" applyFont="1" applyBorder="1" applyAlignment="1">
      <alignment horizontal="center" vertical="center"/>
    </xf>
    <xf numFmtId="165" fontId="35" fillId="0" borderId="4" xfId="0" applyNumberFormat="1" applyFont="1" applyBorder="1" applyAlignment="1">
      <alignment vertical="center"/>
    </xf>
    <xf numFmtId="164" fontId="38" fillId="0" borderId="4" xfId="0" applyNumberFormat="1" applyFont="1" applyBorder="1" applyAlignment="1">
      <alignment horizontal="center" vertical="center"/>
    </xf>
    <xf numFmtId="165" fontId="38" fillId="0" borderId="4" xfId="0" applyNumberFormat="1" applyFont="1" applyBorder="1" applyAlignment="1">
      <alignment vertical="center"/>
    </xf>
    <xf numFmtId="164" fontId="39" fillId="0" borderId="4" xfId="0" applyNumberFormat="1" applyFont="1" applyBorder="1" applyAlignment="1">
      <alignment horizontal="center" vertical="center"/>
    </xf>
    <xf numFmtId="165" fontId="39" fillId="0" borderId="4" xfId="0" applyNumberFormat="1" applyFont="1" applyBorder="1" applyAlignment="1">
      <alignment vertical="center"/>
    </xf>
    <xf numFmtId="164" fontId="0" fillId="0" borderId="22" xfId="0" applyNumberFormat="1" applyFont="1" applyBorder="1" applyAlignment="1">
      <alignment horizontal="center" vertical="center"/>
    </xf>
    <xf numFmtId="167" fontId="40" fillId="0" borderId="18" xfId="0" applyNumberFormat="1" applyFont="1" applyBorder="1" applyAlignment="1"/>
    <xf numFmtId="167" fontId="41" fillId="0" borderId="7" xfId="0" applyNumberFormat="1" applyFont="1" applyBorder="1" applyAlignment="1"/>
    <xf numFmtId="167" fontId="42" fillId="0" borderId="7" xfId="0" applyNumberFormat="1" applyFont="1" applyBorder="1" applyAlignment="1"/>
    <xf numFmtId="165" fontId="37" fillId="0" borderId="0" xfId="0" applyNumberFormat="1" applyFont="1" applyBorder="1" applyAlignment="1"/>
    <xf numFmtId="165" fontId="37" fillId="0" borderId="8" xfId="0" applyNumberFormat="1" applyFont="1" applyBorder="1" applyAlignment="1">
      <alignment horizontal="right"/>
    </xf>
    <xf numFmtId="43" fontId="35" fillId="0" borderId="0" xfId="2" applyFont="1"/>
    <xf numFmtId="164" fontId="39" fillId="0" borderId="22" xfId="0" applyNumberFormat="1" applyFont="1" applyBorder="1" applyAlignment="1">
      <alignment horizontal="center" vertical="center"/>
    </xf>
    <xf numFmtId="0" fontId="35" fillId="9" borderId="0" xfId="0" applyFont="1" applyFill="1"/>
    <xf numFmtId="0" fontId="35" fillId="0" borderId="0" xfId="0" applyFont="1" applyFill="1"/>
    <xf numFmtId="49" fontId="0" fillId="0" borderId="0" xfId="0" applyNumberFormat="1" applyFill="1"/>
    <xf numFmtId="164" fontId="0" fillId="0" borderId="0" xfId="0" applyNumberFormat="1" applyFill="1" applyAlignment="1">
      <alignment horizontal="center"/>
    </xf>
    <xf numFmtId="0" fontId="0" fillId="0" borderId="4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165" fontId="14" fillId="0" borderId="8" xfId="0" applyNumberFormat="1" applyFont="1" applyBorder="1" applyAlignment="1">
      <alignment horizontal="left" vertical="center" wrapText="1"/>
    </xf>
    <xf numFmtId="165" fontId="28" fillId="0" borderId="0" xfId="0" applyNumberFormat="1" applyFont="1" applyBorder="1" applyAlignment="1">
      <alignment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5526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7</xdr:col>
      <xdr:colOff>316440</xdr:colOff>
      <xdr:row>0</xdr:row>
      <xdr:rowOff>1440</xdr:rowOff>
    </xdr:from>
    <xdr:to>
      <xdr:col>8</xdr:col>
      <xdr:colOff>767520</xdr:colOff>
      <xdr:row>0</xdr:row>
      <xdr:rowOff>668880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27316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22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14400</xdr:colOff>
      <xdr:row>0</xdr:row>
      <xdr:rowOff>10800</xdr:rowOff>
    </xdr:from>
    <xdr:to>
      <xdr:col>4</xdr:col>
      <xdr:colOff>952200</xdr:colOff>
      <xdr:row>3</xdr:row>
      <xdr:rowOff>123840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904640" y="10800"/>
          <a:ext cx="937800" cy="700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9" name="Image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2" name="Image 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3" name="Image 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4" name="Image 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5" name="Image 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7" name="Image 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8" name="Image 1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9" name="Image 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0" name="Image 1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1" name="Image 1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2" name="Image 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opLeftCell="A44" zoomScale="90" zoomScaleNormal="90" workbookViewId="0">
      <selection activeCell="I95" sqref="I95"/>
    </sheetView>
  </sheetViews>
  <sheetFormatPr baseColWidth="10" defaultColWidth="12.6640625" defaultRowHeight="13" x14ac:dyDescent="0.15"/>
  <cols>
    <col min="1" max="1" width="4.5" customWidth="1"/>
    <col min="2" max="2" width="54.33203125" style="1" customWidth="1"/>
    <col min="3" max="3" width="13" style="2" customWidth="1"/>
    <col min="4" max="4" width="6.5" style="2" customWidth="1"/>
    <col min="5" max="5" width="15.5" style="3" customWidth="1"/>
    <col min="6" max="6" width="15.5" customWidth="1"/>
    <col min="8" max="8" width="4.5" customWidth="1"/>
    <col min="9" max="9" width="55.33203125" style="1" customWidth="1"/>
    <col min="10" max="10" width="13" style="2" customWidth="1"/>
    <col min="11" max="11" width="6.5" style="2" customWidth="1"/>
    <col min="12" max="12" width="15.5" style="3" customWidth="1"/>
    <col min="13" max="13" width="15.5" customWidth="1"/>
  </cols>
  <sheetData>
    <row r="1" spans="1:13" ht="54.5" customHeight="1" x14ac:dyDescent="0.15">
      <c r="A1" s="370"/>
      <c r="B1" s="370"/>
      <c r="C1" s="370"/>
      <c r="D1" s="370"/>
      <c r="E1" s="370"/>
      <c r="H1" s="370"/>
      <c r="I1" s="370"/>
      <c r="J1" s="370"/>
      <c r="K1" s="370"/>
      <c r="L1" s="370"/>
    </row>
    <row r="3" spans="1:13" ht="18.75" customHeight="1" x14ac:dyDescent="0.2">
      <c r="A3" s="5" t="s">
        <v>0</v>
      </c>
      <c r="B3"/>
      <c r="H3" s="5" t="s">
        <v>0</v>
      </c>
      <c r="I3"/>
    </row>
    <row r="4" spans="1:13" x14ac:dyDescent="0.15">
      <c r="A4" s="1" t="s">
        <v>1</v>
      </c>
      <c r="B4"/>
      <c r="H4" s="1" t="s">
        <v>1</v>
      </c>
      <c r="I4"/>
    </row>
    <row r="6" spans="1:13" x14ac:dyDescent="0.15">
      <c r="B6" s="6"/>
      <c r="F6" s="7" t="s">
        <v>2</v>
      </c>
      <c r="I6" s="6"/>
      <c r="M6" s="7" t="s">
        <v>3</v>
      </c>
    </row>
    <row r="7" spans="1:13" s="8" customFormat="1" ht="17.25" customHeight="1" x14ac:dyDescent="0.15">
      <c r="B7" s="9" t="s">
        <v>4</v>
      </c>
      <c r="C7" s="10"/>
      <c r="D7" s="10"/>
      <c r="E7" s="11"/>
      <c r="F7" s="11"/>
      <c r="I7" s="12" t="s">
        <v>264</v>
      </c>
      <c r="J7" s="13"/>
      <c r="K7" s="13"/>
      <c r="L7" s="14"/>
      <c r="M7" s="14"/>
    </row>
    <row r="9" spans="1:13" ht="15.25" customHeight="1" x14ac:dyDescent="0.15">
      <c r="B9" s="15" t="s">
        <v>5</v>
      </c>
      <c r="C9" s="16" t="s">
        <v>6</v>
      </c>
      <c r="D9" s="16" t="s">
        <v>7</v>
      </c>
      <c r="E9" s="17" t="s">
        <v>8</v>
      </c>
      <c r="F9" s="17" t="s">
        <v>9</v>
      </c>
      <c r="I9" s="15" t="s">
        <v>5</v>
      </c>
      <c r="J9" s="16" t="s">
        <v>6</v>
      </c>
      <c r="K9" s="16" t="s">
        <v>7</v>
      </c>
      <c r="L9" s="17" t="s">
        <v>8</v>
      </c>
      <c r="M9" s="17" t="s">
        <v>9</v>
      </c>
    </row>
    <row r="10" spans="1:13" ht="15.25" customHeight="1" x14ac:dyDescent="0.15">
      <c r="B10" s="18" t="s">
        <v>10</v>
      </c>
      <c r="C10" s="19">
        <v>45292</v>
      </c>
      <c r="D10" s="19" t="s">
        <v>11</v>
      </c>
      <c r="E10" s="20"/>
      <c r="F10" s="20">
        <v>38550.46</v>
      </c>
      <c r="I10" s="18" t="s">
        <v>10</v>
      </c>
      <c r="J10" s="21">
        <v>45292</v>
      </c>
      <c r="K10" s="21" t="s">
        <v>12</v>
      </c>
      <c r="L10" s="22"/>
      <c r="M10" s="22">
        <v>284157.42</v>
      </c>
    </row>
    <row r="11" spans="1:13" ht="15.25" customHeight="1" x14ac:dyDescent="0.15">
      <c r="B11" s="23" t="s">
        <v>13</v>
      </c>
      <c r="C11" s="21">
        <v>45293</v>
      </c>
      <c r="D11" s="21" t="s">
        <v>11</v>
      </c>
      <c r="E11" s="22">
        <v>-15000</v>
      </c>
      <c r="F11" s="22"/>
      <c r="I11" s="18" t="s">
        <v>14</v>
      </c>
      <c r="J11" s="21">
        <v>45296</v>
      </c>
      <c r="K11" s="21" t="s">
        <v>12</v>
      </c>
      <c r="L11" s="22">
        <v>-523.82000000000005</v>
      </c>
      <c r="M11" s="22"/>
    </row>
    <row r="12" spans="1:13" ht="15.25" customHeight="1" x14ac:dyDescent="0.15">
      <c r="B12" s="18" t="s">
        <v>15</v>
      </c>
      <c r="C12" s="21">
        <v>45303</v>
      </c>
      <c r="D12" s="21" t="s">
        <v>11</v>
      </c>
      <c r="E12" s="22">
        <v>-3600</v>
      </c>
      <c r="F12" s="22"/>
      <c r="I12" s="18" t="s">
        <v>16</v>
      </c>
      <c r="J12" s="21">
        <v>45296</v>
      </c>
      <c r="K12" s="21" t="s">
        <v>12</v>
      </c>
      <c r="L12" s="22">
        <v>-1500</v>
      </c>
      <c r="M12" s="24"/>
    </row>
    <row r="13" spans="1:13" ht="15.25" customHeight="1" x14ac:dyDescent="0.15">
      <c r="B13" s="18" t="s">
        <v>17</v>
      </c>
      <c r="C13" s="21">
        <v>45303</v>
      </c>
      <c r="D13" s="21" t="s">
        <v>11</v>
      </c>
      <c r="E13" s="22">
        <v>-100</v>
      </c>
      <c r="F13" s="22"/>
      <c r="I13" s="23" t="s">
        <v>18</v>
      </c>
      <c r="J13" s="21">
        <v>45296</v>
      </c>
      <c r="K13" s="21" t="s">
        <v>12</v>
      </c>
      <c r="L13" s="22">
        <v>-2.25</v>
      </c>
      <c r="M13" s="24"/>
    </row>
    <row r="14" spans="1:13" ht="15.25" customHeight="1" x14ac:dyDescent="0.15">
      <c r="B14" s="18" t="s">
        <v>19</v>
      </c>
      <c r="C14" s="25">
        <v>45310</v>
      </c>
      <c r="D14" s="21" t="s">
        <v>11</v>
      </c>
      <c r="E14" s="22">
        <v>-200</v>
      </c>
      <c r="F14" s="26"/>
      <c r="I14" s="18" t="s">
        <v>20</v>
      </c>
      <c r="J14" s="21">
        <v>45302</v>
      </c>
      <c r="K14" s="21" t="s">
        <v>12</v>
      </c>
      <c r="L14" s="22">
        <v>-2140</v>
      </c>
      <c r="M14" s="22"/>
    </row>
    <row r="15" spans="1:13" ht="15.25" customHeight="1" x14ac:dyDescent="0.15">
      <c r="B15" s="23" t="s">
        <v>21</v>
      </c>
      <c r="C15" s="21">
        <v>45322</v>
      </c>
      <c r="D15" s="21" t="s">
        <v>11</v>
      </c>
      <c r="E15" s="22">
        <v>-1000</v>
      </c>
      <c r="F15" s="22"/>
      <c r="I15" s="23" t="s">
        <v>18</v>
      </c>
      <c r="J15" s="21">
        <v>45302</v>
      </c>
      <c r="K15" s="21" t="s">
        <v>12</v>
      </c>
      <c r="L15" s="22">
        <v>-3.21</v>
      </c>
      <c r="M15" s="22"/>
    </row>
    <row r="16" spans="1:13" ht="15.25" customHeight="1" x14ac:dyDescent="0.15">
      <c r="B16" s="18" t="s">
        <v>22</v>
      </c>
      <c r="C16" s="25">
        <v>45323</v>
      </c>
      <c r="D16" s="21" t="s">
        <v>11</v>
      </c>
      <c r="E16" s="22">
        <v>-15000</v>
      </c>
      <c r="F16" s="26"/>
      <c r="I16" s="18" t="s">
        <v>23</v>
      </c>
      <c r="J16" s="21">
        <v>45310</v>
      </c>
      <c r="K16" s="21" t="s">
        <v>12</v>
      </c>
      <c r="L16" s="22">
        <v>-6538.23</v>
      </c>
      <c r="M16" s="22"/>
    </row>
    <row r="17" spans="2:13" ht="15.25" customHeight="1" x14ac:dyDescent="0.15">
      <c r="B17" s="23" t="s">
        <v>24</v>
      </c>
      <c r="C17" s="25">
        <v>45330</v>
      </c>
      <c r="D17" s="21" t="s">
        <v>11</v>
      </c>
      <c r="E17" s="22">
        <v>-4000</v>
      </c>
      <c r="F17" s="26"/>
      <c r="I17" s="23" t="s">
        <v>18</v>
      </c>
      <c r="J17" s="21">
        <v>45310</v>
      </c>
      <c r="K17" s="21" t="s">
        <v>12</v>
      </c>
      <c r="L17" s="22">
        <v>-9.81</v>
      </c>
      <c r="M17" s="22"/>
    </row>
    <row r="18" spans="2:13" ht="15.25" customHeight="1" x14ac:dyDescent="0.15">
      <c r="B18" s="18" t="s">
        <v>25</v>
      </c>
      <c r="C18" s="21">
        <v>45331</v>
      </c>
      <c r="D18" s="21" t="s">
        <v>11</v>
      </c>
      <c r="E18" s="22">
        <v>-2500</v>
      </c>
      <c r="F18" s="22"/>
      <c r="I18" s="18" t="s">
        <v>26</v>
      </c>
      <c r="J18" s="21">
        <v>45322</v>
      </c>
      <c r="K18" s="21" t="s">
        <v>12</v>
      </c>
      <c r="L18" s="22"/>
      <c r="M18" s="22">
        <v>60.02</v>
      </c>
    </row>
    <row r="19" spans="2:13" ht="15.25" customHeight="1" x14ac:dyDescent="0.15">
      <c r="B19" s="23" t="s">
        <v>27</v>
      </c>
      <c r="C19" s="21">
        <v>45331</v>
      </c>
      <c r="D19" s="21" t="s">
        <v>11</v>
      </c>
      <c r="E19" s="22">
        <v>-72.56</v>
      </c>
      <c r="F19" s="22"/>
      <c r="I19" s="23" t="s">
        <v>28</v>
      </c>
      <c r="J19" s="21">
        <v>45322</v>
      </c>
      <c r="K19" s="21" t="s">
        <v>12</v>
      </c>
      <c r="L19" s="22">
        <v>-6</v>
      </c>
      <c r="M19" s="22"/>
    </row>
    <row r="20" spans="2:13" ht="15.25" customHeight="1" x14ac:dyDescent="0.15">
      <c r="B20" s="18" t="s">
        <v>29</v>
      </c>
      <c r="C20" s="21">
        <v>45334</v>
      </c>
      <c r="D20" s="21" t="s">
        <v>11</v>
      </c>
      <c r="E20" s="22"/>
      <c r="F20" s="22">
        <v>20000</v>
      </c>
      <c r="I20" s="23" t="s">
        <v>30</v>
      </c>
      <c r="J20" s="21">
        <v>45331</v>
      </c>
      <c r="K20" s="21" t="s">
        <v>12</v>
      </c>
      <c r="L20" s="22"/>
      <c r="M20" s="22">
        <v>47793.46</v>
      </c>
    </row>
    <row r="21" spans="2:13" ht="15.25" customHeight="1" x14ac:dyDescent="0.15">
      <c r="B21" s="23" t="s">
        <v>31</v>
      </c>
      <c r="C21" s="21">
        <v>45336</v>
      </c>
      <c r="D21" s="21" t="s">
        <v>11</v>
      </c>
      <c r="E21" s="22"/>
      <c r="F21" s="22">
        <v>15000</v>
      </c>
      <c r="I21" s="23" t="s">
        <v>32</v>
      </c>
      <c r="J21" s="21">
        <v>45331</v>
      </c>
      <c r="K21" s="21" t="s">
        <v>12</v>
      </c>
      <c r="L21" s="22">
        <v>-710.7</v>
      </c>
      <c r="M21" s="22"/>
    </row>
    <row r="22" spans="2:13" ht="15.25" customHeight="1" x14ac:dyDescent="0.15">
      <c r="B22" s="23" t="s">
        <v>33</v>
      </c>
      <c r="C22" s="21">
        <v>45337</v>
      </c>
      <c r="D22" s="21" t="s">
        <v>11</v>
      </c>
      <c r="E22" s="22">
        <v>-14000</v>
      </c>
      <c r="F22" s="22"/>
      <c r="I22" s="23" t="s">
        <v>34</v>
      </c>
      <c r="J22" s="21">
        <v>45334</v>
      </c>
      <c r="K22" s="21" t="s">
        <v>12</v>
      </c>
      <c r="L22" s="22">
        <v>-20000</v>
      </c>
      <c r="M22" s="22"/>
    </row>
    <row r="23" spans="2:13" ht="15.25" customHeight="1" x14ac:dyDescent="0.15">
      <c r="B23" s="18" t="s">
        <v>35</v>
      </c>
      <c r="C23" s="21">
        <v>45342</v>
      </c>
      <c r="D23" s="21" t="s">
        <v>11</v>
      </c>
      <c r="E23" s="22"/>
      <c r="F23" s="22">
        <v>12230</v>
      </c>
      <c r="I23" s="23" t="s">
        <v>36</v>
      </c>
      <c r="J23" s="21">
        <v>45335</v>
      </c>
      <c r="K23" s="21" t="s">
        <v>12</v>
      </c>
      <c r="L23" s="22"/>
      <c r="M23" s="22">
        <v>24134</v>
      </c>
    </row>
    <row r="24" spans="2:13" ht="15.25" customHeight="1" x14ac:dyDescent="0.15">
      <c r="B24" s="23" t="s">
        <v>37</v>
      </c>
      <c r="C24" s="21">
        <v>45342</v>
      </c>
      <c r="D24" s="21" t="s">
        <v>11</v>
      </c>
      <c r="E24" s="22">
        <v>-200</v>
      </c>
      <c r="F24" s="22"/>
      <c r="I24" s="23" t="s">
        <v>38</v>
      </c>
      <c r="J24" s="21">
        <v>45334</v>
      </c>
      <c r="K24" s="21" t="s">
        <v>12</v>
      </c>
      <c r="L24" s="22"/>
      <c r="M24" s="22">
        <v>24787</v>
      </c>
    </row>
    <row r="25" spans="2:13" ht="15.25" customHeight="1" x14ac:dyDescent="0.15">
      <c r="B25" s="23" t="s">
        <v>39</v>
      </c>
      <c r="C25" s="21">
        <v>45342</v>
      </c>
      <c r="D25" s="21" t="s">
        <v>11</v>
      </c>
      <c r="E25" s="22">
        <v>-1000</v>
      </c>
      <c r="F25" s="22"/>
      <c r="I25" s="18" t="s">
        <v>40</v>
      </c>
      <c r="J25" s="21">
        <v>45338</v>
      </c>
      <c r="K25" s="21" t="s">
        <v>12</v>
      </c>
      <c r="L25" s="22"/>
      <c r="M25" s="22">
        <v>44170.7</v>
      </c>
    </row>
    <row r="26" spans="2:13" ht="15.25" customHeight="1" x14ac:dyDescent="0.15">
      <c r="B26" s="23" t="s">
        <v>41</v>
      </c>
      <c r="C26" s="21">
        <v>45343</v>
      </c>
      <c r="D26" s="21" t="s">
        <v>11</v>
      </c>
      <c r="E26" s="22">
        <v>-221.59</v>
      </c>
      <c r="F26" s="22"/>
      <c r="I26" s="23" t="s">
        <v>42</v>
      </c>
      <c r="J26" s="21">
        <v>45339</v>
      </c>
      <c r="K26" s="21" t="s">
        <v>12</v>
      </c>
      <c r="L26" s="22"/>
      <c r="M26" s="22">
        <v>35005.599999999999</v>
      </c>
    </row>
    <row r="27" spans="2:13" ht="15.25" customHeight="1" x14ac:dyDescent="0.15">
      <c r="B27" s="18" t="s">
        <v>43</v>
      </c>
      <c r="C27" s="21">
        <v>45351</v>
      </c>
      <c r="D27" s="21" t="s">
        <v>11</v>
      </c>
      <c r="E27" s="22">
        <v>-1000</v>
      </c>
      <c r="F27" s="22"/>
      <c r="I27" s="18" t="s">
        <v>44</v>
      </c>
      <c r="J27" s="21">
        <v>45342</v>
      </c>
      <c r="K27" s="21" t="s">
        <v>12</v>
      </c>
      <c r="L27" s="22"/>
      <c r="M27" s="22">
        <v>38625</v>
      </c>
    </row>
    <row r="28" spans="2:13" ht="15.25" customHeight="1" x14ac:dyDescent="0.15">
      <c r="B28" s="18" t="s">
        <v>45</v>
      </c>
      <c r="C28" s="25">
        <v>45352</v>
      </c>
      <c r="D28" s="21" t="s">
        <v>11</v>
      </c>
      <c r="E28" s="22">
        <v>-15000</v>
      </c>
      <c r="F28" s="22"/>
      <c r="I28" s="23" t="s">
        <v>46</v>
      </c>
      <c r="J28" s="21">
        <v>45343</v>
      </c>
      <c r="K28" s="21" t="s">
        <v>12</v>
      </c>
      <c r="L28" s="22"/>
      <c r="M28" s="22">
        <v>32025.439999999999</v>
      </c>
    </row>
    <row r="29" spans="2:13" ht="15.25" customHeight="1" x14ac:dyDescent="0.15">
      <c r="B29" s="23" t="s">
        <v>36</v>
      </c>
      <c r="C29" s="21">
        <v>45358</v>
      </c>
      <c r="D29" s="21" t="s">
        <v>11</v>
      </c>
      <c r="E29" s="22"/>
      <c r="F29" s="22">
        <v>17600</v>
      </c>
      <c r="I29" s="23" t="s">
        <v>47</v>
      </c>
      <c r="J29" s="21">
        <v>45343</v>
      </c>
      <c r="K29" s="21" t="s">
        <v>12</v>
      </c>
      <c r="L29" s="22">
        <v>-126944.4</v>
      </c>
      <c r="M29" s="22"/>
    </row>
    <row r="30" spans="2:13" ht="15.25" customHeight="1" x14ac:dyDescent="0.15">
      <c r="B30" s="23" t="s">
        <v>31</v>
      </c>
      <c r="C30" s="21">
        <v>45358</v>
      </c>
      <c r="D30" s="21" t="s">
        <v>11</v>
      </c>
      <c r="E30" s="22"/>
      <c r="F30" s="22">
        <v>8900</v>
      </c>
      <c r="I30" s="23" t="s">
        <v>18</v>
      </c>
      <c r="J30" s="21">
        <v>45343</v>
      </c>
      <c r="K30" s="21" t="s">
        <v>12</v>
      </c>
      <c r="L30" s="22">
        <v>-190.42</v>
      </c>
      <c r="M30" s="22"/>
    </row>
    <row r="31" spans="2:13" ht="15.25" customHeight="1" x14ac:dyDescent="0.15">
      <c r="B31" s="23" t="s">
        <v>35</v>
      </c>
      <c r="C31" s="21">
        <v>45359</v>
      </c>
      <c r="D31" s="21" t="s">
        <v>11</v>
      </c>
      <c r="E31" s="22"/>
      <c r="F31" s="22">
        <v>6015</v>
      </c>
      <c r="I31" s="23" t="s">
        <v>48</v>
      </c>
      <c r="J31" s="21">
        <v>45343</v>
      </c>
      <c r="K31" s="21" t="s">
        <v>12</v>
      </c>
      <c r="L31" s="22">
        <v>-82584</v>
      </c>
      <c r="M31" s="22"/>
    </row>
    <row r="32" spans="2:13" ht="15.25" customHeight="1" x14ac:dyDescent="0.15">
      <c r="B32" s="23" t="s">
        <v>257</v>
      </c>
      <c r="C32" s="21">
        <v>45371</v>
      </c>
      <c r="D32" s="21" t="s">
        <v>11</v>
      </c>
      <c r="E32" s="22">
        <v>-2500</v>
      </c>
      <c r="F32" s="22"/>
      <c r="I32" s="23"/>
      <c r="J32" s="21"/>
      <c r="K32" s="21"/>
      <c r="L32" s="22"/>
      <c r="M32" s="22"/>
    </row>
    <row r="33" spans="2:13" ht="15.25" customHeight="1" x14ac:dyDescent="0.15">
      <c r="B33" s="23" t="s">
        <v>258</v>
      </c>
      <c r="C33" s="21">
        <v>45371</v>
      </c>
      <c r="D33" s="21" t="s">
        <v>11</v>
      </c>
      <c r="E33" s="22">
        <v>-500</v>
      </c>
      <c r="F33" s="22"/>
      <c r="I33" s="23"/>
      <c r="J33" s="21"/>
      <c r="K33" s="21"/>
      <c r="L33" s="22"/>
      <c r="M33" s="22"/>
    </row>
    <row r="34" spans="2:13" ht="15.25" customHeight="1" x14ac:dyDescent="0.15">
      <c r="B34" s="23" t="s">
        <v>49</v>
      </c>
      <c r="C34" s="21">
        <v>45373</v>
      </c>
      <c r="D34" s="21" t="s">
        <v>11</v>
      </c>
      <c r="E34" s="22">
        <v>-1000</v>
      </c>
      <c r="F34" s="22"/>
      <c r="I34" s="23" t="s">
        <v>18</v>
      </c>
      <c r="J34" s="21">
        <v>45343</v>
      </c>
      <c r="K34" s="21" t="s">
        <v>12</v>
      </c>
      <c r="L34" s="22">
        <v>-123.88</v>
      </c>
      <c r="M34" s="22"/>
    </row>
    <row r="35" spans="2:13" ht="15.25" customHeight="1" x14ac:dyDescent="0.15">
      <c r="B35" s="1" t="s">
        <v>259</v>
      </c>
      <c r="C35" s="2">
        <v>45376</v>
      </c>
      <c r="D35" s="21" t="s">
        <v>11</v>
      </c>
      <c r="E35" s="22">
        <v>-14000</v>
      </c>
      <c r="F35" s="22"/>
      <c r="I35" s="18" t="s">
        <v>26</v>
      </c>
      <c r="J35" s="21">
        <v>45351</v>
      </c>
      <c r="K35" s="21" t="s">
        <v>12</v>
      </c>
      <c r="L35" s="22"/>
      <c r="M35" s="22">
        <v>63.95</v>
      </c>
    </row>
    <row r="36" spans="2:13" ht="15.25" customHeight="1" x14ac:dyDescent="0.15">
      <c r="B36" s="23" t="s">
        <v>260</v>
      </c>
      <c r="C36" s="21">
        <v>45377</v>
      </c>
      <c r="D36" s="21" t="s">
        <v>11</v>
      </c>
      <c r="E36" s="22">
        <v>-2500</v>
      </c>
      <c r="F36" s="22"/>
      <c r="I36" s="23" t="s">
        <v>28</v>
      </c>
      <c r="J36" s="21">
        <v>45351</v>
      </c>
      <c r="K36" s="21" t="s">
        <v>12</v>
      </c>
      <c r="L36" s="22">
        <v>-6.4</v>
      </c>
      <c r="M36" s="22"/>
    </row>
    <row r="37" spans="2:13" ht="15.25" customHeight="1" x14ac:dyDescent="0.15">
      <c r="B37" s="23" t="s">
        <v>261</v>
      </c>
      <c r="C37" s="21">
        <v>45377</v>
      </c>
      <c r="D37" s="21" t="s">
        <v>11</v>
      </c>
      <c r="E37" s="22">
        <v>-3000</v>
      </c>
      <c r="F37" s="22"/>
      <c r="I37" s="23" t="s">
        <v>38</v>
      </c>
      <c r="J37" s="21">
        <v>45358</v>
      </c>
      <c r="K37" s="21" t="s">
        <v>12</v>
      </c>
      <c r="L37" s="22"/>
      <c r="M37" s="22">
        <v>18230.03</v>
      </c>
    </row>
    <row r="38" spans="2:13" ht="15.25" customHeight="1" x14ac:dyDescent="0.15">
      <c r="B38" s="1" t="s">
        <v>271</v>
      </c>
      <c r="C38" s="2">
        <v>45385</v>
      </c>
      <c r="D38" s="21" t="s">
        <v>11</v>
      </c>
      <c r="E38" s="94">
        <v>-314.11</v>
      </c>
      <c r="F38" s="22"/>
      <c r="I38" s="23" t="s">
        <v>50</v>
      </c>
      <c r="J38" s="21">
        <v>45359</v>
      </c>
      <c r="K38" s="21" t="s">
        <v>12</v>
      </c>
      <c r="L38" s="22">
        <v>-912.52</v>
      </c>
      <c r="M38" s="22"/>
    </row>
    <row r="39" spans="2:13" ht="15.25" customHeight="1" x14ac:dyDescent="0.15">
      <c r="B39" s="1" t="s">
        <v>272</v>
      </c>
      <c r="C39" s="2">
        <v>45385</v>
      </c>
      <c r="D39" s="21" t="s">
        <v>11</v>
      </c>
      <c r="E39" s="94">
        <v>-15000</v>
      </c>
      <c r="F39" s="22"/>
      <c r="I39" s="23" t="s">
        <v>51</v>
      </c>
      <c r="J39" s="21">
        <v>45359</v>
      </c>
      <c r="K39" s="21" t="s">
        <v>12</v>
      </c>
      <c r="L39" s="22">
        <v>-3600</v>
      </c>
      <c r="M39" s="22"/>
    </row>
    <row r="40" spans="2:13" ht="15.25" customHeight="1" x14ac:dyDescent="0.15">
      <c r="B40" s="23"/>
      <c r="C40" s="21"/>
      <c r="D40" s="21"/>
      <c r="E40" s="22"/>
      <c r="F40" s="22"/>
      <c r="I40" s="23" t="s">
        <v>18</v>
      </c>
      <c r="J40" s="21">
        <v>45359</v>
      </c>
      <c r="K40" s="21" t="s">
        <v>12</v>
      </c>
      <c r="L40" s="22">
        <v>-5.4</v>
      </c>
      <c r="M40" s="22"/>
    </row>
    <row r="41" spans="2:13" ht="30" x14ac:dyDescent="0.15">
      <c r="B41" s="23"/>
      <c r="C41" s="21"/>
      <c r="D41" s="21"/>
      <c r="E41" s="22"/>
      <c r="F41" s="22"/>
      <c r="I41" s="27" t="s">
        <v>52</v>
      </c>
      <c r="J41" s="21">
        <v>45363</v>
      </c>
      <c r="K41" s="21" t="s">
        <v>12</v>
      </c>
      <c r="L41" s="22">
        <v>-13261</v>
      </c>
      <c r="M41" s="22"/>
    </row>
    <row r="42" spans="2:13" ht="15.25" customHeight="1" x14ac:dyDescent="0.15">
      <c r="B42" s="23"/>
      <c r="C42" s="21"/>
      <c r="D42" s="21"/>
      <c r="E42" s="22"/>
      <c r="F42" s="22"/>
      <c r="I42" s="23" t="s">
        <v>18</v>
      </c>
      <c r="J42" s="21">
        <v>45363</v>
      </c>
      <c r="K42" s="21" t="s">
        <v>12</v>
      </c>
      <c r="L42" s="22">
        <v>-19.89</v>
      </c>
      <c r="M42" s="22"/>
    </row>
    <row r="43" spans="2:13" ht="15.25" customHeight="1" x14ac:dyDescent="0.15">
      <c r="B43" s="23"/>
      <c r="C43" s="21"/>
      <c r="D43" s="21"/>
      <c r="E43" s="22"/>
      <c r="F43" s="22"/>
      <c r="I43" s="23" t="s">
        <v>53</v>
      </c>
      <c r="J43" s="21">
        <v>45367</v>
      </c>
      <c r="K43" s="21" t="s">
        <v>12</v>
      </c>
      <c r="L43" s="22">
        <v>-42314.8</v>
      </c>
      <c r="M43" s="22"/>
    </row>
    <row r="44" spans="2:13" ht="15.25" customHeight="1" x14ac:dyDescent="0.15">
      <c r="B44" s="23"/>
      <c r="C44" s="21"/>
      <c r="D44" s="21"/>
      <c r="E44" s="22"/>
      <c r="F44" s="22"/>
      <c r="I44" s="23" t="s">
        <v>18</v>
      </c>
      <c r="J44" s="21">
        <v>45367</v>
      </c>
      <c r="K44" s="21" t="s">
        <v>12</v>
      </c>
      <c r="L44" s="22">
        <v>-63.47</v>
      </c>
      <c r="M44" s="22"/>
    </row>
    <row r="45" spans="2:13" ht="15.25" customHeight="1" x14ac:dyDescent="0.15">
      <c r="B45" s="23"/>
      <c r="C45" s="21"/>
      <c r="D45" s="21"/>
      <c r="E45" s="22"/>
      <c r="F45" s="22"/>
      <c r="I45" s="23" t="s">
        <v>54</v>
      </c>
      <c r="J45" s="21">
        <v>45367</v>
      </c>
      <c r="K45" s="21" t="s">
        <v>12</v>
      </c>
      <c r="L45" s="22">
        <v>-27528</v>
      </c>
      <c r="M45" s="22"/>
    </row>
    <row r="46" spans="2:13" ht="15.25" customHeight="1" x14ac:dyDescent="0.15">
      <c r="B46" s="23"/>
      <c r="C46" s="21"/>
      <c r="D46" s="21"/>
      <c r="E46" s="22"/>
      <c r="F46" s="22"/>
      <c r="I46" s="23" t="s">
        <v>18</v>
      </c>
      <c r="J46" s="21">
        <v>45367</v>
      </c>
      <c r="K46" s="21" t="s">
        <v>12</v>
      </c>
      <c r="L46" s="22">
        <v>-41.29</v>
      </c>
      <c r="M46" s="22"/>
    </row>
    <row r="47" spans="2:13" ht="15.25" customHeight="1" x14ac:dyDescent="0.15">
      <c r="B47" s="23"/>
      <c r="C47" s="21"/>
      <c r="D47" s="21"/>
      <c r="E47" s="22"/>
      <c r="F47" s="22"/>
      <c r="I47" s="23" t="s">
        <v>55</v>
      </c>
      <c r="J47" s="21">
        <v>45367</v>
      </c>
      <c r="K47" s="21" t="s">
        <v>12</v>
      </c>
      <c r="L47" s="22">
        <v>-3600</v>
      </c>
      <c r="M47" s="22"/>
    </row>
    <row r="48" spans="2:13" ht="15.25" customHeight="1" x14ac:dyDescent="0.15">
      <c r="B48" s="23"/>
      <c r="C48" s="21"/>
      <c r="D48" s="21"/>
      <c r="E48" s="22"/>
      <c r="F48" s="22"/>
      <c r="I48" s="23" t="s">
        <v>18</v>
      </c>
      <c r="J48" s="21">
        <v>45367</v>
      </c>
      <c r="K48" s="21" t="s">
        <v>12</v>
      </c>
      <c r="L48" s="22">
        <v>-5.4</v>
      </c>
      <c r="M48" s="22"/>
    </row>
    <row r="49" spans="2:13" ht="30" x14ac:dyDescent="0.15">
      <c r="B49" s="23"/>
      <c r="C49" s="21"/>
      <c r="D49" s="21"/>
      <c r="E49" s="22"/>
      <c r="F49" s="22"/>
      <c r="I49" s="27" t="s">
        <v>262</v>
      </c>
      <c r="J49" s="21">
        <v>45372</v>
      </c>
      <c r="K49" s="21" t="s">
        <v>12</v>
      </c>
      <c r="L49" s="22">
        <v>-7000</v>
      </c>
      <c r="M49" s="22"/>
    </row>
    <row r="50" spans="2:13" ht="15.25" customHeight="1" x14ac:dyDescent="0.15">
      <c r="B50" s="23"/>
      <c r="C50" s="21"/>
      <c r="D50" s="21"/>
      <c r="E50" s="22"/>
      <c r="F50" s="22"/>
      <c r="I50" s="23" t="s">
        <v>18</v>
      </c>
      <c r="J50" s="21">
        <v>45372</v>
      </c>
      <c r="K50" s="21" t="s">
        <v>12</v>
      </c>
      <c r="L50" s="22">
        <v>-10.5</v>
      </c>
      <c r="M50" s="22"/>
    </row>
    <row r="51" spans="2:13" ht="15.25" hidden="1" customHeight="1" x14ac:dyDescent="0.15">
      <c r="B51" s="23"/>
      <c r="C51" s="21"/>
      <c r="D51" s="21"/>
      <c r="E51" s="22"/>
      <c r="F51" s="22"/>
      <c r="I51" s="23"/>
      <c r="J51" s="21"/>
      <c r="K51" s="21"/>
      <c r="L51" s="22"/>
      <c r="M51" s="22"/>
    </row>
    <row r="52" spans="2:13" ht="15.25" hidden="1" customHeight="1" x14ac:dyDescent="0.15">
      <c r="B52" s="23"/>
      <c r="C52" s="21"/>
      <c r="D52" s="21"/>
      <c r="E52" s="22"/>
      <c r="F52" s="22"/>
      <c r="I52" s="23"/>
      <c r="J52" s="21"/>
      <c r="K52" s="21"/>
      <c r="L52" s="22"/>
      <c r="M52" s="22"/>
    </row>
    <row r="53" spans="2:13" ht="15.25" hidden="1" customHeight="1" x14ac:dyDescent="0.15">
      <c r="B53" s="23"/>
      <c r="C53" s="21"/>
      <c r="D53" s="21"/>
      <c r="E53" s="22"/>
      <c r="F53" s="22"/>
      <c r="I53" s="23"/>
      <c r="J53" s="21"/>
      <c r="K53" s="21"/>
      <c r="L53" s="22"/>
      <c r="M53" s="22"/>
    </row>
    <row r="54" spans="2:13" ht="15.25" hidden="1" customHeight="1" x14ac:dyDescent="0.15">
      <c r="B54" s="23"/>
      <c r="C54" s="21"/>
      <c r="D54" s="21"/>
      <c r="E54" s="22"/>
      <c r="F54" s="22"/>
      <c r="I54" s="23"/>
      <c r="J54" s="21"/>
      <c r="K54" s="21"/>
      <c r="L54" s="22"/>
      <c r="M54" s="22"/>
    </row>
    <row r="55" spans="2:13" ht="15.25" hidden="1" customHeight="1" x14ac:dyDescent="0.15">
      <c r="B55" s="23"/>
      <c r="C55" s="21"/>
      <c r="D55" s="21"/>
      <c r="E55" s="22"/>
      <c r="F55" s="22"/>
      <c r="I55" s="23"/>
      <c r="J55" s="21"/>
      <c r="K55" s="21"/>
      <c r="L55" s="22"/>
      <c r="M55" s="22"/>
    </row>
    <row r="56" spans="2:13" ht="15.25" hidden="1" customHeight="1" x14ac:dyDescent="0.15">
      <c r="B56" s="23"/>
      <c r="C56" s="21"/>
      <c r="D56" s="21"/>
      <c r="E56" s="22"/>
      <c r="F56" s="22"/>
      <c r="I56" s="23"/>
      <c r="J56" s="21"/>
      <c r="K56" s="21"/>
      <c r="L56" s="22"/>
      <c r="M56" s="22"/>
    </row>
    <row r="57" spans="2:13" ht="15.25" hidden="1" customHeight="1" x14ac:dyDescent="0.15">
      <c r="B57" s="23"/>
      <c r="C57" s="21"/>
      <c r="D57" s="21"/>
      <c r="E57" s="22"/>
      <c r="F57" s="22"/>
      <c r="I57" s="23"/>
      <c r="J57" s="21"/>
      <c r="K57" s="21"/>
      <c r="L57" s="22"/>
      <c r="M57" s="22"/>
    </row>
    <row r="58" spans="2:13" ht="15.25" hidden="1" customHeight="1" x14ac:dyDescent="0.15">
      <c r="B58" s="18"/>
      <c r="C58" s="21"/>
      <c r="D58" s="21"/>
      <c r="E58" s="22"/>
      <c r="F58" s="22"/>
      <c r="I58" s="18"/>
      <c r="J58" s="21"/>
      <c r="K58" s="21"/>
      <c r="L58" s="22"/>
      <c r="M58" s="22"/>
    </row>
    <row r="59" spans="2:13" ht="15.25" hidden="1" customHeight="1" x14ac:dyDescent="0.15">
      <c r="B59" s="23"/>
      <c r="C59" s="21"/>
      <c r="D59" s="21"/>
      <c r="E59" s="22"/>
      <c r="F59" s="22"/>
      <c r="I59" s="23"/>
      <c r="J59" s="21"/>
      <c r="K59" s="21"/>
      <c r="L59" s="22"/>
      <c r="M59" s="22"/>
    </row>
    <row r="60" spans="2:13" ht="15.25" hidden="1" customHeight="1" x14ac:dyDescent="0.15">
      <c r="B60" s="23"/>
      <c r="C60" s="21"/>
      <c r="D60" s="21"/>
      <c r="E60" s="22"/>
      <c r="F60" s="22"/>
      <c r="I60" s="23"/>
      <c r="J60" s="21"/>
      <c r="K60" s="21"/>
      <c r="L60" s="22"/>
      <c r="M60" s="22"/>
    </row>
    <row r="61" spans="2:13" ht="15.25" customHeight="1" x14ac:dyDescent="0.15">
      <c r="B61" s="23"/>
      <c r="C61" s="21"/>
      <c r="D61" s="21"/>
      <c r="E61" s="22"/>
      <c r="F61" s="22"/>
      <c r="I61" s="23" t="s">
        <v>273</v>
      </c>
      <c r="J61" s="21">
        <v>45384</v>
      </c>
      <c r="K61" s="21" t="s">
        <v>12</v>
      </c>
      <c r="L61" s="22">
        <v>-42314.8</v>
      </c>
      <c r="M61" s="22"/>
    </row>
    <row r="62" spans="2:13" ht="33" customHeight="1" x14ac:dyDescent="0.15">
      <c r="B62" s="23"/>
      <c r="C62" s="21"/>
      <c r="D62" s="21"/>
      <c r="E62" s="22"/>
      <c r="F62" s="22"/>
      <c r="I62" s="27" t="s">
        <v>274</v>
      </c>
      <c r="J62" s="21">
        <v>45384</v>
      </c>
      <c r="K62" s="21" t="s">
        <v>12</v>
      </c>
      <c r="L62" s="22">
        <v>-23000</v>
      </c>
      <c r="M62" s="22"/>
    </row>
    <row r="63" spans="2:13" ht="15.25" customHeight="1" x14ac:dyDescent="0.15">
      <c r="B63" s="23"/>
      <c r="C63" s="21"/>
      <c r="D63" s="21"/>
      <c r="E63" s="22"/>
      <c r="F63" s="22"/>
      <c r="I63" s="23" t="s">
        <v>263</v>
      </c>
      <c r="J63" s="21">
        <v>45384</v>
      </c>
      <c r="K63" s="21" t="s">
        <v>12</v>
      </c>
      <c r="L63" s="22">
        <v>-65</v>
      </c>
      <c r="M63" s="22"/>
    </row>
    <row r="64" spans="2:13" ht="15.25" customHeight="1" x14ac:dyDescent="0.15">
      <c r="B64" s="23"/>
      <c r="C64" s="21"/>
      <c r="D64" s="21"/>
      <c r="E64" s="22"/>
      <c r="F64" s="22"/>
      <c r="I64" s="23" t="s">
        <v>275</v>
      </c>
      <c r="J64" s="21">
        <v>45385</v>
      </c>
      <c r="K64" s="21" t="s">
        <v>12</v>
      </c>
      <c r="L64" s="22">
        <v>-1428.3</v>
      </c>
      <c r="M64" s="22"/>
    </row>
    <row r="65" spans="2:13" ht="15.25" customHeight="1" x14ac:dyDescent="0.15">
      <c r="B65" s="23"/>
      <c r="C65" s="21"/>
      <c r="D65" s="21"/>
      <c r="E65" s="22"/>
      <c r="F65" s="22"/>
      <c r="I65" s="23" t="s">
        <v>276</v>
      </c>
      <c r="J65" s="21">
        <v>45385</v>
      </c>
      <c r="K65" s="21" t="s">
        <v>12</v>
      </c>
      <c r="L65" s="22">
        <v>-3600</v>
      </c>
      <c r="M65" s="22"/>
    </row>
    <row r="66" spans="2:13" ht="15.25" customHeight="1" x14ac:dyDescent="0.15">
      <c r="B66" s="23"/>
      <c r="C66" s="21"/>
      <c r="D66" s="21"/>
      <c r="E66" s="22"/>
      <c r="F66" s="22"/>
      <c r="I66" s="23" t="s">
        <v>280</v>
      </c>
      <c r="J66" s="21">
        <v>45387</v>
      </c>
      <c r="K66" s="21" t="s">
        <v>12</v>
      </c>
      <c r="L66" s="22">
        <v>-1000</v>
      </c>
      <c r="M66" s="22"/>
    </row>
    <row r="67" spans="2:13" ht="15.25" customHeight="1" x14ac:dyDescent="0.15">
      <c r="B67" s="23"/>
      <c r="C67" s="21"/>
      <c r="D67" s="21"/>
      <c r="E67" s="22"/>
      <c r="F67" s="22"/>
      <c r="I67" s="23" t="s">
        <v>18</v>
      </c>
      <c r="J67" s="21">
        <v>45387</v>
      </c>
      <c r="K67" s="21" t="s">
        <v>12</v>
      </c>
      <c r="L67" s="22">
        <v>-103.37</v>
      </c>
      <c r="M67" s="22"/>
    </row>
    <row r="68" spans="2:13" ht="15.25" customHeight="1" x14ac:dyDescent="0.15">
      <c r="B68" s="23"/>
      <c r="C68" s="21"/>
      <c r="D68" s="21"/>
      <c r="E68" s="22"/>
      <c r="F68" s="22"/>
      <c r="I68" s="340" t="s">
        <v>282</v>
      </c>
      <c r="J68" s="341">
        <v>45387</v>
      </c>
      <c r="K68" s="341" t="s">
        <v>12</v>
      </c>
      <c r="L68" s="342">
        <v>-2265</v>
      </c>
      <c r="M68" s="22"/>
    </row>
    <row r="69" spans="2:13" ht="15.25" customHeight="1" x14ac:dyDescent="0.15">
      <c r="B69" s="23"/>
      <c r="C69" s="21"/>
      <c r="D69" s="21"/>
      <c r="E69" s="22"/>
      <c r="F69" s="22"/>
      <c r="I69" s="23" t="s">
        <v>280</v>
      </c>
      <c r="J69" s="21">
        <v>45394</v>
      </c>
      <c r="K69" s="21" t="s">
        <v>12</v>
      </c>
      <c r="L69" s="22">
        <v>-1000</v>
      </c>
      <c r="M69" s="22"/>
    </row>
    <row r="70" spans="2:13" ht="15.25" customHeight="1" x14ac:dyDescent="0.15">
      <c r="B70" s="23"/>
      <c r="C70" s="21"/>
      <c r="D70" s="21"/>
      <c r="E70" s="22"/>
      <c r="F70" s="22"/>
      <c r="I70" s="23" t="s">
        <v>18</v>
      </c>
      <c r="J70" s="21">
        <v>45394</v>
      </c>
      <c r="K70" s="21" t="s">
        <v>12</v>
      </c>
      <c r="L70" s="22">
        <v>1.5</v>
      </c>
      <c r="M70" s="22"/>
    </row>
    <row r="71" spans="2:13" ht="15.25" customHeight="1" x14ac:dyDescent="0.15">
      <c r="B71" s="23"/>
      <c r="C71" s="21"/>
      <c r="D71" s="21"/>
      <c r="E71" s="22"/>
      <c r="F71" s="22"/>
      <c r="I71" s="340" t="s">
        <v>284</v>
      </c>
      <c r="J71" s="341">
        <v>45394</v>
      </c>
      <c r="K71" s="341" t="s">
        <v>12</v>
      </c>
      <c r="L71" s="342">
        <v>-8550</v>
      </c>
      <c r="M71" s="22"/>
    </row>
    <row r="72" spans="2:13" ht="15.25" customHeight="1" x14ac:dyDescent="0.15">
      <c r="B72" s="23"/>
      <c r="C72" s="21"/>
      <c r="D72" s="21"/>
      <c r="E72" s="22"/>
      <c r="F72" s="22"/>
      <c r="I72" s="23" t="s">
        <v>286</v>
      </c>
      <c r="J72" s="21">
        <v>45397</v>
      </c>
      <c r="K72" s="21" t="s">
        <v>12</v>
      </c>
      <c r="L72" s="22">
        <v>-1000</v>
      </c>
      <c r="M72" s="22"/>
    </row>
    <row r="73" spans="2:13" ht="15.25" customHeight="1" x14ac:dyDescent="0.15">
      <c r="B73" s="23"/>
      <c r="C73" s="21"/>
      <c r="D73" s="21"/>
      <c r="E73" s="22"/>
      <c r="F73" s="22"/>
      <c r="I73" s="23" t="s">
        <v>287</v>
      </c>
      <c r="J73" s="21">
        <v>45397</v>
      </c>
      <c r="K73" s="21" t="s">
        <v>12</v>
      </c>
      <c r="L73" s="22">
        <v>-32318</v>
      </c>
      <c r="M73" s="22"/>
    </row>
    <row r="74" spans="2:13" ht="15.25" customHeight="1" x14ac:dyDescent="0.15">
      <c r="B74" s="23"/>
      <c r="C74" s="21"/>
      <c r="D74" s="21"/>
      <c r="E74" s="22"/>
      <c r="F74" s="22"/>
      <c r="I74" s="23"/>
      <c r="J74" s="21"/>
      <c r="K74" s="21"/>
      <c r="L74" s="22"/>
      <c r="M74" s="22"/>
    </row>
    <row r="75" spans="2:13" ht="15.25" customHeight="1" x14ac:dyDescent="0.15">
      <c r="B75" s="23"/>
      <c r="C75" s="21"/>
      <c r="D75" s="21"/>
      <c r="E75" s="22"/>
      <c r="F75" s="22"/>
      <c r="I75" s="23"/>
      <c r="J75" s="21"/>
      <c r="K75" s="21"/>
      <c r="L75" s="22"/>
      <c r="M75" s="22"/>
    </row>
    <row r="76" spans="2:13" ht="15.25" customHeight="1" x14ac:dyDescent="0.15">
      <c r="B76" s="28"/>
      <c r="C76" s="29"/>
      <c r="D76" s="29"/>
      <c r="E76" s="30"/>
      <c r="F76" s="30"/>
      <c r="I76" s="28"/>
      <c r="J76" s="29"/>
      <c r="K76" s="29"/>
      <c r="L76" s="30"/>
      <c r="M76" s="30"/>
    </row>
    <row r="77" spans="2:13" s="31" customFormat="1" ht="15.25" customHeight="1" x14ac:dyDescent="0.15">
      <c r="B77" s="32"/>
      <c r="C77" s="33"/>
      <c r="D77" s="34" t="s">
        <v>56</v>
      </c>
      <c r="E77" s="35">
        <f>SUBTOTAL(109,E10:E76)</f>
        <v>-111708.26</v>
      </c>
      <c r="F77" s="35">
        <f>SUBTOTAL(109,F10:F76)</f>
        <v>118295.45999999999</v>
      </c>
      <c r="I77" s="32"/>
      <c r="J77" s="33"/>
      <c r="K77" s="34" t="s">
        <v>56</v>
      </c>
      <c r="L77" s="35">
        <f>SUBTOTAL(109,L10:L76)</f>
        <v>-456288.35999999993</v>
      </c>
      <c r="M77" s="35">
        <f>SUBTOTAL(109,M10:M76)</f>
        <v>549052.62</v>
      </c>
    </row>
    <row r="78" spans="2:13" ht="15.25" customHeight="1" x14ac:dyDescent="0.15">
      <c r="E78" s="36"/>
      <c r="F78" s="36"/>
      <c r="L78" s="36"/>
      <c r="M78" s="36"/>
    </row>
    <row r="79" spans="2:13" ht="15.25" customHeight="1" x14ac:dyDescent="0.15">
      <c r="B79" s="32" t="s">
        <v>57</v>
      </c>
      <c r="E79" s="37">
        <f>E77</f>
        <v>-111708.26</v>
      </c>
      <c r="F79" s="36"/>
      <c r="I79" s="32" t="s">
        <v>57</v>
      </c>
      <c r="L79" s="37">
        <f>L77</f>
        <v>-456288.35999999993</v>
      </c>
      <c r="M79" s="36"/>
    </row>
    <row r="80" spans="2:13" ht="15.25" customHeight="1" x14ac:dyDescent="0.15">
      <c r="B80" s="32" t="s">
        <v>58</v>
      </c>
      <c r="E80" s="37"/>
      <c r="F80" s="37">
        <f>F77</f>
        <v>118295.45999999999</v>
      </c>
      <c r="I80" s="32" t="s">
        <v>58</v>
      </c>
      <c r="L80" s="37"/>
      <c r="M80" s="37">
        <f>M77</f>
        <v>549052.62</v>
      </c>
    </row>
    <row r="81" spans="2:13" ht="14" x14ac:dyDescent="0.15">
      <c r="B81" s="38" t="s">
        <v>59</v>
      </c>
      <c r="C81" s="39"/>
      <c r="D81" s="40"/>
      <c r="E81" s="41"/>
      <c r="F81" s="41">
        <f>F80+E79</f>
        <v>6587.1999999999971</v>
      </c>
      <c r="I81" s="42" t="s">
        <v>59</v>
      </c>
      <c r="J81" s="43"/>
      <c r="K81" s="44"/>
      <c r="L81" s="45"/>
      <c r="M81" s="45">
        <f>M80+L79</f>
        <v>92764.260000000068</v>
      </c>
    </row>
    <row r="82" spans="2:13" ht="14" x14ac:dyDescent="0.15">
      <c r="B82" s="32"/>
      <c r="E82" s="46"/>
      <c r="F82" s="46"/>
      <c r="I82" s="32"/>
      <c r="L82" s="46"/>
      <c r="M82" s="46"/>
    </row>
    <row r="83" spans="2:13" ht="14" x14ac:dyDescent="0.15">
      <c r="B83" s="47" t="s">
        <v>60</v>
      </c>
      <c r="C83" s="48">
        <v>45374</v>
      </c>
      <c r="D83" s="48"/>
      <c r="E83" s="49"/>
      <c r="F83" s="50">
        <f>M81</f>
        <v>92764.260000000068</v>
      </c>
      <c r="I83" s="51"/>
      <c r="J83" s="52"/>
      <c r="K83" s="52"/>
      <c r="L83" s="53"/>
      <c r="M83" s="53"/>
    </row>
    <row r="84" spans="2:13" ht="14" x14ac:dyDescent="0.15">
      <c r="B84" s="54" t="s">
        <v>61</v>
      </c>
      <c r="C84" s="2">
        <v>45382</v>
      </c>
      <c r="E84" s="46"/>
      <c r="F84" s="55">
        <f>F81</f>
        <v>6587.1999999999971</v>
      </c>
      <c r="G84" s="56"/>
      <c r="I84" s="51"/>
      <c r="L84" s="46"/>
      <c r="M84" s="53"/>
    </row>
    <row r="85" spans="2:13" ht="14" x14ac:dyDescent="0.15">
      <c r="B85" s="57"/>
      <c r="C85" s="58" t="s">
        <v>62</v>
      </c>
      <c r="D85" s="59"/>
      <c r="E85" s="60"/>
      <c r="F85" s="61">
        <f>SUM(F83:F84)</f>
        <v>99351.460000000065</v>
      </c>
      <c r="I85" s="51"/>
      <c r="J85" s="62"/>
      <c r="K85" s="63"/>
      <c r="L85" s="53"/>
      <c r="M85" s="64"/>
    </row>
    <row r="86" spans="2:13" ht="14" x14ac:dyDescent="0.15">
      <c r="B86" s="32"/>
      <c r="E86" s="65" t="s">
        <v>63</v>
      </c>
      <c r="F86" s="66">
        <f>40530.98+40000</f>
        <v>80530.98000000001</v>
      </c>
      <c r="I86" s="32"/>
      <c r="L86" s="67"/>
      <c r="M86" s="68"/>
    </row>
    <row r="87" spans="2:13" ht="16" x14ac:dyDescent="0.2">
      <c r="B87" s="32"/>
      <c r="E87" s="69" t="s">
        <v>64</v>
      </c>
      <c r="F87" s="70">
        <f>F85-F86</f>
        <v>18820.480000000054</v>
      </c>
      <c r="I87" s="32"/>
      <c r="L87" s="69"/>
      <c r="M87" s="70"/>
    </row>
    <row r="89" spans="2:13" ht="14" x14ac:dyDescent="0.15">
      <c r="B89" s="71"/>
      <c r="C89" s="72"/>
      <c r="D89" s="73" t="s">
        <v>65</v>
      </c>
      <c r="E89" s="74" t="s">
        <v>66</v>
      </c>
      <c r="F89" s="75">
        <v>0</v>
      </c>
      <c r="G89" s="76" t="s">
        <v>67</v>
      </c>
      <c r="I89" s="77"/>
    </row>
    <row r="90" spans="2:13" ht="14" x14ac:dyDescent="0.15">
      <c r="B90" s="78"/>
      <c r="C90" s="79"/>
      <c r="D90" s="73" t="s">
        <v>68</v>
      </c>
      <c r="E90" s="74" t="s">
        <v>69</v>
      </c>
      <c r="F90" s="75">
        <v>3270.9</v>
      </c>
      <c r="G90" s="76" t="s">
        <v>70</v>
      </c>
      <c r="I90"/>
      <c r="J90" s="80"/>
      <c r="K90" s="81"/>
      <c r="L90" s="2"/>
      <c r="M90" s="82"/>
    </row>
    <row r="91" spans="2:13" ht="14" x14ac:dyDescent="0.15">
      <c r="B91" s="78"/>
      <c r="C91" s="79"/>
      <c r="D91" s="73" t="s">
        <v>71</v>
      </c>
      <c r="E91" s="74" t="s">
        <v>72</v>
      </c>
      <c r="F91" s="75">
        <v>3.71</v>
      </c>
      <c r="G91" s="76" t="s">
        <v>70</v>
      </c>
      <c r="I91" s="83"/>
      <c r="J91" s="80"/>
      <c r="K91" s="81"/>
      <c r="L91" s="2"/>
      <c r="M91" s="82"/>
    </row>
    <row r="92" spans="2:13" ht="14" x14ac:dyDescent="0.15">
      <c r="B92" s="78"/>
      <c r="C92" s="79"/>
      <c r="D92" s="73" t="s">
        <v>73</v>
      </c>
      <c r="E92" s="74" t="s">
        <v>74</v>
      </c>
      <c r="F92" s="75">
        <v>2.64</v>
      </c>
      <c r="G92" s="76" t="s">
        <v>70</v>
      </c>
      <c r="I92" s="83"/>
      <c r="J92" s="80"/>
      <c r="K92" s="81"/>
      <c r="L92" s="2"/>
      <c r="M92" s="82"/>
    </row>
    <row r="93" spans="2:13" ht="14" x14ac:dyDescent="0.15">
      <c r="B93" s="84"/>
      <c r="C93" s="85"/>
      <c r="D93" s="73" t="s">
        <v>75</v>
      </c>
      <c r="E93" s="74" t="s">
        <v>76</v>
      </c>
      <c r="F93" s="75">
        <v>41.22</v>
      </c>
      <c r="G93" s="76" t="s">
        <v>70</v>
      </c>
      <c r="I93" s="86"/>
      <c r="J93" s="87"/>
      <c r="K93" s="88"/>
      <c r="L93" s="89"/>
      <c r="M93" s="82"/>
    </row>
    <row r="94" spans="2:13" ht="14" x14ac:dyDescent="0.15">
      <c r="B94" s="84"/>
      <c r="C94" s="85"/>
      <c r="D94" s="73" t="s">
        <v>77</v>
      </c>
      <c r="E94" s="74" t="s">
        <v>78</v>
      </c>
      <c r="F94" s="75">
        <v>0</v>
      </c>
      <c r="I94" s="86"/>
      <c r="J94" s="87"/>
      <c r="K94" s="88"/>
      <c r="L94" s="89"/>
      <c r="M94" s="82"/>
    </row>
    <row r="95" spans="2:13" ht="14" x14ac:dyDescent="0.15">
      <c r="B95" s="84"/>
      <c r="C95" s="85"/>
      <c r="D95" s="73" t="s">
        <v>79</v>
      </c>
      <c r="E95" s="74" t="s">
        <v>80</v>
      </c>
      <c r="F95" s="75">
        <v>0</v>
      </c>
      <c r="I95" s="86"/>
      <c r="J95" s="87"/>
      <c r="K95" s="88"/>
      <c r="L95" s="89"/>
      <c r="M95" s="82"/>
    </row>
    <row r="96" spans="2:13" ht="14" x14ac:dyDescent="0.15">
      <c r="B96" s="90"/>
      <c r="C96" s="72"/>
      <c r="D96" s="72"/>
      <c r="E96" s="91" t="s">
        <v>81</v>
      </c>
      <c r="F96" s="92">
        <f>SUM(F89:F95)</f>
        <v>3318.47</v>
      </c>
      <c r="G96" t="s">
        <v>82</v>
      </c>
    </row>
    <row r="97" spans="2:7" ht="14" x14ac:dyDescent="0.15">
      <c r="F97" s="93"/>
    </row>
    <row r="98" spans="2:7" x14ac:dyDescent="0.15">
      <c r="G98" s="94"/>
    </row>
    <row r="102" spans="2:7" ht="16" x14ac:dyDescent="0.2">
      <c r="B102" s="96"/>
      <c r="C102" s="97"/>
      <c r="D102" s="97"/>
      <c r="E102" s="98"/>
      <c r="F102" s="99"/>
    </row>
    <row r="103" spans="2:7" ht="16" x14ac:dyDescent="0.2">
      <c r="B103" s="100"/>
      <c r="C103" s="97"/>
      <c r="D103" s="97"/>
      <c r="E103" s="98"/>
      <c r="F103" s="99"/>
    </row>
    <row r="104" spans="2:7" ht="16" x14ac:dyDescent="0.2">
      <c r="B104" s="100"/>
      <c r="C104" s="97"/>
      <c r="D104" s="97"/>
      <c r="E104" s="98"/>
      <c r="F104" s="101"/>
    </row>
    <row r="105" spans="2:7" ht="16" x14ac:dyDescent="0.2">
      <c r="B105" s="100"/>
      <c r="C105" s="97"/>
      <c r="D105" s="97"/>
      <c r="E105" s="102"/>
      <c r="F105" s="99"/>
    </row>
    <row r="106" spans="2:7" ht="16" x14ac:dyDescent="0.2">
      <c r="B106" s="100"/>
      <c r="C106" s="97"/>
      <c r="D106" s="97"/>
      <c r="E106" s="103"/>
      <c r="F106" s="99"/>
    </row>
  </sheetData>
  <autoFilter ref="B9:F77" xr:uid="{00000000-0009-0000-0000-000000000000}"/>
  <mergeCells count="2">
    <mergeCell ref="A1:E1"/>
    <mergeCell ref="H1:L1"/>
  </mergeCells>
  <pageMargins left="0.78749999999999998" right="0.78749999999999998" top="1.05277777777778" bottom="1.05277777777778" header="0.78749999999999998" footer="0.78749999999999998"/>
  <pageSetup scale="35" orientation="portrait" horizontalDpi="300" verticalDpi="300" r:id="rId1"/>
  <headerFooter>
    <oddHeader>&amp;C&amp;"Times New Roman,Regular"&amp;12&amp;A</oddHeader>
    <oddFooter>&amp;C&amp;"Times New Roman,Regular"&amp;12Page &amp;P</oddFooter>
  </headerFooter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17"/>
  <sheetViews>
    <sheetView topLeftCell="A70" zoomScaleNormal="100" workbookViewId="0">
      <selection activeCell="D17" sqref="D17"/>
    </sheetView>
  </sheetViews>
  <sheetFormatPr baseColWidth="10" defaultColWidth="12.6640625" defaultRowHeight="13" x14ac:dyDescent="0.15"/>
  <cols>
    <col min="1" max="1" width="4.5" customWidth="1"/>
    <col min="2" max="2" width="43.83203125" style="1" customWidth="1"/>
    <col min="3" max="3" width="14.33203125" style="2" customWidth="1"/>
    <col min="4" max="4" width="15.5" style="3" customWidth="1"/>
    <col min="5" max="5" width="4.5" customWidth="1"/>
    <col min="1014" max="1024" width="11.5" customWidth="1"/>
  </cols>
  <sheetData>
    <row r="1" spans="1:1024" ht="54.5" customHeight="1" x14ac:dyDescent="0.15">
      <c r="A1" s="370"/>
      <c r="B1" s="370"/>
      <c r="C1" s="370"/>
      <c r="D1" s="370"/>
    </row>
    <row r="3" spans="1:1024" ht="18.75" customHeight="1" x14ac:dyDescent="0.2">
      <c r="A3" s="5" t="s">
        <v>0</v>
      </c>
      <c r="B3"/>
    </row>
    <row r="4" spans="1:1024" x14ac:dyDescent="0.15">
      <c r="A4" s="1" t="s">
        <v>1</v>
      </c>
      <c r="B4"/>
    </row>
    <row r="6" spans="1:1024" x14ac:dyDescent="0.15">
      <c r="B6" s="6"/>
      <c r="E6" s="7" t="s">
        <v>3</v>
      </c>
    </row>
    <row r="7" spans="1:1024" s="8" customFormat="1" ht="17.25" customHeight="1" x14ac:dyDescent="0.15">
      <c r="B7" s="104" t="s">
        <v>83</v>
      </c>
      <c r="C7" s="105"/>
      <c r="D7" s="106"/>
      <c r="ALZ7"/>
      <c r="AMA7"/>
      <c r="AMB7"/>
      <c r="AMC7"/>
      <c r="AMD7"/>
      <c r="AME7"/>
      <c r="AMF7"/>
      <c r="AMG7"/>
      <c r="AMH7"/>
      <c r="AMI7"/>
      <c r="AMJ7"/>
    </row>
    <row r="9" spans="1:1024" ht="15.25" customHeight="1" x14ac:dyDescent="0.15">
      <c r="B9" s="15" t="s">
        <v>84</v>
      </c>
      <c r="C9" s="107" t="s">
        <v>6</v>
      </c>
      <c r="D9" s="108" t="s">
        <v>85</v>
      </c>
    </row>
    <row r="10" spans="1:1024" ht="15.25" customHeight="1" x14ac:dyDescent="0.15">
      <c r="B10" s="23" t="s">
        <v>86</v>
      </c>
      <c r="C10" s="19">
        <v>45296</v>
      </c>
      <c r="D10" s="109">
        <v>1500</v>
      </c>
    </row>
    <row r="11" spans="1:1024" ht="15.25" customHeight="1" x14ac:dyDescent="0.15">
      <c r="B11" s="23" t="s">
        <v>15</v>
      </c>
      <c r="C11" s="21">
        <v>45303</v>
      </c>
      <c r="D11" s="110">
        <v>3600</v>
      </c>
    </row>
    <row r="12" spans="1:1024" ht="15.25" customHeight="1" x14ac:dyDescent="0.15">
      <c r="B12" s="23" t="s">
        <v>51</v>
      </c>
      <c r="C12" s="21">
        <v>45359</v>
      </c>
      <c r="D12" s="110">
        <v>3600</v>
      </c>
    </row>
    <row r="13" spans="1:1024" ht="15.25" customHeight="1" x14ac:dyDescent="0.15">
      <c r="B13" s="23" t="s">
        <v>55</v>
      </c>
      <c r="C13" s="21">
        <v>45367</v>
      </c>
      <c r="D13" s="110">
        <v>3600</v>
      </c>
    </row>
    <row r="14" spans="1:1024" ht="15.25" customHeight="1" x14ac:dyDescent="0.15">
      <c r="B14" s="23" t="s">
        <v>270</v>
      </c>
      <c r="C14" s="21">
        <v>45385</v>
      </c>
      <c r="D14" s="110">
        <v>3600</v>
      </c>
    </row>
    <row r="15" spans="1:1024" ht="15.25" customHeight="1" x14ac:dyDescent="0.15">
      <c r="B15" s="23" t="s">
        <v>281</v>
      </c>
      <c r="C15" s="21">
        <v>45387</v>
      </c>
      <c r="D15" s="110">
        <v>1000</v>
      </c>
    </row>
    <row r="16" spans="1:1024" ht="15.25" customHeight="1" x14ac:dyDescent="0.15">
      <c r="B16" s="23" t="s">
        <v>86</v>
      </c>
      <c r="C16" s="21">
        <v>45394</v>
      </c>
      <c r="D16" s="110">
        <v>1000</v>
      </c>
    </row>
    <row r="17" spans="2:4" ht="15.25" customHeight="1" x14ac:dyDescent="0.15">
      <c r="B17" s="23" t="s">
        <v>86</v>
      </c>
      <c r="C17" s="21">
        <v>45397</v>
      </c>
      <c r="D17" s="110">
        <v>1000</v>
      </c>
    </row>
    <row r="18" spans="2:4" ht="15.25" customHeight="1" x14ac:dyDescent="0.15">
      <c r="B18" s="111" t="s">
        <v>87</v>
      </c>
      <c r="C18" s="107"/>
      <c r="D18" s="112">
        <f>SUM(D10:D17)</f>
        <v>18900</v>
      </c>
    </row>
    <row r="19" spans="2:4" ht="15.25" customHeight="1" x14ac:dyDescent="0.15">
      <c r="B19" s="113"/>
    </row>
    <row r="20" spans="2:4" ht="15.25" customHeight="1" x14ac:dyDescent="0.15">
      <c r="B20" s="15" t="s">
        <v>88</v>
      </c>
      <c r="C20" s="107" t="s">
        <v>6</v>
      </c>
      <c r="D20" s="108" t="s">
        <v>85</v>
      </c>
    </row>
    <row r="21" spans="2:4" ht="15.25" customHeight="1" x14ac:dyDescent="0.15">
      <c r="B21" s="114" t="s">
        <v>89</v>
      </c>
      <c r="C21" s="19">
        <v>45296</v>
      </c>
      <c r="D21" s="109">
        <v>523.82000000000005</v>
      </c>
    </row>
    <row r="22" spans="2:4" ht="15.25" customHeight="1" x14ac:dyDescent="0.15">
      <c r="B22" s="18" t="s">
        <v>90</v>
      </c>
      <c r="C22" s="21">
        <v>45331</v>
      </c>
      <c r="D22" s="110">
        <v>710.7</v>
      </c>
    </row>
    <row r="23" spans="2:4" ht="15.25" customHeight="1" x14ac:dyDescent="0.15">
      <c r="B23" s="23" t="s">
        <v>91</v>
      </c>
      <c r="C23" s="21">
        <v>45359</v>
      </c>
      <c r="D23" s="110">
        <v>912.52</v>
      </c>
    </row>
    <row r="24" spans="2:4" ht="15.25" customHeight="1" x14ac:dyDescent="0.15">
      <c r="B24" s="23" t="s">
        <v>269</v>
      </c>
      <c r="C24" s="21">
        <v>45385</v>
      </c>
      <c r="D24" s="110">
        <v>1428.3</v>
      </c>
    </row>
    <row r="25" spans="2:4" ht="15.25" customHeight="1" x14ac:dyDescent="0.15">
      <c r="B25" s="111" t="s">
        <v>87</v>
      </c>
      <c r="C25" s="107"/>
      <c r="D25" s="112">
        <f>SUM(D21:D24)</f>
        <v>3575.34</v>
      </c>
    </row>
    <row r="26" spans="2:4" ht="15.25" customHeight="1" x14ac:dyDescent="0.15">
      <c r="B26" s="113"/>
    </row>
    <row r="27" spans="2:4" ht="15.25" customHeight="1" x14ac:dyDescent="0.15">
      <c r="B27" s="15" t="s">
        <v>265</v>
      </c>
      <c r="C27" s="107" t="s">
        <v>6</v>
      </c>
      <c r="D27" s="108" t="s">
        <v>85</v>
      </c>
    </row>
    <row r="28" spans="2:4" ht="15.25" customHeight="1" x14ac:dyDescent="0.15">
      <c r="B28" s="18" t="s">
        <v>18</v>
      </c>
      <c r="C28" s="21">
        <v>45296</v>
      </c>
      <c r="D28" s="110">
        <v>2.25</v>
      </c>
    </row>
    <row r="29" spans="2:4" ht="15.25" customHeight="1" x14ac:dyDescent="0.15">
      <c r="B29" s="18" t="s">
        <v>18</v>
      </c>
      <c r="C29" s="21">
        <v>45302</v>
      </c>
      <c r="D29" s="110">
        <v>3.21</v>
      </c>
    </row>
    <row r="30" spans="2:4" ht="15.25" customHeight="1" x14ac:dyDescent="0.15">
      <c r="B30" s="18" t="s">
        <v>18</v>
      </c>
      <c r="C30" s="21">
        <v>45310</v>
      </c>
      <c r="D30" s="110">
        <v>9.81</v>
      </c>
    </row>
    <row r="31" spans="2:4" ht="15.25" customHeight="1" x14ac:dyDescent="0.15">
      <c r="B31" s="115" t="s">
        <v>26</v>
      </c>
      <c r="C31" s="21">
        <v>45322</v>
      </c>
      <c r="D31" s="116">
        <v>-60.02</v>
      </c>
    </row>
    <row r="32" spans="2:4" ht="15.25" customHeight="1" x14ac:dyDescent="0.15">
      <c r="B32" s="115" t="s">
        <v>28</v>
      </c>
      <c r="C32" s="21">
        <v>45322</v>
      </c>
      <c r="D32" s="116">
        <v>6</v>
      </c>
    </row>
    <row r="33" spans="2:4" ht="15.25" customHeight="1" x14ac:dyDescent="0.15">
      <c r="B33" s="115" t="s">
        <v>18</v>
      </c>
      <c r="C33" s="21">
        <v>45343</v>
      </c>
      <c r="D33" s="116">
        <v>190.42</v>
      </c>
    </row>
    <row r="34" spans="2:4" ht="15.25" customHeight="1" x14ac:dyDescent="0.15">
      <c r="B34" s="115" t="s">
        <v>18</v>
      </c>
      <c r="C34" s="21">
        <v>45343</v>
      </c>
      <c r="D34" s="116">
        <v>123.88</v>
      </c>
    </row>
    <row r="35" spans="2:4" ht="15.25" customHeight="1" x14ac:dyDescent="0.15">
      <c r="B35" s="115" t="s">
        <v>26</v>
      </c>
      <c r="C35" s="21">
        <v>45351</v>
      </c>
      <c r="D35" s="116">
        <v>-63.95</v>
      </c>
    </row>
    <row r="36" spans="2:4" ht="15.25" customHeight="1" x14ac:dyDescent="0.15">
      <c r="B36" s="115" t="s">
        <v>28</v>
      </c>
      <c r="C36" s="21">
        <v>45351</v>
      </c>
      <c r="D36" s="116">
        <v>6.4</v>
      </c>
    </row>
    <row r="37" spans="2:4" ht="15.25" customHeight="1" x14ac:dyDescent="0.15">
      <c r="B37" s="115" t="s">
        <v>18</v>
      </c>
      <c r="C37" s="21">
        <v>45359</v>
      </c>
      <c r="D37" s="116">
        <v>5.4</v>
      </c>
    </row>
    <row r="38" spans="2:4" ht="15.25" customHeight="1" x14ac:dyDescent="0.15">
      <c r="B38" s="115" t="s">
        <v>18</v>
      </c>
      <c r="C38" s="21">
        <v>45363</v>
      </c>
      <c r="D38" s="116">
        <v>19.89</v>
      </c>
    </row>
    <row r="39" spans="2:4" ht="15.25" customHeight="1" x14ac:dyDescent="0.15">
      <c r="B39" s="115" t="s">
        <v>18</v>
      </c>
      <c r="C39" s="21">
        <v>45367</v>
      </c>
      <c r="D39" s="116">
        <v>63.47</v>
      </c>
    </row>
    <row r="40" spans="2:4" ht="15.25" customHeight="1" x14ac:dyDescent="0.15">
      <c r="B40" s="115" t="s">
        <v>18</v>
      </c>
      <c r="C40" s="21">
        <v>45367</v>
      </c>
      <c r="D40" s="116">
        <v>41.29</v>
      </c>
    </row>
    <row r="41" spans="2:4" ht="15.25" customHeight="1" x14ac:dyDescent="0.15">
      <c r="B41" s="115" t="s">
        <v>18</v>
      </c>
      <c r="C41" s="21">
        <v>45367</v>
      </c>
      <c r="D41" s="116">
        <v>5.4</v>
      </c>
    </row>
    <row r="42" spans="2:4" ht="15.25" customHeight="1" x14ac:dyDescent="0.15">
      <c r="B42" s="115" t="s">
        <v>18</v>
      </c>
      <c r="C42" s="21">
        <v>45372</v>
      </c>
      <c r="D42" s="116">
        <v>10.5</v>
      </c>
    </row>
    <row r="43" spans="2:4" ht="15.25" customHeight="1" x14ac:dyDescent="0.15">
      <c r="B43" s="23" t="s">
        <v>263</v>
      </c>
      <c r="C43" s="21">
        <v>45384</v>
      </c>
      <c r="D43" s="116">
        <v>65</v>
      </c>
    </row>
    <row r="44" spans="2:4" ht="15.25" customHeight="1" x14ac:dyDescent="0.15">
      <c r="B44" s="23" t="s">
        <v>18</v>
      </c>
      <c r="C44" s="21">
        <v>45385</v>
      </c>
      <c r="D44" s="116">
        <v>314.11</v>
      </c>
    </row>
    <row r="45" spans="2:4" ht="15.25" customHeight="1" x14ac:dyDescent="0.15">
      <c r="B45" s="23" t="s">
        <v>18</v>
      </c>
      <c r="C45" s="21">
        <v>45387</v>
      </c>
      <c r="D45" s="116">
        <v>103.37</v>
      </c>
    </row>
    <row r="46" spans="2:4" ht="15.25" customHeight="1" x14ac:dyDescent="0.15">
      <c r="B46" s="23" t="s">
        <v>18</v>
      </c>
      <c r="C46" s="21">
        <v>45394</v>
      </c>
      <c r="D46" s="116">
        <v>1.5</v>
      </c>
    </row>
    <row r="47" spans="2:4" ht="15.25" customHeight="1" x14ac:dyDescent="0.15">
      <c r="B47" s="111" t="s">
        <v>87</v>
      </c>
      <c r="C47" s="107"/>
      <c r="D47" s="112">
        <f>SUM(D28:D46)</f>
        <v>847.93</v>
      </c>
    </row>
    <row r="48" spans="2:4" ht="15.25" customHeight="1" x14ac:dyDescent="0.15">
      <c r="B48" s="113"/>
    </row>
    <row r="49" spans="2:4" ht="15.25" customHeight="1" x14ac:dyDescent="0.15">
      <c r="B49" s="15" t="s">
        <v>92</v>
      </c>
      <c r="C49" s="107" t="s">
        <v>6</v>
      </c>
      <c r="D49" s="108" t="s">
        <v>85</v>
      </c>
    </row>
    <row r="50" spans="2:4" ht="15.25" customHeight="1" x14ac:dyDescent="0.15">
      <c r="B50" s="114" t="s">
        <v>17</v>
      </c>
      <c r="C50" s="19">
        <v>45303</v>
      </c>
      <c r="D50" s="109">
        <v>100</v>
      </c>
    </row>
    <row r="51" spans="2:4" ht="15.25" customHeight="1" x14ac:dyDescent="0.15">
      <c r="B51" s="18" t="s">
        <v>20</v>
      </c>
      <c r="C51" s="21">
        <v>45302</v>
      </c>
      <c r="D51" s="110">
        <v>2140</v>
      </c>
    </row>
    <row r="52" spans="2:4" ht="15.25" customHeight="1" x14ac:dyDescent="0.15">
      <c r="B52" s="23" t="s">
        <v>33</v>
      </c>
      <c r="C52" s="21">
        <v>45337</v>
      </c>
      <c r="D52" s="110">
        <v>14000</v>
      </c>
    </row>
    <row r="53" spans="2:4" ht="28" x14ac:dyDescent="0.15">
      <c r="B53" s="27" t="s">
        <v>93</v>
      </c>
      <c r="C53" s="21">
        <v>45372</v>
      </c>
      <c r="D53" s="110">
        <v>1000</v>
      </c>
    </row>
    <row r="54" spans="2:4" x14ac:dyDescent="0.15">
      <c r="B54" s="23" t="s">
        <v>258</v>
      </c>
      <c r="C54" s="21">
        <v>45371</v>
      </c>
      <c r="D54" s="110">
        <v>500</v>
      </c>
    </row>
    <row r="55" spans="2:4" x14ac:dyDescent="0.15">
      <c r="B55" s="23" t="s">
        <v>261</v>
      </c>
      <c r="C55" s="21">
        <v>45377</v>
      </c>
      <c r="D55" s="110">
        <v>3000</v>
      </c>
    </row>
    <row r="56" spans="2:4" x14ac:dyDescent="0.15">
      <c r="B56" s="23" t="s">
        <v>283</v>
      </c>
      <c r="C56" s="21">
        <v>45387</v>
      </c>
      <c r="D56" s="110">
        <v>2265</v>
      </c>
    </row>
    <row r="57" spans="2:4" ht="14" x14ac:dyDescent="0.15">
      <c r="B57" s="27" t="s">
        <v>285</v>
      </c>
      <c r="C57" s="21">
        <v>45394</v>
      </c>
      <c r="D57" s="110">
        <v>8550</v>
      </c>
    </row>
    <row r="58" spans="2:4" ht="15.25" customHeight="1" x14ac:dyDescent="0.15">
      <c r="B58" s="111" t="s">
        <v>87</v>
      </c>
      <c r="C58" s="107"/>
      <c r="D58" s="112">
        <f>SUM(D50:D57)</f>
        <v>31555</v>
      </c>
    </row>
    <row r="59" spans="2:4" ht="15.25" hidden="1" customHeight="1" x14ac:dyDescent="0.15">
      <c r="B59" s="113"/>
    </row>
    <row r="60" spans="2:4" ht="15.25" hidden="1" customHeight="1" x14ac:dyDescent="0.15">
      <c r="B60" s="15" t="s">
        <v>94</v>
      </c>
      <c r="C60" s="107" t="s">
        <v>6</v>
      </c>
      <c r="D60" s="108" t="s">
        <v>85</v>
      </c>
    </row>
    <row r="61" spans="2:4" ht="15.25" hidden="1" customHeight="1" x14ac:dyDescent="0.15">
      <c r="B61" s="114" t="s">
        <v>95</v>
      </c>
      <c r="C61" s="19"/>
      <c r="D61" s="109"/>
    </row>
    <row r="62" spans="2:4" ht="15.25" hidden="1" customHeight="1" x14ac:dyDescent="0.15">
      <c r="B62" s="111" t="s">
        <v>87</v>
      </c>
      <c r="C62" s="107"/>
      <c r="D62" s="112">
        <f>SUM(D61)</f>
        <v>0</v>
      </c>
    </row>
    <row r="63" spans="2:4" ht="15.25" customHeight="1" x14ac:dyDescent="0.15">
      <c r="B63" s="113"/>
    </row>
    <row r="64" spans="2:4" ht="15.25" customHeight="1" x14ac:dyDescent="0.15">
      <c r="B64" s="15" t="s">
        <v>96</v>
      </c>
      <c r="C64" s="107" t="s">
        <v>6</v>
      </c>
      <c r="D64" s="108" t="s">
        <v>85</v>
      </c>
    </row>
    <row r="65" spans="2:4" ht="15.25" customHeight="1" x14ac:dyDescent="0.15">
      <c r="B65" s="114" t="s">
        <v>21</v>
      </c>
      <c r="C65" s="19">
        <v>45322</v>
      </c>
      <c r="D65" s="109">
        <v>1000</v>
      </c>
    </row>
    <row r="66" spans="2:4" ht="15.25" customHeight="1" x14ac:dyDescent="0.15">
      <c r="B66" s="18" t="s">
        <v>43</v>
      </c>
      <c r="C66" s="21">
        <v>45351</v>
      </c>
      <c r="D66" s="110">
        <v>1000</v>
      </c>
    </row>
    <row r="67" spans="2:4" ht="15.25" customHeight="1" x14ac:dyDescent="0.15">
      <c r="B67" s="23" t="s">
        <v>49</v>
      </c>
      <c r="C67" s="21">
        <v>45373</v>
      </c>
      <c r="D67" s="110">
        <v>1000</v>
      </c>
    </row>
    <row r="68" spans="2:4" ht="15.25" customHeight="1" x14ac:dyDescent="0.15">
      <c r="B68" s="111" t="s">
        <v>87</v>
      </c>
      <c r="C68" s="107"/>
      <c r="D68" s="112">
        <f>SUM(D65:D67)</f>
        <v>3000</v>
      </c>
    </row>
    <row r="69" spans="2:4" ht="15.25" customHeight="1" x14ac:dyDescent="0.15">
      <c r="B69" s="113"/>
    </row>
    <row r="70" spans="2:4" ht="15.25" customHeight="1" x14ac:dyDescent="0.15">
      <c r="B70" s="15" t="s">
        <v>97</v>
      </c>
      <c r="C70" s="107" t="s">
        <v>6</v>
      </c>
      <c r="D70" s="108" t="s">
        <v>85</v>
      </c>
    </row>
    <row r="71" spans="2:4" ht="15.25" customHeight="1" x14ac:dyDescent="0.15">
      <c r="B71" s="114" t="s">
        <v>13</v>
      </c>
      <c r="C71" s="19">
        <v>45293</v>
      </c>
      <c r="D71" s="109">
        <v>15000</v>
      </c>
    </row>
    <row r="72" spans="2:4" ht="15.25" customHeight="1" x14ac:dyDescent="0.15">
      <c r="B72" s="18" t="s">
        <v>22</v>
      </c>
      <c r="C72" s="21">
        <v>45323</v>
      </c>
      <c r="D72" s="110">
        <v>15000</v>
      </c>
    </row>
    <row r="73" spans="2:4" ht="15.25" customHeight="1" x14ac:dyDescent="0.15">
      <c r="B73" s="18" t="s">
        <v>45</v>
      </c>
      <c r="C73" s="21">
        <v>45352</v>
      </c>
      <c r="D73" s="110">
        <v>15000</v>
      </c>
    </row>
    <row r="74" spans="2:4" ht="15.25" customHeight="1" x14ac:dyDescent="0.15">
      <c r="B74" s="18" t="s">
        <v>268</v>
      </c>
      <c r="C74" s="21">
        <v>45019</v>
      </c>
      <c r="D74" s="110">
        <v>15000</v>
      </c>
    </row>
    <row r="75" spans="2:4" ht="15.25" customHeight="1" x14ac:dyDescent="0.15">
      <c r="B75" s="111" t="s">
        <v>87</v>
      </c>
      <c r="C75" s="107"/>
      <c r="D75" s="112">
        <f>SUM(D71:D74)</f>
        <v>60000</v>
      </c>
    </row>
    <row r="76" spans="2:4" ht="15.25" customHeight="1" x14ac:dyDescent="0.15"/>
    <row r="77" spans="2:4" ht="15.25" customHeight="1" x14ac:dyDescent="0.15">
      <c r="B77" s="15" t="s">
        <v>98</v>
      </c>
      <c r="C77" s="107" t="s">
        <v>6</v>
      </c>
      <c r="D77" s="108" t="s">
        <v>85</v>
      </c>
    </row>
    <row r="78" spans="2:4" ht="15.25" customHeight="1" x14ac:dyDescent="0.15">
      <c r="B78" s="114" t="s">
        <v>25</v>
      </c>
      <c r="C78" s="19">
        <v>45331</v>
      </c>
      <c r="D78" s="109">
        <v>2500</v>
      </c>
    </row>
    <row r="79" spans="2:4" ht="15.25" customHeight="1" x14ac:dyDescent="0.15">
      <c r="B79" s="23" t="s">
        <v>257</v>
      </c>
      <c r="C79" s="21">
        <v>45371</v>
      </c>
      <c r="D79" s="109">
        <v>2500</v>
      </c>
    </row>
    <row r="80" spans="2:4" ht="15.25" customHeight="1" x14ac:dyDescent="0.15">
      <c r="B80" s="23" t="s">
        <v>260</v>
      </c>
      <c r="C80" s="21">
        <v>45377</v>
      </c>
      <c r="D80" s="109">
        <v>2500</v>
      </c>
    </row>
    <row r="81" spans="2:4" ht="15.25" customHeight="1" x14ac:dyDescent="0.15">
      <c r="B81" s="111" t="s">
        <v>87</v>
      </c>
      <c r="C81" s="107"/>
      <c r="D81" s="112">
        <f>SUM(D78:D78)</f>
        <v>2500</v>
      </c>
    </row>
    <row r="82" spans="2:4" ht="15.25" hidden="1" customHeight="1" x14ac:dyDescent="0.15"/>
    <row r="83" spans="2:4" ht="15.25" hidden="1" customHeight="1" x14ac:dyDescent="0.15">
      <c r="B83" s="15" t="s">
        <v>99</v>
      </c>
      <c r="C83" s="107" t="s">
        <v>6</v>
      </c>
      <c r="D83" s="108" t="s">
        <v>85</v>
      </c>
    </row>
    <row r="84" spans="2:4" ht="15.25" hidden="1" customHeight="1" x14ac:dyDescent="0.15">
      <c r="B84" s="117"/>
      <c r="C84" s="19"/>
      <c r="D84" s="118"/>
    </row>
    <row r="85" spans="2:4" ht="15.25" hidden="1" customHeight="1" x14ac:dyDescent="0.15">
      <c r="B85" s="111" t="s">
        <v>87</v>
      </c>
      <c r="C85" s="119"/>
      <c r="D85" s="112">
        <f>SUM(D84:D84)</f>
        <v>0</v>
      </c>
    </row>
    <row r="86" spans="2:4" ht="15.25" customHeight="1" x14ac:dyDescent="0.15"/>
    <row r="87" spans="2:4" ht="15.25" customHeight="1" x14ac:dyDescent="0.15">
      <c r="B87" s="15" t="s">
        <v>100</v>
      </c>
      <c r="C87" s="107" t="s">
        <v>6</v>
      </c>
      <c r="D87" s="108" t="s">
        <v>85</v>
      </c>
    </row>
    <row r="88" spans="2:4" ht="15.25" customHeight="1" x14ac:dyDescent="0.15">
      <c r="B88" s="120" t="s">
        <v>23</v>
      </c>
      <c r="C88" s="121">
        <v>45310</v>
      </c>
      <c r="D88" s="122">
        <v>6538.23</v>
      </c>
    </row>
    <row r="89" spans="2:4" ht="15.25" customHeight="1" x14ac:dyDescent="0.15">
      <c r="B89" s="23" t="s">
        <v>101</v>
      </c>
      <c r="C89" s="123">
        <v>45343</v>
      </c>
      <c r="D89" s="110">
        <v>126944.4</v>
      </c>
    </row>
    <row r="90" spans="2:4" ht="15.25" customHeight="1" x14ac:dyDescent="0.15">
      <c r="B90" s="23" t="s">
        <v>102</v>
      </c>
      <c r="C90" s="123">
        <v>45367</v>
      </c>
      <c r="D90" s="110">
        <v>42314.8</v>
      </c>
    </row>
    <row r="91" spans="2:4" ht="15.25" customHeight="1" x14ac:dyDescent="0.15">
      <c r="B91" s="23" t="s">
        <v>266</v>
      </c>
      <c r="C91" s="21">
        <v>45384</v>
      </c>
      <c r="D91" s="110">
        <v>42314.8</v>
      </c>
    </row>
    <row r="92" spans="2:4" ht="15.25" customHeight="1" x14ac:dyDescent="0.15">
      <c r="B92" s="23" t="s">
        <v>267</v>
      </c>
      <c r="C92" s="21">
        <v>45384</v>
      </c>
      <c r="D92" s="110">
        <v>23000</v>
      </c>
    </row>
    <row r="93" spans="2:4" ht="15.25" customHeight="1" x14ac:dyDescent="0.15">
      <c r="B93" s="28"/>
      <c r="C93" s="29"/>
      <c r="D93" s="112">
        <f>SUM(D88:D92)</f>
        <v>241112.22999999998</v>
      </c>
    </row>
    <row r="94" spans="2:4" ht="15.25" customHeight="1" x14ac:dyDescent="0.15">
      <c r="B94" s="23"/>
    </row>
    <row r="95" spans="2:4" ht="15.25" customHeight="1" x14ac:dyDescent="0.15">
      <c r="B95" s="15" t="s">
        <v>103</v>
      </c>
      <c r="C95" s="107" t="s">
        <v>6</v>
      </c>
      <c r="D95" s="108" t="s">
        <v>85</v>
      </c>
    </row>
    <row r="96" spans="2:4" ht="15.25" customHeight="1" x14ac:dyDescent="0.15">
      <c r="B96" s="120" t="s">
        <v>104</v>
      </c>
      <c r="C96" s="121">
        <v>45343</v>
      </c>
      <c r="D96" s="122">
        <v>82584</v>
      </c>
    </row>
    <row r="97" spans="2:4" ht="30" x14ac:dyDescent="0.15">
      <c r="B97" s="27" t="s">
        <v>52</v>
      </c>
      <c r="C97" s="123">
        <v>45363</v>
      </c>
      <c r="D97" s="110">
        <v>13261</v>
      </c>
    </row>
    <row r="98" spans="2:4" ht="15.25" customHeight="1" x14ac:dyDescent="0.15">
      <c r="B98" s="23" t="s">
        <v>105</v>
      </c>
      <c r="C98" s="123">
        <v>45367</v>
      </c>
      <c r="D98" s="110">
        <v>27528</v>
      </c>
    </row>
    <row r="99" spans="2:4" ht="28" x14ac:dyDescent="0.15">
      <c r="B99" s="27" t="s">
        <v>106</v>
      </c>
      <c r="C99" s="124">
        <v>45372</v>
      </c>
      <c r="D99" s="110">
        <v>6000</v>
      </c>
    </row>
    <row r="100" spans="2:4" x14ac:dyDescent="0.15">
      <c r="B100" s="1" t="s">
        <v>259</v>
      </c>
      <c r="C100" s="124">
        <v>45376</v>
      </c>
      <c r="D100" s="110">
        <v>14000</v>
      </c>
    </row>
    <row r="101" spans="2:4" x14ac:dyDescent="0.15">
      <c r="C101" s="124"/>
      <c r="D101" s="110"/>
    </row>
    <row r="102" spans="2:4" ht="15.25" customHeight="1" x14ac:dyDescent="0.15">
      <c r="B102" s="111" t="s">
        <v>87</v>
      </c>
      <c r="C102" s="107"/>
      <c r="D102" s="112">
        <f>SUM(D96:D100)</f>
        <v>143373</v>
      </c>
    </row>
    <row r="103" spans="2:4" ht="15.25" customHeight="1" x14ac:dyDescent="0.15"/>
    <row r="104" spans="2:4" ht="15.25" customHeight="1" x14ac:dyDescent="0.15">
      <c r="B104" s="15" t="s">
        <v>107</v>
      </c>
      <c r="C104" s="107" t="s">
        <v>6</v>
      </c>
      <c r="D104" s="108" t="s">
        <v>85</v>
      </c>
    </row>
    <row r="105" spans="2:4" ht="15.25" customHeight="1" x14ac:dyDescent="0.15">
      <c r="B105" s="120" t="s">
        <v>108</v>
      </c>
      <c r="C105" s="121">
        <v>45310</v>
      </c>
      <c r="D105" s="122">
        <v>200</v>
      </c>
    </row>
    <row r="106" spans="2:4" ht="15.25" customHeight="1" x14ac:dyDescent="0.15">
      <c r="B106" s="23" t="s">
        <v>109</v>
      </c>
      <c r="C106" s="123">
        <v>45342</v>
      </c>
      <c r="D106" s="110">
        <v>200</v>
      </c>
    </row>
    <row r="107" spans="2:4" ht="15.25" customHeight="1" x14ac:dyDescent="0.15">
      <c r="B107" s="111" t="s">
        <v>87</v>
      </c>
      <c r="C107" s="107"/>
      <c r="D107" s="112">
        <f>SUM(D105:D106)</f>
        <v>400</v>
      </c>
    </row>
    <row r="108" spans="2:4" ht="15.25" customHeight="1" x14ac:dyDescent="0.15">
      <c r="B108" s="125"/>
      <c r="C108" s="126"/>
      <c r="D108" s="127"/>
    </row>
    <row r="109" spans="2:4" ht="15.25" customHeight="1" x14ac:dyDescent="0.2">
      <c r="B109" s="128" t="s">
        <v>24</v>
      </c>
      <c r="C109" s="129">
        <v>45330</v>
      </c>
      <c r="D109" s="130">
        <v>4000</v>
      </c>
    </row>
    <row r="110" spans="2:4" ht="15.25" customHeight="1" x14ac:dyDescent="0.2">
      <c r="B110" s="128" t="s">
        <v>110</v>
      </c>
      <c r="C110" s="129">
        <v>45342</v>
      </c>
      <c r="D110" s="130">
        <v>1000</v>
      </c>
    </row>
    <row r="111" spans="2:4" ht="15.25" customHeight="1" x14ac:dyDescent="0.2">
      <c r="B111" s="131" t="s">
        <v>87</v>
      </c>
      <c r="C111" s="132"/>
      <c r="D111" s="133">
        <f>SUM(D109:D110)</f>
        <v>5000</v>
      </c>
    </row>
    <row r="112" spans="2:4" ht="15.25" customHeight="1" x14ac:dyDescent="0.15">
      <c r="B112" s="125"/>
      <c r="C112" s="126"/>
      <c r="D112" s="134"/>
    </row>
    <row r="113" spans="2:4" ht="15.25" customHeight="1" x14ac:dyDescent="0.15">
      <c r="B113" s="135" t="s">
        <v>111</v>
      </c>
      <c r="D113" s="136">
        <f>D18+D25+D47+D58+D62+D68+D75+D81+D85+D85+D93+D102+D107</f>
        <v>505263.5</v>
      </c>
    </row>
    <row r="115" spans="2:4" ht="15.25" customHeight="1" x14ac:dyDescent="0.15">
      <c r="B115" s="135" t="s">
        <v>112</v>
      </c>
      <c r="D115" s="136">
        <f>D111</f>
        <v>5000</v>
      </c>
    </row>
    <row r="117" spans="2:4" ht="14" x14ac:dyDescent="0.15">
      <c r="B117" s="135"/>
      <c r="D117" s="46"/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rowBreaks count="2" manualBreakCount="2">
    <brk id="47" max="16383" man="1"/>
    <brk id="102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topLeftCell="A22" zoomScale="90" zoomScaleNormal="90" workbookViewId="0">
      <selection activeCell="L32" sqref="L32"/>
    </sheetView>
  </sheetViews>
  <sheetFormatPr baseColWidth="10" defaultColWidth="12.6640625" defaultRowHeight="13" x14ac:dyDescent="0.15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 x14ac:dyDescent="0.15">
      <c r="A1" s="4"/>
      <c r="B1" s="138"/>
      <c r="C1" s="138"/>
      <c r="D1" s="138"/>
      <c r="E1" s="138"/>
      <c r="F1" s="4"/>
      <c r="G1" s="4"/>
    </row>
    <row r="3" spans="1:12" ht="18.75" customHeight="1" x14ac:dyDescent="0.2">
      <c r="A3" s="5" t="s">
        <v>0</v>
      </c>
      <c r="B3"/>
      <c r="F3" s="5"/>
      <c r="G3" s="5"/>
    </row>
    <row r="4" spans="1:12" x14ac:dyDescent="0.15">
      <c r="A4" s="1" t="s">
        <v>1</v>
      </c>
      <c r="B4"/>
      <c r="F4" s="1"/>
      <c r="G4" s="1"/>
    </row>
    <row r="6" spans="1:12" ht="16" x14ac:dyDescent="0.15">
      <c r="B6" s="6"/>
      <c r="F6" s="139" t="s">
        <v>113</v>
      </c>
      <c r="G6" s="140"/>
    </row>
    <row r="7" spans="1:12" s="8" customFormat="1" ht="17.25" customHeight="1" x14ac:dyDescent="0.15">
      <c r="B7" s="141" t="s">
        <v>114</v>
      </c>
      <c r="C7" s="142"/>
      <c r="D7" s="142"/>
      <c r="E7" s="143"/>
      <c r="I7" s="144"/>
      <c r="J7" s="144"/>
      <c r="K7" s="144"/>
      <c r="L7" s="144"/>
    </row>
    <row r="9" spans="1:12" ht="15.25" customHeight="1" x14ac:dyDescent="0.15">
      <c r="B9" s="145"/>
      <c r="C9" s="146"/>
      <c r="D9" s="147"/>
      <c r="E9" s="148" t="s">
        <v>87</v>
      </c>
    </row>
    <row r="10" spans="1:12" ht="8" customHeight="1" x14ac:dyDescent="0.15">
      <c r="B10" s="149"/>
      <c r="C10" s="150"/>
      <c r="D10" s="151"/>
      <c r="E10" s="152"/>
    </row>
    <row r="11" spans="1:12" ht="15.25" customHeight="1" x14ac:dyDescent="0.15">
      <c r="A11" s="7"/>
      <c r="B11" s="153" t="s">
        <v>115</v>
      </c>
      <c r="C11" s="154"/>
      <c r="D11" s="155"/>
      <c r="E11" s="156">
        <v>124000</v>
      </c>
    </row>
    <row r="12" spans="1:12" ht="15.25" customHeight="1" x14ac:dyDescent="0.15">
      <c r="A12" s="7"/>
      <c r="B12" s="157" t="s">
        <v>116</v>
      </c>
      <c r="C12" s="158"/>
      <c r="D12" s="159"/>
      <c r="E12" s="152"/>
    </row>
    <row r="13" spans="1:12" ht="15.25" customHeight="1" x14ac:dyDescent="0.15">
      <c r="A13" s="7"/>
      <c r="B13" s="157" t="s">
        <v>117</v>
      </c>
      <c r="C13" s="158"/>
      <c r="D13" s="159"/>
      <c r="E13" s="152"/>
    </row>
    <row r="14" spans="1:12" ht="8" customHeight="1" x14ac:dyDescent="0.15">
      <c r="A14" s="7"/>
      <c r="B14" s="160"/>
      <c r="C14" s="158"/>
      <c r="D14" s="152"/>
      <c r="E14" s="152"/>
    </row>
    <row r="15" spans="1:12" ht="15.25" customHeight="1" x14ac:dyDescent="0.15">
      <c r="A15" s="7"/>
      <c r="B15" s="153" t="s">
        <v>118</v>
      </c>
      <c r="C15" s="154"/>
      <c r="D15" s="161"/>
      <c r="E15" s="156">
        <v>17647.18</v>
      </c>
    </row>
    <row r="16" spans="1:12" ht="15.25" customHeight="1" x14ac:dyDescent="0.15">
      <c r="A16" s="7"/>
      <c r="B16" s="157" t="s">
        <v>119</v>
      </c>
      <c r="C16" s="158"/>
      <c r="D16" s="152"/>
      <c r="E16" s="152"/>
    </row>
    <row r="17" spans="1:15" ht="15.25" customHeight="1" x14ac:dyDescent="0.15">
      <c r="A17" s="7"/>
      <c r="B17" s="157" t="s">
        <v>117</v>
      </c>
      <c r="C17" s="158"/>
      <c r="D17" s="152"/>
      <c r="E17" s="152"/>
    </row>
    <row r="18" spans="1:15" ht="8" customHeight="1" x14ac:dyDescent="0.15">
      <c r="A18" s="7"/>
      <c r="B18" s="160"/>
      <c r="C18" s="158"/>
      <c r="D18" s="152"/>
      <c r="E18" s="152"/>
    </row>
    <row r="19" spans="1:15" ht="15.25" customHeight="1" x14ac:dyDescent="0.15">
      <c r="A19" s="7"/>
      <c r="B19" s="153" t="s">
        <v>120</v>
      </c>
      <c r="C19" s="158"/>
      <c r="D19" s="152"/>
      <c r="E19" s="156">
        <f>(E11+E15)*0.1</f>
        <v>14164.718000000001</v>
      </c>
    </row>
    <row r="20" spans="1:15" ht="8" customHeight="1" x14ac:dyDescent="0.15">
      <c r="B20" s="162"/>
      <c r="C20" s="163"/>
      <c r="D20" s="164"/>
      <c r="E20" s="152"/>
    </row>
    <row r="21" spans="1:15" ht="15.25" customHeight="1" x14ac:dyDescent="0.15">
      <c r="B21" s="165"/>
      <c r="C21" s="166"/>
      <c r="D21" s="167" t="s">
        <v>121</v>
      </c>
      <c r="E21" s="168">
        <f>SUM(E10:E20)</f>
        <v>155811.89799999999</v>
      </c>
    </row>
    <row r="22" spans="1:15" ht="15.25" customHeight="1" x14ac:dyDescent="0.15">
      <c r="B22" s="169" t="s">
        <v>122</v>
      </c>
      <c r="C22" s="170"/>
      <c r="D22" s="170"/>
      <c r="E22" s="170"/>
    </row>
    <row r="23" spans="1:15" ht="15.25" customHeight="1" x14ac:dyDescent="0.15">
      <c r="B23" s="169" t="s">
        <v>123</v>
      </c>
      <c r="C23" s="170"/>
      <c r="D23" s="170"/>
      <c r="E23" s="170"/>
    </row>
    <row r="24" spans="1:15" ht="15.25" customHeight="1" x14ac:dyDescent="0.15">
      <c r="B24" s="171" t="s">
        <v>124</v>
      </c>
    </row>
    <row r="25" spans="1:15" ht="15.25" customHeight="1" x14ac:dyDescent="0.15">
      <c r="B25" s="171" t="s">
        <v>125</v>
      </c>
    </row>
    <row r="26" spans="1:15" ht="15.25" customHeight="1" x14ac:dyDescent="0.15">
      <c r="B26" s="172"/>
    </row>
    <row r="27" spans="1:15" ht="15.25" customHeight="1" x14ac:dyDescent="0.15">
      <c r="B27" s="172" t="s">
        <v>126</v>
      </c>
    </row>
    <row r="28" spans="1:15" ht="15.25" customHeight="1" x14ac:dyDescent="0.15">
      <c r="B28" s="172" t="s">
        <v>127</v>
      </c>
    </row>
    <row r="29" spans="1:15" ht="15.25" customHeight="1" x14ac:dyDescent="0.15">
      <c r="B29" s="172"/>
    </row>
    <row r="30" spans="1:15" ht="15.25" customHeight="1" x14ac:dyDescent="0.2">
      <c r="B30" s="173" t="s">
        <v>128</v>
      </c>
      <c r="C30" s="174"/>
      <c r="D30" s="175"/>
      <c r="E30" s="176">
        <f>E21</f>
        <v>155811.89799999999</v>
      </c>
      <c r="H30" s="177" t="s">
        <v>129</v>
      </c>
      <c r="I30" s="178" t="s">
        <v>130</v>
      </c>
      <c r="J30" s="179" t="s">
        <v>131</v>
      </c>
      <c r="K30" s="179" t="s">
        <v>132</v>
      </c>
      <c r="L30" s="180" t="s">
        <v>133</v>
      </c>
      <c r="M30" s="181" t="s">
        <v>134</v>
      </c>
      <c r="N30" s="182"/>
      <c r="O30" s="183"/>
    </row>
    <row r="31" spans="1:15" ht="15.25" customHeight="1" x14ac:dyDescent="0.15">
      <c r="B31" s="184" t="s">
        <v>135</v>
      </c>
      <c r="C31" s="185" t="s">
        <v>136</v>
      </c>
      <c r="D31" s="186" t="s">
        <v>137</v>
      </c>
      <c r="E31" s="185" t="s">
        <v>138</v>
      </c>
      <c r="H31" s="187">
        <v>1</v>
      </c>
      <c r="I31" s="137">
        <f>E30</f>
        <v>155811.89799999999</v>
      </c>
      <c r="J31" s="137">
        <v>3386200</v>
      </c>
      <c r="K31" s="137">
        <v>26236200</v>
      </c>
      <c r="L31" s="137">
        <f>(J31/J38)*100</f>
        <v>12.906594705025881</v>
      </c>
      <c r="M31" s="137">
        <f>(I31*J31/K31)</f>
        <v>20110.010177068325</v>
      </c>
      <c r="N31" s="188">
        <v>20110.009999999998</v>
      </c>
    </row>
    <row r="32" spans="1:15" ht="15.25" customHeight="1" x14ac:dyDescent="0.15">
      <c r="B32" s="189" t="s">
        <v>65</v>
      </c>
      <c r="C32" s="190" t="s">
        <v>66</v>
      </c>
      <c r="D32" s="191">
        <v>0.12909999999999999</v>
      </c>
      <c r="E32" s="192">
        <v>20110.009999999998</v>
      </c>
      <c r="H32" s="187">
        <v>2</v>
      </c>
      <c r="I32" s="137">
        <f>E30</f>
        <v>155811.89799999999</v>
      </c>
      <c r="J32" s="137">
        <v>3453400</v>
      </c>
      <c r="K32" s="137">
        <v>26236200</v>
      </c>
      <c r="L32" s="137">
        <f>(J32/J38)*100</f>
        <v>13.162729358672367</v>
      </c>
      <c r="M32" s="137">
        <f t="shared" ref="M32:M37" si="0">(I32*J32/K32)</f>
        <v>20509.098442350645</v>
      </c>
      <c r="N32" s="188">
        <v>20509.099999999999</v>
      </c>
    </row>
    <row r="33" spans="2:14" ht="14" x14ac:dyDescent="0.15">
      <c r="B33" s="193" t="s">
        <v>68</v>
      </c>
      <c r="C33" s="194" t="s">
        <v>69</v>
      </c>
      <c r="D33" s="195">
        <v>0.13159999999999999</v>
      </c>
      <c r="E33" s="196">
        <v>20509.099999999999</v>
      </c>
      <c r="H33" s="187">
        <v>3</v>
      </c>
      <c r="I33" s="137">
        <f>E30</f>
        <v>155811.89799999999</v>
      </c>
      <c r="J33" s="137">
        <v>4063600</v>
      </c>
      <c r="K33" s="137">
        <v>26236200</v>
      </c>
      <c r="L33" s="137">
        <f>(J33/J38)*100</f>
        <v>15.4885234904445</v>
      </c>
      <c r="M33" s="137">
        <f t="shared" si="0"/>
        <v>24132.962422637422</v>
      </c>
      <c r="N33" s="188">
        <v>24132.959999999999</v>
      </c>
    </row>
    <row r="34" spans="2:14" ht="14" x14ac:dyDescent="0.15">
      <c r="B34" s="193" t="s">
        <v>71</v>
      </c>
      <c r="C34" s="194" t="s">
        <v>72</v>
      </c>
      <c r="D34" s="195">
        <v>0.15490000000000001</v>
      </c>
      <c r="E34" s="196">
        <v>24132.959999999999</v>
      </c>
      <c r="H34" s="187">
        <v>4</v>
      </c>
      <c r="I34" s="137">
        <f>E30</f>
        <v>155811.89799999999</v>
      </c>
      <c r="J34" s="137">
        <v>2061000</v>
      </c>
      <c r="K34" s="137">
        <v>26236200</v>
      </c>
      <c r="L34" s="137">
        <f>(J34/J38)*100</f>
        <v>7.8555583506757838</v>
      </c>
      <c r="M34" s="137">
        <f t="shared" si="0"/>
        <v>12239.894564685435</v>
      </c>
      <c r="N34" s="188">
        <v>12239.9</v>
      </c>
    </row>
    <row r="35" spans="2:14" ht="14" x14ac:dyDescent="0.15">
      <c r="B35" s="193" t="s">
        <v>73</v>
      </c>
      <c r="C35" s="194" t="s">
        <v>74</v>
      </c>
      <c r="D35" s="195">
        <v>7.8600000000000003E-2</v>
      </c>
      <c r="E35" s="196">
        <v>12239.9</v>
      </c>
      <c r="H35" s="187">
        <v>5</v>
      </c>
      <c r="I35" s="137">
        <f>E30</f>
        <v>155811.89799999999</v>
      </c>
      <c r="J35" s="137">
        <v>2540000</v>
      </c>
      <c r="K35" s="137">
        <v>26236200</v>
      </c>
      <c r="L35" s="137">
        <f>(J35/J38)*100</f>
        <v>9.6812800634238201</v>
      </c>
      <c r="M35" s="137">
        <f t="shared" si="0"/>
        <v>15084.586217516255</v>
      </c>
      <c r="N35" s="188">
        <v>15084.59</v>
      </c>
    </row>
    <row r="36" spans="2:14" ht="14" x14ac:dyDescent="0.15">
      <c r="B36" s="193" t="s">
        <v>139</v>
      </c>
      <c r="C36" s="194" t="s">
        <v>76</v>
      </c>
      <c r="D36" s="195">
        <v>9.6799999999999997E-2</v>
      </c>
      <c r="E36" s="196">
        <v>15084.59</v>
      </c>
      <c r="H36" s="187">
        <v>6</v>
      </c>
      <c r="I36" s="137">
        <f>E30</f>
        <v>155811.89799999999</v>
      </c>
      <c r="J36" s="137">
        <v>4173600</v>
      </c>
      <c r="K36" s="137">
        <v>26236200</v>
      </c>
      <c r="L36" s="137">
        <f>(J36/J38)*100</f>
        <v>15.907791524687266</v>
      </c>
      <c r="M36" s="137">
        <f t="shared" si="0"/>
        <v>24786.231904498363</v>
      </c>
      <c r="N36" s="188">
        <v>24786.23</v>
      </c>
    </row>
    <row r="37" spans="2:14" ht="14" x14ac:dyDescent="0.15">
      <c r="B37" s="193" t="s">
        <v>77</v>
      </c>
      <c r="C37" s="194" t="s">
        <v>78</v>
      </c>
      <c r="D37" s="195">
        <v>0.15909999999999999</v>
      </c>
      <c r="E37" s="196">
        <v>24786.23</v>
      </c>
      <c r="H37" s="187">
        <v>7</v>
      </c>
      <c r="I37" s="137">
        <f>E30</f>
        <v>155811.89799999999</v>
      </c>
      <c r="J37" s="137">
        <v>6558400</v>
      </c>
      <c r="K37" s="137">
        <v>26236200</v>
      </c>
      <c r="L37" s="137">
        <f>(J37/J38)*100</f>
        <v>24.997522507070382</v>
      </c>
      <c r="M37" s="137">
        <f t="shared" si="0"/>
        <v>38949.114271243547</v>
      </c>
      <c r="N37" s="188">
        <v>38949.11</v>
      </c>
    </row>
    <row r="38" spans="2:14" ht="14" x14ac:dyDescent="0.15">
      <c r="B38" s="193" t="s">
        <v>79</v>
      </c>
      <c r="C38" s="194" t="s">
        <v>80</v>
      </c>
      <c r="D38" s="195">
        <v>0.25</v>
      </c>
      <c r="E38" s="196">
        <v>38949.11</v>
      </c>
      <c r="H38" s="197"/>
      <c r="I38" s="198"/>
      <c r="J38" s="199">
        <f>SUM(J31:J37)</f>
        <v>26236200</v>
      </c>
      <c r="K38" s="199"/>
      <c r="L38" s="199">
        <f>SUM(L31:L37)</f>
        <v>100</v>
      </c>
      <c r="M38" s="199">
        <f>SUM(M31:M37)</f>
        <v>155811.89799999999</v>
      </c>
      <c r="N38" s="200">
        <f>SUM(N31:N37)</f>
        <v>155811.9</v>
      </c>
    </row>
    <row r="39" spans="2:14" ht="14" x14ac:dyDescent="0.15">
      <c r="B39" s="201" t="s">
        <v>87</v>
      </c>
      <c r="C39" s="202"/>
      <c r="D39" s="203">
        <f>SUM(D32:D38)</f>
        <v>1.0001</v>
      </c>
      <c r="E39" s="204">
        <f>SUM(E32:E38)</f>
        <v>155811.9</v>
      </c>
    </row>
    <row r="40" spans="2:14" ht="14" x14ac:dyDescent="0.15">
      <c r="B40" s="205"/>
      <c r="C40" s="53"/>
      <c r="D40" s="206"/>
      <c r="E40" s="170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/>
  <colBreaks count="1" manualBreakCount="1">
    <brk id="6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"/>
  <sheetViews>
    <sheetView topLeftCell="A19" zoomScale="90" zoomScaleNormal="90" workbookViewId="0">
      <selection activeCell="E36" sqref="E36"/>
    </sheetView>
  </sheetViews>
  <sheetFormatPr baseColWidth="10" defaultColWidth="12.6640625" defaultRowHeight="13" x14ac:dyDescent="0.15"/>
  <cols>
    <col min="1" max="1" width="4.5" customWidth="1"/>
    <col min="2" max="2" width="38.83203125" style="1" customWidth="1"/>
    <col min="3" max="3" width="13" style="3" customWidth="1"/>
    <col min="4" max="4" width="29.83203125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 x14ac:dyDescent="0.15">
      <c r="A1" s="339"/>
      <c r="B1" s="138"/>
      <c r="C1" s="138"/>
      <c r="D1" s="138"/>
      <c r="E1" s="138"/>
      <c r="F1" s="339"/>
      <c r="G1" s="339"/>
    </row>
    <row r="3" spans="1:12" ht="18.75" customHeight="1" x14ac:dyDescent="0.2">
      <c r="A3" s="5" t="s">
        <v>0</v>
      </c>
      <c r="B3"/>
      <c r="F3" s="5"/>
      <c r="G3" s="5"/>
    </row>
    <row r="4" spans="1:12" x14ac:dyDescent="0.15">
      <c r="A4" s="1" t="s">
        <v>1</v>
      </c>
      <c r="B4"/>
      <c r="F4" s="1"/>
      <c r="G4" s="1"/>
    </row>
    <row r="6" spans="1:12" ht="16" x14ac:dyDescent="0.15">
      <c r="B6" s="6"/>
      <c r="F6" s="139" t="s">
        <v>113</v>
      </c>
      <c r="G6" s="140"/>
    </row>
    <row r="7" spans="1:12" s="8" customFormat="1" ht="17.25" customHeight="1" x14ac:dyDescent="0.15">
      <c r="B7" s="141" t="s">
        <v>293</v>
      </c>
      <c r="C7" s="142"/>
      <c r="D7" s="142"/>
      <c r="E7" s="143"/>
      <c r="I7" s="144"/>
      <c r="J7" s="144"/>
      <c r="K7" s="144"/>
      <c r="L7" s="144"/>
    </row>
    <row r="9" spans="1:12" ht="17" customHeight="1" x14ac:dyDescent="0.15">
      <c r="B9" s="344"/>
      <c r="C9" s="146"/>
      <c r="D9" s="147"/>
      <c r="E9" s="148" t="s">
        <v>87</v>
      </c>
    </row>
    <row r="10" spans="1:12" ht="13.5" customHeight="1" x14ac:dyDescent="0.15">
      <c r="B10" s="358" t="s">
        <v>289</v>
      </c>
      <c r="C10" s="150"/>
      <c r="D10" s="151"/>
      <c r="E10" s="152"/>
    </row>
    <row r="11" spans="1:12" ht="15.25" customHeight="1" x14ac:dyDescent="0.15">
      <c r="A11" s="7"/>
      <c r="B11" s="153" t="s">
        <v>288</v>
      </c>
      <c r="C11" s="154"/>
      <c r="D11" s="155"/>
      <c r="E11" s="156">
        <v>19220</v>
      </c>
    </row>
    <row r="12" spans="1:12" ht="15.25" customHeight="1" x14ac:dyDescent="0.15">
      <c r="A12" s="7"/>
      <c r="B12" s="157"/>
      <c r="C12" s="158"/>
      <c r="D12" s="159"/>
      <c r="E12" s="152"/>
    </row>
    <row r="13" spans="1:12" ht="15.25" customHeight="1" x14ac:dyDescent="0.15">
      <c r="A13" s="7"/>
      <c r="B13" s="360" t="s">
        <v>120</v>
      </c>
      <c r="C13" s="361"/>
      <c r="D13" s="362"/>
      <c r="E13" s="343">
        <f>E11*0.1</f>
        <v>1922</v>
      </c>
    </row>
    <row r="14" spans="1:12" ht="8" customHeight="1" x14ac:dyDescent="0.15">
      <c r="A14" s="7"/>
      <c r="B14" s="160"/>
      <c r="C14" s="158"/>
      <c r="D14" s="152"/>
      <c r="E14" s="152"/>
    </row>
    <row r="15" spans="1:12" ht="15.25" customHeight="1" x14ac:dyDescent="0.15">
      <c r="A15" s="7"/>
      <c r="B15" s="359" t="s">
        <v>290</v>
      </c>
      <c r="C15" s="154"/>
      <c r="D15" s="161"/>
    </row>
    <row r="16" spans="1:12" ht="15.25" customHeight="1" x14ac:dyDescent="0.15">
      <c r="A16" s="7"/>
      <c r="B16" s="153" t="s">
        <v>291</v>
      </c>
      <c r="C16" s="158"/>
      <c r="D16" s="152"/>
      <c r="E16" s="156">
        <v>57000</v>
      </c>
    </row>
    <row r="17" spans="1:15" ht="15.25" customHeight="1" x14ac:dyDescent="0.15">
      <c r="A17" s="7"/>
      <c r="B17" s="157"/>
      <c r="C17" s="158"/>
      <c r="D17" s="152"/>
      <c r="E17" s="152"/>
    </row>
    <row r="18" spans="1:15" ht="8" customHeight="1" x14ac:dyDescent="0.15">
      <c r="A18" s="7"/>
      <c r="B18" s="160"/>
      <c r="C18" s="158"/>
      <c r="D18" s="152"/>
      <c r="E18" s="152"/>
    </row>
    <row r="19" spans="1:15" ht="15.25" customHeight="1" x14ac:dyDescent="0.15">
      <c r="A19" s="7"/>
      <c r="B19" s="153"/>
      <c r="C19" s="158"/>
      <c r="D19" s="152"/>
      <c r="E19" s="156"/>
    </row>
    <row r="20" spans="1:15" ht="8" customHeight="1" x14ac:dyDescent="0.15">
      <c r="B20" s="162"/>
      <c r="C20" s="163"/>
      <c r="D20" s="164"/>
      <c r="E20" s="152"/>
    </row>
    <row r="21" spans="1:15" ht="15.25" customHeight="1" x14ac:dyDescent="0.15">
      <c r="B21" s="165"/>
      <c r="C21" s="166"/>
      <c r="D21" s="167" t="s">
        <v>121</v>
      </c>
      <c r="E21" s="168">
        <f>SUM(E10:E20)</f>
        <v>78142</v>
      </c>
    </row>
    <row r="22" spans="1:15" ht="15.25" customHeight="1" x14ac:dyDescent="0.15">
      <c r="B22" s="169" t="s">
        <v>122</v>
      </c>
      <c r="C22" s="170"/>
      <c r="D22" s="170"/>
      <c r="E22" s="170"/>
    </row>
    <row r="23" spans="1:15" ht="15.25" customHeight="1" x14ac:dyDescent="0.15">
      <c r="B23" s="169" t="s">
        <v>123</v>
      </c>
      <c r="C23" s="170"/>
      <c r="D23" s="170"/>
      <c r="E23" s="170"/>
    </row>
    <row r="24" spans="1:15" ht="15.25" customHeight="1" x14ac:dyDescent="0.15">
      <c r="B24" s="171" t="s">
        <v>124</v>
      </c>
    </row>
    <row r="25" spans="1:15" ht="15.25" customHeight="1" x14ac:dyDescent="0.15">
      <c r="B25" s="171" t="s">
        <v>125</v>
      </c>
    </row>
    <row r="26" spans="1:15" ht="15.25" customHeight="1" x14ac:dyDescent="0.15">
      <c r="B26" s="172"/>
    </row>
    <row r="27" spans="1:15" ht="15.25" customHeight="1" x14ac:dyDescent="0.15">
      <c r="B27" s="172" t="s">
        <v>126</v>
      </c>
    </row>
    <row r="28" spans="1:15" ht="15.25" customHeight="1" x14ac:dyDescent="0.15">
      <c r="B28" s="172" t="s">
        <v>127</v>
      </c>
    </row>
    <row r="29" spans="1:15" ht="15.25" customHeight="1" x14ac:dyDescent="0.15">
      <c r="B29" s="172"/>
    </row>
    <row r="30" spans="1:15" ht="15.25" customHeight="1" x14ac:dyDescent="0.2">
      <c r="B30" s="173" t="s">
        <v>294</v>
      </c>
      <c r="C30" s="174"/>
      <c r="D30" s="175"/>
      <c r="E30" s="176">
        <f>E21</f>
        <v>78142</v>
      </c>
      <c r="H30" s="177" t="s">
        <v>129</v>
      </c>
      <c r="I30" s="178" t="s">
        <v>130</v>
      </c>
      <c r="J30" s="179" t="s">
        <v>131</v>
      </c>
      <c r="K30" s="179" t="s">
        <v>132</v>
      </c>
      <c r="L30" s="180" t="s">
        <v>133</v>
      </c>
      <c r="M30" s="181" t="s">
        <v>134</v>
      </c>
      <c r="N30" s="182"/>
      <c r="O30" s="183"/>
    </row>
    <row r="31" spans="1:15" ht="15.25" customHeight="1" x14ac:dyDescent="0.15">
      <c r="B31" s="184" t="s">
        <v>135</v>
      </c>
      <c r="C31" s="185" t="s">
        <v>136</v>
      </c>
      <c r="D31" s="186" t="s">
        <v>137</v>
      </c>
      <c r="E31" s="185" t="s">
        <v>138</v>
      </c>
      <c r="H31" s="187">
        <v>1</v>
      </c>
      <c r="I31" s="137">
        <f>E30</f>
        <v>78142</v>
      </c>
      <c r="J31" s="137">
        <v>3385038.8048100215</v>
      </c>
      <c r="K31" s="137">
        <v>26236200</v>
      </c>
      <c r="L31" s="349">
        <f>J31/J38*100</f>
        <v>12.902168777528845</v>
      </c>
      <c r="M31" s="137">
        <f>(I31*J31/K31)</f>
        <v>10082.012726136585</v>
      </c>
      <c r="N31" s="188">
        <f>M31</f>
        <v>10082.012726136585</v>
      </c>
    </row>
    <row r="32" spans="1:15" ht="15.25" customHeight="1" x14ac:dyDescent="0.15">
      <c r="B32" s="189" t="s">
        <v>65</v>
      </c>
      <c r="C32" s="190" t="s">
        <v>66</v>
      </c>
      <c r="D32" s="191">
        <v>0.129</v>
      </c>
      <c r="E32" s="192">
        <f t="shared" ref="E32:E38" si="0">M31</f>
        <v>10082.012726136585</v>
      </c>
      <c r="H32" s="187">
        <v>2</v>
      </c>
      <c r="I32" s="137">
        <f>E30</f>
        <v>78142</v>
      </c>
      <c r="J32" s="137">
        <v>3452215.7605962222</v>
      </c>
      <c r="K32" s="137">
        <v>26236200</v>
      </c>
      <c r="L32" s="348">
        <f>J32/J38*100</f>
        <v>13.158215597518785</v>
      </c>
      <c r="M32" s="137">
        <f t="shared" ref="M32:M37" si="1">(I32*J32/K32)</f>
        <v>10282.092832213126</v>
      </c>
      <c r="N32" s="188">
        <f t="shared" ref="N32:N37" si="2">M32</f>
        <v>10282.092832213126</v>
      </c>
    </row>
    <row r="33" spans="2:14" ht="14" x14ac:dyDescent="0.15">
      <c r="B33" s="193" t="s">
        <v>68</v>
      </c>
      <c r="C33" s="194" t="s">
        <v>69</v>
      </c>
      <c r="D33" s="195">
        <v>0.13159999999999999</v>
      </c>
      <c r="E33" s="196">
        <f t="shared" si="0"/>
        <v>10282.092832213126</v>
      </c>
      <c r="H33" s="187">
        <v>3</v>
      </c>
      <c r="I33" s="137">
        <f>E30</f>
        <v>78142</v>
      </c>
      <c r="J33" s="137">
        <v>4062206.5109048504</v>
      </c>
      <c r="K33" s="137">
        <v>26236200</v>
      </c>
      <c r="L33" s="348">
        <f>J33/J38*100</f>
        <v>15.483212168320303</v>
      </c>
      <c r="M33" s="137">
        <f t="shared" si="1"/>
        <v>12098.891652568849</v>
      </c>
      <c r="N33" s="188">
        <f t="shared" si="2"/>
        <v>12098.891652568849</v>
      </c>
    </row>
    <row r="34" spans="2:14" ht="14" x14ac:dyDescent="0.15">
      <c r="B34" s="193" t="s">
        <v>71</v>
      </c>
      <c r="C34" s="194" t="s">
        <v>72</v>
      </c>
      <c r="D34" s="195">
        <v>0.15479999999999999</v>
      </c>
      <c r="E34" s="196">
        <f t="shared" si="0"/>
        <v>12098.891652568849</v>
      </c>
      <c r="H34" s="187">
        <v>4</v>
      </c>
      <c r="I34" s="137">
        <f>E30</f>
        <v>78142</v>
      </c>
      <c r="J34" s="137">
        <v>2069290.155914224</v>
      </c>
      <c r="K34" s="137">
        <v>26236200</v>
      </c>
      <c r="L34" s="348">
        <f>J34/J38*100</f>
        <v>7.8871565086187196</v>
      </c>
      <c r="M34" s="137">
        <f t="shared" si="1"/>
        <v>6163.1818389648379</v>
      </c>
      <c r="N34" s="188">
        <f t="shared" si="2"/>
        <v>6163.1818389648379</v>
      </c>
    </row>
    <row r="35" spans="2:14" ht="14" x14ac:dyDescent="0.15">
      <c r="B35" s="193" t="s">
        <v>73</v>
      </c>
      <c r="C35" s="194" t="s">
        <v>74</v>
      </c>
      <c r="D35" s="195">
        <v>7.8899999999999998E-2</v>
      </c>
      <c r="E35" s="196">
        <f t="shared" si="0"/>
        <v>6163.1818389648379</v>
      </c>
      <c r="H35" s="187">
        <v>5</v>
      </c>
      <c r="I35" s="137">
        <f>E30</f>
        <v>78142</v>
      </c>
      <c r="J35" s="137">
        <v>2539128.9835855695</v>
      </c>
      <c r="K35" s="137">
        <v>26236200</v>
      </c>
      <c r="L35" s="348">
        <f>J35/J38*100</f>
        <v>9.6779601603340808</v>
      </c>
      <c r="M35" s="137">
        <f t="shared" si="1"/>
        <v>7562.5516284882551</v>
      </c>
      <c r="N35" s="188">
        <f t="shared" si="2"/>
        <v>7562.5516284882551</v>
      </c>
    </row>
    <row r="36" spans="2:14" ht="14" x14ac:dyDescent="0.15">
      <c r="B36" s="193" t="s">
        <v>139</v>
      </c>
      <c r="C36" s="194" t="s">
        <v>76</v>
      </c>
      <c r="D36" s="195">
        <v>9.6799999999999997E-2</v>
      </c>
      <c r="E36" s="196">
        <f t="shared" si="0"/>
        <v>7562.5516284882551</v>
      </c>
      <c r="H36" s="187">
        <v>6</v>
      </c>
      <c r="I36" s="137">
        <f>E30</f>
        <v>78142</v>
      </c>
      <c r="J36" s="137">
        <v>4172168.7897215486</v>
      </c>
      <c r="K36" s="137">
        <v>26236200</v>
      </c>
      <c r="L36" s="348">
        <f>J36/J38*100</f>
        <v>15.902336427232411</v>
      </c>
      <c r="M36" s="137">
        <f t="shared" si="1"/>
        <v>12426.403730967948</v>
      </c>
      <c r="N36" s="188">
        <f t="shared" si="2"/>
        <v>12426.403730967948</v>
      </c>
    </row>
    <row r="37" spans="2:14" ht="14" x14ac:dyDescent="0.15">
      <c r="B37" s="193" t="s">
        <v>77</v>
      </c>
      <c r="C37" s="194" t="s">
        <v>78</v>
      </c>
      <c r="D37" s="195">
        <v>0.159</v>
      </c>
      <c r="E37" s="196">
        <f t="shared" si="0"/>
        <v>12426.403730967948</v>
      </c>
      <c r="H37" s="187">
        <v>7</v>
      </c>
      <c r="I37" s="137">
        <f>E30</f>
        <v>78142</v>
      </c>
      <c r="J37" s="137">
        <v>6556150.9944675583</v>
      </c>
      <c r="K37" s="137">
        <v>26236200</v>
      </c>
      <c r="L37" s="348">
        <f>J37/J38*100</f>
        <v>24.988950360446864</v>
      </c>
      <c r="M37" s="137">
        <f t="shared" si="1"/>
        <v>19526.865590660385</v>
      </c>
      <c r="N37" s="188">
        <f t="shared" si="2"/>
        <v>19526.865590660385</v>
      </c>
    </row>
    <row r="38" spans="2:14" ht="14" x14ac:dyDescent="0.15">
      <c r="B38" s="193" t="s">
        <v>79</v>
      </c>
      <c r="C38" s="194" t="s">
        <v>80</v>
      </c>
      <c r="D38" s="195">
        <v>0.24990000000000001</v>
      </c>
      <c r="E38" s="196">
        <f t="shared" si="0"/>
        <v>19526.865590660385</v>
      </c>
      <c r="H38" s="197"/>
      <c r="I38" s="198"/>
      <c r="J38" s="199">
        <f>SUM(J31:J37)</f>
        <v>26236199.999999993</v>
      </c>
      <c r="K38" s="199"/>
      <c r="L38" s="199">
        <f>SUM(L31:L37)</f>
        <v>100.00000000000001</v>
      </c>
      <c r="M38" s="199">
        <f>SUM(M31:M37)</f>
        <v>78141.999999999985</v>
      </c>
      <c r="N38" s="200">
        <f>SUM(N31:N37)</f>
        <v>78141.999999999985</v>
      </c>
    </row>
    <row r="39" spans="2:14" ht="14" x14ac:dyDescent="0.15">
      <c r="B39" s="201" t="s">
        <v>87</v>
      </c>
      <c r="C39" s="202"/>
      <c r="D39" s="203">
        <f>SUM(D32:D38)</f>
        <v>1</v>
      </c>
      <c r="E39" s="204">
        <f>SUM(E32:E38)</f>
        <v>78141.999999999985</v>
      </c>
    </row>
    <row r="40" spans="2:14" ht="14" x14ac:dyDescent="0.15">
      <c r="B40" s="205"/>
      <c r="C40" s="53"/>
      <c r="D40" s="206"/>
      <c r="E40" s="170"/>
    </row>
    <row r="43" spans="2:14" ht="14" x14ac:dyDescent="0.15">
      <c r="B43" s="345"/>
      <c r="C43" s="137"/>
      <c r="D43" s="347"/>
      <c r="E43" s="191"/>
      <c r="M43" s="137"/>
    </row>
    <row r="44" spans="2:14" ht="14" x14ac:dyDescent="0.15">
      <c r="B44" s="345"/>
      <c r="C44" s="137"/>
      <c r="D44" s="347"/>
      <c r="E44" s="195"/>
    </row>
    <row r="45" spans="2:14" ht="14" x14ac:dyDescent="0.15">
      <c r="B45" s="345"/>
      <c r="C45" s="137"/>
      <c r="D45" s="347"/>
      <c r="E45" s="195"/>
    </row>
    <row r="46" spans="2:14" ht="14" x14ac:dyDescent="0.15">
      <c r="B46" s="345"/>
      <c r="C46" s="137"/>
      <c r="D46" s="347"/>
      <c r="E46" s="195"/>
    </row>
    <row r="47" spans="2:14" ht="14" x14ac:dyDescent="0.15">
      <c r="B47" s="345"/>
      <c r="C47" s="137"/>
      <c r="D47" s="347"/>
      <c r="E47" s="195"/>
    </row>
    <row r="48" spans="2:14" ht="14" x14ac:dyDescent="0.15">
      <c r="B48" s="345"/>
      <c r="C48" s="137"/>
      <c r="D48" s="347"/>
      <c r="E48" s="195"/>
    </row>
    <row r="49" spans="2:5" ht="14" x14ac:dyDescent="0.15">
      <c r="B49" s="345"/>
      <c r="C49" s="137"/>
      <c r="D49" s="347"/>
      <c r="E49" s="195"/>
    </row>
    <row r="50" spans="2:5" x14ac:dyDescent="0.15">
      <c r="C50" s="346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 r:id="rId1"/>
  <colBreaks count="1" manualBreakCount="1">
    <brk id="6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67"/>
  <sheetViews>
    <sheetView topLeftCell="B28" zoomScale="90" zoomScaleNormal="90" workbookViewId="0">
      <selection activeCell="D28" sqref="D28"/>
    </sheetView>
  </sheetViews>
  <sheetFormatPr baseColWidth="10" defaultColWidth="12.6640625" defaultRowHeight="13" x14ac:dyDescent="0.15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  <col min="13" max="13" width="14.83203125" customWidth="1"/>
  </cols>
  <sheetData>
    <row r="2" spans="1:14" ht="18.75" customHeight="1" x14ac:dyDescent="0.2">
      <c r="A2" s="5" t="s">
        <v>0</v>
      </c>
      <c r="B2"/>
      <c r="F2" s="5"/>
      <c r="G2" s="5"/>
    </row>
    <row r="3" spans="1:14" x14ac:dyDescent="0.15">
      <c r="A3" s="1" t="s">
        <v>1</v>
      </c>
      <c r="B3"/>
      <c r="F3" s="1"/>
      <c r="G3" s="1"/>
    </row>
    <row r="5" spans="1:14" x14ac:dyDescent="0.15">
      <c r="B5" s="6"/>
      <c r="F5" s="207" t="s">
        <v>3</v>
      </c>
      <c r="G5" s="140"/>
    </row>
    <row r="6" spans="1:14" s="8" customFormat="1" ht="17.25" customHeight="1" x14ac:dyDescent="0.15">
      <c r="B6" s="141" t="s">
        <v>140</v>
      </c>
      <c r="C6" s="142"/>
      <c r="D6" s="142"/>
      <c r="E6" s="143"/>
      <c r="H6"/>
      <c r="I6"/>
      <c r="J6"/>
      <c r="K6"/>
      <c r="L6"/>
      <c r="M6"/>
      <c r="N6"/>
    </row>
    <row r="7" spans="1:14" x14ac:dyDescent="0.15">
      <c r="I7"/>
      <c r="J7"/>
      <c r="K7"/>
      <c r="L7"/>
    </row>
    <row r="8" spans="1:14" ht="15.25" customHeight="1" x14ac:dyDescent="0.15">
      <c r="B8" s="15"/>
      <c r="C8" s="148" t="s">
        <v>141</v>
      </c>
      <c r="D8" s="148" t="s">
        <v>142</v>
      </c>
      <c r="E8" s="148" t="s">
        <v>143</v>
      </c>
      <c r="I8"/>
      <c r="J8"/>
      <c r="K8"/>
      <c r="L8"/>
    </row>
    <row r="9" spans="1:14" s="8" customFormat="1" ht="15.25" customHeight="1" x14ac:dyDescent="0.15">
      <c r="B9" s="208" t="s">
        <v>144</v>
      </c>
      <c r="C9" s="209">
        <v>3600</v>
      </c>
      <c r="D9" s="210">
        <v>12</v>
      </c>
      <c r="E9" s="209">
        <f t="shared" ref="E9:E15" si="0">C9*D9</f>
        <v>43200</v>
      </c>
      <c r="H9"/>
      <c r="I9"/>
      <c r="J9"/>
      <c r="K9"/>
      <c r="L9"/>
      <c r="M9"/>
      <c r="N9"/>
    </row>
    <row r="10" spans="1:14" s="8" customFormat="1" ht="15.25" customHeight="1" x14ac:dyDescent="0.15">
      <c r="B10" s="211" t="s">
        <v>145</v>
      </c>
      <c r="C10" s="212">
        <v>1500</v>
      </c>
      <c r="D10" s="213">
        <v>12</v>
      </c>
      <c r="E10" s="212">
        <f t="shared" si="0"/>
        <v>18000</v>
      </c>
      <c r="H10"/>
      <c r="I10"/>
      <c r="J10"/>
      <c r="K10"/>
      <c r="L10"/>
      <c r="M10"/>
      <c r="N10"/>
    </row>
    <row r="11" spans="1:14" s="8" customFormat="1" ht="15.25" customHeight="1" x14ac:dyDescent="0.15">
      <c r="B11" s="211" t="s">
        <v>88</v>
      </c>
      <c r="C11" s="212">
        <v>800</v>
      </c>
      <c r="D11" s="213">
        <v>12</v>
      </c>
      <c r="E11" s="212">
        <f t="shared" si="0"/>
        <v>9600</v>
      </c>
      <c r="H11"/>
      <c r="I11"/>
      <c r="J11"/>
      <c r="K11"/>
      <c r="L11"/>
      <c r="M11"/>
      <c r="N11"/>
    </row>
    <row r="12" spans="1:14" s="8" customFormat="1" ht="15.25" customHeight="1" x14ac:dyDescent="0.15">
      <c r="B12" s="211" t="s">
        <v>92</v>
      </c>
      <c r="C12" s="212">
        <v>3500</v>
      </c>
      <c r="D12" s="213">
        <v>12</v>
      </c>
      <c r="E12" s="212">
        <f t="shared" si="0"/>
        <v>42000</v>
      </c>
      <c r="H12"/>
      <c r="I12"/>
      <c r="J12"/>
      <c r="K12"/>
      <c r="L12"/>
      <c r="M12"/>
      <c r="N12"/>
    </row>
    <row r="13" spans="1:14" s="8" customFormat="1" ht="15.25" customHeight="1" x14ac:dyDescent="0.15">
      <c r="B13" s="211" t="s">
        <v>96</v>
      </c>
      <c r="C13" s="212">
        <v>1000</v>
      </c>
      <c r="D13" s="213">
        <v>12</v>
      </c>
      <c r="E13" s="212">
        <f t="shared" si="0"/>
        <v>12000</v>
      </c>
      <c r="H13"/>
      <c r="I13"/>
      <c r="J13"/>
      <c r="K13"/>
      <c r="L13"/>
      <c r="M13"/>
      <c r="N13"/>
    </row>
    <row r="14" spans="1:14" s="8" customFormat="1" ht="15.25" customHeight="1" x14ac:dyDescent="0.15">
      <c r="B14" s="211" t="s">
        <v>146</v>
      </c>
      <c r="C14" s="212">
        <v>15000</v>
      </c>
      <c r="D14" s="213">
        <v>12</v>
      </c>
      <c r="E14" s="212">
        <f t="shared" si="0"/>
        <v>180000</v>
      </c>
      <c r="H14"/>
      <c r="I14"/>
      <c r="J14"/>
      <c r="K14"/>
      <c r="L14"/>
      <c r="M14"/>
      <c r="N14"/>
    </row>
    <row r="15" spans="1:14" s="8" customFormat="1" ht="15.25" customHeight="1" x14ac:dyDescent="0.15">
      <c r="B15" s="211" t="s">
        <v>147</v>
      </c>
      <c r="C15" s="212">
        <v>150</v>
      </c>
      <c r="D15" s="213">
        <v>12</v>
      </c>
      <c r="E15" s="212">
        <f t="shared" si="0"/>
        <v>1800</v>
      </c>
      <c r="H15"/>
      <c r="I15"/>
      <c r="J15"/>
      <c r="K15"/>
      <c r="L15"/>
      <c r="M15"/>
      <c r="N15"/>
    </row>
    <row r="16" spans="1:14" s="8" customFormat="1" ht="28" x14ac:dyDescent="0.15">
      <c r="B16" s="214" t="s">
        <v>148</v>
      </c>
      <c r="C16" s="212"/>
      <c r="D16" s="212"/>
      <c r="E16" s="215">
        <v>30237.82</v>
      </c>
      <c r="F16" s="216"/>
      <c r="I16" s="144"/>
      <c r="J16" s="144"/>
      <c r="K16" s="144"/>
      <c r="L16" s="144"/>
    </row>
    <row r="17" spans="2:14" s="8" customFormat="1" ht="15.25" customHeight="1" x14ac:dyDescent="0.15">
      <c r="B17" s="217" t="s">
        <v>149</v>
      </c>
      <c r="C17" s="218"/>
      <c r="D17" s="219"/>
      <c r="E17" s="218">
        <v>162400</v>
      </c>
      <c r="I17" s="144"/>
      <c r="J17" s="144"/>
      <c r="K17" s="144"/>
      <c r="L17" s="144"/>
    </row>
    <row r="18" spans="2:14" s="8" customFormat="1" ht="15.25" customHeight="1" x14ac:dyDescent="0.15">
      <c r="B18" s="220" t="s">
        <v>150</v>
      </c>
      <c r="C18" s="221">
        <f>SUM(C9:C17)</f>
        <v>25550</v>
      </c>
      <c r="D18" s="222"/>
      <c r="E18" s="204">
        <f>SUM(E9:E17)</f>
        <v>499237.82</v>
      </c>
      <c r="I18" s="144"/>
      <c r="J18" s="144"/>
      <c r="K18" s="144"/>
      <c r="L18" s="144"/>
    </row>
    <row r="19" spans="2:14" s="8" customFormat="1" ht="15.25" customHeight="1" x14ac:dyDescent="0.15">
      <c r="B19" s="211" t="s">
        <v>151</v>
      </c>
      <c r="C19" s="223"/>
      <c r="D19" s="224"/>
      <c r="E19" s="212">
        <v>16030.55</v>
      </c>
      <c r="I19" s="144"/>
      <c r="J19" s="144"/>
      <c r="K19" s="144"/>
      <c r="L19" s="144"/>
    </row>
    <row r="20" spans="2:14" s="8" customFormat="1" ht="36.5" customHeight="1" x14ac:dyDescent="0.15">
      <c r="B20" s="214" t="s">
        <v>152</v>
      </c>
      <c r="C20" s="371" t="s">
        <v>153</v>
      </c>
      <c r="D20" s="371"/>
      <c r="E20" s="212">
        <v>23969.45</v>
      </c>
      <c r="I20" s="144"/>
      <c r="J20" s="144"/>
      <c r="K20" s="144"/>
      <c r="L20" s="144"/>
    </row>
    <row r="21" spans="2:14" ht="15.25" customHeight="1" x14ac:dyDescent="0.15">
      <c r="B21" s="220" t="s">
        <v>154</v>
      </c>
      <c r="C21" s="204"/>
      <c r="D21" s="222"/>
      <c r="E21" s="204">
        <f>E19+E20</f>
        <v>40000</v>
      </c>
    </row>
    <row r="22" spans="2:14" ht="15.25" customHeight="1" x14ac:dyDescent="0.15">
      <c r="B22" s="220"/>
      <c r="C22" s="204"/>
      <c r="D22" s="222"/>
      <c r="E22" s="204">
        <f>E18+E21</f>
        <v>539237.82000000007</v>
      </c>
    </row>
    <row r="23" spans="2:14" ht="15.25" customHeight="1" x14ac:dyDescent="0.15">
      <c r="B23" s="225" t="s">
        <v>155</v>
      </c>
      <c r="C23" s="226"/>
      <c r="D23" s="226"/>
      <c r="E23" s="226"/>
    </row>
    <row r="24" spans="2:14" ht="15.25" customHeight="1" x14ac:dyDescent="0.15">
      <c r="B24" s="227" t="s">
        <v>156</v>
      </c>
    </row>
    <row r="25" spans="2:14" ht="15.25" customHeight="1" x14ac:dyDescent="0.15">
      <c r="B25" s="227" t="s">
        <v>157</v>
      </c>
      <c r="C25" s="228"/>
      <c r="D25" s="228"/>
      <c r="E25" s="228"/>
      <c r="H25" s="229" t="s">
        <v>158</v>
      </c>
    </row>
    <row r="26" spans="2:14" ht="15.25" customHeight="1" x14ac:dyDescent="0.2">
      <c r="B26" s="230" t="s">
        <v>159</v>
      </c>
      <c r="C26" s="231"/>
      <c r="D26" s="232" t="s">
        <v>160</v>
      </c>
      <c r="E26" s="233">
        <f>E18</f>
        <v>499237.82</v>
      </c>
      <c r="H26" t="s">
        <v>129</v>
      </c>
      <c r="I26" s="234" t="s">
        <v>130</v>
      </c>
      <c r="J26" s="137" t="s">
        <v>131</v>
      </c>
      <c r="K26" s="137" t="s">
        <v>132</v>
      </c>
      <c r="L26" s="235" t="s">
        <v>133</v>
      </c>
      <c r="M26" t="s">
        <v>134</v>
      </c>
    </row>
    <row r="27" spans="2:14" ht="15.25" customHeight="1" x14ac:dyDescent="0.15">
      <c r="B27" s="184" t="s">
        <v>135</v>
      </c>
      <c r="C27" s="185" t="s">
        <v>136</v>
      </c>
      <c r="D27" s="186" t="s">
        <v>137</v>
      </c>
      <c r="E27" s="185" t="s">
        <v>138</v>
      </c>
      <c r="H27" s="236">
        <v>1</v>
      </c>
      <c r="I27" s="137">
        <f>E26</f>
        <v>499237.82</v>
      </c>
      <c r="J27" s="137">
        <v>3386200</v>
      </c>
      <c r="K27" s="137">
        <v>26236200</v>
      </c>
      <c r="L27" s="237">
        <f>(J27/J34)*100</f>
        <v>12.906594705025881</v>
      </c>
      <c r="M27" s="238">
        <f t="shared" ref="M27:M33" si="1">(I27*J27/K27)</f>
        <v>64434.602041606639</v>
      </c>
      <c r="N27" s="137">
        <v>64434.6</v>
      </c>
    </row>
    <row r="28" spans="2:14" ht="15.25" customHeight="1" x14ac:dyDescent="0.15">
      <c r="B28" s="189" t="s">
        <v>65</v>
      </c>
      <c r="C28" s="190" t="s">
        <v>66</v>
      </c>
      <c r="D28" s="191">
        <v>0.129</v>
      </c>
      <c r="E28" s="239">
        <v>64434.6</v>
      </c>
      <c r="H28" s="236">
        <v>2</v>
      </c>
      <c r="I28" s="137">
        <f>E26</f>
        <v>499237.82</v>
      </c>
      <c r="J28" s="137">
        <v>3453400</v>
      </c>
      <c r="K28" s="137">
        <v>26236200</v>
      </c>
      <c r="L28" s="237">
        <f>(J28/J34)*100</f>
        <v>13.162729358672367</v>
      </c>
      <c r="M28" s="238">
        <f t="shared" si="1"/>
        <v>65713.323102735914</v>
      </c>
      <c r="N28" s="137">
        <v>65713.320000000007</v>
      </c>
    </row>
    <row r="29" spans="2:14" ht="14" x14ac:dyDescent="0.15">
      <c r="B29" s="193" t="s">
        <v>161</v>
      </c>
      <c r="C29" s="194" t="s">
        <v>69</v>
      </c>
      <c r="D29" s="195">
        <v>0.13159999999999999</v>
      </c>
      <c r="E29" s="240">
        <v>65713.320000000007</v>
      </c>
      <c r="H29" s="236">
        <v>3</v>
      </c>
      <c r="I29" s="137">
        <f>E26</f>
        <v>499237.82</v>
      </c>
      <c r="J29" s="137">
        <v>4063600</v>
      </c>
      <c r="K29" s="137">
        <v>26236200</v>
      </c>
      <c r="L29" s="237">
        <f>(J29/J34)*100</f>
        <v>15.4885234904445</v>
      </c>
      <c r="M29" s="238">
        <f t="shared" si="1"/>
        <v>77324.567023883035</v>
      </c>
      <c r="N29" s="137">
        <v>77324.570000000007</v>
      </c>
    </row>
    <row r="30" spans="2:14" ht="14" x14ac:dyDescent="0.15">
      <c r="B30" s="193" t="s">
        <v>71</v>
      </c>
      <c r="C30" s="194" t="s">
        <v>72</v>
      </c>
      <c r="D30" s="195">
        <v>0.15490000000000001</v>
      </c>
      <c r="E30" s="240">
        <v>77324.570000000007</v>
      </c>
      <c r="H30" s="236">
        <v>4</v>
      </c>
      <c r="I30" s="137">
        <f>E26</f>
        <v>499237.82</v>
      </c>
      <c r="J30" s="137">
        <v>2061000</v>
      </c>
      <c r="K30" s="137">
        <v>26236200</v>
      </c>
      <c r="L30" s="237">
        <f>(J30/J34)*100</f>
        <v>7.8555583506757838</v>
      </c>
      <c r="M30" s="238">
        <f t="shared" si="1"/>
        <v>39217.918258741738</v>
      </c>
      <c r="N30" s="137">
        <v>39217.919999999998</v>
      </c>
    </row>
    <row r="31" spans="2:14" ht="14" x14ac:dyDescent="0.15">
      <c r="B31" s="193" t="s">
        <v>73</v>
      </c>
      <c r="C31" s="194" t="s">
        <v>74</v>
      </c>
      <c r="D31" s="195">
        <v>7.8600000000000003E-2</v>
      </c>
      <c r="E31" s="240">
        <v>39217.919999999998</v>
      </c>
      <c r="H31" s="236">
        <v>5</v>
      </c>
      <c r="I31" s="137">
        <f>E26</f>
        <v>499237.82</v>
      </c>
      <c r="J31" s="137">
        <v>2540000</v>
      </c>
      <c r="K31" s="137">
        <v>26236200</v>
      </c>
      <c r="L31" s="237">
        <f>(J31/J34)*100</f>
        <v>9.6812800634238201</v>
      </c>
      <c r="M31" s="238">
        <f t="shared" si="1"/>
        <v>48332.611536731689</v>
      </c>
      <c r="N31" s="137">
        <v>48332.61</v>
      </c>
    </row>
    <row r="32" spans="2:14" ht="14" x14ac:dyDescent="0.15">
      <c r="B32" s="193" t="s">
        <v>139</v>
      </c>
      <c r="C32" s="194" t="s">
        <v>76</v>
      </c>
      <c r="D32" s="195">
        <v>9.6799999999999997E-2</v>
      </c>
      <c r="E32" s="240">
        <v>48332.61</v>
      </c>
      <c r="H32" s="236">
        <v>6</v>
      </c>
      <c r="I32" s="137">
        <f>E26</f>
        <v>499237.82</v>
      </c>
      <c r="J32" s="137">
        <v>4173600</v>
      </c>
      <c r="K32" s="137">
        <v>26236200</v>
      </c>
      <c r="L32" s="237">
        <f>(J32/J34)*100</f>
        <v>15.907791524687266</v>
      </c>
      <c r="M32" s="238">
        <f t="shared" si="1"/>
        <v>79417.711617993453</v>
      </c>
      <c r="N32" s="137">
        <v>79417.710000000006</v>
      </c>
    </row>
    <row r="33" spans="2:14" ht="14" x14ac:dyDescent="0.15">
      <c r="B33" s="193" t="s">
        <v>77</v>
      </c>
      <c r="C33" s="194" t="s">
        <v>78</v>
      </c>
      <c r="D33" s="195">
        <v>0.15909999999999999</v>
      </c>
      <c r="E33" s="240">
        <v>79417.710000000006</v>
      </c>
      <c r="H33" s="236">
        <v>7</v>
      </c>
      <c r="I33" s="137">
        <f>E26</f>
        <v>499237.82</v>
      </c>
      <c r="J33" s="137">
        <v>6558400</v>
      </c>
      <c r="K33" s="137">
        <v>26236200</v>
      </c>
      <c r="L33" s="237">
        <f>(J33/J34)*100</f>
        <v>24.997522507070382</v>
      </c>
      <c r="M33" s="238">
        <f t="shared" si="1"/>
        <v>124797.08641830753</v>
      </c>
      <c r="N33" s="137">
        <v>124797.09</v>
      </c>
    </row>
    <row r="34" spans="2:14" ht="14" x14ac:dyDescent="0.15">
      <c r="B34" s="193" t="s">
        <v>79</v>
      </c>
      <c r="C34" s="194" t="s">
        <v>80</v>
      </c>
      <c r="D34" s="195">
        <v>0.25</v>
      </c>
      <c r="E34" s="241">
        <v>124797.09</v>
      </c>
      <c r="J34" s="242">
        <f>SUM(J27:J33)</f>
        <v>26236200</v>
      </c>
      <c r="K34" s="242"/>
      <c r="L34" s="243">
        <f>SUM(L27:L33)</f>
        <v>100</v>
      </c>
      <c r="M34" s="242">
        <f>SUM(M27:M33)</f>
        <v>499237.81999999995</v>
      </c>
      <c r="N34" s="137">
        <f>SUM(N27:N33)</f>
        <v>499237.82000000007</v>
      </c>
    </row>
    <row r="35" spans="2:14" ht="14" x14ac:dyDescent="0.15">
      <c r="B35" s="201" t="s">
        <v>87</v>
      </c>
      <c r="C35" s="202"/>
      <c r="D35" s="203">
        <f>SUM(D28:D34)</f>
        <v>1</v>
      </c>
      <c r="E35" s="222">
        <f>SUM(E28:E34)</f>
        <v>499237.82000000007</v>
      </c>
      <c r="I35"/>
      <c r="J35"/>
      <c r="K35"/>
      <c r="L35"/>
    </row>
    <row r="36" spans="2:14" x14ac:dyDescent="0.15">
      <c r="H36" s="229" t="s">
        <v>162</v>
      </c>
    </row>
    <row r="37" spans="2:14" ht="16" x14ac:dyDescent="0.2">
      <c r="B37" s="230" t="s">
        <v>163</v>
      </c>
      <c r="C37" s="231"/>
      <c r="D37" s="232" t="s">
        <v>160</v>
      </c>
      <c r="E37" s="233">
        <f>E19+E20</f>
        <v>40000</v>
      </c>
      <c r="H37" t="s">
        <v>129</v>
      </c>
      <c r="I37" s="234" t="s">
        <v>130</v>
      </c>
      <c r="J37" s="137" t="s">
        <v>131</v>
      </c>
      <c r="K37" s="137" t="s">
        <v>132</v>
      </c>
      <c r="L37" s="235" t="s">
        <v>133</v>
      </c>
      <c r="M37" t="s">
        <v>134</v>
      </c>
    </row>
    <row r="38" spans="2:14" ht="14" x14ac:dyDescent="0.15">
      <c r="B38" s="184" t="s">
        <v>135</v>
      </c>
      <c r="C38" s="185" t="s">
        <v>136</v>
      </c>
      <c r="D38" s="186" t="s">
        <v>137</v>
      </c>
      <c r="E38" s="185" t="s">
        <v>138</v>
      </c>
      <c r="H38" s="236">
        <v>1</v>
      </c>
      <c r="I38" s="137">
        <f>E37</f>
        <v>40000</v>
      </c>
      <c r="J38" s="137">
        <v>3386200</v>
      </c>
      <c r="K38" s="137">
        <v>26236200</v>
      </c>
      <c r="L38" s="237">
        <f>(J38/J45)*100</f>
        <v>12.906594705025881</v>
      </c>
      <c r="M38" s="238">
        <f t="shared" ref="M38:M44" si="2">(I38*J38/K38)</f>
        <v>5162.6378820103519</v>
      </c>
      <c r="N38" s="137">
        <v>5162.6400000000003</v>
      </c>
    </row>
    <row r="39" spans="2:14" ht="14" x14ac:dyDescent="0.15">
      <c r="B39" s="189" t="s">
        <v>65</v>
      </c>
      <c r="C39" s="190" t="s">
        <v>66</v>
      </c>
      <c r="D39" s="191">
        <v>0.129</v>
      </c>
      <c r="E39" s="239">
        <v>5162.6400000000003</v>
      </c>
      <c r="H39" s="236">
        <v>2</v>
      </c>
      <c r="I39" s="137">
        <f>E37</f>
        <v>40000</v>
      </c>
      <c r="J39" s="137">
        <v>3453400</v>
      </c>
      <c r="K39" s="137">
        <v>26236200</v>
      </c>
      <c r="L39" s="237">
        <f>(J39/J45)*100</f>
        <v>13.162729358672367</v>
      </c>
      <c r="M39" s="238">
        <f t="shared" si="2"/>
        <v>5265.0917434689472</v>
      </c>
      <c r="N39" s="137">
        <v>5265.09</v>
      </c>
    </row>
    <row r="40" spans="2:14" ht="14" x14ac:dyDescent="0.15">
      <c r="B40" s="193" t="s">
        <v>161</v>
      </c>
      <c r="C40" s="194" t="s">
        <v>69</v>
      </c>
      <c r="D40" s="195">
        <v>0.13159999999999999</v>
      </c>
      <c r="E40" s="240">
        <v>5265.09</v>
      </c>
      <c r="H40" s="236">
        <v>3</v>
      </c>
      <c r="I40" s="137">
        <f>E37</f>
        <v>40000</v>
      </c>
      <c r="J40" s="137">
        <v>4063600</v>
      </c>
      <c r="K40" s="137">
        <v>26236200</v>
      </c>
      <c r="L40" s="237">
        <f>(J40/J45)*100</f>
        <v>15.4885234904445</v>
      </c>
      <c r="M40" s="238">
        <f t="shared" si="2"/>
        <v>6195.4093961777999</v>
      </c>
      <c r="N40" s="137">
        <v>6195.41</v>
      </c>
    </row>
    <row r="41" spans="2:14" ht="14" x14ac:dyDescent="0.15">
      <c r="B41" s="193" t="s">
        <v>71</v>
      </c>
      <c r="C41" s="194" t="s">
        <v>72</v>
      </c>
      <c r="D41" s="195">
        <v>0.15490000000000001</v>
      </c>
      <c r="E41" s="240">
        <v>6195.41</v>
      </c>
      <c r="H41" s="236">
        <v>4</v>
      </c>
      <c r="I41" s="137">
        <f>E37</f>
        <v>40000</v>
      </c>
      <c r="J41" s="137">
        <v>2061000</v>
      </c>
      <c r="K41" s="137">
        <v>26236200</v>
      </c>
      <c r="L41" s="237">
        <f>(J41/J45)*100</f>
        <v>7.8555583506757838</v>
      </c>
      <c r="M41" s="238">
        <f t="shared" si="2"/>
        <v>3142.2233402703137</v>
      </c>
      <c r="N41" s="137">
        <v>3142.22</v>
      </c>
    </row>
    <row r="42" spans="2:14" ht="14" x14ac:dyDescent="0.15">
      <c r="B42" s="193" t="s">
        <v>73</v>
      </c>
      <c r="C42" s="194" t="s">
        <v>74</v>
      </c>
      <c r="D42" s="195">
        <v>7.8600000000000003E-2</v>
      </c>
      <c r="E42" s="240">
        <v>3142.22</v>
      </c>
      <c r="H42" s="236">
        <v>5</v>
      </c>
      <c r="I42" s="137">
        <f>E37</f>
        <v>40000</v>
      </c>
      <c r="J42" s="137">
        <v>2540000</v>
      </c>
      <c r="K42" s="137">
        <v>26236200</v>
      </c>
      <c r="L42" s="237">
        <f>(J42/J45)*100</f>
        <v>9.6812800634238201</v>
      </c>
      <c r="M42" s="238">
        <f t="shared" si="2"/>
        <v>3872.5120253695277</v>
      </c>
      <c r="N42" s="137">
        <v>3872.51</v>
      </c>
    </row>
    <row r="43" spans="2:14" ht="14" x14ac:dyDescent="0.15">
      <c r="B43" s="193" t="s">
        <v>139</v>
      </c>
      <c r="C43" s="194" t="s">
        <v>76</v>
      </c>
      <c r="D43" s="195">
        <v>9.6799999999999997E-2</v>
      </c>
      <c r="E43" s="240">
        <v>3872.51</v>
      </c>
      <c r="H43" s="236">
        <v>6</v>
      </c>
      <c r="I43" s="137">
        <f>E37</f>
        <v>40000</v>
      </c>
      <c r="J43" s="137">
        <v>4173600</v>
      </c>
      <c r="K43" s="137">
        <v>26236200</v>
      </c>
      <c r="L43" s="237">
        <f>(J43/J45)*100</f>
        <v>15.907791524687266</v>
      </c>
      <c r="M43" s="238">
        <f t="shared" si="2"/>
        <v>6363.1166098749054</v>
      </c>
      <c r="N43" s="137">
        <v>6363.12</v>
      </c>
    </row>
    <row r="44" spans="2:14" ht="14" x14ac:dyDescent="0.15">
      <c r="B44" s="193" t="s">
        <v>77</v>
      </c>
      <c r="C44" s="194" t="s">
        <v>78</v>
      </c>
      <c r="D44" s="195">
        <v>0.15909999999999999</v>
      </c>
      <c r="E44" s="240">
        <v>6363.12</v>
      </c>
      <c r="H44" s="236">
        <v>7</v>
      </c>
      <c r="I44" s="137">
        <f>E37</f>
        <v>40000</v>
      </c>
      <c r="J44" s="137">
        <v>6558400</v>
      </c>
      <c r="K44" s="137">
        <v>26236200</v>
      </c>
      <c r="L44" s="237">
        <f>(J44/J45)*100</f>
        <v>24.997522507070382</v>
      </c>
      <c r="M44" s="238">
        <f t="shared" si="2"/>
        <v>9999.0090028281538</v>
      </c>
      <c r="N44" s="137">
        <v>9999.01</v>
      </c>
    </row>
    <row r="45" spans="2:14" ht="14" x14ac:dyDescent="0.15">
      <c r="B45" s="193" t="s">
        <v>79</v>
      </c>
      <c r="C45" s="194" t="s">
        <v>80</v>
      </c>
      <c r="D45" s="195">
        <v>0.25</v>
      </c>
      <c r="E45" s="241">
        <v>9999.01</v>
      </c>
      <c r="J45" s="242">
        <f>SUM(J38:J44)</f>
        <v>26236200</v>
      </c>
      <c r="K45" s="242"/>
      <c r="L45" s="243">
        <f>SUM(L38:L44)</f>
        <v>100</v>
      </c>
      <c r="M45" s="242">
        <f>SUM(M38:M44)</f>
        <v>40000</v>
      </c>
      <c r="N45" s="137">
        <f>SUM(N38:N44)</f>
        <v>40000</v>
      </c>
    </row>
    <row r="46" spans="2:14" ht="14" x14ac:dyDescent="0.15">
      <c r="B46" s="201" t="s">
        <v>87</v>
      </c>
      <c r="C46" s="202"/>
      <c r="D46" s="203">
        <f>SUM(D39:D45)</f>
        <v>1</v>
      </c>
      <c r="E46" s="222">
        <f>SUM(E39:E45)</f>
        <v>40000</v>
      </c>
      <c r="H46" s="236"/>
      <c r="I46"/>
      <c r="J46"/>
      <c r="K46"/>
      <c r="L46"/>
    </row>
    <row r="47" spans="2:14" x14ac:dyDescent="0.15">
      <c r="H47" s="229" t="s">
        <v>164</v>
      </c>
    </row>
    <row r="48" spans="2:14" x14ac:dyDescent="0.15">
      <c r="B48" s="244"/>
      <c r="C48" s="245" t="s">
        <v>165</v>
      </c>
      <c r="D48" s="246"/>
      <c r="E48" s="247"/>
      <c r="H48" t="s">
        <v>129</v>
      </c>
      <c r="I48" s="234" t="s">
        <v>130</v>
      </c>
      <c r="J48" s="137" t="s">
        <v>131</v>
      </c>
      <c r="K48" s="137" t="s">
        <v>132</v>
      </c>
      <c r="L48" s="235" t="s">
        <v>133</v>
      </c>
      <c r="M48" t="s">
        <v>134</v>
      </c>
    </row>
    <row r="49" spans="2:14" x14ac:dyDescent="0.15">
      <c r="B49" s="248" t="s">
        <v>129</v>
      </c>
      <c r="C49" s="249" t="s">
        <v>166</v>
      </c>
      <c r="D49" s="249" t="s">
        <v>167</v>
      </c>
      <c r="E49" s="249" t="s">
        <v>87</v>
      </c>
      <c r="H49" s="236">
        <v>1</v>
      </c>
      <c r="I49" s="137">
        <v>807965.5</v>
      </c>
      <c r="J49" s="137">
        <v>3386200</v>
      </c>
      <c r="K49" s="137">
        <v>26236200</v>
      </c>
      <c r="L49" s="237">
        <f>(J49/J56)*100</f>
        <v>12.906594705025881</v>
      </c>
      <c r="M49" s="238">
        <f t="shared" ref="M49:M55" si="3">(I49*J49/K49)</f>
        <v>104280.83244143588</v>
      </c>
      <c r="N49" s="137">
        <v>104280.83</v>
      </c>
    </row>
    <row r="50" spans="2:14" x14ac:dyDescent="0.15">
      <c r="B50" s="250" t="s">
        <v>66</v>
      </c>
      <c r="C50" s="251">
        <f>E28/4</f>
        <v>16108.65</v>
      </c>
      <c r="D50" s="252">
        <f t="shared" ref="D50:D56" si="4">E39/4</f>
        <v>1290.6600000000001</v>
      </c>
      <c r="E50" s="252">
        <f t="shared" ref="E50:E56" si="5">C50+D50</f>
        <v>17399.310000000001</v>
      </c>
      <c r="H50" s="236">
        <v>2</v>
      </c>
      <c r="I50" s="137">
        <v>807965.5</v>
      </c>
      <c r="J50" s="137">
        <v>3453400</v>
      </c>
      <c r="K50" s="137">
        <v>26236200</v>
      </c>
      <c r="L50" s="237">
        <f>(J50/J56)*100</f>
        <v>13.162729358672367</v>
      </c>
      <c r="M50" s="238">
        <f t="shared" si="3"/>
        <v>106350.312076444</v>
      </c>
      <c r="N50" s="137">
        <v>106350.31</v>
      </c>
    </row>
    <row r="51" spans="2:14" x14ac:dyDescent="0.15">
      <c r="B51" s="250" t="s">
        <v>69</v>
      </c>
      <c r="C51" s="251">
        <f t="shared" ref="C51:C56" si="6">E29/4</f>
        <v>16428.330000000002</v>
      </c>
      <c r="D51" s="252">
        <f t="shared" si="4"/>
        <v>1316.2725</v>
      </c>
      <c r="E51" s="252">
        <f t="shared" si="5"/>
        <v>17744.602500000001</v>
      </c>
      <c r="H51" s="236">
        <v>3</v>
      </c>
      <c r="I51" s="137">
        <v>807965.5</v>
      </c>
      <c r="J51" s="137">
        <v>4063600</v>
      </c>
      <c r="K51" s="137">
        <v>26236200</v>
      </c>
      <c r="L51" s="237">
        <f>(J51/J56)*100</f>
        <v>15.4885234904445</v>
      </c>
      <c r="M51" s="238">
        <f t="shared" si="3"/>
        <v>125141.92626218736</v>
      </c>
      <c r="N51" s="137">
        <v>125141.93</v>
      </c>
    </row>
    <row r="52" spans="2:14" x14ac:dyDescent="0.15">
      <c r="B52" s="250" t="s">
        <v>72</v>
      </c>
      <c r="C52" s="251">
        <f t="shared" si="6"/>
        <v>19331.142500000002</v>
      </c>
      <c r="D52" s="252">
        <f t="shared" si="4"/>
        <v>1548.8525</v>
      </c>
      <c r="E52" s="252">
        <f t="shared" si="5"/>
        <v>20879.995000000003</v>
      </c>
      <c r="H52" s="236">
        <v>4</v>
      </c>
      <c r="I52" s="137">
        <v>807965.5</v>
      </c>
      <c r="J52" s="137">
        <v>2061000</v>
      </c>
      <c r="K52" s="137">
        <v>26236200</v>
      </c>
      <c r="L52" s="237">
        <f>(J52/J56)*100</f>
        <v>7.8555583506757838</v>
      </c>
      <c r="M52" s="238">
        <f t="shared" si="3"/>
        <v>63470.201305829352</v>
      </c>
      <c r="N52" s="137">
        <v>63470.2</v>
      </c>
    </row>
    <row r="53" spans="2:14" x14ac:dyDescent="0.15">
      <c r="B53" s="250" t="s">
        <v>74</v>
      </c>
      <c r="C53" s="251">
        <f t="shared" si="6"/>
        <v>9804.48</v>
      </c>
      <c r="D53" s="252">
        <f t="shared" si="4"/>
        <v>785.55499999999995</v>
      </c>
      <c r="E53" s="252">
        <f t="shared" si="5"/>
        <v>10590.035</v>
      </c>
      <c r="H53" s="236">
        <v>5</v>
      </c>
      <c r="I53" s="137">
        <v>807965.5</v>
      </c>
      <c r="J53" s="137">
        <v>2540000</v>
      </c>
      <c r="K53" s="137">
        <v>26236200</v>
      </c>
      <c r="L53" s="237">
        <f>(J53/J56)*100</f>
        <v>9.6812800634238201</v>
      </c>
      <c r="M53" s="238">
        <f t="shared" si="3"/>
        <v>78221.402870842576</v>
      </c>
      <c r="N53" s="137">
        <v>78221.399999999994</v>
      </c>
    </row>
    <row r="54" spans="2:14" x14ac:dyDescent="0.15">
      <c r="B54" s="250" t="s">
        <v>76</v>
      </c>
      <c r="C54" s="251">
        <f t="shared" si="6"/>
        <v>12083.1525</v>
      </c>
      <c r="D54" s="252">
        <f t="shared" si="4"/>
        <v>968.12750000000005</v>
      </c>
      <c r="E54" s="252">
        <f t="shared" si="5"/>
        <v>13051.28</v>
      </c>
      <c r="H54" s="236">
        <v>6</v>
      </c>
      <c r="I54" s="137">
        <v>807965.5</v>
      </c>
      <c r="J54" s="137">
        <v>4173600</v>
      </c>
      <c r="K54" s="137">
        <v>26236200</v>
      </c>
      <c r="L54" s="237">
        <f>(J54/J56)*100</f>
        <v>15.907791524687266</v>
      </c>
      <c r="M54" s="238">
        <f t="shared" si="3"/>
        <v>128529.46733139707</v>
      </c>
      <c r="N54" s="137">
        <v>128529.47</v>
      </c>
    </row>
    <row r="55" spans="2:14" x14ac:dyDescent="0.15">
      <c r="B55" s="250" t="s">
        <v>78</v>
      </c>
      <c r="C55" s="251">
        <f t="shared" si="6"/>
        <v>19854.427500000002</v>
      </c>
      <c r="D55" s="252">
        <f t="shared" si="4"/>
        <v>1590.78</v>
      </c>
      <c r="E55" s="252">
        <f t="shared" si="5"/>
        <v>21445.2075</v>
      </c>
      <c r="H55" s="236">
        <v>7</v>
      </c>
      <c r="I55" s="137">
        <v>807965.5</v>
      </c>
      <c r="J55" s="137">
        <v>6558400</v>
      </c>
      <c r="K55" s="137">
        <v>26236200</v>
      </c>
      <c r="L55" s="237">
        <f>(J55/J56)*100</f>
        <v>24.997522507070382</v>
      </c>
      <c r="M55" s="238">
        <f t="shared" si="3"/>
        <v>201971.35771186376</v>
      </c>
      <c r="N55" s="137">
        <v>201971.36</v>
      </c>
    </row>
    <row r="56" spans="2:14" x14ac:dyDescent="0.15">
      <c r="B56" s="253" t="s">
        <v>80</v>
      </c>
      <c r="C56" s="254">
        <f t="shared" si="6"/>
        <v>31199.272499999999</v>
      </c>
      <c r="D56" s="255">
        <f t="shared" si="4"/>
        <v>2499.7525000000001</v>
      </c>
      <c r="E56" s="255">
        <f t="shared" si="5"/>
        <v>33699.025000000001</v>
      </c>
      <c r="J56" s="242">
        <f>SUM(J49:J55)</f>
        <v>26236200</v>
      </c>
      <c r="K56" s="242"/>
      <c r="L56" s="243">
        <f>SUM(L49:L55)</f>
        <v>100</v>
      </c>
      <c r="M56" s="242">
        <f>SUM(M49:M55)</f>
        <v>807965.5</v>
      </c>
      <c r="N56" s="137">
        <f>SUM(N49:N55)</f>
        <v>807965.5</v>
      </c>
    </row>
    <row r="57" spans="2:14" x14ac:dyDescent="0.15">
      <c r="C57" s="256">
        <f>SUM(C50:C56)</f>
        <v>124809.45500000002</v>
      </c>
      <c r="D57" s="256">
        <f>SUM(D50:D56)</f>
        <v>10000</v>
      </c>
      <c r="E57" s="256">
        <f>SUM(E50:E56)</f>
        <v>134809.45500000002</v>
      </c>
      <c r="I57"/>
      <c r="J57"/>
      <c r="K57"/>
      <c r="L57"/>
    </row>
    <row r="58" spans="2:14" x14ac:dyDescent="0.15">
      <c r="C58"/>
      <c r="D58"/>
      <c r="E58"/>
      <c r="H58" s="229" t="s">
        <v>164</v>
      </c>
    </row>
    <row r="59" spans="2:14" x14ac:dyDescent="0.15">
      <c r="C59"/>
      <c r="D59"/>
      <c r="E59"/>
      <c r="H59" t="s">
        <v>129</v>
      </c>
      <c r="I59" s="234" t="s">
        <v>130</v>
      </c>
      <c r="J59" s="137" t="s">
        <v>131</v>
      </c>
      <c r="K59" s="137" t="s">
        <v>132</v>
      </c>
      <c r="L59" s="235" t="s">
        <v>133</v>
      </c>
      <c r="M59" t="s">
        <v>134</v>
      </c>
    </row>
    <row r="60" spans="2:14" x14ac:dyDescent="0.15">
      <c r="C60"/>
      <c r="D60"/>
      <c r="E60"/>
      <c r="H60" s="236">
        <v>1</v>
      </c>
      <c r="I60" s="137">
        <v>40000</v>
      </c>
      <c r="J60" s="137">
        <v>3386200</v>
      </c>
      <c r="K60" s="137">
        <v>26236200</v>
      </c>
      <c r="L60" s="237">
        <f>(J60/J67)*100</f>
        <v>12.906594705025881</v>
      </c>
      <c r="M60" s="238">
        <f t="shared" ref="M60:M66" si="7">(I60*J60/K60)</f>
        <v>5162.6378820103519</v>
      </c>
      <c r="N60" s="137">
        <v>5162.6400000000003</v>
      </c>
    </row>
    <row r="61" spans="2:14" x14ac:dyDescent="0.15">
      <c r="C61"/>
      <c r="D61"/>
      <c r="E61"/>
      <c r="H61" s="236">
        <v>2</v>
      </c>
      <c r="I61" s="137">
        <v>40000</v>
      </c>
      <c r="J61" s="137">
        <v>3453400</v>
      </c>
      <c r="K61" s="137">
        <v>26236200</v>
      </c>
      <c r="L61" s="237">
        <f>(J61/J67)*100</f>
        <v>13.162729358672367</v>
      </c>
      <c r="M61" s="238">
        <f t="shared" si="7"/>
        <v>5265.0917434689472</v>
      </c>
      <c r="N61" s="137">
        <v>5265.09</v>
      </c>
    </row>
    <row r="62" spans="2:14" x14ac:dyDescent="0.15">
      <c r="C62"/>
      <c r="D62"/>
      <c r="E62"/>
      <c r="H62" s="236">
        <v>3</v>
      </c>
      <c r="I62" s="137">
        <v>40000</v>
      </c>
      <c r="J62" s="137">
        <v>4063600</v>
      </c>
      <c r="K62" s="137">
        <v>26236200</v>
      </c>
      <c r="L62" s="237">
        <f>(J62/J67)*100</f>
        <v>15.4885234904445</v>
      </c>
      <c r="M62" s="238">
        <f t="shared" si="7"/>
        <v>6195.4093961777999</v>
      </c>
      <c r="N62" s="137">
        <v>6195.41</v>
      </c>
    </row>
    <row r="63" spans="2:14" x14ac:dyDescent="0.15">
      <c r="H63" s="236">
        <v>4</v>
      </c>
      <c r="I63" s="137">
        <v>40000</v>
      </c>
      <c r="J63" s="137">
        <v>2061000</v>
      </c>
      <c r="K63" s="137">
        <v>26236200</v>
      </c>
      <c r="L63" s="237">
        <f>(J63/J67)*100</f>
        <v>7.8555583506757838</v>
      </c>
      <c r="M63" s="238">
        <f t="shared" si="7"/>
        <v>3142.2233402703137</v>
      </c>
      <c r="N63" s="137">
        <v>3142.22</v>
      </c>
    </row>
    <row r="64" spans="2:14" x14ac:dyDescent="0.15">
      <c r="H64" s="236">
        <v>5</v>
      </c>
      <c r="I64" s="137">
        <v>40000</v>
      </c>
      <c r="J64" s="137">
        <v>2540000</v>
      </c>
      <c r="K64" s="137">
        <v>26236200</v>
      </c>
      <c r="L64" s="237">
        <f>(J64/J67)*100</f>
        <v>9.6812800634238201</v>
      </c>
      <c r="M64" s="238">
        <f t="shared" si="7"/>
        <v>3872.5120253695277</v>
      </c>
      <c r="N64" s="137">
        <v>3872.51</v>
      </c>
    </row>
    <row r="65" spans="8:14" x14ac:dyDescent="0.15">
      <c r="H65" s="236">
        <v>6</v>
      </c>
      <c r="I65" s="137">
        <v>40000</v>
      </c>
      <c r="J65" s="137">
        <v>4173600</v>
      </c>
      <c r="K65" s="137">
        <v>26236200</v>
      </c>
      <c r="L65" s="237">
        <f>(J65/J67)*100</f>
        <v>15.907791524687266</v>
      </c>
      <c r="M65" s="238">
        <f t="shared" si="7"/>
        <v>6363.1166098749054</v>
      </c>
      <c r="N65" s="137">
        <v>6363.12</v>
      </c>
    </row>
    <row r="66" spans="8:14" x14ac:dyDescent="0.15">
      <c r="H66" s="236">
        <v>7</v>
      </c>
      <c r="I66" s="137">
        <v>40000</v>
      </c>
      <c r="J66" s="137">
        <v>6558400</v>
      </c>
      <c r="K66" s="137">
        <v>26236200</v>
      </c>
      <c r="L66" s="237">
        <f>(J66/J67)*100</f>
        <v>24.997522507070382</v>
      </c>
      <c r="M66" s="238">
        <f t="shared" si="7"/>
        <v>9999.0090028281538</v>
      </c>
      <c r="N66" s="137">
        <v>9999.01</v>
      </c>
    </row>
    <row r="67" spans="8:14" x14ac:dyDescent="0.15">
      <c r="J67" s="242">
        <f>SUM(J60:J66)</f>
        <v>26236200</v>
      </c>
      <c r="K67" s="242"/>
      <c r="L67" s="243">
        <f>SUM(L60:L66)</f>
        <v>100</v>
      </c>
      <c r="M67" s="242">
        <f>SUM(M60:M66)</f>
        <v>40000</v>
      </c>
      <c r="N67" s="137">
        <f>SUM(N60:N66)</f>
        <v>40000</v>
      </c>
    </row>
  </sheetData>
  <mergeCells count="1">
    <mergeCell ref="C20:D20"/>
  </mergeCells>
  <printOptions horizontalCentered="1"/>
  <pageMargins left="0.47222222222222199" right="0.47222222222222199" top="0.61944444444444402" bottom="0.35416666666666702" header="0.35416666666666702" footer="0.511811023622047"/>
  <pageSetup scale="81" orientation="portrait" horizontalDpi="300" verticalDpi="300"/>
  <headerFooter>
    <oddHeader>&amp;C&amp;"Times New Roman,Regular"&amp;12&amp;A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  <pageSetUpPr fitToPage="1"/>
  </sheetPr>
  <dimension ref="A1:G43"/>
  <sheetViews>
    <sheetView zoomScale="90" zoomScaleNormal="90" workbookViewId="0">
      <selection activeCell="B37" sqref="B37:F38"/>
    </sheetView>
  </sheetViews>
  <sheetFormatPr baseColWidth="10" defaultColWidth="12.6640625" defaultRowHeight="13" x14ac:dyDescent="0.15"/>
  <cols>
    <col min="1" max="1" width="4.5" customWidth="1"/>
    <col min="2" max="2" width="30.83203125" style="1" customWidth="1"/>
    <col min="3" max="3" width="13.1640625" style="2" customWidth="1"/>
    <col min="4" max="4" width="11" style="2" customWidth="1"/>
    <col min="5" max="5" width="10.83203125" style="2" customWidth="1"/>
    <col min="6" max="6" width="11.33203125" style="3" customWidth="1"/>
    <col min="7" max="7" width="4.5" customWidth="1"/>
  </cols>
  <sheetData>
    <row r="1" spans="1:7" ht="54.5" customHeight="1" x14ac:dyDescent="0.15">
      <c r="A1" s="370"/>
      <c r="B1" s="370"/>
      <c r="C1" s="370"/>
      <c r="D1" s="370"/>
      <c r="E1" s="370"/>
      <c r="F1" s="370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57" t="s">
        <v>168</v>
      </c>
    </row>
    <row r="6" spans="1:7" x14ac:dyDescent="0.15">
      <c r="A6" s="1"/>
      <c r="B6" s="258" t="s">
        <v>169</v>
      </c>
    </row>
    <row r="7" spans="1:7" x14ac:dyDescent="0.15">
      <c r="A7" s="1"/>
      <c r="B7" t="s">
        <v>170</v>
      </c>
    </row>
    <row r="8" spans="1:7" x14ac:dyDescent="0.15">
      <c r="C8" s="2" t="s">
        <v>292</v>
      </c>
    </row>
    <row r="9" spans="1:7" x14ac:dyDescent="0.15">
      <c r="B9" s="6"/>
      <c r="G9" s="259"/>
    </row>
    <row r="10" spans="1:7" s="8" customFormat="1" ht="17.25" customHeight="1" x14ac:dyDescent="0.15">
      <c r="B10" s="104" t="s">
        <v>171</v>
      </c>
      <c r="C10" s="105"/>
      <c r="D10" s="105"/>
      <c r="E10" s="105"/>
      <c r="F10" s="106"/>
    </row>
    <row r="12" spans="1:7" ht="14" customHeight="1" x14ac:dyDescent="0.15">
      <c r="B12" s="260" t="s">
        <v>5</v>
      </c>
      <c r="C12" s="261" t="s">
        <v>6</v>
      </c>
      <c r="D12" s="261" t="s">
        <v>172</v>
      </c>
      <c r="E12" s="262" t="s">
        <v>173</v>
      </c>
      <c r="F12" s="262" t="s">
        <v>174</v>
      </c>
    </row>
    <row r="13" spans="1:7" ht="10.5" hidden="1" customHeight="1" x14ac:dyDescent="0.15">
      <c r="B13" s="263" t="s">
        <v>175</v>
      </c>
      <c r="C13" s="264">
        <v>45117</v>
      </c>
      <c r="D13" s="265"/>
      <c r="E13" s="265">
        <v>5900</v>
      </c>
      <c r="F13" s="266">
        <f>E13</f>
        <v>5900</v>
      </c>
    </row>
    <row r="14" spans="1:7" ht="25" hidden="1" customHeight="1" x14ac:dyDescent="0.15">
      <c r="B14" s="263" t="s">
        <v>175</v>
      </c>
      <c r="C14" s="264">
        <v>45117</v>
      </c>
      <c r="D14" s="265"/>
      <c r="E14" s="265">
        <v>5901</v>
      </c>
      <c r="F14" s="266">
        <f t="shared" ref="F14:F31" si="0">F13-D14+E14</f>
        <v>11801</v>
      </c>
    </row>
    <row r="15" spans="1:7" ht="19.5" hidden="1" customHeight="1" x14ac:dyDescent="0.15">
      <c r="B15" s="263" t="s">
        <v>175</v>
      </c>
      <c r="C15" s="264">
        <v>45205</v>
      </c>
      <c r="D15" s="265"/>
      <c r="E15" s="265">
        <v>25100</v>
      </c>
      <c r="F15" s="266">
        <f t="shared" si="0"/>
        <v>36901</v>
      </c>
    </row>
    <row r="16" spans="1:7" ht="13.5" hidden="1" customHeight="1" x14ac:dyDescent="0.15">
      <c r="B16" s="263" t="s">
        <v>175</v>
      </c>
      <c r="C16" s="264">
        <v>45266</v>
      </c>
      <c r="D16" s="265"/>
      <c r="E16" s="265">
        <v>48373</v>
      </c>
      <c r="F16" s="266">
        <f t="shared" si="0"/>
        <v>85274</v>
      </c>
    </row>
    <row r="17" spans="2:6" ht="19.5" hidden="1" customHeight="1" x14ac:dyDescent="0.15">
      <c r="B17" s="263" t="s">
        <v>175</v>
      </c>
      <c r="C17" s="264">
        <v>45266</v>
      </c>
      <c r="D17" s="265"/>
      <c r="E17" s="265">
        <v>1341</v>
      </c>
      <c r="F17" s="266">
        <f t="shared" si="0"/>
        <v>86615</v>
      </c>
    </row>
    <row r="18" spans="2:6" ht="25" hidden="1" customHeight="1" x14ac:dyDescent="0.15">
      <c r="B18" s="267" t="s">
        <v>176</v>
      </c>
      <c r="C18" s="268">
        <v>45266</v>
      </c>
      <c r="D18" s="269">
        <v>530.98</v>
      </c>
      <c r="E18" s="270"/>
      <c r="F18" s="266">
        <f>F17-D18+E18</f>
        <v>86084.02</v>
      </c>
    </row>
    <row r="19" spans="2:6" x14ac:dyDescent="0.15">
      <c r="B19" s="329" t="s">
        <v>277</v>
      </c>
      <c r="C19" s="330">
        <v>45657</v>
      </c>
      <c r="D19" s="331"/>
      <c r="E19" s="332"/>
      <c r="F19" s="333">
        <v>86084.02</v>
      </c>
    </row>
    <row r="20" spans="2:6" ht="22" customHeight="1" x14ac:dyDescent="0.15">
      <c r="B20" s="267" t="s">
        <v>176</v>
      </c>
      <c r="C20" s="268">
        <v>45297</v>
      </c>
      <c r="D20" s="269">
        <v>530.98</v>
      </c>
      <c r="E20" s="270"/>
      <c r="F20" s="266">
        <f>F18-D20+E20</f>
        <v>85553.040000000008</v>
      </c>
    </row>
    <row r="21" spans="2:6" ht="28" x14ac:dyDescent="0.15">
      <c r="B21" s="271" t="s">
        <v>177</v>
      </c>
      <c r="C21" s="272">
        <v>45321</v>
      </c>
      <c r="D21" s="270">
        <v>20110.009999999998</v>
      </c>
      <c r="E21" s="270"/>
      <c r="F21" s="266">
        <f t="shared" si="0"/>
        <v>65443.030000000013</v>
      </c>
    </row>
    <row r="22" spans="2:6" ht="28" x14ac:dyDescent="0.15">
      <c r="B22" s="271" t="s">
        <v>178</v>
      </c>
      <c r="C22" s="272">
        <v>45330</v>
      </c>
      <c r="D22" s="270">
        <v>4000</v>
      </c>
      <c r="E22" s="270"/>
      <c r="F22" s="266">
        <f t="shared" si="0"/>
        <v>61443.030000000013</v>
      </c>
    </row>
    <row r="23" spans="2:6" ht="28" x14ac:dyDescent="0.15">
      <c r="B23" s="271" t="s">
        <v>179</v>
      </c>
      <c r="C23" s="272">
        <v>45331</v>
      </c>
      <c r="D23" s="270"/>
      <c r="E23" s="270">
        <v>47720.9</v>
      </c>
      <c r="F23" s="266">
        <f t="shared" si="0"/>
        <v>109163.93000000002</v>
      </c>
    </row>
    <row r="24" spans="2:6" ht="34" customHeight="1" x14ac:dyDescent="0.15">
      <c r="B24" s="271" t="s">
        <v>180</v>
      </c>
      <c r="C24" s="272">
        <v>45335</v>
      </c>
      <c r="D24" s="270">
        <v>104280.83</v>
      </c>
      <c r="E24" s="270"/>
      <c r="F24" s="266">
        <f t="shared" si="0"/>
        <v>4883.1000000000204</v>
      </c>
    </row>
    <row r="25" spans="2:6" ht="28" x14ac:dyDescent="0.15">
      <c r="B25" s="271" t="s">
        <v>181</v>
      </c>
      <c r="C25" s="272">
        <v>45335</v>
      </c>
      <c r="D25" s="270">
        <v>5162.6400000000003</v>
      </c>
      <c r="E25" s="270"/>
      <c r="F25" s="266">
        <f t="shared" si="0"/>
        <v>-279.53999999997995</v>
      </c>
    </row>
    <row r="26" spans="2:6" ht="28" x14ac:dyDescent="0.15">
      <c r="B26" s="271" t="s">
        <v>182</v>
      </c>
      <c r="C26" s="272">
        <v>45336</v>
      </c>
      <c r="D26" s="270">
        <v>16108.65</v>
      </c>
      <c r="E26" s="270"/>
      <c r="F26" s="266">
        <f t="shared" si="0"/>
        <v>-16388.189999999981</v>
      </c>
    </row>
    <row r="27" spans="2:6" ht="31" customHeight="1" x14ac:dyDescent="0.15">
      <c r="B27" s="271" t="s">
        <v>183</v>
      </c>
      <c r="C27" s="272">
        <v>45336</v>
      </c>
      <c r="D27" s="270">
        <v>1290.6600000000001</v>
      </c>
      <c r="E27" s="270"/>
      <c r="F27" s="266">
        <f t="shared" si="0"/>
        <v>-17678.84999999998</v>
      </c>
    </row>
    <row r="28" spans="2:6" ht="14" x14ac:dyDescent="0.15">
      <c r="B28" s="271" t="s">
        <v>175</v>
      </c>
      <c r="C28" s="272">
        <v>45339</v>
      </c>
      <c r="D28" s="270"/>
      <c r="E28" s="270">
        <v>35005.599999999999</v>
      </c>
      <c r="F28" s="266">
        <f t="shared" si="0"/>
        <v>17326.750000000018</v>
      </c>
    </row>
    <row r="29" spans="2:6" x14ac:dyDescent="0.15">
      <c r="B29" s="267" t="s">
        <v>184</v>
      </c>
      <c r="C29" s="273">
        <v>45343</v>
      </c>
      <c r="D29" s="274"/>
      <c r="E29" s="274">
        <v>72.56</v>
      </c>
      <c r="F29" s="266">
        <f t="shared" si="0"/>
        <v>17399.310000000019</v>
      </c>
    </row>
    <row r="30" spans="2:6" ht="28" x14ac:dyDescent="0.15">
      <c r="B30" s="271" t="s">
        <v>278</v>
      </c>
      <c r="C30" s="353">
        <v>45383</v>
      </c>
      <c r="D30" s="354">
        <v>16108.65</v>
      </c>
      <c r="E30" s="352"/>
      <c r="F30" s="266">
        <f t="shared" si="0"/>
        <v>1290.6600000000199</v>
      </c>
    </row>
    <row r="31" spans="2:6" ht="31" customHeight="1" x14ac:dyDescent="0.15">
      <c r="B31" s="271" t="s">
        <v>279</v>
      </c>
      <c r="C31" s="355">
        <v>45383</v>
      </c>
      <c r="D31" s="356">
        <v>1290.6600000000001</v>
      </c>
      <c r="E31" s="270"/>
      <c r="F31" s="276">
        <f t="shared" si="0"/>
        <v>1.9781509763561189E-11</v>
      </c>
    </row>
    <row r="32" spans="2:6" ht="36" customHeight="1" x14ac:dyDescent="0.15">
      <c r="B32" s="271" t="s">
        <v>295</v>
      </c>
      <c r="C32" s="364">
        <v>45397</v>
      </c>
      <c r="D32" s="356">
        <v>10082.012726136585</v>
      </c>
      <c r="E32" s="270"/>
      <c r="F32" s="266">
        <f>F31-D32+E32</f>
        <v>-10082.012726136565</v>
      </c>
    </row>
    <row r="33" spans="2:6" x14ac:dyDescent="0.15">
      <c r="B33" s="350"/>
      <c r="C33" s="351"/>
      <c r="D33" s="275"/>
      <c r="E33" s="270"/>
      <c r="F33" s="276"/>
    </row>
    <row r="34" spans="2:6" ht="15.25" customHeight="1" x14ac:dyDescent="0.15">
      <c r="B34" s="277"/>
      <c r="C34" s="278" t="s">
        <v>185</v>
      </c>
      <c r="D34" s="269">
        <f>SUM(D13:D32)</f>
        <v>179496.0727261366</v>
      </c>
      <c r="E34" s="269">
        <f>SUM(E13:E31)</f>
        <v>169414.06</v>
      </c>
      <c r="F34" s="279">
        <f>E34-D34</f>
        <v>-10082.0127261366</v>
      </c>
    </row>
    <row r="35" spans="2:6" x14ac:dyDescent="0.15">
      <c r="B35"/>
      <c r="C35"/>
      <c r="D35"/>
      <c r="E35"/>
      <c r="F35" s="280" t="s">
        <v>186</v>
      </c>
    </row>
    <row r="36" spans="2:6" x14ac:dyDescent="0.15">
      <c r="B36"/>
      <c r="C36"/>
      <c r="D36"/>
      <c r="E36"/>
      <c r="F36" s="280"/>
    </row>
    <row r="37" spans="2:6" x14ac:dyDescent="0.15">
      <c r="B37" s="1" t="s">
        <v>192</v>
      </c>
    </row>
    <row r="38" spans="2:6" x14ac:dyDescent="0.15">
      <c r="B38" s="1" t="s">
        <v>197</v>
      </c>
    </row>
    <row r="40" spans="2:6" x14ac:dyDescent="0.15">
      <c r="B40" s="365" t="s">
        <v>297</v>
      </c>
      <c r="C40" s="365"/>
      <c r="D40" s="365"/>
    </row>
    <row r="41" spans="2:6" x14ac:dyDescent="0.15">
      <c r="B41" s="365" t="s">
        <v>300</v>
      </c>
      <c r="C41" s="365"/>
      <c r="D41" s="365"/>
    </row>
    <row r="42" spans="2:6" x14ac:dyDescent="0.15">
      <c r="B42" s="365" t="s">
        <v>298</v>
      </c>
      <c r="C42" s="365"/>
      <c r="D42" s="365"/>
    </row>
    <row r="43" spans="2:6" x14ac:dyDescent="0.15">
      <c r="B43" s="365" t="s">
        <v>299</v>
      </c>
      <c r="C43" s="365"/>
      <c r="D43" s="365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95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  <pageSetUpPr fitToPage="1"/>
  </sheetPr>
  <dimension ref="A1:G40"/>
  <sheetViews>
    <sheetView zoomScale="90" zoomScaleNormal="90" workbookViewId="0">
      <selection activeCell="K30" sqref="K30"/>
    </sheetView>
  </sheetViews>
  <sheetFormatPr baseColWidth="10" defaultColWidth="12.6640625" defaultRowHeight="13" x14ac:dyDescent="0.15"/>
  <cols>
    <col min="1" max="1" width="4.5" customWidth="1"/>
    <col min="2" max="2" width="41.83203125" style="1" customWidth="1"/>
    <col min="3" max="3" width="10.33203125" style="2" customWidth="1"/>
    <col min="4" max="4" width="12.33203125" style="2" customWidth="1"/>
    <col min="5" max="5" width="13" style="2" customWidth="1"/>
    <col min="6" max="6" width="13" style="3" customWidth="1"/>
    <col min="7" max="7" width="4.5" customWidth="1"/>
  </cols>
  <sheetData>
    <row r="1" spans="1:7" ht="54.5" customHeight="1" x14ac:dyDescent="0.15">
      <c r="A1" s="370"/>
      <c r="B1" s="370"/>
      <c r="C1" s="370"/>
      <c r="D1" s="370"/>
      <c r="E1" s="370"/>
      <c r="F1" s="370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57" t="s">
        <v>187</v>
      </c>
    </row>
    <row r="6" spans="1:7" x14ac:dyDescent="0.15">
      <c r="A6" s="1"/>
      <c r="B6" s="258" t="s">
        <v>188</v>
      </c>
    </row>
    <row r="7" spans="1:7" x14ac:dyDescent="0.15">
      <c r="A7" s="1"/>
      <c r="B7" t="s">
        <v>189</v>
      </c>
    </row>
    <row r="9" spans="1:7" x14ac:dyDescent="0.15">
      <c r="B9" s="6"/>
      <c r="D9" s="2" t="s">
        <v>292</v>
      </c>
      <c r="G9" s="259"/>
    </row>
    <row r="10" spans="1:7" s="8" customFormat="1" ht="17.25" customHeight="1" x14ac:dyDescent="0.15">
      <c r="B10" s="104" t="s">
        <v>171</v>
      </c>
      <c r="C10" s="105"/>
      <c r="D10" s="105"/>
      <c r="E10" s="105"/>
      <c r="F10" s="106"/>
    </row>
    <row r="12" spans="1:7" s="8" customFormat="1" ht="15.5" customHeight="1" x14ac:dyDescent="0.15">
      <c r="B12" s="260" t="s">
        <v>5</v>
      </c>
      <c r="C12" s="261" t="s">
        <v>6</v>
      </c>
      <c r="D12" s="261" t="s">
        <v>172</v>
      </c>
      <c r="E12" s="262" t="s">
        <v>173</v>
      </c>
      <c r="F12" s="262" t="s">
        <v>174</v>
      </c>
    </row>
    <row r="13" spans="1:7" s="8" customFormat="1" hidden="1" x14ac:dyDescent="0.15">
      <c r="B13" s="263" t="s">
        <v>190</v>
      </c>
      <c r="C13" s="264">
        <v>45117</v>
      </c>
      <c r="D13" s="265"/>
      <c r="E13" s="265">
        <v>5900</v>
      </c>
      <c r="F13" s="266">
        <f>E13</f>
        <v>5900</v>
      </c>
    </row>
    <row r="14" spans="1:7" s="8" customFormat="1" hidden="1" x14ac:dyDescent="0.15">
      <c r="B14" s="263" t="s">
        <v>190</v>
      </c>
      <c r="C14" s="264">
        <v>45117</v>
      </c>
      <c r="D14" s="265"/>
      <c r="E14" s="265">
        <v>6015</v>
      </c>
      <c r="F14" s="266">
        <f t="shared" ref="F14:F21" si="0">F13-D14+E14</f>
        <v>11915</v>
      </c>
    </row>
    <row r="15" spans="1:7" s="8" customFormat="1" hidden="1" x14ac:dyDescent="0.15">
      <c r="B15" s="263" t="s">
        <v>190</v>
      </c>
      <c r="C15" s="264">
        <v>45210</v>
      </c>
      <c r="D15" s="265"/>
      <c r="E15" s="265">
        <v>25600</v>
      </c>
      <c r="F15" s="266">
        <f t="shared" si="0"/>
        <v>37515</v>
      </c>
    </row>
    <row r="16" spans="1:7" s="8" customFormat="1" hidden="1" x14ac:dyDescent="0.15">
      <c r="B16" s="263" t="s">
        <v>190</v>
      </c>
      <c r="C16" s="264">
        <v>45262</v>
      </c>
      <c r="D16" s="265"/>
      <c r="E16" s="265">
        <v>78000</v>
      </c>
      <c r="F16" s="266">
        <f t="shared" si="0"/>
        <v>115515</v>
      </c>
    </row>
    <row r="17" spans="2:6" s="8" customFormat="1" x14ac:dyDescent="0.15">
      <c r="B17" s="334" t="s">
        <v>277</v>
      </c>
      <c r="C17" s="335">
        <v>45291</v>
      </c>
      <c r="D17" s="336"/>
      <c r="E17" s="336"/>
      <c r="F17" s="333">
        <f t="shared" si="0"/>
        <v>115515</v>
      </c>
    </row>
    <row r="18" spans="2:6" s="8" customFormat="1" ht="28" x14ac:dyDescent="0.15">
      <c r="B18" s="271" t="s">
        <v>177</v>
      </c>
      <c r="C18" s="281">
        <v>45321</v>
      </c>
      <c r="D18" s="270">
        <v>20509.099999999999</v>
      </c>
      <c r="E18" s="265"/>
      <c r="F18" s="266">
        <f>F17-D18+E18</f>
        <v>95005.9</v>
      </c>
    </row>
    <row r="19" spans="2:6" s="8" customFormat="1" ht="28" x14ac:dyDescent="0.15">
      <c r="B19" s="271" t="s">
        <v>180</v>
      </c>
      <c r="C19" s="272">
        <v>45335</v>
      </c>
      <c r="D19" s="270">
        <v>106350.31</v>
      </c>
      <c r="E19" s="265"/>
      <c r="F19" s="266">
        <f t="shared" si="0"/>
        <v>-11344.410000000003</v>
      </c>
    </row>
    <row r="20" spans="2:6" s="8" customFormat="1" ht="28" x14ac:dyDescent="0.15">
      <c r="B20" s="271" t="s">
        <v>181</v>
      </c>
      <c r="C20" s="272">
        <v>45335</v>
      </c>
      <c r="D20" s="270">
        <v>5265.09</v>
      </c>
      <c r="E20" s="265"/>
      <c r="F20" s="266">
        <f t="shared" si="0"/>
        <v>-16609.500000000004</v>
      </c>
    </row>
    <row r="21" spans="2:6" s="8" customFormat="1" ht="28" x14ac:dyDescent="0.15">
      <c r="B21" s="271" t="s">
        <v>182</v>
      </c>
      <c r="C21" s="272">
        <v>45336</v>
      </c>
      <c r="D21" s="270">
        <v>16428.330000000002</v>
      </c>
      <c r="E21" s="265"/>
      <c r="F21" s="266">
        <f t="shared" si="0"/>
        <v>-33037.83</v>
      </c>
    </row>
    <row r="22" spans="2:6" s="8" customFormat="1" ht="28" x14ac:dyDescent="0.15">
      <c r="B22" s="271" t="s">
        <v>183</v>
      </c>
      <c r="C22" s="272">
        <v>45336</v>
      </c>
      <c r="D22" s="270">
        <v>1316.27</v>
      </c>
      <c r="E22" s="265"/>
      <c r="F22" s="266">
        <f>F21-D22+E22</f>
        <v>-34354.1</v>
      </c>
    </row>
    <row r="23" spans="2:6" s="8" customFormat="1" ht="14" x14ac:dyDescent="0.15">
      <c r="B23" s="271" t="s">
        <v>296</v>
      </c>
      <c r="C23" s="272">
        <v>45342</v>
      </c>
      <c r="D23" s="270"/>
      <c r="E23" s="265">
        <v>38625</v>
      </c>
      <c r="F23" s="266">
        <f>F22-D23+E23</f>
        <v>4270.9000000000015</v>
      </c>
    </row>
    <row r="24" spans="2:6" s="8" customFormat="1" ht="32" customHeight="1" x14ac:dyDescent="0.15">
      <c r="B24" s="369" t="s">
        <v>301</v>
      </c>
      <c r="C24" s="357">
        <v>45342</v>
      </c>
      <c r="D24" s="270">
        <v>1000</v>
      </c>
      <c r="E24" s="265"/>
      <c r="F24" s="266"/>
    </row>
    <row r="25" spans="2:6" s="8" customFormat="1" ht="28" x14ac:dyDescent="0.15">
      <c r="B25" s="271" t="s">
        <v>278</v>
      </c>
      <c r="C25" s="357">
        <v>45397</v>
      </c>
      <c r="D25" s="270">
        <v>16428.330000000002</v>
      </c>
      <c r="E25" s="265">
        <v>3270.9</v>
      </c>
      <c r="F25" s="266">
        <f>F23-D25+E25</f>
        <v>-8886.5300000000007</v>
      </c>
    </row>
    <row r="26" spans="2:6" s="8" customFormat="1" ht="28" x14ac:dyDescent="0.15">
      <c r="B26" s="271" t="s">
        <v>279</v>
      </c>
      <c r="C26" s="357">
        <v>45397</v>
      </c>
      <c r="D26" s="270">
        <v>1316.2725</v>
      </c>
      <c r="E26" s="265"/>
      <c r="F26" s="266">
        <f>F25-D26+E26</f>
        <v>-10202.802500000002</v>
      </c>
    </row>
    <row r="27" spans="2:6" s="8" customFormat="1" ht="28" x14ac:dyDescent="0.15">
      <c r="B27" s="271" t="s">
        <v>295</v>
      </c>
      <c r="C27" s="364">
        <v>45397</v>
      </c>
      <c r="D27" s="270">
        <v>10282.092832213126</v>
      </c>
      <c r="E27" s="265"/>
      <c r="F27" s="266">
        <f>F26-D27+E27</f>
        <v>-20484.895332213127</v>
      </c>
    </row>
    <row r="28" spans="2:6" s="8" customFormat="1" ht="15.25" customHeight="1" x14ac:dyDescent="0.15">
      <c r="B28" s="277"/>
      <c r="C28" s="278" t="s">
        <v>191</v>
      </c>
      <c r="D28" s="269">
        <f>SUM(D13:D27)</f>
        <v>178895.79533221311</v>
      </c>
      <c r="E28" s="269">
        <f>SUM(E13:E26)</f>
        <v>157410.9</v>
      </c>
      <c r="F28" s="279">
        <f>E28-D28</f>
        <v>-21484.895332213113</v>
      </c>
    </row>
    <row r="30" spans="2:6" s="8" customFormat="1" x14ac:dyDescent="0.15">
      <c r="B30" s="282"/>
    </row>
    <row r="31" spans="2:6" s="8" customFormat="1" x14ac:dyDescent="0.15">
      <c r="B31" s="1" t="s">
        <v>192</v>
      </c>
      <c r="C31" s="2"/>
      <c r="D31" s="2"/>
      <c r="E31" s="2"/>
      <c r="F31" s="3"/>
    </row>
    <row r="32" spans="2:6" x14ac:dyDescent="0.15">
      <c r="B32" s="1" t="s">
        <v>197</v>
      </c>
    </row>
    <row r="34" spans="2:4" x14ac:dyDescent="0.15">
      <c r="B34" s="365" t="s">
        <v>297</v>
      </c>
      <c r="C34" s="365"/>
      <c r="D34" s="365"/>
    </row>
    <row r="35" spans="2:4" x14ac:dyDescent="0.15">
      <c r="B35" s="365" t="s">
        <v>300</v>
      </c>
      <c r="C35" s="365"/>
      <c r="D35" s="365"/>
    </row>
    <row r="36" spans="2:4" x14ac:dyDescent="0.15">
      <c r="B36" s="365" t="s">
        <v>298</v>
      </c>
      <c r="C36" s="365"/>
      <c r="D36" s="365"/>
    </row>
    <row r="37" spans="2:4" x14ac:dyDescent="0.15">
      <c r="B37" s="365" t="s">
        <v>299</v>
      </c>
      <c r="C37" s="365"/>
      <c r="D37" s="365"/>
    </row>
    <row r="38" spans="2:4" x14ac:dyDescent="0.15">
      <c r="B38" s="366"/>
      <c r="C38" s="366"/>
      <c r="D38" s="366"/>
    </row>
    <row r="39" spans="2:4" x14ac:dyDescent="0.15">
      <c r="B39" s="366"/>
      <c r="C39" s="366"/>
      <c r="D39" s="366"/>
    </row>
    <row r="40" spans="2:4" x14ac:dyDescent="0.15">
      <c r="B40" s="367"/>
      <c r="C40" s="368"/>
      <c r="D40" s="368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7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  <pageSetUpPr fitToPage="1"/>
  </sheetPr>
  <dimension ref="A1:G37"/>
  <sheetViews>
    <sheetView zoomScale="90" zoomScaleNormal="90" workbookViewId="0">
      <selection activeCell="L42" sqref="L42"/>
    </sheetView>
  </sheetViews>
  <sheetFormatPr baseColWidth="10" defaultColWidth="12.6640625" defaultRowHeight="13" x14ac:dyDescent="0.15"/>
  <cols>
    <col min="1" max="1" width="4.5" customWidth="1"/>
    <col min="2" max="2" width="35.1640625" style="1" customWidth="1"/>
    <col min="3" max="3" width="12.83203125" style="2" customWidth="1"/>
    <col min="4" max="4" width="11.1640625" style="2" customWidth="1"/>
    <col min="5" max="5" width="11" style="2" customWidth="1"/>
    <col min="6" max="6" width="14.33203125" style="3" customWidth="1"/>
    <col min="7" max="7" width="4.5" customWidth="1"/>
  </cols>
  <sheetData>
    <row r="1" spans="1:7" ht="54.5" customHeight="1" x14ac:dyDescent="0.15">
      <c r="A1" s="370"/>
      <c r="B1" s="370"/>
      <c r="C1" s="370"/>
      <c r="D1" s="370"/>
      <c r="E1" s="370"/>
      <c r="F1" s="370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57" t="s">
        <v>193</v>
      </c>
    </row>
    <row r="6" spans="1:7" x14ac:dyDescent="0.15">
      <c r="A6" s="1"/>
      <c r="B6" s="258" t="s">
        <v>71</v>
      </c>
    </row>
    <row r="7" spans="1:7" x14ac:dyDescent="0.15">
      <c r="A7" s="1"/>
      <c r="B7" t="s">
        <v>194</v>
      </c>
    </row>
    <row r="8" spans="1:7" x14ac:dyDescent="0.15">
      <c r="C8" s="2" t="s">
        <v>292</v>
      </c>
    </row>
    <row r="9" spans="1:7" x14ac:dyDescent="0.15">
      <c r="B9" s="6"/>
      <c r="G9" s="259"/>
    </row>
    <row r="10" spans="1:7" s="8" customFormat="1" ht="17.25" customHeight="1" x14ac:dyDescent="0.15">
      <c r="B10" s="104" t="s">
        <v>171</v>
      </c>
      <c r="C10" s="105"/>
      <c r="D10" s="105"/>
      <c r="E10" s="105"/>
      <c r="F10" s="106"/>
    </row>
    <row r="12" spans="1:7" ht="15.25" customHeight="1" x14ac:dyDescent="0.15">
      <c r="B12" s="260" t="s">
        <v>5</v>
      </c>
      <c r="C12" s="261" t="s">
        <v>6</v>
      </c>
      <c r="D12" s="261" t="s">
        <v>172</v>
      </c>
      <c r="E12" s="262" t="s">
        <v>173</v>
      </c>
      <c r="F12" s="262" t="s">
        <v>174</v>
      </c>
    </row>
    <row r="13" spans="1:7" hidden="1" x14ac:dyDescent="0.15">
      <c r="B13" s="263" t="s">
        <v>195</v>
      </c>
      <c r="C13" s="264">
        <v>45111</v>
      </c>
      <c r="D13" s="265"/>
      <c r="E13" s="265">
        <v>7080</v>
      </c>
      <c r="F13" s="266">
        <f>E13</f>
        <v>7080</v>
      </c>
    </row>
    <row r="14" spans="1:7" hidden="1" x14ac:dyDescent="0.15">
      <c r="B14" s="263" t="s">
        <v>195</v>
      </c>
      <c r="C14" s="264">
        <v>45117</v>
      </c>
      <c r="D14" s="265"/>
      <c r="E14" s="265">
        <v>5900</v>
      </c>
      <c r="F14" s="266">
        <f t="shared" ref="F14:F28" si="0">F13-D14+E14</f>
        <v>12980</v>
      </c>
    </row>
    <row r="15" spans="1:7" hidden="1" x14ac:dyDescent="0.15">
      <c r="B15" s="263" t="s">
        <v>195</v>
      </c>
      <c r="C15" s="264">
        <v>45219</v>
      </c>
      <c r="D15" s="265"/>
      <c r="E15" s="265">
        <v>30110</v>
      </c>
      <c r="F15" s="266">
        <f t="shared" si="0"/>
        <v>43090</v>
      </c>
    </row>
    <row r="16" spans="1:7" hidden="1" x14ac:dyDescent="0.15">
      <c r="B16" s="263" t="s">
        <v>195</v>
      </c>
      <c r="C16" s="264">
        <v>45238</v>
      </c>
      <c r="D16" s="265"/>
      <c r="E16" s="265">
        <v>88000</v>
      </c>
      <c r="F16" s="266">
        <f t="shared" si="0"/>
        <v>131090</v>
      </c>
    </row>
    <row r="17" spans="2:6" hidden="1" x14ac:dyDescent="0.15">
      <c r="B17" s="263" t="s">
        <v>195</v>
      </c>
      <c r="C17" s="264">
        <v>45250</v>
      </c>
      <c r="D17" s="265"/>
      <c r="E17" s="265">
        <v>3530</v>
      </c>
      <c r="F17" s="266">
        <f t="shared" si="0"/>
        <v>134620</v>
      </c>
    </row>
    <row r="18" spans="2:6" x14ac:dyDescent="0.15">
      <c r="B18" s="334" t="s">
        <v>277</v>
      </c>
      <c r="C18" s="335">
        <v>45291</v>
      </c>
      <c r="D18" s="336"/>
      <c r="E18" s="336"/>
      <c r="F18" s="333">
        <f t="shared" si="0"/>
        <v>134620</v>
      </c>
    </row>
    <row r="19" spans="2:6" ht="28" x14ac:dyDescent="0.15">
      <c r="B19" s="271" t="s">
        <v>177</v>
      </c>
      <c r="C19" s="281">
        <v>45321</v>
      </c>
      <c r="D19" s="270">
        <v>24132.959999999999</v>
      </c>
      <c r="E19" s="265"/>
      <c r="F19" s="266">
        <f>F18-D19+E19</f>
        <v>110487.04000000001</v>
      </c>
    </row>
    <row r="20" spans="2:6" ht="14" x14ac:dyDescent="0.15">
      <c r="B20" s="271" t="s">
        <v>195</v>
      </c>
      <c r="C20" s="281">
        <v>45335</v>
      </c>
      <c r="D20" s="270"/>
      <c r="E20" s="265">
        <v>24134</v>
      </c>
      <c r="F20" s="266">
        <f t="shared" si="0"/>
        <v>134621.04</v>
      </c>
    </row>
    <row r="21" spans="2:6" ht="28" x14ac:dyDescent="0.15">
      <c r="B21" s="271" t="s">
        <v>180</v>
      </c>
      <c r="C21" s="272">
        <v>45335</v>
      </c>
      <c r="D21" s="270">
        <v>125141.93</v>
      </c>
      <c r="E21" s="265"/>
      <c r="F21" s="266">
        <f t="shared" si="0"/>
        <v>9479.1100000000151</v>
      </c>
    </row>
    <row r="22" spans="2:6" ht="28" x14ac:dyDescent="0.15">
      <c r="B22" s="271" t="s">
        <v>181</v>
      </c>
      <c r="C22" s="272">
        <v>45335</v>
      </c>
      <c r="D22" s="270">
        <v>6195.41</v>
      </c>
      <c r="E22" s="265"/>
      <c r="F22" s="266">
        <f t="shared" si="0"/>
        <v>3283.7000000000153</v>
      </c>
    </row>
    <row r="23" spans="2:6" ht="28" x14ac:dyDescent="0.15">
      <c r="B23" s="271" t="s">
        <v>182</v>
      </c>
      <c r="C23" s="272">
        <v>45336</v>
      </c>
      <c r="D23" s="270">
        <v>19331.14</v>
      </c>
      <c r="E23" s="265"/>
      <c r="F23" s="266">
        <f t="shared" si="0"/>
        <v>-16047.439999999984</v>
      </c>
    </row>
    <row r="24" spans="2:6" ht="28" x14ac:dyDescent="0.15">
      <c r="B24" s="271" t="s">
        <v>183</v>
      </c>
      <c r="C24" s="272">
        <v>45336</v>
      </c>
      <c r="D24" s="270">
        <v>1548.85</v>
      </c>
      <c r="E24" s="265"/>
      <c r="F24" s="266">
        <f t="shared" si="0"/>
        <v>-17596.289999999983</v>
      </c>
    </row>
    <row r="25" spans="2:6" ht="14" x14ac:dyDescent="0.15">
      <c r="B25" s="271" t="s">
        <v>195</v>
      </c>
      <c r="C25" s="272">
        <v>45358</v>
      </c>
      <c r="D25" s="270"/>
      <c r="E25" s="265">
        <v>17600</v>
      </c>
      <c r="F25" s="266">
        <f t="shared" si="0"/>
        <v>3.7100000000173168</v>
      </c>
    </row>
    <row r="26" spans="2:6" ht="28" x14ac:dyDescent="0.15">
      <c r="B26" s="271" t="s">
        <v>278</v>
      </c>
      <c r="C26" s="357">
        <v>45397</v>
      </c>
      <c r="D26" s="270">
        <v>19331.142500000002</v>
      </c>
      <c r="E26" s="265"/>
      <c r="F26" s="266">
        <f t="shared" si="0"/>
        <v>-19327.432499999984</v>
      </c>
    </row>
    <row r="27" spans="2:6" ht="28" x14ac:dyDescent="0.15">
      <c r="B27" s="271" t="s">
        <v>279</v>
      </c>
      <c r="C27" s="357">
        <v>45397</v>
      </c>
      <c r="D27" s="270">
        <v>1548.8525</v>
      </c>
      <c r="E27" s="265"/>
      <c r="F27" s="266">
        <f t="shared" si="0"/>
        <v>-20876.284999999985</v>
      </c>
    </row>
    <row r="28" spans="2:6" ht="28" x14ac:dyDescent="0.15">
      <c r="B28" s="271" t="s">
        <v>295</v>
      </c>
      <c r="C28" s="364">
        <v>45397</v>
      </c>
      <c r="D28" s="270">
        <v>12098.891652568849</v>
      </c>
      <c r="E28" s="265"/>
      <c r="F28" s="266">
        <f t="shared" si="0"/>
        <v>-32975.176652568836</v>
      </c>
    </row>
    <row r="29" spans="2:6" ht="15.25" customHeight="1" x14ac:dyDescent="0.15">
      <c r="B29" s="286"/>
      <c r="C29" s="287" t="s">
        <v>196</v>
      </c>
      <c r="D29" s="288">
        <f>SUM(D13:D28)</f>
        <v>209329.17665256886</v>
      </c>
      <c r="E29" s="288">
        <f>SUM(E13:E27)</f>
        <v>176354</v>
      </c>
      <c r="F29" s="289">
        <f>E29-D29</f>
        <v>-32975.176652568858</v>
      </c>
    </row>
    <row r="31" spans="2:6" x14ac:dyDescent="0.15">
      <c r="B31" s="1" t="s">
        <v>192</v>
      </c>
    </row>
    <row r="32" spans="2:6" x14ac:dyDescent="0.15">
      <c r="B32" s="1" t="s">
        <v>197</v>
      </c>
    </row>
    <row r="34" spans="2:4" x14ac:dyDescent="0.15">
      <c r="B34" s="365" t="s">
        <v>297</v>
      </c>
      <c r="C34" s="365"/>
      <c r="D34" s="365"/>
    </row>
    <row r="35" spans="2:4" x14ac:dyDescent="0.15">
      <c r="B35" s="365" t="s">
        <v>300</v>
      </c>
      <c r="C35" s="365"/>
      <c r="D35" s="365"/>
    </row>
    <row r="36" spans="2:4" x14ac:dyDescent="0.15">
      <c r="B36" s="365" t="s">
        <v>298</v>
      </c>
      <c r="C36" s="365"/>
      <c r="D36" s="365"/>
    </row>
    <row r="37" spans="2:4" x14ac:dyDescent="0.15">
      <c r="B37" s="365" t="s">
        <v>299</v>
      </c>
      <c r="C37" s="365"/>
      <c r="D37" s="365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93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  <pageSetUpPr fitToPage="1"/>
  </sheetPr>
  <dimension ref="A1:G36"/>
  <sheetViews>
    <sheetView zoomScale="90" zoomScaleNormal="90" workbookViewId="0">
      <selection activeCell="F7" sqref="F7"/>
    </sheetView>
  </sheetViews>
  <sheetFormatPr baseColWidth="10" defaultColWidth="12.6640625" defaultRowHeight="13" x14ac:dyDescent="0.15"/>
  <cols>
    <col min="1" max="1" width="4.5" customWidth="1"/>
    <col min="2" max="2" width="36.33203125" style="1" customWidth="1"/>
    <col min="3" max="3" width="13.1640625" style="2" customWidth="1"/>
    <col min="4" max="4" width="13" style="2" customWidth="1"/>
    <col min="5" max="5" width="10.83203125" style="2" customWidth="1"/>
    <col min="6" max="6" width="10.1640625" style="3" customWidth="1"/>
    <col min="7" max="7" width="4.5" customWidth="1"/>
  </cols>
  <sheetData>
    <row r="1" spans="1:7" ht="54.5" customHeight="1" x14ac:dyDescent="0.15">
      <c r="A1" s="370"/>
      <c r="B1" s="370"/>
      <c r="C1" s="370"/>
      <c r="D1" s="370"/>
      <c r="E1" s="370"/>
      <c r="F1" s="370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57" t="s">
        <v>198</v>
      </c>
    </row>
    <row r="6" spans="1:7" x14ac:dyDescent="0.15">
      <c r="A6" s="1"/>
      <c r="B6" s="258" t="s">
        <v>73</v>
      </c>
    </row>
    <row r="7" spans="1:7" x14ac:dyDescent="0.15">
      <c r="A7" s="1"/>
      <c r="B7" t="s">
        <v>199</v>
      </c>
    </row>
    <row r="8" spans="1:7" x14ac:dyDescent="0.15">
      <c r="C8" s="2" t="s">
        <v>292</v>
      </c>
    </row>
    <row r="9" spans="1:7" x14ac:dyDescent="0.15">
      <c r="B9" s="6"/>
      <c r="G9" s="259"/>
    </row>
    <row r="10" spans="1:7" s="8" customFormat="1" ht="17.25" customHeight="1" x14ac:dyDescent="0.15">
      <c r="B10" s="104" t="s">
        <v>171</v>
      </c>
      <c r="C10" s="105"/>
      <c r="D10" s="105"/>
      <c r="E10" s="105"/>
      <c r="F10" s="106"/>
    </row>
    <row r="12" spans="1:7" ht="15.25" customHeight="1" x14ac:dyDescent="0.15">
      <c r="B12" s="260" t="s">
        <v>5</v>
      </c>
      <c r="C12" s="261" t="s">
        <v>6</v>
      </c>
      <c r="D12" s="261" t="s">
        <v>172</v>
      </c>
      <c r="E12" s="262" t="s">
        <v>173</v>
      </c>
      <c r="F12" s="262" t="s">
        <v>174</v>
      </c>
    </row>
    <row r="13" spans="1:7" hidden="1" x14ac:dyDescent="0.15">
      <c r="B13" s="263" t="s">
        <v>200</v>
      </c>
      <c r="C13" s="264">
        <v>45117</v>
      </c>
      <c r="D13" s="265"/>
      <c r="E13" s="265">
        <v>5900</v>
      </c>
      <c r="F13" s="266">
        <f>E13</f>
        <v>5900</v>
      </c>
    </row>
    <row r="14" spans="1:7" hidden="1" x14ac:dyDescent="0.15">
      <c r="B14" s="263" t="s">
        <v>201</v>
      </c>
      <c r="C14" s="264">
        <v>45197</v>
      </c>
      <c r="D14" s="265"/>
      <c r="E14" s="265">
        <v>3600</v>
      </c>
      <c r="F14" s="266">
        <f t="shared" ref="F14:F27" si="0">F13-D14+E14</f>
        <v>9500</v>
      </c>
    </row>
    <row r="15" spans="1:7" hidden="1" x14ac:dyDescent="0.15">
      <c r="B15" s="263" t="s">
        <v>201</v>
      </c>
      <c r="C15" s="264">
        <v>45229</v>
      </c>
      <c r="D15" s="265"/>
      <c r="E15" s="265">
        <v>15300</v>
      </c>
      <c r="F15" s="266">
        <f t="shared" si="0"/>
        <v>24800</v>
      </c>
    </row>
    <row r="16" spans="1:7" hidden="1" x14ac:dyDescent="0.15">
      <c r="B16" s="263" t="s">
        <v>202</v>
      </c>
      <c r="C16" s="264">
        <v>45258</v>
      </c>
      <c r="D16" s="265"/>
      <c r="E16" s="265">
        <v>46400</v>
      </c>
      <c r="F16" s="266">
        <f t="shared" si="0"/>
        <v>71200</v>
      </c>
    </row>
    <row r="17" spans="2:6" x14ac:dyDescent="0.15">
      <c r="B17" s="334" t="s">
        <v>277</v>
      </c>
      <c r="C17" s="335">
        <v>45291</v>
      </c>
      <c r="D17" s="336"/>
      <c r="E17" s="336"/>
      <c r="F17" s="333">
        <f t="shared" si="0"/>
        <v>71200</v>
      </c>
    </row>
    <row r="18" spans="2:6" ht="28" x14ac:dyDescent="0.15">
      <c r="B18" s="271" t="s">
        <v>177</v>
      </c>
      <c r="C18" s="281">
        <v>45321</v>
      </c>
      <c r="D18" s="270">
        <v>12239.9</v>
      </c>
      <c r="E18" s="265"/>
      <c r="F18" s="266">
        <f>F17-D18+E18</f>
        <v>58960.1</v>
      </c>
    </row>
    <row r="19" spans="2:6" ht="28" x14ac:dyDescent="0.15">
      <c r="B19" s="271" t="s">
        <v>180</v>
      </c>
      <c r="C19" s="272">
        <v>45335</v>
      </c>
      <c r="D19" s="270">
        <v>63470.2</v>
      </c>
      <c r="E19" s="265"/>
      <c r="F19" s="266">
        <f t="shared" si="0"/>
        <v>-4510.0999999999985</v>
      </c>
    </row>
    <row r="20" spans="2:6" ht="28" x14ac:dyDescent="0.15">
      <c r="B20" s="271" t="s">
        <v>181</v>
      </c>
      <c r="C20" s="272">
        <v>45335</v>
      </c>
      <c r="D20" s="270">
        <v>3142.22</v>
      </c>
      <c r="E20" s="265"/>
      <c r="F20" s="266">
        <f t="shared" si="0"/>
        <v>-7652.3199999999979</v>
      </c>
    </row>
    <row r="21" spans="2:6" ht="28" x14ac:dyDescent="0.15">
      <c r="B21" s="271" t="s">
        <v>182</v>
      </c>
      <c r="C21" s="272">
        <v>45336</v>
      </c>
      <c r="D21" s="270">
        <v>9804.48</v>
      </c>
      <c r="E21" s="265"/>
      <c r="F21" s="266">
        <f t="shared" si="0"/>
        <v>-17456.799999999996</v>
      </c>
    </row>
    <row r="22" spans="2:6" ht="28" x14ac:dyDescent="0.15">
      <c r="B22" s="271" t="s">
        <v>183</v>
      </c>
      <c r="C22" s="272">
        <v>45336</v>
      </c>
      <c r="D22" s="270">
        <v>785.56</v>
      </c>
      <c r="E22" s="265"/>
      <c r="F22" s="266">
        <f t="shared" si="0"/>
        <v>-18242.359999999997</v>
      </c>
    </row>
    <row r="23" spans="2:6" ht="14" x14ac:dyDescent="0.15">
      <c r="B23" s="271" t="s">
        <v>200</v>
      </c>
      <c r="C23" s="272">
        <v>45342</v>
      </c>
      <c r="D23" s="270"/>
      <c r="E23" s="265">
        <v>12230</v>
      </c>
      <c r="F23" s="266">
        <f t="shared" si="0"/>
        <v>-6012.3599999999969</v>
      </c>
    </row>
    <row r="24" spans="2:6" ht="14" x14ac:dyDescent="0.15">
      <c r="B24" s="271" t="s">
        <v>200</v>
      </c>
      <c r="C24" s="272">
        <v>45359</v>
      </c>
      <c r="D24" s="270"/>
      <c r="E24" s="265">
        <v>6015</v>
      </c>
      <c r="F24" s="266">
        <f t="shared" si="0"/>
        <v>2.6400000000030559</v>
      </c>
    </row>
    <row r="25" spans="2:6" ht="28" x14ac:dyDescent="0.15">
      <c r="B25" s="271" t="s">
        <v>278</v>
      </c>
      <c r="C25" s="357">
        <v>45397</v>
      </c>
      <c r="D25" s="270">
        <v>9804.48</v>
      </c>
      <c r="E25" s="265"/>
      <c r="F25" s="266">
        <f t="shared" si="0"/>
        <v>-9801.8399999999965</v>
      </c>
    </row>
    <row r="26" spans="2:6" ht="28" x14ac:dyDescent="0.15">
      <c r="B26" s="271" t="s">
        <v>279</v>
      </c>
      <c r="C26" s="357">
        <v>45397</v>
      </c>
      <c r="D26" s="270">
        <v>785.55499999999995</v>
      </c>
      <c r="E26" s="265"/>
      <c r="F26" s="266">
        <f t="shared" si="0"/>
        <v>-10587.394999999997</v>
      </c>
    </row>
    <row r="27" spans="2:6" ht="28" x14ac:dyDescent="0.15">
      <c r="B27" s="271" t="s">
        <v>295</v>
      </c>
      <c r="C27" s="364">
        <v>45397</v>
      </c>
      <c r="D27" s="270">
        <v>6163.1818389648379</v>
      </c>
      <c r="E27" s="265"/>
      <c r="F27" s="266">
        <f t="shared" si="0"/>
        <v>-16750.576838964836</v>
      </c>
    </row>
    <row r="28" spans="2:6" ht="15.25" customHeight="1" x14ac:dyDescent="0.15">
      <c r="B28" s="277"/>
      <c r="C28" s="278" t="s">
        <v>203</v>
      </c>
      <c r="D28" s="269">
        <f>SUM(D13:D27)</f>
        <v>106195.57683896481</v>
      </c>
      <c r="E28" s="269">
        <f>SUM(E13:E26)</f>
        <v>89445</v>
      </c>
      <c r="F28" s="290">
        <f>E28-D28</f>
        <v>-16750.576838964815</v>
      </c>
    </row>
    <row r="30" spans="2:6" x14ac:dyDescent="0.15">
      <c r="B30" s="1" t="s">
        <v>192</v>
      </c>
    </row>
    <row r="31" spans="2:6" x14ac:dyDescent="0.15">
      <c r="B31" s="1" t="s">
        <v>197</v>
      </c>
    </row>
    <row r="33" spans="2:4" x14ac:dyDescent="0.15">
      <c r="B33" s="365" t="s">
        <v>297</v>
      </c>
      <c r="C33" s="365"/>
      <c r="D33" s="365"/>
    </row>
    <row r="34" spans="2:4" x14ac:dyDescent="0.15">
      <c r="B34" s="365" t="s">
        <v>300</v>
      </c>
      <c r="C34" s="365"/>
      <c r="D34" s="365"/>
    </row>
    <row r="35" spans="2:4" x14ac:dyDescent="0.15">
      <c r="B35" s="365" t="s">
        <v>298</v>
      </c>
      <c r="C35" s="365"/>
      <c r="D35" s="365"/>
    </row>
    <row r="36" spans="2:4" x14ac:dyDescent="0.15">
      <c r="B36" s="365" t="s">
        <v>299</v>
      </c>
      <c r="C36" s="365"/>
      <c r="D36" s="365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94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  <pageSetUpPr fitToPage="1"/>
  </sheetPr>
  <dimension ref="A1:G36"/>
  <sheetViews>
    <sheetView zoomScale="90" zoomScaleNormal="90" workbookViewId="0">
      <selection activeCell="G9" sqref="G9"/>
    </sheetView>
  </sheetViews>
  <sheetFormatPr baseColWidth="10" defaultColWidth="12.6640625" defaultRowHeight="13" x14ac:dyDescent="0.15"/>
  <cols>
    <col min="1" max="1" width="4.5" customWidth="1"/>
    <col min="2" max="2" width="36.33203125" style="1" customWidth="1"/>
    <col min="3" max="3" width="13.1640625" style="2" customWidth="1"/>
    <col min="4" max="4" width="13" style="2" customWidth="1"/>
    <col min="5" max="5" width="10.33203125" style="2" customWidth="1"/>
    <col min="6" max="6" width="11.83203125" style="3" customWidth="1"/>
    <col min="7" max="7" width="4.5" customWidth="1"/>
  </cols>
  <sheetData>
    <row r="1" spans="1:7" ht="54.5" customHeight="1" x14ac:dyDescent="0.15">
      <c r="A1" s="370"/>
      <c r="B1" s="370"/>
      <c r="C1" s="370"/>
      <c r="D1" s="370"/>
      <c r="E1" s="370"/>
      <c r="F1" s="370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57" t="s">
        <v>204</v>
      </c>
    </row>
    <row r="6" spans="1:7" x14ac:dyDescent="0.15">
      <c r="A6" s="1"/>
      <c r="B6" s="258" t="s">
        <v>75</v>
      </c>
    </row>
    <row r="7" spans="1:7" x14ac:dyDescent="0.15">
      <c r="A7" s="1"/>
      <c r="B7" t="s">
        <v>205</v>
      </c>
    </row>
    <row r="8" spans="1:7" x14ac:dyDescent="0.15">
      <c r="C8" s="2" t="s">
        <v>292</v>
      </c>
    </row>
    <row r="9" spans="1:7" x14ac:dyDescent="0.15">
      <c r="B9" s="6"/>
      <c r="G9" s="259"/>
    </row>
    <row r="10" spans="1:7" s="8" customFormat="1" ht="17.25" customHeight="1" x14ac:dyDescent="0.15">
      <c r="B10" s="104" t="s">
        <v>171</v>
      </c>
      <c r="C10" s="105"/>
      <c r="D10" s="105"/>
      <c r="E10" s="105"/>
      <c r="F10" s="106"/>
    </row>
    <row r="12" spans="1:7" s="8" customFormat="1" ht="15.25" customHeight="1" x14ac:dyDescent="0.15">
      <c r="B12" s="260" t="s">
        <v>5</v>
      </c>
      <c r="C12" s="261" t="s">
        <v>6</v>
      </c>
      <c r="D12" s="261" t="s">
        <v>172</v>
      </c>
      <c r="E12" s="262" t="s">
        <v>173</v>
      </c>
      <c r="F12" s="262" t="s">
        <v>174</v>
      </c>
    </row>
    <row r="13" spans="1:7" s="8" customFormat="1" hidden="1" x14ac:dyDescent="0.15">
      <c r="B13" s="263" t="s">
        <v>206</v>
      </c>
      <c r="C13" s="264">
        <v>45117</v>
      </c>
      <c r="D13" s="265"/>
      <c r="E13" s="265">
        <v>5900</v>
      </c>
      <c r="F13" s="266">
        <f>E13</f>
        <v>5900</v>
      </c>
    </row>
    <row r="14" spans="1:7" s="8" customFormat="1" hidden="1" x14ac:dyDescent="0.15">
      <c r="B14" s="263" t="s">
        <v>206</v>
      </c>
      <c r="C14" s="264">
        <v>45117</v>
      </c>
      <c r="D14" s="265"/>
      <c r="E14" s="265">
        <v>4425</v>
      </c>
      <c r="F14" s="266">
        <f t="shared" ref="F14:F27" si="0">F13-D14+E14</f>
        <v>10325</v>
      </c>
    </row>
    <row r="15" spans="1:7" s="8" customFormat="1" hidden="1" x14ac:dyDescent="0.15">
      <c r="B15" s="263" t="s">
        <v>206</v>
      </c>
      <c r="C15" s="264">
        <v>45208</v>
      </c>
      <c r="D15" s="265"/>
      <c r="E15" s="265">
        <v>18821</v>
      </c>
      <c r="F15" s="266">
        <f t="shared" si="0"/>
        <v>29146</v>
      </c>
    </row>
    <row r="16" spans="1:7" s="8" customFormat="1" hidden="1" x14ac:dyDescent="0.15">
      <c r="B16" s="263" t="s">
        <v>206</v>
      </c>
      <c r="C16" s="264">
        <v>45245</v>
      </c>
      <c r="D16" s="265"/>
      <c r="E16" s="265">
        <v>57225</v>
      </c>
      <c r="F16" s="266">
        <f t="shared" si="0"/>
        <v>86371</v>
      </c>
    </row>
    <row r="17" spans="2:6" s="8" customFormat="1" x14ac:dyDescent="0.15">
      <c r="B17" s="334" t="s">
        <v>277</v>
      </c>
      <c r="C17" s="335">
        <v>45291</v>
      </c>
      <c r="D17" s="336"/>
      <c r="E17" s="336"/>
      <c r="F17" s="333">
        <f t="shared" si="0"/>
        <v>86371</v>
      </c>
    </row>
    <row r="18" spans="2:6" s="8" customFormat="1" ht="28" x14ac:dyDescent="0.15">
      <c r="B18" s="271" t="s">
        <v>177</v>
      </c>
      <c r="C18" s="281">
        <v>45321</v>
      </c>
      <c r="D18" s="270">
        <v>15084.59</v>
      </c>
      <c r="E18" s="265"/>
      <c r="F18" s="266">
        <f>F17-D18+E18</f>
        <v>71286.41</v>
      </c>
    </row>
    <row r="19" spans="2:6" s="8" customFormat="1" ht="28" x14ac:dyDescent="0.15">
      <c r="B19" s="271" t="s">
        <v>180</v>
      </c>
      <c r="C19" s="272">
        <v>45335</v>
      </c>
      <c r="D19" s="270">
        <v>78221.399999999994</v>
      </c>
      <c r="E19" s="265"/>
      <c r="F19" s="266">
        <f t="shared" si="0"/>
        <v>-6934.9899999999907</v>
      </c>
    </row>
    <row r="20" spans="2:6" s="8" customFormat="1" ht="28" x14ac:dyDescent="0.15">
      <c r="B20" s="271" t="s">
        <v>181</v>
      </c>
      <c r="C20" s="272">
        <v>45335</v>
      </c>
      <c r="D20" s="270">
        <v>3872.51</v>
      </c>
      <c r="E20" s="265"/>
      <c r="F20" s="266">
        <f t="shared" si="0"/>
        <v>-10807.499999999991</v>
      </c>
    </row>
    <row r="21" spans="2:6" s="8" customFormat="1" ht="28" x14ac:dyDescent="0.15">
      <c r="B21" s="271" t="s">
        <v>182</v>
      </c>
      <c r="C21" s="272">
        <v>45336</v>
      </c>
      <c r="D21" s="270">
        <v>12083.15</v>
      </c>
      <c r="E21" s="265"/>
      <c r="F21" s="266">
        <f t="shared" si="0"/>
        <v>-22890.649999999991</v>
      </c>
    </row>
    <row r="22" spans="2:6" s="8" customFormat="1" ht="28" x14ac:dyDescent="0.15">
      <c r="B22" s="271" t="s">
        <v>183</v>
      </c>
      <c r="C22" s="272">
        <v>45336</v>
      </c>
      <c r="D22" s="270">
        <v>968.13</v>
      </c>
      <c r="E22" s="265"/>
      <c r="F22" s="266">
        <f t="shared" si="0"/>
        <v>-23858.779999999992</v>
      </c>
    </row>
    <row r="23" spans="2:6" s="8" customFormat="1" ht="14" x14ac:dyDescent="0.15">
      <c r="B23" s="271" t="s">
        <v>206</v>
      </c>
      <c r="C23" s="272">
        <v>45336</v>
      </c>
      <c r="D23" s="270"/>
      <c r="E23" s="265">
        <v>15000</v>
      </c>
      <c r="F23" s="266">
        <f t="shared" si="0"/>
        <v>-8858.7799999999916</v>
      </c>
    </row>
    <row r="24" spans="2:6" s="8" customFormat="1" ht="14" x14ac:dyDescent="0.15">
      <c r="B24" s="271" t="s">
        <v>206</v>
      </c>
      <c r="C24" s="272">
        <v>45358</v>
      </c>
      <c r="D24" s="270"/>
      <c r="E24" s="265">
        <v>8900</v>
      </c>
      <c r="F24" s="266">
        <f t="shared" si="0"/>
        <v>41.22000000000844</v>
      </c>
    </row>
    <row r="25" spans="2:6" s="8" customFormat="1" ht="28" x14ac:dyDescent="0.15">
      <c r="B25" s="271" t="s">
        <v>278</v>
      </c>
      <c r="C25" s="357">
        <v>45397</v>
      </c>
      <c r="D25" s="270">
        <v>12083.1525</v>
      </c>
      <c r="E25" s="265"/>
      <c r="F25" s="266">
        <f t="shared" si="0"/>
        <v>-12041.932499999992</v>
      </c>
    </row>
    <row r="26" spans="2:6" s="8" customFormat="1" ht="28" x14ac:dyDescent="0.15">
      <c r="B26" s="271" t="s">
        <v>279</v>
      </c>
      <c r="C26" s="357">
        <v>45397</v>
      </c>
      <c r="D26" s="270">
        <v>968.12750000000005</v>
      </c>
      <c r="E26" s="265"/>
      <c r="F26" s="266">
        <f t="shared" si="0"/>
        <v>-13010.059999999992</v>
      </c>
    </row>
    <row r="27" spans="2:6" s="8" customFormat="1" ht="28" x14ac:dyDescent="0.15">
      <c r="B27" s="271" t="s">
        <v>295</v>
      </c>
      <c r="C27" s="364">
        <v>45397</v>
      </c>
      <c r="D27" s="270">
        <v>7562.5516284882551</v>
      </c>
      <c r="E27" s="265"/>
      <c r="F27" s="266">
        <f t="shared" si="0"/>
        <v>-20572.611628488248</v>
      </c>
    </row>
    <row r="28" spans="2:6" s="8" customFormat="1" ht="15.25" customHeight="1" x14ac:dyDescent="0.15">
      <c r="B28" s="277"/>
      <c r="C28" s="278" t="s">
        <v>207</v>
      </c>
      <c r="D28" s="269">
        <f>SUM(D13:D27)</f>
        <v>130843.61162848824</v>
      </c>
      <c r="E28" s="269">
        <f>SUM(E13:E26)</f>
        <v>110271</v>
      </c>
      <c r="F28" s="290">
        <f>E28-D28</f>
        <v>-20572.611628488245</v>
      </c>
    </row>
    <row r="30" spans="2:6" x14ac:dyDescent="0.15">
      <c r="B30" s="1" t="s">
        <v>192</v>
      </c>
    </row>
    <row r="31" spans="2:6" x14ac:dyDescent="0.15">
      <c r="B31" s="1" t="s">
        <v>197</v>
      </c>
    </row>
    <row r="33" spans="2:4" x14ac:dyDescent="0.15">
      <c r="B33" s="365" t="s">
        <v>297</v>
      </c>
      <c r="C33" s="365"/>
      <c r="D33" s="365"/>
    </row>
    <row r="34" spans="2:4" x14ac:dyDescent="0.15">
      <c r="B34" s="365" t="s">
        <v>300</v>
      </c>
      <c r="C34" s="365"/>
      <c r="D34" s="365"/>
    </row>
    <row r="35" spans="2:4" x14ac:dyDescent="0.15">
      <c r="B35" s="365" t="s">
        <v>298</v>
      </c>
      <c r="C35" s="365"/>
      <c r="D35" s="365"/>
    </row>
    <row r="36" spans="2:4" x14ac:dyDescent="0.15">
      <c r="B36" s="365" t="s">
        <v>299</v>
      </c>
      <c r="C36" s="365"/>
      <c r="D36" s="365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93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  <pageSetUpPr fitToPage="1"/>
  </sheetPr>
  <dimension ref="A1:G36"/>
  <sheetViews>
    <sheetView zoomScale="90" zoomScaleNormal="90" workbookViewId="0">
      <selection activeCell="G9" sqref="G9"/>
    </sheetView>
  </sheetViews>
  <sheetFormatPr baseColWidth="10" defaultColWidth="12.6640625" defaultRowHeight="13" x14ac:dyDescent="0.15"/>
  <cols>
    <col min="1" max="1" width="4.5" customWidth="1"/>
    <col min="2" max="2" width="36.33203125" style="1" customWidth="1"/>
    <col min="3" max="3" width="13.1640625" style="2" customWidth="1"/>
    <col min="4" max="4" width="11.33203125" style="2" customWidth="1"/>
    <col min="5" max="5" width="10.6640625" style="2" customWidth="1"/>
    <col min="6" max="6" width="13" style="3" customWidth="1"/>
    <col min="7" max="7" width="4.5" customWidth="1"/>
  </cols>
  <sheetData>
    <row r="1" spans="1:7" ht="54.5" customHeight="1" x14ac:dyDescent="0.15">
      <c r="A1" s="370"/>
      <c r="B1" s="370"/>
      <c r="C1" s="370"/>
      <c r="D1" s="370"/>
      <c r="E1" s="370"/>
      <c r="F1" s="370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57" t="s">
        <v>208</v>
      </c>
    </row>
    <row r="6" spans="1:7" x14ac:dyDescent="0.15">
      <c r="A6" s="1"/>
      <c r="B6" s="258" t="s">
        <v>209</v>
      </c>
    </row>
    <row r="7" spans="1:7" x14ac:dyDescent="0.15">
      <c r="A7" s="1"/>
      <c r="B7" t="s">
        <v>210</v>
      </c>
    </row>
    <row r="8" spans="1:7" x14ac:dyDescent="0.15">
      <c r="C8" s="2" t="s">
        <v>292</v>
      </c>
    </row>
    <row r="9" spans="1:7" x14ac:dyDescent="0.15">
      <c r="B9" s="6"/>
      <c r="G9" s="259"/>
    </row>
    <row r="10" spans="1:7" s="8" customFormat="1" ht="17.25" customHeight="1" x14ac:dyDescent="0.15">
      <c r="B10" s="104" t="s">
        <v>171</v>
      </c>
      <c r="C10" s="105"/>
      <c r="D10" s="105"/>
      <c r="E10" s="105"/>
      <c r="F10" s="106"/>
    </row>
    <row r="12" spans="1:7" ht="15.25" customHeight="1" x14ac:dyDescent="0.15">
      <c r="B12" s="15" t="s">
        <v>5</v>
      </c>
      <c r="C12" s="16" t="s">
        <v>6</v>
      </c>
      <c r="D12" s="16" t="s">
        <v>172</v>
      </c>
      <c r="E12" s="17" t="s">
        <v>173</v>
      </c>
      <c r="F12" s="17" t="s">
        <v>174</v>
      </c>
    </row>
    <row r="13" spans="1:7" hidden="1" x14ac:dyDescent="0.15">
      <c r="B13" s="111" t="s">
        <v>211</v>
      </c>
      <c r="C13" s="119">
        <v>45117</v>
      </c>
      <c r="D13" s="291"/>
      <c r="E13" s="291">
        <v>5900</v>
      </c>
      <c r="F13" s="292">
        <f>E13</f>
        <v>5900</v>
      </c>
    </row>
    <row r="14" spans="1:7" hidden="1" x14ac:dyDescent="0.15">
      <c r="B14" s="111" t="s">
        <v>211</v>
      </c>
      <c r="C14" s="119">
        <v>45117</v>
      </c>
      <c r="D14" s="291"/>
      <c r="E14" s="291">
        <v>7272</v>
      </c>
      <c r="F14" s="292">
        <f t="shared" ref="F14:F27" si="0">F13-D14+E14</f>
        <v>13172</v>
      </c>
    </row>
    <row r="15" spans="1:7" hidden="1" x14ac:dyDescent="0.15">
      <c r="B15" s="111" t="s">
        <v>211</v>
      </c>
      <c r="C15" s="119">
        <v>45217</v>
      </c>
      <c r="D15" s="291"/>
      <c r="E15" s="291">
        <v>30925</v>
      </c>
      <c r="F15" s="292">
        <f t="shared" si="0"/>
        <v>44097</v>
      </c>
    </row>
    <row r="16" spans="1:7" hidden="1" x14ac:dyDescent="0.15">
      <c r="B16" s="111" t="s">
        <v>211</v>
      </c>
      <c r="C16" s="119">
        <v>45246</v>
      </c>
      <c r="D16" s="291"/>
      <c r="E16" s="291">
        <v>94010</v>
      </c>
      <c r="F16" s="292">
        <f t="shared" si="0"/>
        <v>138107</v>
      </c>
    </row>
    <row r="17" spans="2:6" x14ac:dyDescent="0.15">
      <c r="B17" s="334" t="s">
        <v>277</v>
      </c>
      <c r="C17" s="335">
        <v>45291</v>
      </c>
      <c r="D17" s="337"/>
      <c r="E17" s="337"/>
      <c r="F17" s="338">
        <f t="shared" si="0"/>
        <v>138107</v>
      </c>
    </row>
    <row r="18" spans="2:6" ht="28" x14ac:dyDescent="0.15">
      <c r="B18" s="293" t="s">
        <v>177</v>
      </c>
      <c r="C18" s="294">
        <v>45321</v>
      </c>
      <c r="D18" s="295">
        <v>24786.23</v>
      </c>
      <c r="E18" s="291"/>
      <c r="F18" s="292">
        <f>F17-D18+E18</f>
        <v>113320.77</v>
      </c>
    </row>
    <row r="19" spans="2:6" ht="14" x14ac:dyDescent="0.15">
      <c r="B19" s="293" t="s">
        <v>211</v>
      </c>
      <c r="C19" s="294">
        <v>45334</v>
      </c>
      <c r="D19" s="295"/>
      <c r="E19" s="291">
        <v>24787</v>
      </c>
      <c r="F19" s="292">
        <f t="shared" si="0"/>
        <v>138107.77000000002</v>
      </c>
    </row>
    <row r="20" spans="2:6" ht="28" x14ac:dyDescent="0.15">
      <c r="B20" s="271" t="s">
        <v>180</v>
      </c>
      <c r="C20" s="272">
        <v>45335</v>
      </c>
      <c r="D20" s="295">
        <v>128529.47</v>
      </c>
      <c r="E20" s="291"/>
      <c r="F20" s="292">
        <f t="shared" si="0"/>
        <v>9578.3000000000175</v>
      </c>
    </row>
    <row r="21" spans="2:6" ht="28" x14ac:dyDescent="0.15">
      <c r="B21" s="271" t="s">
        <v>181</v>
      </c>
      <c r="C21" s="272">
        <v>45335</v>
      </c>
      <c r="D21" s="295">
        <v>6363.12</v>
      </c>
      <c r="E21" s="291"/>
      <c r="F21" s="292">
        <f t="shared" si="0"/>
        <v>3215.1800000000176</v>
      </c>
    </row>
    <row r="22" spans="2:6" ht="28" x14ac:dyDescent="0.15">
      <c r="B22" s="271" t="s">
        <v>182</v>
      </c>
      <c r="C22" s="272">
        <v>45336</v>
      </c>
      <c r="D22" s="295">
        <v>19854.43</v>
      </c>
      <c r="E22" s="291"/>
      <c r="F22" s="292">
        <f t="shared" si="0"/>
        <v>-16639.249999999982</v>
      </c>
    </row>
    <row r="23" spans="2:6" ht="28" x14ac:dyDescent="0.15">
      <c r="B23" s="271" t="s">
        <v>183</v>
      </c>
      <c r="C23" s="272">
        <v>45336</v>
      </c>
      <c r="D23" s="295">
        <v>1590.78</v>
      </c>
      <c r="E23" s="291"/>
      <c r="F23" s="292">
        <f t="shared" si="0"/>
        <v>-18230.029999999981</v>
      </c>
    </row>
    <row r="24" spans="2:6" ht="14" x14ac:dyDescent="0.15">
      <c r="B24" s="271" t="s">
        <v>211</v>
      </c>
      <c r="C24" s="272">
        <v>45358</v>
      </c>
      <c r="D24" s="295"/>
      <c r="E24" s="291">
        <v>18230.03</v>
      </c>
      <c r="F24" s="292">
        <f t="shared" si="0"/>
        <v>0</v>
      </c>
    </row>
    <row r="25" spans="2:6" ht="28" x14ac:dyDescent="0.15">
      <c r="B25" s="271" t="s">
        <v>278</v>
      </c>
      <c r="C25" s="357">
        <v>45397</v>
      </c>
      <c r="D25" s="295">
        <v>19854.427500000002</v>
      </c>
      <c r="E25" s="291"/>
      <c r="F25" s="292">
        <f t="shared" si="0"/>
        <v>-19854.427500000002</v>
      </c>
    </row>
    <row r="26" spans="2:6" ht="28" x14ac:dyDescent="0.15">
      <c r="B26" s="271" t="s">
        <v>279</v>
      </c>
      <c r="C26" s="357">
        <v>45397</v>
      </c>
      <c r="D26" s="295">
        <v>1590.78</v>
      </c>
      <c r="E26" s="291"/>
      <c r="F26" s="292">
        <f t="shared" si="0"/>
        <v>-21445.2075</v>
      </c>
    </row>
    <row r="27" spans="2:6" ht="28" x14ac:dyDescent="0.15">
      <c r="B27" s="271" t="s">
        <v>295</v>
      </c>
      <c r="C27" s="364">
        <v>45397</v>
      </c>
      <c r="D27" s="196">
        <v>12426.403730967948</v>
      </c>
      <c r="E27" s="291"/>
      <c r="F27" s="292">
        <f t="shared" si="0"/>
        <v>-33871.611230967945</v>
      </c>
    </row>
    <row r="28" spans="2:6" ht="15.25" customHeight="1" x14ac:dyDescent="0.15">
      <c r="B28" s="286"/>
      <c r="C28" s="287" t="s">
        <v>212</v>
      </c>
      <c r="D28" s="288">
        <f>SUM(D13:D27)</f>
        <v>214995.64123096794</v>
      </c>
      <c r="E28" s="288">
        <f>SUM(E13:E26)</f>
        <v>181124.03</v>
      </c>
      <c r="F28" s="289">
        <f>E28-D28</f>
        <v>-33871.611230967945</v>
      </c>
    </row>
    <row r="30" spans="2:6" x14ac:dyDescent="0.15">
      <c r="B30" s="1" t="s">
        <v>192</v>
      </c>
    </row>
    <row r="31" spans="2:6" x14ac:dyDescent="0.15">
      <c r="B31" s="1" t="s">
        <v>197</v>
      </c>
    </row>
    <row r="33" spans="2:4" x14ac:dyDescent="0.15">
      <c r="B33" s="365" t="s">
        <v>297</v>
      </c>
      <c r="C33" s="365"/>
      <c r="D33" s="365"/>
    </row>
    <row r="34" spans="2:4" x14ac:dyDescent="0.15">
      <c r="B34" s="365" t="s">
        <v>300</v>
      </c>
      <c r="C34" s="365"/>
      <c r="D34" s="365"/>
    </row>
    <row r="35" spans="2:4" x14ac:dyDescent="0.15">
      <c r="B35" s="365" t="s">
        <v>298</v>
      </c>
      <c r="C35" s="365"/>
      <c r="D35" s="365"/>
    </row>
    <row r="36" spans="2:4" x14ac:dyDescent="0.15">
      <c r="B36" s="365" t="s">
        <v>299</v>
      </c>
      <c r="C36" s="365"/>
      <c r="D36" s="365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93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/>
    <pageSetUpPr fitToPage="1"/>
  </sheetPr>
  <dimension ref="A1:G42"/>
  <sheetViews>
    <sheetView tabSelected="1" zoomScale="90" zoomScaleNormal="90" workbookViewId="0">
      <selection activeCell="L27" sqref="L27"/>
    </sheetView>
  </sheetViews>
  <sheetFormatPr baseColWidth="10" defaultColWidth="12.6640625" defaultRowHeight="13" x14ac:dyDescent="0.15"/>
  <cols>
    <col min="1" max="1" width="4.5" customWidth="1"/>
    <col min="2" max="2" width="33.83203125" style="1" customWidth="1"/>
    <col min="3" max="3" width="11.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 x14ac:dyDescent="0.15">
      <c r="A1" s="370"/>
      <c r="B1" s="370"/>
      <c r="C1" s="370"/>
      <c r="D1" s="370"/>
      <c r="E1" s="370"/>
      <c r="F1" s="370"/>
    </row>
    <row r="3" spans="1:7" ht="18.75" customHeight="1" x14ac:dyDescent="0.2">
      <c r="A3" s="5" t="s">
        <v>0</v>
      </c>
      <c r="B3"/>
    </row>
    <row r="4" spans="1:7" x14ac:dyDescent="0.15">
      <c r="A4" s="1" t="s">
        <v>1</v>
      </c>
      <c r="B4"/>
    </row>
    <row r="5" spans="1:7" x14ac:dyDescent="0.15">
      <c r="A5" s="1"/>
      <c r="B5" s="257" t="s">
        <v>213</v>
      </c>
    </row>
    <row r="6" spans="1:7" x14ac:dyDescent="0.15">
      <c r="A6" s="1"/>
      <c r="B6" s="258" t="s">
        <v>214</v>
      </c>
    </row>
    <row r="7" spans="1:7" x14ac:dyDescent="0.15">
      <c r="A7" s="1"/>
      <c r="B7" t="s">
        <v>215</v>
      </c>
    </row>
    <row r="8" spans="1:7" x14ac:dyDescent="0.15">
      <c r="C8" s="2" t="s">
        <v>292</v>
      </c>
    </row>
    <row r="9" spans="1:7" x14ac:dyDescent="0.15">
      <c r="B9" s="6"/>
      <c r="G9" s="259"/>
    </row>
    <row r="10" spans="1:7" s="8" customFormat="1" ht="17.25" customHeight="1" x14ac:dyDescent="0.15">
      <c r="B10" s="104" t="s">
        <v>171</v>
      </c>
      <c r="C10" s="105"/>
      <c r="D10" s="105"/>
      <c r="E10" s="105"/>
      <c r="F10" s="106"/>
    </row>
    <row r="12" spans="1:7" s="8" customFormat="1" ht="15.25" customHeight="1" x14ac:dyDescent="0.15">
      <c r="B12" s="260" t="s">
        <v>5</v>
      </c>
      <c r="C12" s="261" t="s">
        <v>6</v>
      </c>
      <c r="D12" s="261" t="s">
        <v>172</v>
      </c>
      <c r="E12" s="262" t="s">
        <v>173</v>
      </c>
      <c r="F12" s="262" t="s">
        <v>174</v>
      </c>
    </row>
    <row r="13" spans="1:7" s="8" customFormat="1" hidden="1" x14ac:dyDescent="0.15">
      <c r="B13" s="263" t="s">
        <v>216</v>
      </c>
      <c r="C13" s="264">
        <v>45110</v>
      </c>
      <c r="D13" s="265"/>
      <c r="E13" s="265">
        <v>11424</v>
      </c>
      <c r="F13" s="266">
        <f>E13</f>
        <v>11424</v>
      </c>
    </row>
    <row r="14" spans="1:7" s="8" customFormat="1" hidden="1" x14ac:dyDescent="0.15">
      <c r="B14" s="263" t="s">
        <v>216</v>
      </c>
      <c r="C14" s="264">
        <v>45117</v>
      </c>
      <c r="D14" s="265"/>
      <c r="E14" s="265">
        <v>5900</v>
      </c>
      <c r="F14" s="266">
        <f t="shared" ref="F14:F27" si="0">F13-D14+E14</f>
        <v>17324</v>
      </c>
    </row>
    <row r="15" spans="1:7" s="8" customFormat="1" hidden="1" x14ac:dyDescent="0.15">
      <c r="B15" s="263" t="s">
        <v>216</v>
      </c>
      <c r="C15" s="264">
        <v>45203</v>
      </c>
      <c r="D15" s="265"/>
      <c r="E15" s="265">
        <v>48596</v>
      </c>
      <c r="F15" s="266">
        <f t="shared" si="0"/>
        <v>65920</v>
      </c>
    </row>
    <row r="16" spans="1:7" s="8" customFormat="1" hidden="1" x14ac:dyDescent="0.15">
      <c r="B16" s="263" t="s">
        <v>216</v>
      </c>
      <c r="C16" s="264">
        <v>45252</v>
      </c>
      <c r="D16" s="265"/>
      <c r="E16" s="265">
        <v>147723.95000000001</v>
      </c>
      <c r="F16" s="266">
        <f t="shared" si="0"/>
        <v>213643.95</v>
      </c>
    </row>
    <row r="17" spans="2:6" s="8" customFormat="1" x14ac:dyDescent="0.15">
      <c r="B17" s="334" t="s">
        <v>277</v>
      </c>
      <c r="C17" s="335">
        <v>45291</v>
      </c>
      <c r="D17" s="336"/>
      <c r="E17" s="336"/>
      <c r="F17" s="333">
        <f t="shared" si="0"/>
        <v>213643.95</v>
      </c>
    </row>
    <row r="18" spans="2:6" s="8" customFormat="1" ht="28" x14ac:dyDescent="0.15">
      <c r="B18" s="271" t="s">
        <v>177</v>
      </c>
      <c r="C18" s="281">
        <v>45321</v>
      </c>
      <c r="D18" s="270">
        <v>38949.11</v>
      </c>
      <c r="E18" s="265"/>
      <c r="F18" s="266">
        <f>F16-D18+E18</f>
        <v>174694.84000000003</v>
      </c>
    </row>
    <row r="19" spans="2:6" s="8" customFormat="1" ht="28" x14ac:dyDescent="0.15">
      <c r="B19" s="271" t="s">
        <v>180</v>
      </c>
      <c r="C19" s="272">
        <v>45335</v>
      </c>
      <c r="D19" s="270">
        <v>201971.36</v>
      </c>
      <c r="E19" s="265"/>
      <c r="F19" s="266">
        <f t="shared" si="0"/>
        <v>-27276.51999999996</v>
      </c>
    </row>
    <row r="20" spans="2:6" s="8" customFormat="1" ht="28" x14ac:dyDescent="0.15">
      <c r="B20" s="271" t="s">
        <v>181</v>
      </c>
      <c r="C20" s="272">
        <v>45335</v>
      </c>
      <c r="D20" s="270">
        <v>9999.01</v>
      </c>
      <c r="E20" s="265"/>
      <c r="F20" s="266">
        <f t="shared" si="0"/>
        <v>-37275.529999999962</v>
      </c>
    </row>
    <row r="21" spans="2:6" s="8" customFormat="1" ht="28" x14ac:dyDescent="0.15">
      <c r="B21" s="271" t="s">
        <v>182</v>
      </c>
      <c r="C21" s="272">
        <v>45336</v>
      </c>
      <c r="D21" s="270">
        <v>31199.27</v>
      </c>
      <c r="E21" s="265"/>
      <c r="F21" s="266">
        <f t="shared" si="0"/>
        <v>-68474.799999999959</v>
      </c>
    </row>
    <row r="22" spans="2:6" s="8" customFormat="1" ht="28" x14ac:dyDescent="0.15">
      <c r="B22" s="271" t="s">
        <v>183</v>
      </c>
      <c r="C22" s="272">
        <v>45336</v>
      </c>
      <c r="D22" s="270">
        <v>2499.75</v>
      </c>
      <c r="E22" s="265"/>
      <c r="F22" s="266">
        <f t="shared" si="0"/>
        <v>-70974.549999999959</v>
      </c>
    </row>
    <row r="23" spans="2:6" s="8" customFormat="1" ht="14" x14ac:dyDescent="0.15">
      <c r="B23" s="271" t="s">
        <v>216</v>
      </c>
      <c r="C23" s="272">
        <v>45338</v>
      </c>
      <c r="D23" s="270"/>
      <c r="E23" s="265">
        <v>44170.7</v>
      </c>
      <c r="F23" s="266">
        <f t="shared" si="0"/>
        <v>-26803.849999999962</v>
      </c>
    </row>
    <row r="24" spans="2:6" s="8" customFormat="1" ht="28" x14ac:dyDescent="0.15">
      <c r="B24" s="271" t="s">
        <v>217</v>
      </c>
      <c r="C24" s="272">
        <v>45343</v>
      </c>
      <c r="D24" s="270"/>
      <c r="E24" s="265">
        <v>26803.85</v>
      </c>
      <c r="F24" s="266">
        <f>F23-D24+E24</f>
        <v>3.637978807091713E-11</v>
      </c>
    </row>
    <row r="25" spans="2:6" s="8" customFormat="1" ht="28" x14ac:dyDescent="0.15">
      <c r="B25" s="271" t="s">
        <v>278</v>
      </c>
      <c r="C25" s="357">
        <v>45397</v>
      </c>
      <c r="D25" s="255">
        <v>31199.272499999999</v>
      </c>
      <c r="E25" s="265"/>
      <c r="F25" s="266">
        <f t="shared" si="0"/>
        <v>-31199.272499999963</v>
      </c>
    </row>
    <row r="26" spans="2:6" s="8" customFormat="1" ht="28" x14ac:dyDescent="0.15">
      <c r="B26" s="271" t="s">
        <v>279</v>
      </c>
      <c r="C26" s="357">
        <v>45397</v>
      </c>
      <c r="D26" s="255">
        <v>2499.7525000000001</v>
      </c>
      <c r="E26" s="265"/>
      <c r="F26" s="266">
        <f t="shared" si="0"/>
        <v>-33699.024999999965</v>
      </c>
    </row>
    <row r="27" spans="2:6" s="8" customFormat="1" ht="28" x14ac:dyDescent="0.15">
      <c r="B27" s="271" t="s">
        <v>295</v>
      </c>
      <c r="C27" s="364">
        <v>45397</v>
      </c>
      <c r="D27" s="255">
        <v>19526.865590660385</v>
      </c>
      <c r="E27" s="265"/>
      <c r="F27" s="266">
        <f t="shared" si="0"/>
        <v>-53225.890590660347</v>
      </c>
    </row>
    <row r="28" spans="2:6" s="8" customFormat="1" ht="15.25" customHeight="1" x14ac:dyDescent="0.15">
      <c r="B28" s="277"/>
      <c r="C28" s="278" t="s">
        <v>218</v>
      </c>
      <c r="D28" s="269">
        <f>SUM(D13:D27)</f>
        <v>337844.39059066039</v>
      </c>
      <c r="E28" s="269">
        <f>SUM(E13:E26)</f>
        <v>284618.5</v>
      </c>
      <c r="F28" s="279">
        <f>F24-D28+E28</f>
        <v>-53225.890590660332</v>
      </c>
    </row>
    <row r="29" spans="2:6" x14ac:dyDescent="0.15">
      <c r="B29"/>
      <c r="C29"/>
      <c r="D29"/>
      <c r="E29"/>
      <c r="F29"/>
    </row>
    <row r="30" spans="2:6" s="8" customFormat="1" x14ac:dyDescent="0.15">
      <c r="B30" s="1" t="s">
        <v>192</v>
      </c>
      <c r="C30" s="2"/>
      <c r="D30" s="2"/>
      <c r="E30" s="2"/>
      <c r="F30" s="3"/>
    </row>
    <row r="31" spans="2:6" s="8" customFormat="1" x14ac:dyDescent="0.15">
      <c r="B31" s="1" t="s">
        <v>197</v>
      </c>
      <c r="C31" s="2"/>
      <c r="D31" s="2"/>
      <c r="E31" s="2"/>
      <c r="F31" s="3"/>
    </row>
    <row r="32" spans="2:6" s="8" customFormat="1" ht="14" x14ac:dyDescent="0.15">
      <c r="B32" s="296"/>
      <c r="D32" s="283"/>
      <c r="E32" s="284"/>
      <c r="F32" s="372"/>
    </row>
    <row r="33" spans="2:6" ht="14" x14ac:dyDescent="0.15">
      <c r="B33" s="365" t="s">
        <v>297</v>
      </c>
      <c r="C33" s="365"/>
      <c r="D33" s="365"/>
      <c r="E33"/>
      <c r="F33" s="285"/>
    </row>
    <row r="34" spans="2:6" x14ac:dyDescent="0.15">
      <c r="B34" s="365" t="s">
        <v>300</v>
      </c>
      <c r="C34" s="365"/>
      <c r="D34" s="365"/>
    </row>
    <row r="35" spans="2:6" x14ac:dyDescent="0.15">
      <c r="B35" s="365" t="s">
        <v>298</v>
      </c>
      <c r="C35" s="365"/>
      <c r="D35" s="365"/>
    </row>
    <row r="36" spans="2:6" x14ac:dyDescent="0.15">
      <c r="B36" s="365" t="s">
        <v>299</v>
      </c>
      <c r="C36" s="365"/>
      <c r="D36" s="365"/>
    </row>
    <row r="38" spans="2:6" x14ac:dyDescent="0.15">
      <c r="B38" s="366"/>
      <c r="C38" s="366"/>
      <c r="D38" s="366"/>
    </row>
    <row r="39" spans="2:6" x14ac:dyDescent="0.15">
      <c r="B39" s="366"/>
      <c r="C39" s="366"/>
      <c r="D39" s="366"/>
    </row>
    <row r="40" spans="2:6" x14ac:dyDescent="0.15">
      <c r="B40" s="366"/>
      <c r="C40" s="366"/>
      <c r="D40" s="366"/>
    </row>
    <row r="41" spans="2:6" x14ac:dyDescent="0.15">
      <c r="B41" s="366"/>
      <c r="C41" s="366"/>
      <c r="D41" s="366"/>
    </row>
    <row r="42" spans="2:6" x14ac:dyDescent="0.15">
      <c r="B42" s="367"/>
      <c r="C42" s="368"/>
      <c r="D42" s="368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93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N44"/>
  <sheetViews>
    <sheetView topLeftCell="C1" zoomScaleNormal="100" workbookViewId="0">
      <selection activeCell="K3" sqref="K3:K9"/>
    </sheetView>
  </sheetViews>
  <sheetFormatPr baseColWidth="10" defaultColWidth="12.1640625" defaultRowHeight="13" x14ac:dyDescent="0.15"/>
  <cols>
    <col min="1" max="1" width="5.33203125" customWidth="1"/>
    <col min="2" max="2" width="36.83203125" customWidth="1"/>
    <col min="3" max="3" width="12.5" customWidth="1"/>
    <col min="4" max="4" width="14.6640625" style="95" customWidth="1"/>
    <col min="5" max="5" width="11.5" style="137" customWidth="1"/>
    <col min="6" max="7" width="11.5" style="183" customWidth="1"/>
    <col min="11" max="11" width="17.83203125" customWidth="1"/>
  </cols>
  <sheetData>
    <row r="1" spans="2:14" x14ac:dyDescent="0.15">
      <c r="K1" s="363">
        <v>26236200</v>
      </c>
    </row>
    <row r="2" spans="2:14" ht="14" x14ac:dyDescent="0.15">
      <c r="B2" s="297" t="s">
        <v>135</v>
      </c>
      <c r="C2" s="298" t="s">
        <v>129</v>
      </c>
      <c r="D2" s="298"/>
      <c r="E2" s="299" t="s">
        <v>219</v>
      </c>
      <c r="F2" s="300" t="s">
        <v>220</v>
      </c>
      <c r="J2" s="301" t="s">
        <v>129</v>
      </c>
      <c r="K2" s="234" t="s">
        <v>131</v>
      </c>
      <c r="L2" s="235" t="s">
        <v>133</v>
      </c>
      <c r="M2" s="302" t="s">
        <v>133</v>
      </c>
      <c r="N2" s="303" t="s">
        <v>221</v>
      </c>
    </row>
    <row r="3" spans="2:14" ht="14" x14ac:dyDescent="0.15">
      <c r="B3" s="51" t="s">
        <v>65</v>
      </c>
      <c r="C3" s="298" t="s">
        <v>66</v>
      </c>
      <c r="D3" s="304"/>
      <c r="E3" s="305"/>
      <c r="J3" s="236">
        <v>1</v>
      </c>
      <c r="K3" s="137">
        <f>K1/J20*J13</f>
        <v>3385038.8048100215</v>
      </c>
      <c r="L3" s="137">
        <v>12.9</v>
      </c>
      <c r="M3" s="306">
        <v>12.9</v>
      </c>
      <c r="N3" s="307">
        <f>M3*10000</f>
        <v>129000</v>
      </c>
    </row>
    <row r="4" spans="2:14" ht="14" x14ac:dyDescent="0.15">
      <c r="B4" s="51"/>
      <c r="C4" s="308" t="s">
        <v>222</v>
      </c>
      <c r="D4" s="309" t="s">
        <v>223</v>
      </c>
      <c r="E4" s="310">
        <v>79.09</v>
      </c>
      <c r="J4" s="236">
        <v>2</v>
      </c>
      <c r="K4" s="137">
        <f>K1/J20*J14</f>
        <v>3452215.7605962222</v>
      </c>
      <c r="L4" s="137">
        <v>13.16</v>
      </c>
      <c r="M4" s="306">
        <v>13.16</v>
      </c>
      <c r="N4" s="307">
        <f t="shared" ref="N4:N9" si="0">M4*10000</f>
        <v>131600</v>
      </c>
    </row>
    <row r="5" spans="2:14" ht="14" x14ac:dyDescent="0.15">
      <c r="B5" s="51"/>
      <c r="C5" s="311" t="s">
        <v>224</v>
      </c>
      <c r="D5" s="309" t="s">
        <v>225</v>
      </c>
      <c r="E5" s="305">
        <v>18.91</v>
      </c>
      <c r="J5" s="236">
        <v>3</v>
      </c>
      <c r="K5" s="137">
        <f>K1/J20*J15</f>
        <v>4062206.5109048504</v>
      </c>
      <c r="L5" s="137">
        <v>15.48</v>
      </c>
      <c r="M5" s="306">
        <v>15.48</v>
      </c>
      <c r="N5" s="307">
        <f t="shared" si="0"/>
        <v>154800</v>
      </c>
    </row>
    <row r="6" spans="2:14" ht="14" x14ac:dyDescent="0.15">
      <c r="B6" s="51"/>
      <c r="C6" s="311" t="s">
        <v>226</v>
      </c>
      <c r="D6" s="309" t="s">
        <v>227</v>
      </c>
      <c r="E6" s="305">
        <v>71.31</v>
      </c>
      <c r="J6" s="236">
        <v>4</v>
      </c>
      <c r="K6" s="137">
        <f>K1/J20*J16</f>
        <v>2069290.155914224</v>
      </c>
      <c r="L6" s="137">
        <v>7.89</v>
      </c>
      <c r="M6" s="306">
        <v>7.89</v>
      </c>
      <c r="N6" s="307">
        <f t="shared" si="0"/>
        <v>78900</v>
      </c>
    </row>
    <row r="7" spans="2:14" ht="14" x14ac:dyDescent="0.15">
      <c r="B7" s="51"/>
      <c r="C7" s="312"/>
      <c r="D7" s="304"/>
      <c r="E7" s="313">
        <f>SUM(E4:E6)</f>
        <v>169.31</v>
      </c>
      <c r="F7" s="314">
        <f>E7/E44</f>
        <v>0.12902168777528844</v>
      </c>
      <c r="G7" s="183">
        <v>0.129</v>
      </c>
      <c r="J7" s="236">
        <v>5</v>
      </c>
      <c r="K7" s="137">
        <f>K1/J20*J17</f>
        <v>2539128.9835855695</v>
      </c>
      <c r="L7" s="137">
        <v>9.68</v>
      </c>
      <c r="M7" s="306">
        <v>9.68</v>
      </c>
      <c r="N7" s="307">
        <f t="shared" si="0"/>
        <v>96800</v>
      </c>
    </row>
    <row r="8" spans="2:14" ht="14" x14ac:dyDescent="0.15">
      <c r="B8" s="51" t="s">
        <v>161</v>
      </c>
      <c r="C8" s="298" t="s">
        <v>69</v>
      </c>
      <c r="D8" s="304"/>
      <c r="J8" s="236">
        <v>6</v>
      </c>
      <c r="K8" s="137">
        <f>K1/J20*J18</f>
        <v>4172168.7897215486</v>
      </c>
      <c r="L8" s="137">
        <v>15.9</v>
      </c>
      <c r="M8" s="306">
        <v>15.9</v>
      </c>
      <c r="N8" s="307">
        <f t="shared" si="0"/>
        <v>159000</v>
      </c>
    </row>
    <row r="9" spans="2:14" ht="14" x14ac:dyDescent="0.15">
      <c r="B9" s="51"/>
      <c r="C9" s="308" t="s">
        <v>222</v>
      </c>
      <c r="D9" s="309" t="s">
        <v>228</v>
      </c>
      <c r="E9" s="137">
        <v>90.48</v>
      </c>
      <c r="J9" s="236">
        <v>7</v>
      </c>
      <c r="K9" s="137">
        <f>K1/J20*J19</f>
        <v>6556150.9944675583</v>
      </c>
      <c r="L9" s="137">
        <v>24.99</v>
      </c>
      <c r="M9" s="306">
        <v>24.99</v>
      </c>
      <c r="N9" s="307">
        <f t="shared" si="0"/>
        <v>249899.99999999997</v>
      </c>
    </row>
    <row r="10" spans="2:14" ht="14" x14ac:dyDescent="0.15">
      <c r="B10" s="51"/>
      <c r="C10" s="311" t="s">
        <v>224</v>
      </c>
      <c r="D10" s="309" t="s">
        <v>229</v>
      </c>
      <c r="E10" s="137">
        <v>24.52</v>
      </c>
      <c r="J10" s="137"/>
      <c r="K10" s="242">
        <f>SUM(K3:K9)</f>
        <v>26236199.999999993</v>
      </c>
      <c r="L10" s="242">
        <f>SUM(L3:L9)</f>
        <v>100</v>
      </c>
      <c r="M10" s="315">
        <f>SUM(M3:M9)</f>
        <v>100</v>
      </c>
      <c r="N10" s="316">
        <f>SUM(N3:N9)</f>
        <v>1000000</v>
      </c>
    </row>
    <row r="11" spans="2:14" ht="14" x14ac:dyDescent="0.15">
      <c r="B11" s="51"/>
      <c r="C11" s="311" t="s">
        <v>226</v>
      </c>
      <c r="D11" s="309" t="s">
        <v>230</v>
      </c>
      <c r="E11" s="137">
        <v>57.67</v>
      </c>
      <c r="I11" s="137"/>
      <c r="J11" s="137"/>
      <c r="K11" s="137"/>
      <c r="L11" s="137"/>
    </row>
    <row r="12" spans="2:14" ht="14" x14ac:dyDescent="0.15">
      <c r="B12" s="51"/>
      <c r="C12" s="312"/>
      <c r="D12" s="304"/>
      <c r="E12" s="313">
        <f>SUM(E9:E11)</f>
        <v>172.67000000000002</v>
      </c>
      <c r="F12" s="314">
        <f>E12/E44</f>
        <v>0.13158215597518785</v>
      </c>
      <c r="G12" s="183">
        <v>0.13159999999999999</v>
      </c>
      <c r="I12" s="317" t="s">
        <v>129</v>
      </c>
      <c r="J12" s="317" t="s">
        <v>231</v>
      </c>
      <c r="K12" s="318" t="s">
        <v>232</v>
      </c>
      <c r="L12" s="319" t="s">
        <v>233</v>
      </c>
      <c r="M12" s="320" t="s">
        <v>233</v>
      </c>
      <c r="N12" s="303" t="s">
        <v>233</v>
      </c>
    </row>
    <row r="13" spans="2:14" ht="14" x14ac:dyDescent="0.15">
      <c r="B13" s="51" t="s">
        <v>71</v>
      </c>
      <c r="C13" s="298" t="s">
        <v>72</v>
      </c>
      <c r="D13" s="304"/>
      <c r="I13" s="236">
        <v>1</v>
      </c>
      <c r="J13" s="321">
        <v>169.31</v>
      </c>
      <c r="K13" s="137">
        <v>1</v>
      </c>
      <c r="L13" s="137">
        <v>0.90310000000000001</v>
      </c>
      <c r="M13" s="229">
        <v>0.90310000000000001</v>
      </c>
      <c r="N13" s="307">
        <f>M13*10000</f>
        <v>9031</v>
      </c>
    </row>
    <row r="14" spans="2:14" ht="14" x14ac:dyDescent="0.15">
      <c r="B14" s="51"/>
      <c r="C14" s="308" t="s">
        <v>222</v>
      </c>
      <c r="D14" s="309" t="s">
        <v>234</v>
      </c>
      <c r="E14" s="137">
        <v>82.55</v>
      </c>
      <c r="I14" s="236">
        <v>2</v>
      </c>
      <c r="J14" s="321">
        <v>172.67</v>
      </c>
      <c r="K14" s="137">
        <v>1</v>
      </c>
      <c r="L14" s="137">
        <v>0.92110000000000003</v>
      </c>
      <c r="M14" s="229">
        <v>0.92110000000000003</v>
      </c>
      <c r="N14" s="307">
        <f t="shared" ref="N14:N18" si="1">M14*10000</f>
        <v>9211</v>
      </c>
    </row>
    <row r="15" spans="2:14" ht="14" x14ac:dyDescent="0.15">
      <c r="B15" s="51"/>
      <c r="C15" s="311" t="s">
        <v>224</v>
      </c>
      <c r="D15" s="309" t="s">
        <v>235</v>
      </c>
      <c r="E15" s="137">
        <v>25.38</v>
      </c>
      <c r="I15" s="236">
        <v>3</v>
      </c>
      <c r="J15" s="321">
        <v>203.18</v>
      </c>
      <c r="K15" s="137">
        <v>1</v>
      </c>
      <c r="L15" s="137">
        <v>1.0838000000000001</v>
      </c>
      <c r="M15" s="229">
        <v>1.0838000000000001</v>
      </c>
      <c r="N15" s="307">
        <f t="shared" si="1"/>
        <v>10838.000000000002</v>
      </c>
    </row>
    <row r="16" spans="2:14" ht="14" x14ac:dyDescent="0.15">
      <c r="B16" s="51"/>
      <c r="C16" s="311" t="s">
        <v>224</v>
      </c>
      <c r="D16" s="309" t="s">
        <v>236</v>
      </c>
      <c r="E16" s="137">
        <v>4.57</v>
      </c>
      <c r="I16" s="236">
        <v>4</v>
      </c>
      <c r="J16" s="321">
        <v>103.5</v>
      </c>
      <c r="K16" s="137">
        <v>1</v>
      </c>
      <c r="L16" s="137">
        <v>0.55210000000000004</v>
      </c>
      <c r="M16" s="229">
        <v>0.55210000000000004</v>
      </c>
      <c r="N16" s="307">
        <f t="shared" si="1"/>
        <v>5521</v>
      </c>
    </row>
    <row r="17" spans="2:14" ht="14" x14ac:dyDescent="0.15">
      <c r="B17" s="51"/>
      <c r="C17" s="311" t="s">
        <v>226</v>
      </c>
      <c r="D17" s="309" t="s">
        <v>237</v>
      </c>
      <c r="E17" s="137">
        <v>90.68</v>
      </c>
      <c r="I17" s="236">
        <v>5</v>
      </c>
      <c r="J17" s="321">
        <v>127</v>
      </c>
      <c r="K17" s="137">
        <v>1</v>
      </c>
      <c r="L17" s="137">
        <v>0.67749999999999999</v>
      </c>
      <c r="M17" s="229">
        <v>0.67749999999999999</v>
      </c>
      <c r="N17" s="307">
        <f t="shared" si="1"/>
        <v>6775</v>
      </c>
    </row>
    <row r="18" spans="2:14" ht="14" x14ac:dyDescent="0.15">
      <c r="B18" s="51"/>
      <c r="C18" s="312"/>
      <c r="D18" s="304"/>
      <c r="E18" s="313">
        <f>SUM(E14:E17)</f>
        <v>203.18</v>
      </c>
      <c r="F18" s="314">
        <f>E18/E44</f>
        <v>0.15483212168320304</v>
      </c>
      <c r="G18" s="183">
        <v>0.15479999999999999</v>
      </c>
      <c r="I18" s="236">
        <v>6</v>
      </c>
      <c r="J18" s="321">
        <v>208.68</v>
      </c>
      <c r="K18" s="137">
        <v>1</v>
      </c>
      <c r="L18" s="137">
        <v>1.1132</v>
      </c>
      <c r="M18" s="229">
        <v>1.1132</v>
      </c>
      <c r="N18" s="307">
        <f t="shared" si="1"/>
        <v>11132</v>
      </c>
    </row>
    <row r="19" spans="2:14" ht="14" x14ac:dyDescent="0.15">
      <c r="B19" s="51" t="s">
        <v>73</v>
      </c>
      <c r="C19" s="298" t="s">
        <v>74</v>
      </c>
      <c r="D19" s="304"/>
      <c r="I19" s="236">
        <v>7</v>
      </c>
      <c r="J19" s="321">
        <v>327.92</v>
      </c>
      <c r="K19" s="137">
        <v>1</v>
      </c>
      <c r="L19" s="137">
        <v>1.7492000000000001</v>
      </c>
      <c r="M19" s="229">
        <v>1.7492000000000001</v>
      </c>
      <c r="N19" s="307">
        <f>M19*10000</f>
        <v>17492</v>
      </c>
    </row>
    <row r="20" spans="2:14" ht="14" x14ac:dyDescent="0.15">
      <c r="B20" s="51"/>
      <c r="C20" s="308" t="s">
        <v>222</v>
      </c>
      <c r="D20" s="309" t="s">
        <v>238</v>
      </c>
      <c r="E20" s="137">
        <v>72.59</v>
      </c>
      <c r="I20" s="137"/>
      <c r="J20" s="322">
        <f>J13+J14+J15+J16+J17+J18+J19</f>
        <v>1312.2600000000002</v>
      </c>
      <c r="K20" s="323">
        <f>SUM(K13:K19)</f>
        <v>7</v>
      </c>
      <c r="L20" s="324">
        <f>SUM(L13:L19)</f>
        <v>7.0000000000000009</v>
      </c>
      <c r="M20" s="325">
        <f>SUM(M13:M19)</f>
        <v>7.0000000000000009</v>
      </c>
      <c r="N20" s="316">
        <f>SUM(N13:N19)</f>
        <v>70000</v>
      </c>
    </row>
    <row r="21" spans="2:14" ht="14" x14ac:dyDescent="0.15">
      <c r="B21" s="51"/>
      <c r="C21" s="311" t="s">
        <v>224</v>
      </c>
      <c r="D21" s="309" t="s">
        <v>239</v>
      </c>
      <c r="E21" s="137">
        <v>18.91</v>
      </c>
      <c r="I21" s="137"/>
      <c r="J21" s="137"/>
      <c r="K21" s="137"/>
      <c r="L21" s="238"/>
    </row>
    <row r="22" spans="2:14" ht="14" x14ac:dyDescent="0.15">
      <c r="B22" s="51"/>
      <c r="C22" s="312" t="s">
        <v>240</v>
      </c>
      <c r="D22" s="309" t="s">
        <v>241</v>
      </c>
      <c r="E22" s="137">
        <v>12</v>
      </c>
      <c r="I22" s="137"/>
      <c r="J22" s="137"/>
      <c r="K22" s="137"/>
      <c r="L22" s="238"/>
    </row>
    <row r="23" spans="2:14" ht="14" x14ac:dyDescent="0.15">
      <c r="B23" s="51"/>
      <c r="C23" s="312"/>
      <c r="D23" s="304"/>
      <c r="E23" s="326">
        <f>SUM(E20:E22)</f>
        <v>103.5</v>
      </c>
      <c r="F23" s="314">
        <f>E23/E44</f>
        <v>7.8871565086187187E-2</v>
      </c>
      <c r="G23" s="183">
        <v>7.8899999999999998E-2</v>
      </c>
      <c r="I23" s="236">
        <v>1</v>
      </c>
      <c r="J23" s="321">
        <v>169.31</v>
      </c>
      <c r="K23" s="137">
        <v>1312.26</v>
      </c>
      <c r="L23" s="327">
        <v>0.129021</v>
      </c>
      <c r="M23">
        <v>7</v>
      </c>
      <c r="N23" s="328">
        <f>L23*M23</f>
        <v>0.90314699999999992</v>
      </c>
    </row>
    <row r="24" spans="2:14" ht="14" x14ac:dyDescent="0.15">
      <c r="B24" s="51" t="s">
        <v>139</v>
      </c>
      <c r="C24" s="298" t="s">
        <v>76</v>
      </c>
      <c r="D24" s="304"/>
      <c r="I24" s="236">
        <v>2</v>
      </c>
      <c r="J24" s="321">
        <v>172.67</v>
      </c>
      <c r="K24" s="137">
        <v>1312.26</v>
      </c>
      <c r="L24" s="327">
        <v>0.131582</v>
      </c>
      <c r="M24">
        <v>7</v>
      </c>
      <c r="N24" s="328">
        <f>L24*M24</f>
        <v>0.92107400000000006</v>
      </c>
    </row>
    <row r="25" spans="2:14" ht="14" x14ac:dyDescent="0.15">
      <c r="B25" s="51"/>
      <c r="C25" s="308" t="s">
        <v>222</v>
      </c>
      <c r="D25" s="309" t="s">
        <v>242</v>
      </c>
      <c r="E25" s="137">
        <v>90.48</v>
      </c>
      <c r="I25" s="236">
        <v>3</v>
      </c>
      <c r="J25" s="321">
        <v>203.18</v>
      </c>
      <c r="K25" s="137">
        <v>1312.26</v>
      </c>
      <c r="L25" s="327">
        <f t="shared" ref="L25" si="2">J25/K25</f>
        <v>0.15483212168320304</v>
      </c>
      <c r="M25">
        <v>7</v>
      </c>
      <c r="N25" s="328">
        <f t="shared" ref="N25:N28" si="3">L25*M25</f>
        <v>1.0838248517824214</v>
      </c>
    </row>
    <row r="26" spans="2:14" ht="14" x14ac:dyDescent="0.15">
      <c r="B26" s="51"/>
      <c r="C26" s="311" t="s">
        <v>224</v>
      </c>
      <c r="D26" s="309" t="s">
        <v>243</v>
      </c>
      <c r="E26" s="137">
        <v>24.52</v>
      </c>
      <c r="I26" s="236">
        <v>4</v>
      </c>
      <c r="J26" s="321">
        <v>103.5</v>
      </c>
      <c r="K26" s="137">
        <v>1312.26</v>
      </c>
      <c r="L26" s="327">
        <f>J26/K26</f>
        <v>7.8871565086187187E-2</v>
      </c>
      <c r="M26">
        <v>7</v>
      </c>
      <c r="N26" s="328">
        <f t="shared" si="3"/>
        <v>0.55210095560331029</v>
      </c>
    </row>
    <row r="27" spans="2:14" ht="14" x14ac:dyDescent="0.15">
      <c r="B27" s="51"/>
      <c r="C27" s="312" t="s">
        <v>240</v>
      </c>
      <c r="D27" s="309" t="s">
        <v>244</v>
      </c>
      <c r="E27" s="137">
        <v>12</v>
      </c>
      <c r="I27" s="236">
        <v>5</v>
      </c>
      <c r="J27" s="321">
        <v>127</v>
      </c>
      <c r="K27" s="137">
        <v>1312.26</v>
      </c>
      <c r="L27" s="327">
        <f>J27/K27</f>
        <v>9.6779601603340801E-2</v>
      </c>
      <c r="M27">
        <v>7</v>
      </c>
      <c r="N27" s="328">
        <f>L27*M27</f>
        <v>0.67745721122338565</v>
      </c>
    </row>
    <row r="28" spans="2:14" ht="14" x14ac:dyDescent="0.15">
      <c r="B28" s="51"/>
      <c r="C28" s="312"/>
      <c r="D28" s="304"/>
      <c r="E28" s="313">
        <f>SUM(E25:E27)</f>
        <v>127</v>
      </c>
      <c r="F28" s="314">
        <f>E28/E44</f>
        <v>9.6779601603340801E-2</v>
      </c>
      <c r="G28" s="183">
        <v>9.6799999999999997E-2</v>
      </c>
      <c r="I28" s="236">
        <v>6</v>
      </c>
      <c r="J28" s="321">
        <v>208.68</v>
      </c>
      <c r="K28" s="137">
        <v>1312.26</v>
      </c>
      <c r="L28" s="327">
        <f>J28/K28</f>
        <v>0.15902336427232408</v>
      </c>
      <c r="M28">
        <v>7</v>
      </c>
      <c r="N28" s="328">
        <f t="shared" si="3"/>
        <v>1.1131635499062686</v>
      </c>
    </row>
    <row r="29" spans="2:14" ht="14" x14ac:dyDescent="0.15">
      <c r="B29" s="51" t="s">
        <v>77</v>
      </c>
      <c r="C29" s="298" t="s">
        <v>78</v>
      </c>
      <c r="D29" s="304"/>
      <c r="I29" s="236">
        <v>7</v>
      </c>
      <c r="J29" s="321">
        <v>327.92</v>
      </c>
      <c r="K29" s="137">
        <v>1312.26</v>
      </c>
      <c r="L29" s="327">
        <f>J29/K29</f>
        <v>0.24988950360446863</v>
      </c>
      <c r="M29">
        <v>7</v>
      </c>
      <c r="N29" s="328">
        <f>L29*M29</f>
        <v>1.7492265252312804</v>
      </c>
    </row>
    <row r="30" spans="2:14" ht="14" x14ac:dyDescent="0.15">
      <c r="B30" s="51"/>
      <c r="C30" s="308" t="s">
        <v>222</v>
      </c>
      <c r="D30" s="309" t="s">
        <v>245</v>
      </c>
      <c r="E30" s="137">
        <v>82.55</v>
      </c>
      <c r="I30" s="137"/>
      <c r="J30" s="322">
        <f>SUM(J23:J29)</f>
        <v>1312.2600000000002</v>
      </c>
      <c r="K30" s="137"/>
      <c r="L30" s="137">
        <f>SUM(L23:L29)</f>
        <v>0.99999915624952374</v>
      </c>
      <c r="M30" s="327"/>
      <c r="N30" s="328">
        <f>SUM(N23:N29)</f>
        <v>6.9999940937466665</v>
      </c>
    </row>
    <row r="31" spans="2:14" ht="14" x14ac:dyDescent="0.15">
      <c r="B31" s="51"/>
      <c r="C31" s="311" t="s">
        <v>224</v>
      </c>
      <c r="D31" s="304" t="s">
        <v>246</v>
      </c>
      <c r="E31" s="137">
        <v>25.38</v>
      </c>
    </row>
    <row r="32" spans="2:14" ht="14" x14ac:dyDescent="0.15">
      <c r="B32" s="51"/>
      <c r="C32" s="311" t="s">
        <v>224</v>
      </c>
      <c r="D32" s="304" t="s">
        <v>247</v>
      </c>
      <c r="E32" s="137">
        <v>4.57</v>
      </c>
    </row>
    <row r="33" spans="2:7" ht="14" x14ac:dyDescent="0.15">
      <c r="B33" s="51"/>
      <c r="C33" s="312" t="s">
        <v>240</v>
      </c>
      <c r="D33" s="309" t="s">
        <v>248</v>
      </c>
      <c r="E33" s="137">
        <v>12</v>
      </c>
    </row>
    <row r="34" spans="2:7" ht="14" x14ac:dyDescent="0.15">
      <c r="B34" s="51"/>
      <c r="C34" s="311" t="s">
        <v>226</v>
      </c>
      <c r="D34" s="309" t="s">
        <v>249</v>
      </c>
      <c r="E34" s="137">
        <v>72.459999999999994</v>
      </c>
    </row>
    <row r="35" spans="2:7" ht="14" x14ac:dyDescent="0.15">
      <c r="B35" s="51"/>
      <c r="C35" s="311" t="s">
        <v>250</v>
      </c>
      <c r="D35" s="309" t="s">
        <v>251</v>
      </c>
      <c r="E35" s="137">
        <v>6.37</v>
      </c>
    </row>
    <row r="36" spans="2:7" ht="14" x14ac:dyDescent="0.15">
      <c r="B36" s="51"/>
      <c r="C36" s="311" t="s">
        <v>250</v>
      </c>
      <c r="D36" s="309" t="s">
        <v>252</v>
      </c>
      <c r="E36" s="137">
        <v>5.35</v>
      </c>
    </row>
    <row r="37" spans="2:7" ht="14" x14ac:dyDescent="0.15">
      <c r="B37" s="51"/>
      <c r="C37" s="311"/>
      <c r="D37" s="309"/>
      <c r="E37" s="313">
        <f>SUM(E30:E36)</f>
        <v>208.67999999999998</v>
      </c>
      <c r="F37" s="314">
        <f>E37/E44</f>
        <v>0.15902336427232408</v>
      </c>
      <c r="G37" s="183">
        <v>0.159</v>
      </c>
    </row>
    <row r="38" spans="2:7" ht="14" x14ac:dyDescent="0.15">
      <c r="B38" s="51" t="s">
        <v>79</v>
      </c>
      <c r="C38" s="298" t="s">
        <v>80</v>
      </c>
      <c r="D38" s="304"/>
    </row>
    <row r="39" spans="2:7" x14ac:dyDescent="0.15">
      <c r="C39" s="308" t="s">
        <v>222</v>
      </c>
      <c r="D39" s="309" t="s">
        <v>253</v>
      </c>
      <c r="E39" s="137">
        <v>123.26</v>
      </c>
    </row>
    <row r="40" spans="2:7" ht="14" x14ac:dyDescent="0.15">
      <c r="C40" s="311" t="s">
        <v>224</v>
      </c>
      <c r="D40" s="309" t="s">
        <v>254</v>
      </c>
      <c r="E40" s="137">
        <v>176.74</v>
      </c>
    </row>
    <row r="41" spans="2:7" ht="14" x14ac:dyDescent="0.15">
      <c r="C41" s="312" t="s">
        <v>240</v>
      </c>
      <c r="D41" s="309" t="s">
        <v>255</v>
      </c>
      <c r="E41" s="137">
        <v>27.92</v>
      </c>
    </row>
    <row r="42" spans="2:7" x14ac:dyDescent="0.15">
      <c r="E42" s="313">
        <f>SUM(E39:E41)</f>
        <v>327.92</v>
      </c>
      <c r="F42" s="314">
        <f>E42/E44</f>
        <v>0.24988950360446863</v>
      </c>
      <c r="G42" s="183">
        <v>0.24990000000000001</v>
      </c>
    </row>
    <row r="44" spans="2:7" ht="14" x14ac:dyDescent="0.15">
      <c r="D44" s="285" t="s">
        <v>256</v>
      </c>
      <c r="E44" s="299">
        <f>E7+E12+E18+E23+E28+E37+E42</f>
        <v>1312.26</v>
      </c>
      <c r="F44" s="183">
        <f>SUM(F7:F42)</f>
        <v>1</v>
      </c>
      <c r="G44" s="183">
        <f>SUM(G7:G42)</f>
        <v>1</v>
      </c>
    </row>
  </sheetData>
  <pageMargins left="0.78749999999999998" right="0.78749999999999998" top="1.05277777777778" bottom="1.05277777777778" header="0.78749999999999998" footer="0.78749999999999998"/>
  <pageSetup paperSize="9" scale="93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1105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Caja Chica-Cta.Bco</vt:lpstr>
      <vt:lpstr>Gastos detallados</vt:lpstr>
      <vt:lpstr>PedidoAGE12-01</vt:lpstr>
      <vt:lpstr>PedidoVotoElec-09-04</vt:lpstr>
      <vt:lpstr>Presupuesto 2024 Aprobado</vt:lpstr>
      <vt:lpstr>A1</vt:lpstr>
      <vt:lpstr>A2</vt:lpstr>
      <vt:lpstr>A3</vt:lpstr>
      <vt:lpstr>A4</vt:lpstr>
      <vt:lpstr>A5</vt:lpstr>
      <vt:lpstr>A6</vt:lpstr>
      <vt:lpstr>A7</vt:lpstr>
      <vt:lpstr>Distribución</vt:lpstr>
      <vt:lpstr>'Caja Chica-Cta.Bco'!Print_Area</vt:lpstr>
      <vt:lpstr>Distribución!Print_Area</vt:lpstr>
      <vt:lpstr>'PedidoAGE12-01'!Print_Area</vt:lpstr>
      <vt:lpstr>'PedidoVotoElec-09-04'!Print_Area</vt:lpstr>
      <vt:lpstr>'Presupuesto 2024 Aprobado'!Print_Area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yunairy</dc:creator>
  <dc:description/>
  <cp:lastModifiedBy>Microsoft Office User</cp:lastModifiedBy>
  <cp:revision>73</cp:revision>
  <cp:lastPrinted>2024-04-15T23:01:36Z</cp:lastPrinted>
  <dcterms:created xsi:type="dcterms:W3CDTF">2024-01-05T16:39:16Z</dcterms:created>
  <dcterms:modified xsi:type="dcterms:W3CDTF">2024-04-15T23:06:14Z</dcterms:modified>
  <dc:language>en-GB</dc:language>
</cp:coreProperties>
</file>